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Analysis" sheetId="2" state="visible" r:id="rId4"/>
    <sheet name="Model" sheetId="3" state="visible" r:id="rId5"/>
    <sheet name="Model_Detail" sheetId="4" state="visible" r:id="rId6"/>
    <sheet name="Data_Quality" sheetId="5" state="visible" r:id="rId7"/>
    <sheet name="Clean" sheetId="6" state="visible" r:id="rId8"/>
    <sheet name="Location_Map" sheetId="7" state="visible" r:id="rId9"/>
    <sheet name="Raw" sheetId="8" state="visible" r:id="rId10"/>
  </sheets>
  <definedNames>
    <definedName function="false" hidden="true" localSheetId="5" name="_xlnm._FilterDatabase" vbProcedure="false">Clean!$A$1:$AG$1001</definedName>
    <definedName function="false" hidden="false" localSheetId="0" name="_xlnm.Print_Area" vbProcedure="false">Dashboard!$A$1:$O$52</definedName>
    <definedName function="false" hidden="true" localSheetId="3" name="_xlnm._FilterDatabase" vbProcedure="false">Model_Detail!$A$1:$N$1001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<sst xmlns="http://schemas.openxmlformats.org/spreadsheetml/2006/main" count="13297" uniqueCount="3226">
  <si>
    <t xml:space="preserve">Yarn Supply Chain: Shipment Delays and Expedite Decisions</t>
  </si>
  <si>
    <t xml:space="preserve">Surat yarn network · synthetic dataset of 1,000 shipments booked Jan–Oct 2025 · every figure is a live formula over the Clean, Analysis and Model sheets</t>
  </si>
  <si>
    <t xml:space="preserve">Shipments</t>
  </si>
  <si>
    <t xml:space="preserve">Arrived late</t>
  </si>
  <si>
    <t xml:space="preserve">Avg delay when late</t>
  </si>
  <si>
    <t xml:space="preserve">Shipping spend</t>
  </si>
  <si>
    <t xml:space="preserve">Expected stockout cost if never expedited</t>
  </si>
  <si>
    <t xml:space="preserve">Smart-rule saving</t>
  </si>
  <si>
    <t xml:space="preserve">Late-rate gap, best vs worst carrier</t>
  </si>
  <si>
    <t xml:space="preserve">Lanes: late % by route</t>
  </si>
  <si>
    <t xml:space="preserve">What this shows</t>
  </si>
  <si>
    <t xml:space="preserve">Route</t>
  </si>
  <si>
    <t xml:space="preserve">Late %</t>
  </si>
  <si>
    <t xml:space="preserve">Avg delay</t>
  </si>
  <si>
    <t xml:space="preserve">Where do delays come from?</t>
  </si>
  <si>
    <t xml:space="preserve">All figures are COUNTIFS / AVERAGEIFS / SUMIFS over the Clean sheet.</t>
  </si>
  <si>
    <t xml:space="preserve">1. Carrier performance</t>
  </si>
  <si>
    <t xml:space="preserve">Carrier</t>
  </si>
  <si>
    <t xml:space="preserve">Avg delay (days)</t>
  </si>
  <si>
    <t xml:space="preserve">Avg cost per tonne</t>
  </si>
  <si>
    <t xml:space="preserve">% Returned or Damaged</t>
  </si>
  <si>
    <t xml:space="preserve">BlueDart</t>
  </si>
  <si>
    <t xml:space="preserve">Delhivery</t>
  </si>
  <si>
    <t xml:space="preserve">GATI Logistics</t>
  </si>
  <si>
    <t xml:space="preserve">TCI Express</t>
  </si>
  <si>
    <t xml:space="preserve">VRL Cargo</t>
  </si>
  <si>
    <t xml:space="preserve">All carriers</t>
  </si>
  <si>
    <t xml:space="preserve">Spread (best to worst carrier)</t>
  </si>
  <si>
    <t xml:space="preserve">2. By booking month</t>
  </si>
  <si>
    <t xml:space="preserve">Month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</si>
  <si>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</si>
  <si>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</si>
  <si>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</si>
  <si>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</si>
  <si>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</si>
  <si>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</si>
  <si>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</si>
  <si>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</si>
  <si>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</si>
  <si>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</si>
  <si>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3. By material type</t>
  </si>
  <si>
    <t xml:space="preserve">Material</t>
  </si>
  <si>
    <t xml:space="preserve">Finished Yarn</t>
  </si>
  <si>
    <t xml:space="preserve">Raw Yarn</t>
  </si>
  <si>
    <t xml:space="preserve">Semi-Processed Yarn</t>
  </si>
  <si>
    <t xml:space="preserve">4. By shipment type</t>
  </si>
  <si>
    <t xml:space="preserve">Type</t>
  </si>
  <si>
    <t xml:space="preserve">Inbound</t>
  </si>
  <si>
    <t xml:space="preserve">Outbound</t>
  </si>
  <si>
    <t xml:space="preserve">5. By temperature sensitivity</t>
  </si>
  <si>
    <t xml:space="preserve">Temperature sensitive</t>
  </si>
  <si>
    <t xml:space="preserve">Yes</t>
  </si>
  <si>
    <t xml:space="preserve">No</t>
  </si>
  <si>
    <t xml:space="preserve">6. Inbound shipments by origin region</t>
  </si>
  <si>
    <t xml:space="preserve">Origin region</t>
  </si>
  <si>
    <t xml:space="preserve">North</t>
  </si>
  <si>
    <t xml:space="preserve">South</t>
  </si>
  <si>
    <t xml:space="preserve">West</t>
  </si>
  <si>
    <t xml:space="preserve">7. Outbound shipments by destination region</t>
  </si>
  <si>
    <t xml:space="preserve">Destination region</t>
  </si>
  <si>
    <t xml:space="preserve">Central</t>
  </si>
  <si>
    <t xml:space="preserve">East</t>
  </si>
  <si>
    <t xml:space="preserve">North-East</t>
  </si>
  <si>
    <t xml:space="preserve">8. Lanes (route)</t>
  </si>
  <si>
    <t xml:space="preserve">Chennai → Surat</t>
  </si>
  <si>
    <t xml:space="preserve">Gujarat → Surat</t>
  </si>
  <si>
    <t xml:space="preserve">Punjab → Surat</t>
  </si>
  <si>
    <t xml:space="preserve">Rajasthan → Surat</t>
  </si>
  <si>
    <t xml:space="preserve">Uttar Pradesh → Surat</t>
  </si>
  <si>
    <t xml:space="preserve">Surat → Assam</t>
  </si>
  <si>
    <t xml:space="preserve">Surat → Gujarat</t>
  </si>
  <si>
    <t xml:space="preserve">Surat → Jaipur</t>
  </si>
  <si>
    <t xml:space="preserve">Surat → Karnataka</t>
  </si>
  <si>
    <t xml:space="preserve">Surat → Kerala</t>
  </si>
  <si>
    <t xml:space="preserve">Surat → Madhya Pradesh</t>
  </si>
  <si>
    <t xml:space="preserve">Surat → Mumbai</t>
  </si>
  <si>
    <t xml:space="preserve">Surat → Uttarakhand</t>
  </si>
  <si>
    <t xml:space="preserve">Surat → West Bengal</t>
  </si>
  <si>
    <t xml:space="preserve">9. How late? Delay categories</t>
  </si>
  <si>
    <t xml:space="preserve">Delay category</t>
  </si>
  <si>
    <t xml:space="preserve">% of all</t>
  </si>
  <si>
    <t xml:space="preserve">Early/On time</t>
  </si>
  <si>
    <t xml:space="preserve">Minor (up to 2 days)</t>
  </si>
  <si>
    <t xml:space="preserve">Moderate (2-5 days)</t>
  </si>
  <si>
    <t xml:space="preserve">Severe (over 5 days)</t>
  </si>
  <si>
    <t xml:space="preserve">Which shipments are worth expediting?</t>
  </si>
  <si>
    <t xml:space="preserve">Expedite a shipment only when the surcharge is less than the stockout loss it is expected to prevent. Change the yellow inputs and everything recalculates.</t>
  </si>
  <si>
    <t xml:space="preserve">Inputs</t>
  </si>
  <si>
    <t xml:space="preserve">Stockout cost multiplier</t>
  </si>
  <si>
    <t xml:space="preserve">1.0 = stockout costs as recorded in the data</t>
  </si>
  <si>
    <t xml:space="preserve">Expedite effectiveness (share of delay risk removed)</t>
  </si>
  <si>
    <t xml:space="preserve">100% = an expedited shipment never runs late</t>
  </si>
  <si>
    <t xml:space="preserve">Assumptions</t>
  </si>
  <si>
    <t xml:space="preserve">1. Base shipping cost is paid either way, so only the expedite surcharge is extra.</t>
  </si>
  <si>
    <t xml:space="preserve">2. Chance of delay = that carrier's historical late rate (in-sample, so illustrative).</t>
  </si>
  <si>
    <t xml:space="preserve">3. Expected stockout cost = chance of delay × quantity × stockout cost per tonne.</t>
  </si>
  <si>
    <t xml:space="preserve">4. Data is synthetic (1,000 shipments, Jan–Oct 2025), so treat totals as illustrative.</t>
  </si>
  <si>
    <t xml:space="preserve">Policy comparison</t>
  </si>
  <si>
    <t xml:space="preserve">Policy</t>
  </si>
  <si>
    <t xml:space="preserve">Total expected cost</t>
  </si>
  <si>
    <t xml:space="preserve">Shipments expedited</t>
  </si>
  <si>
    <t xml:space="preserve">Saving vs never</t>
  </si>
  <si>
    <t xml:space="preserve">Saving %</t>
  </si>
  <si>
    <t xml:space="preserve">Never expedite</t>
  </si>
  <si>
    <t xml:space="preserve">Always expedite</t>
  </si>
  <si>
    <t xml:space="preserve">Smart rule</t>
  </si>
  <si>
    <t xml:space="preserve">Share of shipments the smart rule expedites</t>
  </si>
  <si>
    <t xml:space="preserve">Sensitivity: saving vs never expedite (₹)</t>
  </si>
  <si>
    <t xml:space="preserve">Sensitivity: % of shipments expedited</t>
  </si>
  <si>
    <t xml:space="preserve">Rows: stockout cost multiplier. Columns: expedite effectiveness.</t>
  </si>
  <si>
    <t xml:space="preserve">Multiplier \ Effectiveness</t>
  </si>
  <si>
    <t xml:space="preserve">Single-shipment calculator</t>
  </si>
  <si>
    <t xml:space="preserve">Pick a shipment. To find its break-even with Goal Seek: Data → What-If Analysis → Goal Seek, set the Net benefit cell to 0 by changing the yellow stockout cell. The answer should match the break-even formula.</t>
  </si>
  <si>
    <t xml:space="preserve">Shipment ID (pick from list)</t>
  </si>
  <si>
    <t xml:space="preserve">SHP0001</t>
  </si>
  <si>
    <t xml:space="preserve">Quantity (tonnes)</t>
  </si>
  <si>
    <t xml:space="preserve">Expedite surcharge</t>
  </si>
  <si>
    <t xml:space="preserve">Chance of delay (carrier late rate)</t>
  </si>
  <si>
    <t xml:space="preserve">Recorded stockout cost per tonne</t>
  </si>
  <si>
    <t xml:space="preserve">Stockout cost per tonne to test (input)</t>
  </si>
  <si>
    <t xml:space="preserve">Expected stockout cost</t>
  </si>
  <si>
    <t xml:space="preserve">Delay risk removed by expediting</t>
  </si>
  <si>
    <t xml:space="preserve">Net benefit of expediting</t>
  </si>
  <si>
    <t xml:space="preserve">Decision</t>
  </si>
  <si>
    <t xml:space="preserve">Break-even stockout cost per tonne (formula)</t>
  </si>
  <si>
    <t xml:space="preserve">shipment_id</t>
  </si>
  <si>
    <t xml:space="preserve">carrier</t>
  </si>
  <si>
    <t xml:space="preserve">quantity_tonnes</t>
  </si>
  <si>
    <t xml:space="preserve">stockout_cost_per_tonne</t>
  </si>
  <si>
    <t xml:space="preserve">expedite_surcharge</t>
  </si>
  <si>
    <t xml:space="preserve">p_late (carrier history)</t>
  </si>
  <si>
    <t xml:space="preserve">base_risk (p × qty × stockout)</t>
  </si>
  <si>
    <t xml:space="preserve">expected_stockout_cost</t>
  </si>
  <si>
    <t xml:space="preserve">decision</t>
  </si>
  <si>
    <t xml:space="preserve">cost_if_never_expedite</t>
  </si>
  <si>
    <t xml:space="preserve">cost_if_always_expedite</t>
  </si>
  <si>
    <t xml:space="preserve">cost_under_rule</t>
  </si>
  <si>
    <t xml:space="preserve">saving_vs_never</t>
  </si>
  <si>
    <t xml:space="preserve">breakeven_stockout_per_tonne</t>
  </si>
  <si>
    <t xml:space="preserve">Data quality checks</t>
  </si>
  <si>
    <t xml:space="preserve">Every result is a formula over Raw or Clean. Status turns red if a check fails.</t>
  </si>
  <si>
    <t xml:space="preserve">Check</t>
  </si>
  <si>
    <t xml:space="preserve">Result</t>
  </si>
  <si>
    <t xml:space="preserve">Expected</t>
  </si>
  <si>
    <t xml:space="preserve">Status</t>
  </si>
  <si>
    <t xml:space="preserve">How it is checked</t>
  </si>
  <si>
    <t xml:space="preserve">Rows loaded</t>
  </si>
  <si>
    <t xml:space="preserve">COUNTA of shipment_id</t>
  </si>
  <si>
    <t xml:space="preserve">Blank cells in Raw</t>
  </si>
  <si>
    <t xml:space="preserve">COUNTBLANK over all 19 columns</t>
  </si>
  <si>
    <t xml:space="preserve">Duplicate shipment IDs</t>
  </si>
  <si>
    <t xml:space="preserve">COUNTIF of each ID against the whole column</t>
  </si>
  <si>
    <t xml:space="preserve">Locations not in Location_Map</t>
  </si>
  <si>
    <t xml:space="preserve">lookup fallback value in Clean E:H</t>
  </si>
  <si>
    <t xml:space="preserve">delay_days differs from arrival − scheduled arrival</t>
  </si>
  <si>
    <t xml:space="preserve">recomputed in Clean column T</t>
  </si>
  <si>
    <t xml:space="preserve">delay_flag disagrees with delay_days</t>
  </si>
  <si>
    <t xml:space="preserve">flag should be 1 exactly when delay &gt; 0</t>
  </si>
  <si>
    <t xml:space="preserve">Arrived before it departed</t>
  </si>
  <si>
    <t xml:space="preserve">timestamp order</t>
  </si>
  <si>
    <t xml:space="preserve">Scheduled to depart before it was booked</t>
  </si>
  <si>
    <t xml:space="preserve">date order</t>
  </si>
  <si>
    <t xml:space="preserve">Shipments that arrived early (negative delay)</t>
  </si>
  <si>
    <t xml:space="preserve">info</t>
  </si>
  <si>
    <t xml:space="preserve">INFO</t>
  </si>
  <si>
    <t xml:space="preserve">valid early arrivals, not errors; kept in the data</t>
  </si>
  <si>
    <t xml:space="preserve">shipment_type</t>
  </si>
  <si>
    <t xml:space="preserve">source</t>
  </si>
  <si>
    <t xml:space="preserve">destination</t>
  </si>
  <si>
    <t xml:space="preserve">source_state</t>
  </si>
  <si>
    <t xml:space="preserve">source_region</t>
  </si>
  <si>
    <t xml:space="preserve">dest_state</t>
  </si>
  <si>
    <t xml:space="preserve">dest_region</t>
  </si>
  <si>
    <t xml:space="preserve">material_type</t>
  </si>
  <si>
    <t xml:space="preserve">booking_date</t>
  </si>
  <si>
    <t xml:space="preserve">scheduled_departure</t>
  </si>
  <si>
    <t xml:space="preserve">scheduled_arrival</t>
  </si>
  <si>
    <t xml:space="preserve">actual_departure</t>
  </si>
  <si>
    <t xml:space="preserve">actual_arrival</t>
  </si>
  <si>
    <t xml:space="preserve">lead_time_days</t>
  </si>
  <si>
    <t xml:space="preserve">planned_transit_days</t>
  </si>
  <si>
    <t xml:space="preserve">actual_transit_days</t>
  </si>
  <si>
    <t xml:space="preserve">delay_days</t>
  </si>
  <si>
    <t xml:space="preserve">delay_recomputed</t>
  </si>
  <si>
    <t xml:space="preserve">delay_check</t>
  </si>
  <si>
    <t xml:space="preserve">delay_flag</t>
  </si>
  <si>
    <t xml:space="preserve">flag_check</t>
  </si>
  <si>
    <t xml:space="preserve">delay_category</t>
  </si>
  <si>
    <t xml:space="preserve">booking_month</t>
  </si>
  <si>
    <t xml:space="preserve">route</t>
  </si>
  <si>
    <t xml:space="preserve">temperature_sensitive</t>
  </si>
  <si>
    <t xml:space="preserve">remarks</t>
  </si>
  <si>
    <t xml:space="preserve">shipping_cost</t>
  </si>
  <si>
    <t xml:space="preserve">cost_per_tonne</t>
  </si>
  <si>
    <t xml:space="preserve">Place (as in data)</t>
  </si>
  <si>
    <t xml:space="preserve">State</t>
  </si>
  <si>
    <t xml:space="preserve">Region</t>
  </si>
  <si>
    <t xml:space="preserve">Why this sheet exists</t>
  </si>
  <si>
    <t xml:space="preserve">Surat</t>
  </si>
  <si>
    <t xml:space="preserve">Gujarat</t>
  </si>
  <si>
    <t xml:space="preserve">source_city and destination_city mix cities (Surat, Mumbai, Jaipur, Chennai) with whole states (Rajasthan, Kerala). This table maps every value to one state and region so they can be compared like for like.</t>
  </si>
  <si>
    <t xml:space="preserve">Mumbai</t>
  </si>
  <si>
    <t xml:space="preserve">Maharashtra</t>
  </si>
  <si>
    <t xml:space="preserve">Rajasthan</t>
  </si>
  <si>
    <t xml:space="preserve">Jaipur</t>
  </si>
  <si>
    <t xml:space="preserve">Punjab</t>
  </si>
  <si>
    <t xml:space="preserve">Uttar Pradesh</t>
  </si>
  <si>
    <t xml:space="preserve">Uttarakhand</t>
  </si>
  <si>
    <t xml:space="preserve">Madhya Pradesh</t>
  </si>
  <si>
    <t xml:space="preserve">Chennai</t>
  </si>
  <si>
    <t xml:space="preserve">Tamil Nadu</t>
  </si>
  <si>
    <t xml:space="preserve">Kerala</t>
  </si>
  <si>
    <t xml:space="preserve">Karnataka</t>
  </si>
  <si>
    <t xml:space="preserve">West Bengal</t>
  </si>
  <si>
    <t xml:space="preserve">Assam</t>
  </si>
  <si>
    <t xml:space="preserve">source_city</t>
  </si>
  <si>
    <t xml:space="preserve">destination_city</t>
  </si>
  <si>
    <t xml:space="preserve">2025-10-13</t>
  </si>
  <si>
    <t xml:space="preserve">2025-10-16</t>
  </si>
  <si>
    <t xml:space="preserve">2025-10-22</t>
  </si>
  <si>
    <t xml:space="preserve">2025-10-16 01:00:00</t>
  </si>
  <si>
    <t xml:space="preserve">2025-10-21 00:00:00</t>
  </si>
  <si>
    <t xml:space="preserve">Expedited</t>
  </si>
  <si>
    <t xml:space="preserve">SHP0002</t>
  </si>
  <si>
    <t xml:space="preserve">2025-10-18</t>
  </si>
  <si>
    <t xml:space="preserve">2025-10-25</t>
  </si>
  <si>
    <t xml:space="preserve">2025-10-22 06:00:00</t>
  </si>
  <si>
    <t xml:space="preserve">2025-11-02 09:36:00</t>
  </si>
  <si>
    <t xml:space="preserve">Returned</t>
  </si>
  <si>
    <t xml:space="preserve">SHP0003</t>
  </si>
  <si>
    <t xml:space="preserve">2025-07-03</t>
  </si>
  <si>
    <t xml:space="preserve">2025-07-04</t>
  </si>
  <si>
    <t xml:space="preserve">2025-07-09</t>
  </si>
  <si>
    <t xml:space="preserve">2025-07-04 06:00:00</t>
  </si>
  <si>
    <t xml:space="preserve">2025-07-11 16:48:00</t>
  </si>
  <si>
    <t xml:space="preserve">SHP0004</t>
  </si>
  <si>
    <t xml:space="preserve">2025-01-20</t>
  </si>
  <si>
    <t xml:space="preserve">2025-01-24</t>
  </si>
  <si>
    <t xml:space="preserve">2025-01-29</t>
  </si>
  <si>
    <t xml:space="preserve">2025-01-24 08:00:00</t>
  </si>
  <si>
    <t xml:space="preserve">2025-01-28 16:48:00</t>
  </si>
  <si>
    <t xml:space="preserve">SHP0005</t>
  </si>
  <si>
    <t xml:space="preserve">2025-02-06</t>
  </si>
  <si>
    <t xml:space="preserve">2025-02-08</t>
  </si>
  <si>
    <t xml:space="preserve">2025-02-12</t>
  </si>
  <si>
    <t xml:space="preserve">2025-02-08 02:00:00</t>
  </si>
  <si>
    <t xml:space="preserve">2025-02-13 07:12:00</t>
  </si>
  <si>
    <t xml:space="preserve">Held at warehouse</t>
  </si>
  <si>
    <t xml:space="preserve">SHP0006</t>
  </si>
  <si>
    <t xml:space="preserve">2025-09-10</t>
  </si>
  <si>
    <t xml:space="preserve">2025-09-12</t>
  </si>
  <si>
    <t xml:space="preserve">2025-09-15</t>
  </si>
  <si>
    <t xml:space="preserve">2025-09-12 08:00:00</t>
  </si>
  <si>
    <t xml:space="preserve">2025-09-18 04:48:00</t>
  </si>
  <si>
    <t xml:space="preserve">Damaged</t>
  </si>
  <si>
    <t xml:space="preserve">SHP0007</t>
  </si>
  <si>
    <t xml:space="preserve">2025-10-20</t>
  </si>
  <si>
    <t xml:space="preserve">2025-10-26</t>
  </si>
  <si>
    <t xml:space="preserve">2025-10-20 04:00:00</t>
  </si>
  <si>
    <t xml:space="preserve">2025-10-30 07:12:00</t>
  </si>
  <si>
    <t xml:space="preserve">SHP0008</t>
  </si>
  <si>
    <t xml:space="preserve">2025-01-05</t>
  </si>
  <si>
    <t xml:space="preserve">2025-01-07</t>
  </si>
  <si>
    <t xml:space="preserve">2025-01-09</t>
  </si>
  <si>
    <t xml:space="preserve">2025-01-07 06:00:00</t>
  </si>
  <si>
    <t xml:space="preserve">2025-01-09 09:36:00</t>
  </si>
  <si>
    <t xml:space="preserve">SHP0009</t>
  </si>
  <si>
    <t xml:space="preserve">2025-07-01</t>
  </si>
  <si>
    <t xml:space="preserve">2025-07-05</t>
  </si>
  <si>
    <t xml:space="preserve">2025-07-08</t>
  </si>
  <si>
    <t xml:space="preserve">2025-07-05 01:00:00</t>
  </si>
  <si>
    <t xml:space="preserve">2025-07-07 00:00:00</t>
  </si>
  <si>
    <t xml:space="preserve">Normal</t>
  </si>
  <si>
    <t xml:space="preserve">SHP0010</t>
  </si>
  <si>
    <t xml:space="preserve">2025-05-22</t>
  </si>
  <si>
    <t xml:space="preserve">2025-05-23</t>
  </si>
  <si>
    <t xml:space="preserve">2025-05-27</t>
  </si>
  <si>
    <t xml:space="preserve">2025-05-22 19:00:00</t>
  </si>
  <si>
    <t xml:space="preserve">2025-06-01 07:12:00</t>
  </si>
  <si>
    <t xml:space="preserve">SHP0011</t>
  </si>
  <si>
    <t xml:space="preserve">2025-02-03</t>
  </si>
  <si>
    <t xml:space="preserve">2025-02-05</t>
  </si>
  <si>
    <t xml:space="preserve">2025-02-09</t>
  </si>
  <si>
    <t xml:space="preserve">2025-02-04 22:00:00</t>
  </si>
  <si>
    <t xml:space="preserve">2025-02-11 07:12:00</t>
  </si>
  <si>
    <t xml:space="preserve">SHP0012</t>
  </si>
  <si>
    <t xml:space="preserve">2025-03-02</t>
  </si>
  <si>
    <t xml:space="preserve">2025-03-06</t>
  </si>
  <si>
    <t xml:space="preserve">2025-03-10</t>
  </si>
  <si>
    <t xml:space="preserve">2025-03-05 21:00:00</t>
  </si>
  <si>
    <t xml:space="preserve">2025-03-11 02:24:00</t>
  </si>
  <si>
    <t xml:space="preserve">SHP0013</t>
  </si>
  <si>
    <t xml:space="preserve">2025-08-30</t>
  </si>
  <si>
    <t xml:space="preserve">2025-08-31</t>
  </si>
  <si>
    <t xml:space="preserve">2025-09-04</t>
  </si>
  <si>
    <t xml:space="preserve">2025-08-31 03:00:00</t>
  </si>
  <si>
    <t xml:space="preserve">2025-09-03 16:48:00</t>
  </si>
  <si>
    <t xml:space="preserve">SHP0014</t>
  </si>
  <si>
    <t xml:space="preserve">2025-09-16</t>
  </si>
  <si>
    <t xml:space="preserve">2025-09-17</t>
  </si>
  <si>
    <t xml:space="preserve">2025-09-21</t>
  </si>
  <si>
    <t xml:space="preserve">2025-09-17 03:00:00</t>
  </si>
  <si>
    <t xml:space="preserve">2025-09-21 21:36:00</t>
  </si>
  <si>
    <t xml:space="preserve">SHP0015</t>
  </si>
  <si>
    <t xml:space="preserve">2025-03-07</t>
  </si>
  <si>
    <t xml:space="preserve">2025-03-15</t>
  </si>
  <si>
    <t xml:space="preserve">2025-03-09 22:00:00</t>
  </si>
  <si>
    <t xml:space="preserve">2025-03-17 19:12:00</t>
  </si>
  <si>
    <t xml:space="preserve">SHP0016</t>
  </si>
  <si>
    <t xml:space="preserve">2025-03-22</t>
  </si>
  <si>
    <t xml:space="preserve">2025-03-26</t>
  </si>
  <si>
    <t xml:space="preserve">2025-03-31</t>
  </si>
  <si>
    <t xml:space="preserve">2025-03-26 00:00:00</t>
  </si>
  <si>
    <t xml:space="preserve">2025-04-01 19:12:00</t>
  </si>
  <si>
    <t xml:space="preserve">SHP0017</t>
  </si>
  <si>
    <t xml:space="preserve">2025-05-15</t>
  </si>
  <si>
    <t xml:space="preserve">2025-05-18</t>
  </si>
  <si>
    <t xml:space="preserve">2025-05-17 19:00:00</t>
  </si>
  <si>
    <t xml:space="preserve">2025-05-24 09:36:00</t>
  </si>
  <si>
    <t xml:space="preserve">SHP0018</t>
  </si>
  <si>
    <t xml:space="preserve">2025-01-28</t>
  </si>
  <si>
    <t xml:space="preserve">2025-02-01</t>
  </si>
  <si>
    <t xml:space="preserve">2025-02-01 05:00:00</t>
  </si>
  <si>
    <t xml:space="preserve">2025-02-05 21:36:00</t>
  </si>
  <si>
    <t xml:space="preserve">SHP0019</t>
  </si>
  <si>
    <t xml:space="preserve">2025-06-03</t>
  </si>
  <si>
    <t xml:space="preserve">2025-06-04</t>
  </si>
  <si>
    <t xml:space="preserve">2025-06-09</t>
  </si>
  <si>
    <t xml:space="preserve">2025-06-04 01:00:00</t>
  </si>
  <si>
    <t xml:space="preserve">2025-06-10 14:24:00</t>
  </si>
  <si>
    <t xml:space="preserve">SHP0020</t>
  </si>
  <si>
    <t xml:space="preserve">2025-09-23</t>
  </si>
  <si>
    <t xml:space="preserve">2025-09-28</t>
  </si>
  <si>
    <t xml:space="preserve">2025-09-23 04:00:00</t>
  </si>
  <si>
    <t xml:space="preserve">2025-10-01 21:36:00</t>
  </si>
  <si>
    <t xml:space="preserve">SHP0021</t>
  </si>
  <si>
    <t xml:space="preserve">2025-06-17</t>
  </si>
  <si>
    <t xml:space="preserve">2025-06-21</t>
  </si>
  <si>
    <t xml:space="preserve">2025-06-23</t>
  </si>
  <si>
    <t xml:space="preserve">2025-06-20 21:00:00</t>
  </si>
  <si>
    <t xml:space="preserve">2025-06-27 21:36:00</t>
  </si>
  <si>
    <t xml:space="preserve">SHP0022</t>
  </si>
  <si>
    <t xml:space="preserve">2025-08-24</t>
  </si>
  <si>
    <t xml:space="preserve">2025-08-27</t>
  </si>
  <si>
    <t xml:space="preserve">2025-08-27 08:00:00</t>
  </si>
  <si>
    <t xml:space="preserve">2025-08-30 00:00:00</t>
  </si>
  <si>
    <t xml:space="preserve">SHP0023</t>
  </si>
  <si>
    <t xml:space="preserve">2025-05-19</t>
  </si>
  <si>
    <t xml:space="preserve">2025-05-24</t>
  </si>
  <si>
    <t xml:space="preserve">2025-05-18 23:00:00</t>
  </si>
  <si>
    <t xml:space="preserve">2025-05-23 02:24:00</t>
  </si>
  <si>
    <t xml:space="preserve">SHP0024</t>
  </si>
  <si>
    <t xml:space="preserve">2025-06-12</t>
  </si>
  <si>
    <t xml:space="preserve">2025-06-15</t>
  </si>
  <si>
    <t xml:space="preserve">2025-06-14 21:00:00</t>
  </si>
  <si>
    <t xml:space="preserve">2025-06-25 09:36:00</t>
  </si>
  <si>
    <t xml:space="preserve">SHP0025</t>
  </si>
  <si>
    <t xml:space="preserve">2025-05-28</t>
  </si>
  <si>
    <t xml:space="preserve">2025-05-29</t>
  </si>
  <si>
    <t xml:space="preserve">2025-05-28 19:00:00</t>
  </si>
  <si>
    <t xml:space="preserve">2025-06-14 09:36:00</t>
  </si>
  <si>
    <t xml:space="preserve">SHP0026</t>
  </si>
  <si>
    <t xml:space="preserve">2025-08-13</t>
  </si>
  <si>
    <t xml:space="preserve">2025-08-17</t>
  </si>
  <si>
    <t xml:space="preserve">2025-08-23</t>
  </si>
  <si>
    <t xml:space="preserve">2025-08-16 19:00:00</t>
  </si>
  <si>
    <t xml:space="preserve">2025-08-24 21:36:00</t>
  </si>
  <si>
    <t xml:space="preserve">SHP0027</t>
  </si>
  <si>
    <t xml:space="preserve">2025-02-27</t>
  </si>
  <si>
    <t xml:space="preserve">2025-03-01</t>
  </si>
  <si>
    <t xml:space="preserve">2025-03-05</t>
  </si>
  <si>
    <t xml:space="preserve">2025-03-01 09:00:00</t>
  </si>
  <si>
    <t xml:space="preserve">2025-03-07 14:24:00</t>
  </si>
  <si>
    <t xml:space="preserve">SHP0028</t>
  </si>
  <si>
    <t xml:space="preserve">2025-04-18</t>
  </si>
  <si>
    <t xml:space="preserve">2025-04-20</t>
  </si>
  <si>
    <t xml:space="preserve">2025-04-23</t>
  </si>
  <si>
    <t xml:space="preserve">2025-04-19 20:00:00</t>
  </si>
  <si>
    <t xml:space="preserve">2025-04-22 00:00:00</t>
  </si>
  <si>
    <t xml:space="preserve">SHP0029</t>
  </si>
  <si>
    <t xml:space="preserve">2025-03-30</t>
  </si>
  <si>
    <t xml:space="preserve">2025-04-01</t>
  </si>
  <si>
    <t xml:space="preserve">2025-04-04</t>
  </si>
  <si>
    <t xml:space="preserve">2025-04-01 07:00:00</t>
  </si>
  <si>
    <t xml:space="preserve">2025-04-07 12:00:00</t>
  </si>
  <si>
    <t xml:space="preserve">SHP0030</t>
  </si>
  <si>
    <t xml:space="preserve">2025-01-12</t>
  </si>
  <si>
    <t xml:space="preserve">2025-01-16</t>
  </si>
  <si>
    <t xml:space="preserve">2025-01-12 03:00:00</t>
  </si>
  <si>
    <t xml:space="preserve">2025-01-29 14:24:00</t>
  </si>
  <si>
    <t xml:space="preserve">SHP0031</t>
  </si>
  <si>
    <t xml:space="preserve">2025-01-14</t>
  </si>
  <si>
    <t xml:space="preserve">2025-01-18</t>
  </si>
  <si>
    <t xml:space="preserve">2025-01-13 23:00:00</t>
  </si>
  <si>
    <t xml:space="preserve">2025-01-20 04:48:00</t>
  </si>
  <si>
    <t xml:space="preserve">SHP0032</t>
  </si>
  <si>
    <t xml:space="preserve">2025-05-04</t>
  </si>
  <si>
    <t xml:space="preserve">2025-05-07</t>
  </si>
  <si>
    <t xml:space="preserve">2025-05-12</t>
  </si>
  <si>
    <t xml:space="preserve">2025-05-07 07:00:00</t>
  </si>
  <si>
    <t xml:space="preserve">2025-05-11 00:00:00</t>
  </si>
  <si>
    <t xml:space="preserve">SHP0033</t>
  </si>
  <si>
    <t xml:space="preserve">2025-08-12</t>
  </si>
  <si>
    <t xml:space="preserve">2025-08-14</t>
  </si>
  <si>
    <t xml:space="preserve">2025-08-14 04:00:00</t>
  </si>
  <si>
    <t xml:space="preserve">2025-08-16 16:48:00</t>
  </si>
  <si>
    <t xml:space="preserve">SHP0034</t>
  </si>
  <si>
    <t xml:space="preserve">2025-10-08</t>
  </si>
  <si>
    <t xml:space="preserve">2025-10-11</t>
  </si>
  <si>
    <t xml:space="preserve">2025-10-17</t>
  </si>
  <si>
    <t xml:space="preserve">2025-10-11 01:00:00</t>
  </si>
  <si>
    <t xml:space="preserve">2025-10-24 00:00:00</t>
  </si>
  <si>
    <t xml:space="preserve">SHP0035</t>
  </si>
  <si>
    <t xml:space="preserve">2025-02-17</t>
  </si>
  <si>
    <t xml:space="preserve">2025-02-18</t>
  </si>
  <si>
    <t xml:space="preserve">2025-02-24</t>
  </si>
  <si>
    <t xml:space="preserve">2025-02-18 04:00:00</t>
  </si>
  <si>
    <t xml:space="preserve">2025-02-25 07:12:00</t>
  </si>
  <si>
    <t xml:space="preserve">SHP0036</t>
  </si>
  <si>
    <t xml:space="preserve">2025-01-15</t>
  </si>
  <si>
    <t xml:space="preserve">2025-01-19</t>
  </si>
  <si>
    <t xml:space="preserve">2025-01-18 20:00:00</t>
  </si>
  <si>
    <t xml:space="preserve">2025-01-31 14:24:00</t>
  </si>
  <si>
    <t xml:space="preserve">SHP0037</t>
  </si>
  <si>
    <t xml:space="preserve">2025-07-25</t>
  </si>
  <si>
    <t xml:space="preserve">2025-07-28</t>
  </si>
  <si>
    <t xml:space="preserve">2025-07-31</t>
  </si>
  <si>
    <t xml:space="preserve">2025-07-28 05:00:00</t>
  </si>
  <si>
    <t xml:space="preserve">2025-08-02 04:48:00</t>
  </si>
  <si>
    <t xml:space="preserve">SHP0038</t>
  </si>
  <si>
    <t xml:space="preserve">2025-09-07</t>
  </si>
  <si>
    <t xml:space="preserve">2025-09-09</t>
  </si>
  <si>
    <t xml:space="preserve">2025-09-06 19:00:00</t>
  </si>
  <si>
    <t xml:space="preserve">2025-09-09 19:12:00</t>
  </si>
  <si>
    <t xml:space="preserve">SHP0039</t>
  </si>
  <si>
    <t xml:space="preserve">2025-01-17</t>
  </si>
  <si>
    <t xml:space="preserve">2025-01-15 04:00:00</t>
  </si>
  <si>
    <t xml:space="preserve">2025-01-16 00:00:00</t>
  </si>
  <si>
    <t xml:space="preserve">SHP0040</t>
  </si>
  <si>
    <t xml:space="preserve">2025-07-12</t>
  </si>
  <si>
    <t xml:space="preserve">2025-07-17</t>
  </si>
  <si>
    <t xml:space="preserve">2025-07-12 03:00:00</t>
  </si>
  <si>
    <t xml:space="preserve">2025-07-23 16:48:00</t>
  </si>
  <si>
    <t xml:space="preserve">SHP0041</t>
  </si>
  <si>
    <t xml:space="preserve">2025-10-27</t>
  </si>
  <si>
    <t xml:space="preserve">2025-10-30</t>
  </si>
  <si>
    <t xml:space="preserve">2025-10-27 01:00:00</t>
  </si>
  <si>
    <t xml:space="preserve">2025-11-02 12:00:00</t>
  </si>
  <si>
    <t xml:space="preserve">SHP0042</t>
  </si>
  <si>
    <t xml:space="preserve">2025-01-31</t>
  </si>
  <si>
    <t xml:space="preserve">2025-02-04</t>
  </si>
  <si>
    <t xml:space="preserve">2025-02-04 03:00:00</t>
  </si>
  <si>
    <t xml:space="preserve">2025-02-08 00:00:00</t>
  </si>
  <si>
    <t xml:space="preserve">SHP0043</t>
  </si>
  <si>
    <t xml:space="preserve">2025-01-30</t>
  </si>
  <si>
    <t xml:space="preserve">2025-01-29 23:00:00</t>
  </si>
  <si>
    <t xml:space="preserve">2025-02-11 16:48:00</t>
  </si>
  <si>
    <t xml:space="preserve">SHP0044</t>
  </si>
  <si>
    <t xml:space="preserve">2025-08-24 04:00:00</t>
  </si>
  <si>
    <t xml:space="preserve">2025-09-04 04:48:00</t>
  </si>
  <si>
    <t xml:space="preserve">SHP0045</t>
  </si>
  <si>
    <t xml:space="preserve">2025-08-04</t>
  </si>
  <si>
    <t xml:space="preserve">2025-08-06</t>
  </si>
  <si>
    <t xml:space="preserve">2025-08-04 07:00:00</t>
  </si>
  <si>
    <t xml:space="preserve">2025-08-09 19:12:00</t>
  </si>
  <si>
    <t xml:space="preserve">SHP0046</t>
  </si>
  <si>
    <t xml:space="preserve">2025-02-13</t>
  </si>
  <si>
    <t xml:space="preserve">2025-02-16</t>
  </si>
  <si>
    <t xml:space="preserve">2025-02-20</t>
  </si>
  <si>
    <t xml:space="preserve">2025-02-16 02:00:00</t>
  </si>
  <si>
    <t xml:space="preserve">2025-02-26 02:24:00</t>
  </si>
  <si>
    <t xml:space="preserve">SHP0047</t>
  </si>
  <si>
    <t xml:space="preserve">2025-08-15</t>
  </si>
  <si>
    <t xml:space="preserve">2025-08-21</t>
  </si>
  <si>
    <t xml:space="preserve">2025-08-17 05:00:00</t>
  </si>
  <si>
    <t xml:space="preserve">2025-08-23 21:36:00</t>
  </si>
  <si>
    <t xml:space="preserve">SHP0048</t>
  </si>
  <si>
    <t xml:space="preserve">2025-06-24</t>
  </si>
  <si>
    <t xml:space="preserve">2025-06-30</t>
  </si>
  <si>
    <t xml:space="preserve">2025-06-24 09:00:00</t>
  </si>
  <si>
    <t xml:space="preserve">2025-07-06 09:36:00</t>
  </si>
  <si>
    <t xml:space="preserve">SHP0049</t>
  </si>
  <si>
    <t xml:space="preserve">2025-03-27</t>
  </si>
  <si>
    <t xml:space="preserve">2025-04-06</t>
  </si>
  <si>
    <t xml:space="preserve">2025-03-31 05:00:00</t>
  </si>
  <si>
    <t xml:space="preserve">2025-04-08 04:48:00</t>
  </si>
  <si>
    <t xml:space="preserve">SHP0050</t>
  </si>
  <si>
    <t xml:space="preserve">2025-03-09</t>
  </si>
  <si>
    <t xml:space="preserve">2025-03-11</t>
  </si>
  <si>
    <t xml:space="preserve">2025-03-08 23:00:00</t>
  </si>
  <si>
    <t xml:space="preserve">2025-03-16 00:00:00</t>
  </si>
  <si>
    <t xml:space="preserve">SHP0051</t>
  </si>
  <si>
    <t xml:space="preserve">2025-01-25</t>
  </si>
  <si>
    <t xml:space="preserve">2025-01-19 22:00:00</t>
  </si>
  <si>
    <t xml:space="preserve">2025-01-24 00:00:00</t>
  </si>
  <si>
    <t xml:space="preserve">SHP0052</t>
  </si>
  <si>
    <t xml:space="preserve">2025-10-23</t>
  </si>
  <si>
    <t xml:space="preserve">2025-10-28</t>
  </si>
  <si>
    <t xml:space="preserve">2025-10-26 03:00:00</t>
  </si>
  <si>
    <t xml:space="preserve">2025-10-28 12:00:00</t>
  </si>
  <si>
    <t xml:space="preserve">SHP0053</t>
  </si>
  <si>
    <t xml:space="preserve">2025-09-08</t>
  </si>
  <si>
    <t xml:space="preserve">2025-09-14</t>
  </si>
  <si>
    <t xml:space="preserve">2025-09-08 02:00:00</t>
  </si>
  <si>
    <t xml:space="preserve">2025-09-13 00:00:00</t>
  </si>
  <si>
    <t xml:space="preserve">SHP0054</t>
  </si>
  <si>
    <t xml:space="preserve">2025-05-25</t>
  </si>
  <si>
    <t xml:space="preserve">2025-06-02</t>
  </si>
  <si>
    <t xml:space="preserve">2025-05-28 23:00:00</t>
  </si>
  <si>
    <t xml:space="preserve">2025-06-09 12:00:00</t>
  </si>
  <si>
    <t xml:space="preserve">SHP0055</t>
  </si>
  <si>
    <t xml:space="preserve">2025-01-13</t>
  </si>
  <si>
    <t xml:space="preserve">2025-01-12 23:00:00</t>
  </si>
  <si>
    <t xml:space="preserve">2025-01-21 00:00:00</t>
  </si>
  <si>
    <t xml:space="preserve">SHP0056</t>
  </si>
  <si>
    <t xml:space="preserve">2025-03-17</t>
  </si>
  <si>
    <t xml:space="preserve">2025-03-19</t>
  </si>
  <si>
    <t xml:space="preserve">2025-03-24</t>
  </si>
  <si>
    <t xml:space="preserve">2025-03-19 08:00:00</t>
  </si>
  <si>
    <t xml:space="preserve">2025-03-26 02:24:00</t>
  </si>
  <si>
    <t xml:space="preserve">SHP0057</t>
  </si>
  <si>
    <t xml:space="preserve">2025-05-30</t>
  </si>
  <si>
    <t xml:space="preserve">2025-06-01</t>
  </si>
  <si>
    <t xml:space="preserve">2025-06-05</t>
  </si>
  <si>
    <t xml:space="preserve">2025-06-01 00:00:00</t>
  </si>
  <si>
    <t xml:space="preserve">2025-06-10 12:00:00</t>
  </si>
  <si>
    <t xml:space="preserve">SHP0058</t>
  </si>
  <si>
    <t xml:space="preserve">2025-05-11</t>
  </si>
  <si>
    <t xml:space="preserve">2025-05-14</t>
  </si>
  <si>
    <t xml:space="preserve">2025-05-11 05:00:00</t>
  </si>
  <si>
    <t xml:space="preserve">2025-05-16 04:48:00</t>
  </si>
  <si>
    <t xml:space="preserve">SHP0059</t>
  </si>
  <si>
    <t xml:space="preserve">2025-04-28</t>
  </si>
  <si>
    <t xml:space="preserve">2025-04-30</t>
  </si>
  <si>
    <t xml:space="preserve">2025-05-03</t>
  </si>
  <si>
    <t xml:space="preserve">2025-04-30 02:00:00</t>
  </si>
  <si>
    <t xml:space="preserve">2025-05-05 14:24:00</t>
  </si>
  <si>
    <t xml:space="preserve">SHP0060</t>
  </si>
  <si>
    <t xml:space="preserve">2025-05-22 06:00:00</t>
  </si>
  <si>
    <t xml:space="preserve">2025-05-23 00:00:00</t>
  </si>
  <si>
    <t xml:space="preserve">SHP0061</t>
  </si>
  <si>
    <t xml:space="preserve">2025-06-25</t>
  </si>
  <si>
    <t xml:space="preserve">2025-06-27</t>
  </si>
  <si>
    <t xml:space="preserve">2025-06-25 05:00:00</t>
  </si>
  <si>
    <t xml:space="preserve">2025-07-06 00:00:00</t>
  </si>
  <si>
    <t xml:space="preserve">SHP0062</t>
  </si>
  <si>
    <t xml:space="preserve">2025-05-26</t>
  </si>
  <si>
    <t xml:space="preserve">2025-05-26 07:00:00</t>
  </si>
  <si>
    <t xml:space="preserve">2025-05-28 00:00:00</t>
  </si>
  <si>
    <t xml:space="preserve">SHP0063</t>
  </si>
  <si>
    <t xml:space="preserve">2025-01-27</t>
  </si>
  <si>
    <t xml:space="preserve">2025-01-27 19:00:00</t>
  </si>
  <si>
    <t xml:space="preserve">2025-02-03 09:36:00</t>
  </si>
  <si>
    <t xml:space="preserve">SHP0064</t>
  </si>
  <si>
    <t xml:space="preserve">2025-01-28 19:00:00</t>
  </si>
  <si>
    <t xml:space="preserve">2025-02-05 02:24:00</t>
  </si>
  <si>
    <t xml:space="preserve">SHP0065</t>
  </si>
  <si>
    <t xml:space="preserve">2025-04-22</t>
  </si>
  <si>
    <t xml:space="preserve">2025-04-24</t>
  </si>
  <si>
    <t xml:space="preserve">2025-04-27</t>
  </si>
  <si>
    <t xml:space="preserve">2025-04-23 20:00:00</t>
  </si>
  <si>
    <t xml:space="preserve">2025-04-29 14:24:00</t>
  </si>
  <si>
    <t xml:space="preserve">SHP0066</t>
  </si>
  <si>
    <t xml:space="preserve">2025-06-06</t>
  </si>
  <si>
    <t xml:space="preserve">2025-06-05 20:00:00</t>
  </si>
  <si>
    <t xml:space="preserve">2025-06-18 19:12:00</t>
  </si>
  <si>
    <t xml:space="preserve">SHP0067</t>
  </si>
  <si>
    <t xml:space="preserve">2025-01-09 07:00:00</t>
  </si>
  <si>
    <t xml:space="preserve">2025-01-11 00:00:00</t>
  </si>
  <si>
    <t xml:space="preserve">SHP0068</t>
  </si>
  <si>
    <t xml:space="preserve">2025-06-11</t>
  </si>
  <si>
    <t xml:space="preserve">2025-06-14</t>
  </si>
  <si>
    <t xml:space="preserve">2025-06-16</t>
  </si>
  <si>
    <t xml:space="preserve">2025-06-14 06:00:00</t>
  </si>
  <si>
    <t xml:space="preserve">2025-06-18 14:24:00</t>
  </si>
  <si>
    <t xml:space="preserve">SHP0069</t>
  </si>
  <si>
    <t xml:space="preserve">2025-04-17</t>
  </si>
  <si>
    <t xml:space="preserve">2025-04-21</t>
  </si>
  <si>
    <t xml:space="preserve">2025-04-20 22:00:00</t>
  </si>
  <si>
    <t xml:space="preserve">2025-04-27 02:24:00</t>
  </si>
  <si>
    <t xml:space="preserve">SHP0070</t>
  </si>
  <si>
    <t xml:space="preserve">2025-01-23</t>
  </si>
  <si>
    <t xml:space="preserve">2025-01-16 22:00:00</t>
  </si>
  <si>
    <t xml:space="preserve">2025-01-22 00:00:00</t>
  </si>
  <si>
    <t xml:space="preserve">SHP0071</t>
  </si>
  <si>
    <t xml:space="preserve">2025-10-22 05:00:00</t>
  </si>
  <si>
    <t xml:space="preserve">2025-10-29 16:48:00</t>
  </si>
  <si>
    <t xml:space="preserve">SHP0072</t>
  </si>
  <si>
    <t xml:space="preserve">2025-05-08</t>
  </si>
  <si>
    <t xml:space="preserve">2025-05-13</t>
  </si>
  <si>
    <t xml:space="preserve">2025-05-11 06:00:00</t>
  </si>
  <si>
    <t xml:space="preserve">2025-05-17 12:00:00</t>
  </si>
  <si>
    <t xml:space="preserve">SHP0073</t>
  </si>
  <si>
    <t xml:space="preserve">2025-05-27 23:00:00</t>
  </si>
  <si>
    <t xml:space="preserve">2025-05-29 19:12:00</t>
  </si>
  <si>
    <t xml:space="preserve">SHP0074</t>
  </si>
  <si>
    <t xml:space="preserve">2025-07-24</t>
  </si>
  <si>
    <t xml:space="preserve">2025-08-01</t>
  </si>
  <si>
    <t xml:space="preserve">2025-07-28 09:00:00</t>
  </si>
  <si>
    <t xml:space="preserve">2025-07-31 00:00:00</t>
  </si>
  <si>
    <t xml:space="preserve">SHP0075</t>
  </si>
  <si>
    <t xml:space="preserve">2025-10-18 00:00:00</t>
  </si>
  <si>
    <t xml:space="preserve">2025-10-24 07:12:00</t>
  </si>
  <si>
    <t xml:space="preserve">SHP0076</t>
  </si>
  <si>
    <t xml:space="preserve">2025-09-05</t>
  </si>
  <si>
    <t xml:space="preserve">2025-09-06</t>
  </si>
  <si>
    <t xml:space="preserve">2025-09-06 05:00:00</t>
  </si>
  <si>
    <t xml:space="preserve">2025-09-11 12:00:00</t>
  </si>
  <si>
    <t xml:space="preserve">SHP0077</t>
  </si>
  <si>
    <t xml:space="preserve">2025-05-16</t>
  </si>
  <si>
    <t xml:space="preserve">2025-05-19 09:00:00</t>
  </si>
  <si>
    <t xml:space="preserve">2025-05-27 02:24:00</t>
  </si>
  <si>
    <t xml:space="preserve">SHP0078</t>
  </si>
  <si>
    <t xml:space="preserve">2025-09-29</t>
  </si>
  <si>
    <t xml:space="preserve">2025-10-02</t>
  </si>
  <si>
    <t xml:space="preserve">2025-10-06</t>
  </si>
  <si>
    <t xml:space="preserve">2025-10-02 00:00:00</t>
  </si>
  <si>
    <t xml:space="preserve">2025-10-14 14:24:00</t>
  </si>
  <si>
    <t xml:space="preserve">SHP0079</t>
  </si>
  <si>
    <t xml:space="preserve">2025-07-06</t>
  </si>
  <si>
    <t xml:space="preserve">2025-07-13</t>
  </si>
  <si>
    <t xml:space="preserve">2025-07-08 19:00:00</t>
  </si>
  <si>
    <t xml:space="preserve">2025-07-13 12:00:00</t>
  </si>
  <si>
    <t xml:space="preserve">SHP0080</t>
  </si>
  <si>
    <t xml:space="preserve">2025-06-08</t>
  </si>
  <si>
    <t xml:space="preserve">2025-06-02 09:00:00</t>
  </si>
  <si>
    <t xml:space="preserve">2025-06-11 04:48:00</t>
  </si>
  <si>
    <t xml:space="preserve">SHP0081</t>
  </si>
  <si>
    <t xml:space="preserve">2025-05-27 21:00:00</t>
  </si>
  <si>
    <t xml:space="preserve">2025-06-07 14:24:00</t>
  </si>
  <si>
    <t xml:space="preserve">SHP0082</t>
  </si>
  <si>
    <t xml:space="preserve">2025-04-13</t>
  </si>
  <si>
    <t xml:space="preserve">2025-04-14</t>
  </si>
  <si>
    <t xml:space="preserve">2025-04-14 08:00:00</t>
  </si>
  <si>
    <t xml:space="preserve">2025-04-23 02:24:00</t>
  </si>
  <si>
    <t xml:space="preserve">SHP0083</t>
  </si>
  <si>
    <t xml:space="preserve">2025-08-09</t>
  </si>
  <si>
    <t xml:space="preserve">2025-08-09 02:00:00</t>
  </si>
  <si>
    <t xml:space="preserve">2025-08-21 07:12:00</t>
  </si>
  <si>
    <t xml:space="preserve">SHP0084</t>
  </si>
  <si>
    <t xml:space="preserve">2025-01-25 00:00:00</t>
  </si>
  <si>
    <t xml:space="preserve">2025-01-30 19:12:00</t>
  </si>
  <si>
    <t xml:space="preserve">SHP0085</t>
  </si>
  <si>
    <t xml:space="preserve">2025-09-11</t>
  </si>
  <si>
    <t xml:space="preserve">2025-09-11 03:00:00</t>
  </si>
  <si>
    <t xml:space="preserve">2025-09-14 00:00:00</t>
  </si>
  <si>
    <t xml:space="preserve">SHP0086</t>
  </si>
  <si>
    <t xml:space="preserve">2025-05-05</t>
  </si>
  <si>
    <t xml:space="preserve">2025-05-09</t>
  </si>
  <si>
    <t xml:space="preserve">2025-05-09 01:00:00</t>
  </si>
  <si>
    <t xml:space="preserve">2025-05-18 14:24:00</t>
  </si>
  <si>
    <t xml:space="preserve">SHP0087</t>
  </si>
  <si>
    <t xml:space="preserve">2025-02-12 19:00:00</t>
  </si>
  <si>
    <t xml:space="preserve">2025-02-22 09:36:00</t>
  </si>
  <si>
    <t xml:space="preserve">SHP0088</t>
  </si>
  <si>
    <t xml:space="preserve">2025-10-22 00:00:00</t>
  </si>
  <si>
    <t xml:space="preserve">SHP0089</t>
  </si>
  <si>
    <t xml:space="preserve">2025-05-02</t>
  </si>
  <si>
    <t xml:space="preserve">2025-05-06</t>
  </si>
  <si>
    <t xml:space="preserve">2025-05-01 19:00:00</t>
  </si>
  <si>
    <t xml:space="preserve">2025-05-06 16:48:00</t>
  </si>
  <si>
    <t xml:space="preserve">SHP0090</t>
  </si>
  <si>
    <t xml:space="preserve">2025-05-18 19:00:00</t>
  </si>
  <si>
    <t xml:space="preserve">SHP0091</t>
  </si>
  <si>
    <t xml:space="preserve">2025-10-12 19:00:00</t>
  </si>
  <si>
    <t xml:space="preserve">2025-10-18 04:48:00</t>
  </si>
  <si>
    <t xml:space="preserve">SHP0092</t>
  </si>
  <si>
    <t xml:space="preserve">2025-03-08</t>
  </si>
  <si>
    <t xml:space="preserve">2025-03-13</t>
  </si>
  <si>
    <t xml:space="preserve">2025-03-09 09:00:00</t>
  </si>
  <si>
    <t xml:space="preserve">2025-03-17 21:36:00</t>
  </si>
  <si>
    <t xml:space="preserve">SHP0093</t>
  </si>
  <si>
    <t xml:space="preserve">2025-03-14</t>
  </si>
  <si>
    <t xml:space="preserve">2025-03-18</t>
  </si>
  <si>
    <t xml:space="preserve">2025-03-14 01:00:00</t>
  </si>
  <si>
    <t xml:space="preserve">2025-03-19 04:48:00</t>
  </si>
  <si>
    <t xml:space="preserve">SHP0094</t>
  </si>
  <si>
    <t xml:space="preserve">2025-03-04</t>
  </si>
  <si>
    <t xml:space="preserve">2025-02-26 20:00:00</t>
  </si>
  <si>
    <t xml:space="preserve">2025-03-03 00:00:00</t>
  </si>
  <si>
    <t xml:space="preserve">SHP0095</t>
  </si>
  <si>
    <t xml:space="preserve">2025-06-29</t>
  </si>
  <si>
    <t xml:space="preserve">2025-06-29 03:00:00</t>
  </si>
  <si>
    <t xml:space="preserve">2025-07-10 14:24:00</t>
  </si>
  <si>
    <t xml:space="preserve">SHP0096</t>
  </si>
  <si>
    <t xml:space="preserve">2025-09-18</t>
  </si>
  <si>
    <t xml:space="preserve">2025-09-20</t>
  </si>
  <si>
    <t xml:space="preserve">2025-09-22</t>
  </si>
  <si>
    <t xml:space="preserve">2025-09-19 20:00:00</t>
  </si>
  <si>
    <t xml:space="preserve">2025-09-22 00:00:00</t>
  </si>
  <si>
    <t xml:space="preserve">SHP0097</t>
  </si>
  <si>
    <t xml:space="preserve">2025-02-11</t>
  </si>
  <si>
    <t xml:space="preserve">2025-02-15</t>
  </si>
  <si>
    <t xml:space="preserve">2025-02-15 00:00:00</t>
  </si>
  <si>
    <t xml:space="preserve">SHP0098</t>
  </si>
  <si>
    <t xml:space="preserve">2025-07-15</t>
  </si>
  <si>
    <t xml:space="preserve">2025-07-19</t>
  </si>
  <si>
    <t xml:space="preserve">2025-07-19 04:00:00</t>
  </si>
  <si>
    <t xml:space="preserve">2025-07-30 12:00:00</t>
  </si>
  <si>
    <t xml:space="preserve">SHP0099</t>
  </si>
  <si>
    <t xml:space="preserve">2025-07-11</t>
  </si>
  <si>
    <t xml:space="preserve">2025-07-14</t>
  </si>
  <si>
    <t xml:space="preserve">2025-07-11 06:00:00</t>
  </si>
  <si>
    <t xml:space="preserve">2025-07-15 12:00:00</t>
  </si>
  <si>
    <t xml:space="preserve">SHP0100</t>
  </si>
  <si>
    <t xml:space="preserve">2025-02-07</t>
  </si>
  <si>
    <t xml:space="preserve">2025-01-31 23:00:00</t>
  </si>
  <si>
    <t xml:space="preserve">2025-02-11 09:36:00</t>
  </si>
  <si>
    <t xml:space="preserve">SHP0101</t>
  </si>
  <si>
    <t xml:space="preserve">2025-10-12</t>
  </si>
  <si>
    <t xml:space="preserve">2025-10-14</t>
  </si>
  <si>
    <t xml:space="preserve">2025-10-14 09:00:00</t>
  </si>
  <si>
    <t xml:space="preserve">2025-10-19 00:00:00</t>
  </si>
  <si>
    <t xml:space="preserve">SHP0102</t>
  </si>
  <si>
    <t xml:space="preserve">2025-04-11</t>
  </si>
  <si>
    <t xml:space="preserve">2025-04-15</t>
  </si>
  <si>
    <t xml:space="preserve">2025-04-15 03:00:00</t>
  </si>
  <si>
    <t xml:space="preserve">2025-04-22 14:24:00</t>
  </si>
  <si>
    <t xml:space="preserve">SHP0103</t>
  </si>
  <si>
    <t xml:space="preserve">2025-03-25</t>
  </si>
  <si>
    <t xml:space="preserve">2025-03-18 19:00:00</t>
  </si>
  <si>
    <t xml:space="preserve">2025-03-30 00:00:00</t>
  </si>
  <si>
    <t xml:space="preserve">SHP0104</t>
  </si>
  <si>
    <t xml:space="preserve">2025-09-19</t>
  </si>
  <si>
    <t xml:space="preserve">2025-09-21 19:00:00</t>
  </si>
  <si>
    <t xml:space="preserve">2025-09-28 04:48:00</t>
  </si>
  <si>
    <t xml:space="preserve">SHP0105</t>
  </si>
  <si>
    <t xml:space="preserve">2025-03-12</t>
  </si>
  <si>
    <t xml:space="preserve">2025-03-12 01:00:00</t>
  </si>
  <si>
    <t xml:space="preserve">2025-03-19 02:24:00</t>
  </si>
  <si>
    <t xml:space="preserve">SHP0106</t>
  </si>
  <si>
    <t xml:space="preserve">2025-08-08</t>
  </si>
  <si>
    <t xml:space="preserve">2025-08-09 05:00:00</t>
  </si>
  <si>
    <t xml:space="preserve">2025-08-14 07:12:00</t>
  </si>
  <si>
    <t xml:space="preserve">SHP0107</t>
  </si>
  <si>
    <t xml:space="preserve">2025-09-06 21:00:00</t>
  </si>
  <si>
    <t xml:space="preserve">2025-09-10 09:36:00</t>
  </si>
  <si>
    <t xml:space="preserve">SHP0108</t>
  </si>
  <si>
    <t xml:space="preserve">2025-06-15 07:00:00</t>
  </si>
  <si>
    <t xml:space="preserve">2025-06-27 04:48:00</t>
  </si>
  <si>
    <t xml:space="preserve">SHP0109</t>
  </si>
  <si>
    <t xml:space="preserve">2025-09-26</t>
  </si>
  <si>
    <t xml:space="preserve">2025-09-19 21:00:00</t>
  </si>
  <si>
    <t xml:space="preserve">2025-09-30 02:24:00</t>
  </si>
  <si>
    <t xml:space="preserve">SHP0110</t>
  </si>
  <si>
    <t xml:space="preserve">2025-05-27 09:00:00</t>
  </si>
  <si>
    <t xml:space="preserve">2025-06-03 02:24:00</t>
  </si>
  <si>
    <t xml:space="preserve">SHP0111</t>
  </si>
  <si>
    <t xml:space="preserve">2025-01-02</t>
  </si>
  <si>
    <t xml:space="preserve">2025-01-04</t>
  </si>
  <si>
    <t xml:space="preserve">2025-01-04 03:00:00</t>
  </si>
  <si>
    <t xml:space="preserve">2025-01-06 00:00:00</t>
  </si>
  <si>
    <t xml:space="preserve">SHP0112</t>
  </si>
  <si>
    <t xml:space="preserve">2025-02-11 07:00:00</t>
  </si>
  <si>
    <t xml:space="preserve">2025-02-16 16:48:00</t>
  </si>
  <si>
    <t xml:space="preserve">SHP0113</t>
  </si>
  <si>
    <t xml:space="preserve">2025-10-03</t>
  </si>
  <si>
    <t xml:space="preserve">2025-10-03 07:00:00</t>
  </si>
  <si>
    <t xml:space="preserve">2025-10-09 14:24:00</t>
  </si>
  <si>
    <t xml:space="preserve">SHP0114</t>
  </si>
  <si>
    <t xml:space="preserve">2025-03-09 02:00:00</t>
  </si>
  <si>
    <t xml:space="preserve">2025-03-13 00:00:00</t>
  </si>
  <si>
    <t xml:space="preserve">SHP0115</t>
  </si>
  <si>
    <t xml:space="preserve">2025-10-26 19:00:00</t>
  </si>
  <si>
    <t xml:space="preserve">2025-10-29 00:00:00</t>
  </si>
  <si>
    <t xml:space="preserve">SHP0116</t>
  </si>
  <si>
    <t xml:space="preserve">2025-06-30 05:00:00</t>
  </si>
  <si>
    <t xml:space="preserve">2025-07-14 12:00:00</t>
  </si>
  <si>
    <t xml:space="preserve">SHP0117</t>
  </si>
  <si>
    <t xml:space="preserve">2025-09-20 02:00:00</t>
  </si>
  <si>
    <t xml:space="preserve">2025-09-21 09:36:00</t>
  </si>
  <si>
    <t xml:space="preserve">SHP0118</t>
  </si>
  <si>
    <t xml:space="preserve">2025-10-16 23:00:00</t>
  </si>
  <si>
    <t xml:space="preserve">SHP0119</t>
  </si>
  <si>
    <t xml:space="preserve">2025-06-28</t>
  </si>
  <si>
    <t xml:space="preserve">2025-06-24 02:00:00</t>
  </si>
  <si>
    <t xml:space="preserve">2025-07-01 04:48:00</t>
  </si>
  <si>
    <t xml:space="preserve">SHP0120</t>
  </si>
  <si>
    <t xml:space="preserve">2025-09-11 22:00:00</t>
  </si>
  <si>
    <t xml:space="preserve">2025-09-18 21:36:00</t>
  </si>
  <si>
    <t xml:space="preserve">SHP0121</t>
  </si>
  <si>
    <t xml:space="preserve">2025-01-13 01:00:00</t>
  </si>
  <si>
    <t xml:space="preserve">2025-01-16 09:36:00</t>
  </si>
  <si>
    <t xml:space="preserve">SHP0122</t>
  </si>
  <si>
    <t xml:space="preserve">2025-03-28</t>
  </si>
  <si>
    <t xml:space="preserve">2025-04-02</t>
  </si>
  <si>
    <t xml:space="preserve">2025-03-31 03:00:00</t>
  </si>
  <si>
    <t xml:space="preserve">2025-04-05 21:36:00</t>
  </si>
  <si>
    <t xml:space="preserve">SHP0123</t>
  </si>
  <si>
    <t xml:space="preserve">2025-02-02</t>
  </si>
  <si>
    <t xml:space="preserve">2025-02-06 06:00:00</t>
  </si>
  <si>
    <t xml:space="preserve">2025-02-14 14:24:00</t>
  </si>
  <si>
    <t xml:space="preserve">SHP0124</t>
  </si>
  <si>
    <t xml:space="preserve">2025-01-21</t>
  </si>
  <si>
    <t xml:space="preserve">2025-01-23 06:00:00</t>
  </si>
  <si>
    <t xml:space="preserve">2025-01-26 07:12:00</t>
  </si>
  <si>
    <t xml:space="preserve">SHP0125</t>
  </si>
  <si>
    <t xml:space="preserve">2025-09-22 22:00:00</t>
  </si>
  <si>
    <t xml:space="preserve">2025-10-07 02:24:00</t>
  </si>
  <si>
    <t xml:space="preserve">SHP0126</t>
  </si>
  <si>
    <t xml:space="preserve">2025-08-20</t>
  </si>
  <si>
    <t xml:space="preserve">2025-08-26</t>
  </si>
  <si>
    <t xml:space="preserve">2025-08-22 20:00:00</t>
  </si>
  <si>
    <t xml:space="preserve">2025-08-25 19:12:00</t>
  </si>
  <si>
    <t xml:space="preserve">SHP0127</t>
  </si>
  <si>
    <t xml:space="preserve">2025-08-29 22:00:00</t>
  </si>
  <si>
    <t xml:space="preserve">2025-09-07 09:36:00</t>
  </si>
  <si>
    <t xml:space="preserve">SHP0128</t>
  </si>
  <si>
    <t xml:space="preserve">2025-10-12 22:00:00</t>
  </si>
  <si>
    <t xml:space="preserve">2025-10-20 16:48:00</t>
  </si>
  <si>
    <t xml:space="preserve">SHP0129</t>
  </si>
  <si>
    <t xml:space="preserve">2025-03-11 09:00:00</t>
  </si>
  <si>
    <t xml:space="preserve">2025-03-12 00:00:00</t>
  </si>
  <si>
    <t xml:space="preserve">SHP0130</t>
  </si>
  <si>
    <t xml:space="preserve">2025-02-21</t>
  </si>
  <si>
    <t xml:space="preserve">2025-02-17 22:00:00</t>
  </si>
  <si>
    <t xml:space="preserve">2025-02-27 07:12:00</t>
  </si>
  <si>
    <t xml:space="preserve">SHP0131</t>
  </si>
  <si>
    <t xml:space="preserve">2025-02-25</t>
  </si>
  <si>
    <t xml:space="preserve">2025-02-27 03:00:00</t>
  </si>
  <si>
    <t xml:space="preserve">2025-02-28 00:00:00</t>
  </si>
  <si>
    <t xml:space="preserve">SHP0132</t>
  </si>
  <si>
    <t xml:space="preserve">2025-08-28</t>
  </si>
  <si>
    <t xml:space="preserve">2025-08-29 19:00:00</t>
  </si>
  <si>
    <t xml:space="preserve">2025-09-08 19:12:00</t>
  </si>
  <si>
    <t xml:space="preserve">SHP0133</t>
  </si>
  <si>
    <t xml:space="preserve">2025-03-29</t>
  </si>
  <si>
    <t xml:space="preserve">2025-04-03</t>
  </si>
  <si>
    <t xml:space="preserve">2025-04-01 03:00:00</t>
  </si>
  <si>
    <t xml:space="preserve">2025-04-07 19:12:00</t>
  </si>
  <si>
    <t xml:space="preserve">SHP0134</t>
  </si>
  <si>
    <t xml:space="preserve">2025-07-30</t>
  </si>
  <si>
    <t xml:space="preserve">2025-08-02</t>
  </si>
  <si>
    <t xml:space="preserve">2025-08-05</t>
  </si>
  <si>
    <t xml:space="preserve">2025-08-02 06:00:00</t>
  </si>
  <si>
    <t xml:space="preserve">2025-08-09 12:00:00</t>
  </si>
  <si>
    <t xml:space="preserve">SHP0135</t>
  </si>
  <si>
    <t xml:space="preserve">2025-04-28 00:00:00</t>
  </si>
  <si>
    <t xml:space="preserve">SHP0136</t>
  </si>
  <si>
    <t xml:space="preserve">2025-06-30 20:00:00</t>
  </si>
  <si>
    <t xml:space="preserve">2025-07-06 21:36:00</t>
  </si>
  <si>
    <t xml:space="preserve">SHP0137</t>
  </si>
  <si>
    <t xml:space="preserve">2025-05-29 09:00:00</t>
  </si>
  <si>
    <t xml:space="preserve">2025-06-09 02:24:00</t>
  </si>
  <si>
    <t xml:space="preserve">SHP0138</t>
  </si>
  <si>
    <t xml:space="preserve">2025-03-16</t>
  </si>
  <si>
    <t xml:space="preserve">2025-03-23</t>
  </si>
  <si>
    <t xml:space="preserve">2025-03-16 21:00:00</t>
  </si>
  <si>
    <t xml:space="preserve">2025-03-26 09:36:00</t>
  </si>
  <si>
    <t xml:space="preserve">SHP0139</t>
  </si>
  <si>
    <t xml:space="preserve">2025-07-22</t>
  </si>
  <si>
    <t xml:space="preserve">2025-07-19 05:00:00</t>
  </si>
  <si>
    <t xml:space="preserve">2025-07-25 12:00:00</t>
  </si>
  <si>
    <t xml:space="preserve">SHP0140</t>
  </si>
  <si>
    <t xml:space="preserve">2025-03-21</t>
  </si>
  <si>
    <t xml:space="preserve">2025-03-21 09:00:00</t>
  </si>
  <si>
    <t xml:space="preserve">SHP0141</t>
  </si>
  <si>
    <t xml:space="preserve">2025-06-03 23:00:00</t>
  </si>
  <si>
    <t xml:space="preserve">2025-06-07 00:00:00</t>
  </si>
  <si>
    <t xml:space="preserve">SHP0142</t>
  </si>
  <si>
    <t xml:space="preserve">2025-11-02</t>
  </si>
  <si>
    <t xml:space="preserve">2025-10-27 06:00:00</t>
  </si>
  <si>
    <t xml:space="preserve">2025-11-10 00:00:00</t>
  </si>
  <si>
    <t xml:space="preserve">SHP0143</t>
  </si>
  <si>
    <t xml:space="preserve">2025-05-05 07:00:00</t>
  </si>
  <si>
    <t xml:space="preserve">SHP0144</t>
  </si>
  <si>
    <t xml:space="preserve">2025-07-18</t>
  </si>
  <si>
    <t xml:space="preserve">2025-07-21</t>
  </si>
  <si>
    <t xml:space="preserve">2025-07-22 02:24:00</t>
  </si>
  <si>
    <t xml:space="preserve">SHP0145</t>
  </si>
  <si>
    <t xml:space="preserve">2025-07-01 04:00:00</t>
  </si>
  <si>
    <t xml:space="preserve">2025-07-06 12:00:00</t>
  </si>
  <si>
    <t xml:space="preserve">SHP0146</t>
  </si>
  <si>
    <t xml:space="preserve">2025-10-19</t>
  </si>
  <si>
    <t xml:space="preserve">2025-10-14 06:00:00</t>
  </si>
  <si>
    <t xml:space="preserve">SHP0147</t>
  </si>
  <si>
    <t xml:space="preserve">2025-09-02</t>
  </si>
  <si>
    <t xml:space="preserve">2025-09-02 08:00:00</t>
  </si>
  <si>
    <t xml:space="preserve">2025-09-07 12:00:00</t>
  </si>
  <si>
    <t xml:space="preserve">SHP0148</t>
  </si>
  <si>
    <t xml:space="preserve">2025-05-20</t>
  </si>
  <si>
    <t xml:space="preserve">2025-05-19 19:00:00</t>
  </si>
  <si>
    <t xml:space="preserve">2025-05-28 02:24:00</t>
  </si>
  <si>
    <t xml:space="preserve">SHP0149</t>
  </si>
  <si>
    <t xml:space="preserve">2025-01-06</t>
  </si>
  <si>
    <t xml:space="preserve">2025-01-06 02:00:00</t>
  </si>
  <si>
    <t xml:space="preserve">2025-01-11 04:48:00</t>
  </si>
  <si>
    <t xml:space="preserve">SHP0150</t>
  </si>
  <si>
    <t xml:space="preserve">2025-04-09</t>
  </si>
  <si>
    <t xml:space="preserve">2025-04-06 06:00:00</t>
  </si>
  <si>
    <t xml:space="preserve">2025-04-12 04:48:00</t>
  </si>
  <si>
    <t xml:space="preserve">SHP0151</t>
  </si>
  <si>
    <t xml:space="preserve">2025-09-18 20:00:00</t>
  </si>
  <si>
    <t xml:space="preserve">2025-09-23 16:48:00</t>
  </si>
  <si>
    <t xml:space="preserve">SHP0152</t>
  </si>
  <si>
    <t xml:space="preserve">2025-07-26</t>
  </si>
  <si>
    <t xml:space="preserve">2025-07-29</t>
  </si>
  <si>
    <t xml:space="preserve">2025-07-29 09:00:00</t>
  </si>
  <si>
    <t xml:space="preserve">2025-08-03 21:36:00</t>
  </si>
  <si>
    <t xml:space="preserve">SHP0153</t>
  </si>
  <si>
    <t xml:space="preserve">2025-10-28 09:00:00</t>
  </si>
  <si>
    <t xml:space="preserve">2025-10-31 00:00:00</t>
  </si>
  <si>
    <t xml:space="preserve">SHP0154</t>
  </si>
  <si>
    <t xml:space="preserve">2025-09-04 01:00:00</t>
  </si>
  <si>
    <t xml:space="preserve">2025-09-08 14:24:00</t>
  </si>
  <si>
    <t xml:space="preserve">SHP0155</t>
  </si>
  <si>
    <t xml:space="preserve">2025-04-08</t>
  </si>
  <si>
    <t xml:space="preserve">2025-04-10</t>
  </si>
  <si>
    <t xml:space="preserve">2025-04-16</t>
  </si>
  <si>
    <t xml:space="preserve">2025-04-09 19:00:00</t>
  </si>
  <si>
    <t xml:space="preserve">2025-04-20 14:24:00</t>
  </si>
  <si>
    <t xml:space="preserve">SHP0156</t>
  </si>
  <si>
    <t xml:space="preserve">2025-07-20</t>
  </si>
  <si>
    <t xml:space="preserve">2025-07-23</t>
  </si>
  <si>
    <t xml:space="preserve">2025-07-22 21:00:00</t>
  </si>
  <si>
    <t xml:space="preserve">2025-07-24 00:00:00</t>
  </si>
  <si>
    <t xml:space="preserve">SHP0157</t>
  </si>
  <si>
    <t xml:space="preserve">2025-02-03 05:00:00</t>
  </si>
  <si>
    <t xml:space="preserve">2025-02-10 14:24:00</t>
  </si>
  <si>
    <t xml:space="preserve">SHP0158</t>
  </si>
  <si>
    <t xml:space="preserve">2025-02-28</t>
  </si>
  <si>
    <t xml:space="preserve">2025-03-01 06:00:00</t>
  </si>
  <si>
    <t xml:space="preserve">2025-03-06 00:00:00</t>
  </si>
  <si>
    <t xml:space="preserve">SHP0159</t>
  </si>
  <si>
    <t xml:space="preserve">2025-03-01 05:00:00</t>
  </si>
  <si>
    <t xml:space="preserve">2025-03-05 09:36:00</t>
  </si>
  <si>
    <t xml:space="preserve">SHP0160</t>
  </si>
  <si>
    <t xml:space="preserve">2025-05-04 03:00:00</t>
  </si>
  <si>
    <t xml:space="preserve">2025-05-06 00:00:00</t>
  </si>
  <si>
    <t xml:space="preserve">SHP0161</t>
  </si>
  <si>
    <t xml:space="preserve">2025-04-02 19:00:00</t>
  </si>
  <si>
    <t xml:space="preserve">2025-04-15 04:48:00</t>
  </si>
  <si>
    <t xml:space="preserve">SHP0162</t>
  </si>
  <si>
    <t xml:space="preserve">2025-06-07</t>
  </si>
  <si>
    <t xml:space="preserve">2025-06-10</t>
  </si>
  <si>
    <t xml:space="preserve">2025-06-07 03:00:00</t>
  </si>
  <si>
    <t xml:space="preserve">2025-06-11 19:12:00</t>
  </si>
  <si>
    <t xml:space="preserve">SHP0163</t>
  </si>
  <si>
    <t xml:space="preserve">2025-06-18</t>
  </si>
  <si>
    <t xml:space="preserve">2025-06-18 06:00:00</t>
  </si>
  <si>
    <t xml:space="preserve">2025-06-27 09:36:00</t>
  </si>
  <si>
    <t xml:space="preserve">SHP0164</t>
  </si>
  <si>
    <t xml:space="preserve">2025-02-15 20:00:00</t>
  </si>
  <si>
    <t xml:space="preserve">2025-02-21 07:12:00</t>
  </si>
  <si>
    <t xml:space="preserve">SHP0165</t>
  </si>
  <si>
    <t xml:space="preserve">2025-03-03</t>
  </si>
  <si>
    <t xml:space="preserve">2025-03-06 08:00:00</t>
  </si>
  <si>
    <t xml:space="preserve">2025-03-14 09:36:00</t>
  </si>
  <si>
    <t xml:space="preserve">SHP0166</t>
  </si>
  <si>
    <t xml:space="preserve">2025-05-17</t>
  </si>
  <si>
    <t xml:space="preserve">2025-05-21</t>
  </si>
  <si>
    <t xml:space="preserve">2025-05-17 01:00:00</t>
  </si>
  <si>
    <t xml:space="preserve">2025-05-20 00:00:00</t>
  </si>
  <si>
    <t xml:space="preserve">SHP0167</t>
  </si>
  <si>
    <t xml:space="preserve">2025-08-22</t>
  </si>
  <si>
    <t xml:space="preserve">2025-08-22 03:00:00</t>
  </si>
  <si>
    <t xml:space="preserve">2025-08-27 00:00:00</t>
  </si>
  <si>
    <t xml:space="preserve">SHP0168</t>
  </si>
  <si>
    <t xml:space="preserve">2025-07-13 21:00:00</t>
  </si>
  <si>
    <t xml:space="preserve">2025-07-16 21:36:00</t>
  </si>
  <si>
    <t xml:space="preserve">SHP0169</t>
  </si>
  <si>
    <t xml:space="preserve">2025-07-21 00:00:00</t>
  </si>
  <si>
    <t xml:space="preserve">2025-07-23 00:00:00</t>
  </si>
  <si>
    <t xml:space="preserve">SHP0170</t>
  </si>
  <si>
    <t xml:space="preserve">2025-06-13</t>
  </si>
  <si>
    <t xml:space="preserve">2025-06-11 01:00:00</t>
  </si>
  <si>
    <t xml:space="preserve">2025-06-13 02:24:00</t>
  </si>
  <si>
    <t xml:space="preserve">SHP0171</t>
  </si>
  <si>
    <t xml:space="preserve">2025-03-20</t>
  </si>
  <si>
    <t xml:space="preserve">2025-03-13 19:00:00</t>
  </si>
  <si>
    <t xml:space="preserve">2025-03-24 14:24:00</t>
  </si>
  <si>
    <t xml:space="preserve">SHP0172</t>
  </si>
  <si>
    <t xml:space="preserve">2025-02-11 20:00:00</t>
  </si>
  <si>
    <t xml:space="preserve">SHP0173</t>
  </si>
  <si>
    <t xml:space="preserve">2025-04-15 01:00:00</t>
  </si>
  <si>
    <t xml:space="preserve">2025-04-16 12:00:00</t>
  </si>
  <si>
    <t xml:space="preserve">SHP0174</t>
  </si>
  <si>
    <t xml:space="preserve">2025-06-19</t>
  </si>
  <si>
    <t xml:space="preserve">2025-06-26</t>
  </si>
  <si>
    <t xml:space="preserve">2025-06-21 09:00:00</t>
  </si>
  <si>
    <t xml:space="preserve">2025-06-25 00:00:00</t>
  </si>
  <si>
    <t xml:space="preserve">SHP0175</t>
  </si>
  <si>
    <t xml:space="preserve">2025-08-11</t>
  </si>
  <si>
    <t xml:space="preserve">2025-08-05 21:00:00</t>
  </si>
  <si>
    <t xml:space="preserve">2025-08-11 09:36:00</t>
  </si>
  <si>
    <t xml:space="preserve">SHP0176</t>
  </si>
  <si>
    <t xml:space="preserve">2025-09-04 22:00:00</t>
  </si>
  <si>
    <t xml:space="preserve">2025-09-11 21:36:00</t>
  </si>
  <si>
    <t xml:space="preserve">SHP0177</t>
  </si>
  <si>
    <t xml:space="preserve">2025-10-16 20:00:00</t>
  </si>
  <si>
    <t xml:space="preserve">2025-10-23 04:48:00</t>
  </si>
  <si>
    <t xml:space="preserve">SHP0178</t>
  </si>
  <si>
    <t xml:space="preserve">2025-07-02</t>
  </si>
  <si>
    <t xml:space="preserve">2025-07-07</t>
  </si>
  <si>
    <t xml:space="preserve">2025-07-01 20:00:00</t>
  </si>
  <si>
    <t xml:space="preserve">2025-07-08 09:36:00</t>
  </si>
  <si>
    <t xml:space="preserve">SHP0179</t>
  </si>
  <si>
    <t xml:space="preserve">2025-04-21 20:00:00</t>
  </si>
  <si>
    <t xml:space="preserve">2025-04-29 09:36:00</t>
  </si>
  <si>
    <t xml:space="preserve">SHP0180</t>
  </si>
  <si>
    <t xml:space="preserve">2025-02-22</t>
  </si>
  <si>
    <t xml:space="preserve">2025-02-22 08:00:00</t>
  </si>
  <si>
    <t xml:space="preserve">2025-03-05 12:00:00</t>
  </si>
  <si>
    <t xml:space="preserve">SHP0181</t>
  </si>
  <si>
    <t xml:space="preserve">2025-03-11 06:00:00</t>
  </si>
  <si>
    <t xml:space="preserve">2025-03-20 19:12:00</t>
  </si>
  <si>
    <t xml:space="preserve">SHP0182</t>
  </si>
  <si>
    <t xml:space="preserve">2025-04-26</t>
  </si>
  <si>
    <t xml:space="preserve">2025-04-20 07:00:00</t>
  </si>
  <si>
    <t xml:space="preserve">2025-04-25 00:00:00</t>
  </si>
  <si>
    <t xml:space="preserve">SHP0183</t>
  </si>
  <si>
    <t xml:space="preserve">2025-03-23 07:00:00</t>
  </si>
  <si>
    <t xml:space="preserve">2025-03-29 09:36:00</t>
  </si>
  <si>
    <t xml:space="preserve">SHP0184</t>
  </si>
  <si>
    <t xml:space="preserve">2025-05-28 05:00:00</t>
  </si>
  <si>
    <t xml:space="preserve">SHP0185</t>
  </si>
  <si>
    <t xml:space="preserve">2025-04-11 00:00:00</t>
  </si>
  <si>
    <t xml:space="preserve">2025-04-14 00:00:00</t>
  </si>
  <si>
    <t xml:space="preserve">SHP0186</t>
  </si>
  <si>
    <t xml:space="preserve">2025-10-10</t>
  </si>
  <si>
    <t xml:space="preserve">2025-10-13 19:00:00</t>
  </si>
  <si>
    <t xml:space="preserve">SHP0187</t>
  </si>
  <si>
    <t xml:space="preserve">2025-07-21 02:00:00</t>
  </si>
  <si>
    <t xml:space="preserve">2025-07-23 02:24:00</t>
  </si>
  <si>
    <t xml:space="preserve">SHP0188</t>
  </si>
  <si>
    <t xml:space="preserve">2025-01-15 07:00:00</t>
  </si>
  <si>
    <t xml:space="preserve">2025-01-19 12:00:00</t>
  </si>
  <si>
    <t xml:space="preserve">SHP0189</t>
  </si>
  <si>
    <t xml:space="preserve">2025-05-23 06:00:00</t>
  </si>
  <si>
    <t xml:space="preserve">SHP0190</t>
  </si>
  <si>
    <t xml:space="preserve">2025-05-08 19:00:00</t>
  </si>
  <si>
    <t xml:space="preserve">2025-05-19 12:00:00</t>
  </si>
  <si>
    <t xml:space="preserve">SHP0191</t>
  </si>
  <si>
    <t xml:space="preserve">2025-02-09 08:00:00</t>
  </si>
  <si>
    <t xml:space="preserve">2025-02-14 09:36:00</t>
  </si>
  <si>
    <t xml:space="preserve">SHP0192</t>
  </si>
  <si>
    <t xml:space="preserve">2025-05-29 20:00:00</t>
  </si>
  <si>
    <t xml:space="preserve">2025-06-12 12:00:00</t>
  </si>
  <si>
    <t xml:space="preserve">SHP0193</t>
  </si>
  <si>
    <t xml:space="preserve">2025-05-10</t>
  </si>
  <si>
    <t xml:space="preserve">2025-05-11 22:00:00</t>
  </si>
  <si>
    <t xml:space="preserve">2025-05-14 12:00:00</t>
  </si>
  <si>
    <t xml:space="preserve">SHP0194</t>
  </si>
  <si>
    <t xml:space="preserve">2025-09-06 06:00:00</t>
  </si>
  <si>
    <t xml:space="preserve">2025-09-07 16:48:00</t>
  </si>
  <si>
    <t xml:space="preserve">SHP0195</t>
  </si>
  <si>
    <t xml:space="preserve">2025-08-07</t>
  </si>
  <si>
    <t xml:space="preserve">2025-08-16</t>
  </si>
  <si>
    <t xml:space="preserve">2025-08-11 00:00:00</t>
  </si>
  <si>
    <t xml:space="preserve">2025-08-17 14:24:00</t>
  </si>
  <si>
    <t xml:space="preserve">SHP0196</t>
  </si>
  <si>
    <t xml:space="preserve">2025-08-10</t>
  </si>
  <si>
    <t xml:space="preserve">2025-08-10 01:00:00</t>
  </si>
  <si>
    <t xml:space="preserve">2025-08-14 21:36:00</t>
  </si>
  <si>
    <t xml:space="preserve">SHP0197</t>
  </si>
  <si>
    <t xml:space="preserve">2025-04-03 03:00:00</t>
  </si>
  <si>
    <t xml:space="preserve">2025-04-11 12:00:00</t>
  </si>
  <si>
    <t xml:space="preserve">SHP0198</t>
  </si>
  <si>
    <t xml:space="preserve">2025-08-10 04:00:00</t>
  </si>
  <si>
    <t xml:space="preserve">2025-08-13 09:36:00</t>
  </si>
  <si>
    <t xml:space="preserve">SHP0199</t>
  </si>
  <si>
    <t xml:space="preserve">2025-07-28 04:00:00</t>
  </si>
  <si>
    <t xml:space="preserve">2025-07-31 14:24:00</t>
  </si>
  <si>
    <t xml:space="preserve">SHP0200</t>
  </si>
  <si>
    <t xml:space="preserve">2025-07-27</t>
  </si>
  <si>
    <t xml:space="preserve">2025-07-26 23:00:00</t>
  </si>
  <si>
    <t xml:space="preserve">2025-08-02 00:00:00</t>
  </si>
  <si>
    <t xml:space="preserve">SHP0201</t>
  </si>
  <si>
    <t xml:space="preserve">2025-02-14</t>
  </si>
  <si>
    <t xml:space="preserve">2025-02-13 19:00:00</t>
  </si>
  <si>
    <t xml:space="preserve">2025-02-20 19:12:00</t>
  </si>
  <si>
    <t xml:space="preserve">SHP0202</t>
  </si>
  <si>
    <t xml:space="preserve">2025-06-21 08:00:00</t>
  </si>
  <si>
    <t xml:space="preserve">2025-06-23 00:00:00</t>
  </si>
  <si>
    <t xml:space="preserve">SHP0203</t>
  </si>
  <si>
    <t xml:space="preserve">2025-01-19 21:00:00</t>
  </si>
  <si>
    <t xml:space="preserve">2025-01-27 19:12:00</t>
  </si>
  <si>
    <t xml:space="preserve">SHP0204</t>
  </si>
  <si>
    <t xml:space="preserve">2025-03-19 00:00:00</t>
  </si>
  <si>
    <t xml:space="preserve">SHP0205</t>
  </si>
  <si>
    <t xml:space="preserve">2025-08-25</t>
  </si>
  <si>
    <t xml:space="preserve">2025-08-24 23:00:00</t>
  </si>
  <si>
    <t xml:space="preserve">2025-09-04 14:24:00</t>
  </si>
  <si>
    <t xml:space="preserve">SHP0206</t>
  </si>
  <si>
    <t xml:space="preserve">2025-09-09 05:00:00</t>
  </si>
  <si>
    <t xml:space="preserve">2025-09-10 00:00:00</t>
  </si>
  <si>
    <t xml:space="preserve">SHP0207</t>
  </si>
  <si>
    <t xml:space="preserve">2025-09-13</t>
  </si>
  <si>
    <t xml:space="preserve">2025-09-10 22:00:00</t>
  </si>
  <si>
    <t xml:space="preserve">2025-09-17 02:24:00</t>
  </si>
  <si>
    <t xml:space="preserve">SHP0208</t>
  </si>
  <si>
    <t xml:space="preserve">2025-08-11 06:00:00</t>
  </si>
  <si>
    <t xml:space="preserve">2025-08-17 16:48:00</t>
  </si>
  <si>
    <t xml:space="preserve">SHP0209</t>
  </si>
  <si>
    <t xml:space="preserve">2025-01-20 08:00:00</t>
  </si>
  <si>
    <t xml:space="preserve">2025-01-24 02:24:00</t>
  </si>
  <si>
    <t xml:space="preserve">SHP0210</t>
  </si>
  <si>
    <t xml:space="preserve">2025-01-22</t>
  </si>
  <si>
    <t xml:space="preserve">2025-01-26</t>
  </si>
  <si>
    <t xml:space="preserve">2025-01-21 22:00:00</t>
  </si>
  <si>
    <t xml:space="preserve">2025-01-25 02:24:00</t>
  </si>
  <si>
    <t xml:space="preserve">SHP0211</t>
  </si>
  <si>
    <t xml:space="preserve">2025-01-27 01:00:00</t>
  </si>
  <si>
    <t xml:space="preserve">2025-02-02 04:48:00</t>
  </si>
  <si>
    <t xml:space="preserve">SHP0212</t>
  </si>
  <si>
    <t xml:space="preserve">2025-10-21</t>
  </si>
  <si>
    <t xml:space="preserve">2025-10-21 23:00:00</t>
  </si>
  <si>
    <t xml:space="preserve">SHP0213</t>
  </si>
  <si>
    <t xml:space="preserve">2025-02-10</t>
  </si>
  <si>
    <t xml:space="preserve">2025-02-05 00:00:00</t>
  </si>
  <si>
    <t xml:space="preserve">2025-02-09 12:00:00</t>
  </si>
  <si>
    <t xml:space="preserve">SHP0214</t>
  </si>
  <si>
    <t xml:space="preserve">2025-01-23 20:00:00</t>
  </si>
  <si>
    <t xml:space="preserve">2025-01-27 12:00:00</t>
  </si>
  <si>
    <t xml:space="preserve">SHP0215</t>
  </si>
  <si>
    <t xml:space="preserve">2025-09-15 01:00:00</t>
  </si>
  <si>
    <t xml:space="preserve">2025-09-19 14:24:00</t>
  </si>
  <si>
    <t xml:space="preserve">SHP0216</t>
  </si>
  <si>
    <t xml:space="preserve">2025-01-31 09:36:00</t>
  </si>
  <si>
    <t xml:space="preserve">SHP0217</t>
  </si>
  <si>
    <t xml:space="preserve">2025-07-18 06:00:00</t>
  </si>
  <si>
    <t xml:space="preserve">2025-07-24 07:12:00</t>
  </si>
  <si>
    <t xml:space="preserve">SHP0218</t>
  </si>
  <si>
    <t xml:space="preserve">2025-06-13 01:00:00</t>
  </si>
  <si>
    <t xml:space="preserve">2025-06-21 21:36:00</t>
  </si>
  <si>
    <t xml:space="preserve">SHP0219</t>
  </si>
  <si>
    <t xml:space="preserve">2025-06-08 02:00:00</t>
  </si>
  <si>
    <t xml:space="preserve">2025-06-12 14:24:00</t>
  </si>
  <si>
    <t xml:space="preserve">SHP0220</t>
  </si>
  <si>
    <t xml:space="preserve">2025-08-01 07:00:00</t>
  </si>
  <si>
    <t xml:space="preserve">SHP0221</t>
  </si>
  <si>
    <t xml:space="preserve">2025-03-01 08:00:00</t>
  </si>
  <si>
    <t xml:space="preserve">2025-03-06 07:12:00</t>
  </si>
  <si>
    <t xml:space="preserve">SHP0222</t>
  </si>
  <si>
    <t xml:space="preserve">2025-10-19 23:00:00</t>
  </si>
  <si>
    <t xml:space="preserve">2025-10-30 19:12:00</t>
  </si>
  <si>
    <t xml:space="preserve">SHP0223</t>
  </si>
  <si>
    <t xml:space="preserve">2025-02-10 20:00:00</t>
  </si>
  <si>
    <t xml:space="preserve">SHP0224</t>
  </si>
  <si>
    <t xml:space="preserve">2025-10-04</t>
  </si>
  <si>
    <t xml:space="preserve">2025-10-09</t>
  </si>
  <si>
    <t xml:space="preserve">2025-10-04 06:00:00</t>
  </si>
  <si>
    <t xml:space="preserve">2025-10-11 16:48:00</t>
  </si>
  <si>
    <t xml:space="preserve">SHP0225</t>
  </si>
  <si>
    <t xml:space="preserve">2025-09-03</t>
  </si>
  <si>
    <t xml:space="preserve">2025-09-07 04:00:00</t>
  </si>
  <si>
    <t xml:space="preserve">2025-09-10 14:24:00</t>
  </si>
  <si>
    <t xml:space="preserve">SHP0226</t>
  </si>
  <si>
    <t xml:space="preserve">2025-08-18</t>
  </si>
  <si>
    <t xml:space="preserve">2025-08-15 23:00:00</t>
  </si>
  <si>
    <t xml:space="preserve">2025-08-19 02:24:00</t>
  </si>
  <si>
    <t xml:space="preserve">SHP0227</t>
  </si>
  <si>
    <t xml:space="preserve">2025-02-02 22:00:00</t>
  </si>
  <si>
    <t xml:space="preserve">2025-02-07 04:48:00</t>
  </si>
  <si>
    <t xml:space="preserve">SHP0228</t>
  </si>
  <si>
    <t xml:space="preserve">2025-06-04 21:00:00</t>
  </si>
  <si>
    <t xml:space="preserve">2025-06-14 12:00:00</t>
  </si>
  <si>
    <t xml:space="preserve">SHP0229</t>
  </si>
  <si>
    <t xml:space="preserve">2025-09-01</t>
  </si>
  <si>
    <t xml:space="preserve">2025-09-01 05:00:00</t>
  </si>
  <si>
    <t xml:space="preserve">SHP0230</t>
  </si>
  <si>
    <t xml:space="preserve">2025-06-14 22:00:00</t>
  </si>
  <si>
    <t xml:space="preserve">2025-06-22 00:00:00</t>
  </si>
  <si>
    <t xml:space="preserve">SHP0231</t>
  </si>
  <si>
    <t xml:space="preserve">2025-08-04 22:00:00</t>
  </si>
  <si>
    <t xml:space="preserve">2025-08-13 04:48:00</t>
  </si>
  <si>
    <t xml:space="preserve">SHP0232</t>
  </si>
  <si>
    <t xml:space="preserve">2025-07-10</t>
  </si>
  <si>
    <t xml:space="preserve">2025-07-12 07:00:00</t>
  </si>
  <si>
    <t xml:space="preserve">2025-07-21 19:12:00</t>
  </si>
  <si>
    <t xml:space="preserve">SHP0233</t>
  </si>
  <si>
    <t xml:space="preserve">2025-09-05 22:00:00</t>
  </si>
  <si>
    <t xml:space="preserve">2025-09-13 04:48:00</t>
  </si>
  <si>
    <t xml:space="preserve">SHP0234</t>
  </si>
  <si>
    <t xml:space="preserve">2025-10-24</t>
  </si>
  <si>
    <t xml:space="preserve">2025-10-27 08:00:00</t>
  </si>
  <si>
    <t xml:space="preserve">2025-11-01 09:36:00</t>
  </si>
  <si>
    <t xml:space="preserve">SHP0235</t>
  </si>
  <si>
    <t xml:space="preserve">2025-06-06 23:00:00</t>
  </si>
  <si>
    <t xml:space="preserve">2025-06-13 19:12:00</t>
  </si>
  <si>
    <t xml:space="preserve">SHP0236</t>
  </si>
  <si>
    <t xml:space="preserve">2025-06-24 00:00:00</t>
  </si>
  <si>
    <t xml:space="preserve">2025-06-28 00:00:00</t>
  </si>
  <si>
    <t xml:space="preserve">SHP0237</t>
  </si>
  <si>
    <t xml:space="preserve">2025-07-13 16:48:00</t>
  </si>
  <si>
    <t xml:space="preserve">SHP0238</t>
  </si>
  <si>
    <t xml:space="preserve">2025-10-15 19:00:00</t>
  </si>
  <si>
    <t xml:space="preserve">2025-10-23 14:24:00</t>
  </si>
  <si>
    <t xml:space="preserve">SHP0239</t>
  </si>
  <si>
    <t xml:space="preserve">2025-07-05 02:00:00</t>
  </si>
  <si>
    <t xml:space="preserve">2025-07-10 07:12:00</t>
  </si>
  <si>
    <t xml:space="preserve">SHP0240</t>
  </si>
  <si>
    <t xml:space="preserve">2025-09-14 22:00:00</t>
  </si>
  <si>
    <t xml:space="preserve">2025-09-18 00:00:00</t>
  </si>
  <si>
    <t xml:space="preserve">SHP0241</t>
  </si>
  <si>
    <t xml:space="preserve">2025-04-05</t>
  </si>
  <si>
    <t xml:space="preserve">2025-04-05 07:12:00</t>
  </si>
  <si>
    <t xml:space="preserve">SHP0242</t>
  </si>
  <si>
    <t xml:space="preserve">2025-08-03</t>
  </si>
  <si>
    <t xml:space="preserve">2025-08-03 09:00:00</t>
  </si>
  <si>
    <t xml:space="preserve">2025-08-13 14:24:00</t>
  </si>
  <si>
    <t xml:space="preserve">SHP0243</t>
  </si>
  <si>
    <t xml:space="preserve">2025-08-06 07:00:00</t>
  </si>
  <si>
    <t xml:space="preserve">2025-08-08 14:24:00</t>
  </si>
  <si>
    <t xml:space="preserve">SHP0244</t>
  </si>
  <si>
    <t xml:space="preserve">2025-08-29</t>
  </si>
  <si>
    <t xml:space="preserve">2025-08-31 21:00:00</t>
  </si>
  <si>
    <t xml:space="preserve">2025-09-09 09:36:00</t>
  </si>
  <si>
    <t xml:space="preserve">SHP0245</t>
  </si>
  <si>
    <t xml:space="preserve">2025-08-15 05:00:00</t>
  </si>
  <si>
    <t xml:space="preserve">2025-08-20 00:00:00</t>
  </si>
  <si>
    <t xml:space="preserve">SHP0246</t>
  </si>
  <si>
    <t xml:space="preserve">2025-02-23 20:00:00</t>
  </si>
  <si>
    <t xml:space="preserve">2025-03-08 04:48:00</t>
  </si>
  <si>
    <t xml:space="preserve">SHP0247</t>
  </si>
  <si>
    <t xml:space="preserve">2025-06-11 08:00:00</t>
  </si>
  <si>
    <t xml:space="preserve">2025-06-21 09:36:00</t>
  </si>
  <si>
    <t xml:space="preserve">SHP0248</t>
  </si>
  <si>
    <t xml:space="preserve">2025-07-29 07:00:00</t>
  </si>
  <si>
    <t xml:space="preserve">2025-08-03 09:36:00</t>
  </si>
  <si>
    <t xml:space="preserve">SHP0249</t>
  </si>
  <si>
    <t xml:space="preserve">2025-09-08 04:00:00</t>
  </si>
  <si>
    <t xml:space="preserve">2025-09-09 00:00:00</t>
  </si>
  <si>
    <t xml:space="preserve">SHP0250</t>
  </si>
  <si>
    <t xml:space="preserve">2025-02-19</t>
  </si>
  <si>
    <t xml:space="preserve">2025-02-22 02:00:00</t>
  </si>
  <si>
    <t xml:space="preserve">2025-02-27 21:36:00</t>
  </si>
  <si>
    <t xml:space="preserve">SHP0251</t>
  </si>
  <si>
    <t xml:space="preserve">2025-01-03</t>
  </si>
  <si>
    <t xml:space="preserve">2025-01-05 00:00:00</t>
  </si>
  <si>
    <t xml:space="preserve">2025-01-08 00:00:00</t>
  </si>
  <si>
    <t xml:space="preserve">SHP0252</t>
  </si>
  <si>
    <t xml:space="preserve">2025-02-01 23:00:00</t>
  </si>
  <si>
    <t xml:space="preserve">2025-02-04 14:24:00</t>
  </si>
  <si>
    <t xml:space="preserve">SHP0253</t>
  </si>
  <si>
    <t xml:space="preserve">2025-03-08 08:00:00</t>
  </si>
  <si>
    <t xml:space="preserve">2025-03-13 04:48:00</t>
  </si>
  <si>
    <t xml:space="preserve">SHP0254</t>
  </si>
  <si>
    <t xml:space="preserve">2025-05-26 19:12:00</t>
  </si>
  <si>
    <t xml:space="preserve">SHP0255</t>
  </si>
  <si>
    <t xml:space="preserve">2025-08-25 00:00:00</t>
  </si>
  <si>
    <t xml:space="preserve">2025-09-03 04:48:00</t>
  </si>
  <si>
    <t xml:space="preserve">SHP0256</t>
  </si>
  <si>
    <t xml:space="preserve">2025-02-23</t>
  </si>
  <si>
    <t xml:space="preserve">2025-02-26</t>
  </si>
  <si>
    <t xml:space="preserve">2025-02-25 23:00:00</t>
  </si>
  <si>
    <t xml:space="preserve">2025-03-11 16:48:00</t>
  </si>
  <si>
    <t xml:space="preserve">SHP0257</t>
  </si>
  <si>
    <t xml:space="preserve">2025-05-16 21:00:00</t>
  </si>
  <si>
    <t xml:space="preserve">2025-05-24 21:36:00</t>
  </si>
  <si>
    <t xml:space="preserve">SHP0258</t>
  </si>
  <si>
    <t xml:space="preserve">2025-04-29</t>
  </si>
  <si>
    <t xml:space="preserve">2025-04-29 23:00:00</t>
  </si>
  <si>
    <t xml:space="preserve">2025-05-02 00:00:00</t>
  </si>
  <si>
    <t xml:space="preserve">SHP0259</t>
  </si>
  <si>
    <t xml:space="preserve">2025-06-20</t>
  </si>
  <si>
    <t xml:space="preserve">2025-06-13 23:00:00</t>
  </si>
  <si>
    <t xml:space="preserve">SHP0260</t>
  </si>
  <si>
    <t xml:space="preserve">2025-05-22 22:00:00</t>
  </si>
  <si>
    <t xml:space="preserve">2025-06-03 21:36:00</t>
  </si>
  <si>
    <t xml:space="preserve">SHP0261</t>
  </si>
  <si>
    <t xml:space="preserve">2025-08-19</t>
  </si>
  <si>
    <t xml:space="preserve">2025-08-18 19:00:00</t>
  </si>
  <si>
    <t xml:space="preserve">2025-08-24 07:12:00</t>
  </si>
  <si>
    <t xml:space="preserve">SHP0262</t>
  </si>
  <si>
    <t xml:space="preserve">2025-06-22</t>
  </si>
  <si>
    <t xml:space="preserve">2025-06-26 02:00:00</t>
  </si>
  <si>
    <t xml:space="preserve">2025-07-02 00:00:00</t>
  </si>
  <si>
    <t xml:space="preserve">SHP0263</t>
  </si>
  <si>
    <t xml:space="preserve">2025-09-25</t>
  </si>
  <si>
    <t xml:space="preserve">2025-10-01</t>
  </si>
  <si>
    <t xml:space="preserve">2025-09-25 00:00:00</t>
  </si>
  <si>
    <t xml:space="preserve">2025-10-05 16:48:00</t>
  </si>
  <si>
    <t xml:space="preserve">SHP0264</t>
  </si>
  <si>
    <t xml:space="preserve">2025-04-22 02:00:00</t>
  </si>
  <si>
    <t xml:space="preserve">2025-04-30 09:36:00</t>
  </si>
  <si>
    <t xml:space="preserve">SHP0265</t>
  </si>
  <si>
    <t xml:space="preserve">2025-02-05 04:48:00</t>
  </si>
  <si>
    <t xml:space="preserve">SHP0266</t>
  </si>
  <si>
    <t xml:space="preserve">2025-09-25 20:00:00</t>
  </si>
  <si>
    <t xml:space="preserve">2025-10-01 12:00:00</t>
  </si>
  <si>
    <t xml:space="preserve">SHP0267</t>
  </si>
  <si>
    <t xml:space="preserve">2025-02-06 20:00:00</t>
  </si>
  <si>
    <t xml:space="preserve">2025-02-12 21:36:00</t>
  </si>
  <si>
    <t xml:space="preserve">SHP0268</t>
  </si>
  <si>
    <t xml:space="preserve">2025-03-31 02:00:00</t>
  </si>
  <si>
    <t xml:space="preserve">2025-04-07 00:00:00</t>
  </si>
  <si>
    <t xml:space="preserve">SHP0269</t>
  </si>
  <si>
    <t xml:space="preserve">2025-09-13 09:00:00</t>
  </si>
  <si>
    <t xml:space="preserve">2025-09-25 09:36:00</t>
  </si>
  <si>
    <t xml:space="preserve">SHP0270</t>
  </si>
  <si>
    <t xml:space="preserve">2025-01-25 06:00:00</t>
  </si>
  <si>
    <t xml:space="preserve">2025-01-28 14:24:00</t>
  </si>
  <si>
    <t xml:space="preserve">SHP0271</t>
  </si>
  <si>
    <t xml:space="preserve">2025-10-05 20:00:00</t>
  </si>
  <si>
    <t xml:space="preserve">2025-10-10 00:00:00</t>
  </si>
  <si>
    <t xml:space="preserve">SHP0272</t>
  </si>
  <si>
    <t xml:space="preserve">2025-03-02 00:00:00</t>
  </si>
  <si>
    <t xml:space="preserve">2025-03-06 21:36:00</t>
  </si>
  <si>
    <t xml:space="preserve">SHP0273</t>
  </si>
  <si>
    <t xml:space="preserve">2025-08-13 03:00:00</t>
  </si>
  <si>
    <t xml:space="preserve">2025-08-18 12:00:00</t>
  </si>
  <si>
    <t xml:space="preserve">SHP0274</t>
  </si>
  <si>
    <t xml:space="preserve">2025-09-30</t>
  </si>
  <si>
    <t xml:space="preserve">2025-10-07</t>
  </si>
  <si>
    <t xml:space="preserve">2025-10-01 21:00:00</t>
  </si>
  <si>
    <t xml:space="preserve">2025-10-09 09:36:00</t>
  </si>
  <si>
    <t xml:space="preserve">SHP0275</t>
  </si>
  <si>
    <t xml:space="preserve">2025-07-31 19:00:00</t>
  </si>
  <si>
    <t xml:space="preserve">2025-08-11 21:36:00</t>
  </si>
  <si>
    <t xml:space="preserve">SHP0276</t>
  </si>
  <si>
    <t xml:space="preserve">2025-05-26 04:00:00</t>
  </si>
  <si>
    <t xml:space="preserve">2025-06-06 16:48:00</t>
  </si>
  <si>
    <t xml:space="preserve">SHP0277</t>
  </si>
  <si>
    <t xml:space="preserve">2025-02-06 03:00:00</t>
  </si>
  <si>
    <t xml:space="preserve">2025-02-10 12:00:00</t>
  </si>
  <si>
    <t xml:space="preserve">SHP0278</t>
  </si>
  <si>
    <t xml:space="preserve">2025-09-20 22:00:00</t>
  </si>
  <si>
    <t xml:space="preserve">2025-09-24 14:24:00</t>
  </si>
  <si>
    <t xml:space="preserve">SHP0279</t>
  </si>
  <si>
    <t xml:space="preserve">2025-08-12 00:00:00</t>
  </si>
  <si>
    <t xml:space="preserve">2025-08-19 09:36:00</t>
  </si>
  <si>
    <t xml:space="preserve">SHP0280</t>
  </si>
  <si>
    <t xml:space="preserve">2025-02-06 09:00:00</t>
  </si>
  <si>
    <t xml:space="preserve">2025-02-12 00:00:00</t>
  </si>
  <si>
    <t xml:space="preserve">SHP0281</t>
  </si>
  <si>
    <t xml:space="preserve">2025-02-09 06:00:00</t>
  </si>
  <si>
    <t xml:space="preserve">2025-02-10 09:36:00</t>
  </si>
  <si>
    <t xml:space="preserve">SHP0282</t>
  </si>
  <si>
    <t xml:space="preserve">2025-07-25 09:00:00</t>
  </si>
  <si>
    <t xml:space="preserve">2025-08-04 14:24:00</t>
  </si>
  <si>
    <t xml:space="preserve">SHP0283</t>
  </si>
  <si>
    <t xml:space="preserve">2025-04-25</t>
  </si>
  <si>
    <t xml:space="preserve">2025-04-27 04:00:00</t>
  </si>
  <si>
    <t xml:space="preserve">2025-05-07 21:36:00</t>
  </si>
  <si>
    <t xml:space="preserve">SHP0284</t>
  </si>
  <si>
    <t xml:space="preserve">2025-06-18 03:00:00</t>
  </si>
  <si>
    <t xml:space="preserve">2025-06-21 19:12:00</t>
  </si>
  <si>
    <t xml:space="preserve">SHP0285</t>
  </si>
  <si>
    <t xml:space="preserve">2025-02-19 06:00:00</t>
  </si>
  <si>
    <t xml:space="preserve">2025-02-24 19:12:00</t>
  </si>
  <si>
    <t xml:space="preserve">SHP0286</t>
  </si>
  <si>
    <t xml:space="preserve">2025-03-15 20:00:00</t>
  </si>
  <si>
    <t xml:space="preserve">2025-03-20 14:24:00</t>
  </si>
  <si>
    <t xml:space="preserve">SHP0287</t>
  </si>
  <si>
    <t xml:space="preserve">2025-07-09 05:00:00</t>
  </si>
  <si>
    <t xml:space="preserve">2025-07-14 04:48:00</t>
  </si>
  <si>
    <t xml:space="preserve">SHP0288</t>
  </si>
  <si>
    <t xml:space="preserve">2025-09-04 03:00:00</t>
  </si>
  <si>
    <t xml:space="preserve">2025-09-15 04:48:00</t>
  </si>
  <si>
    <t xml:space="preserve">SHP0289</t>
  </si>
  <si>
    <t xml:space="preserve">2025-07-11 09:00:00</t>
  </si>
  <si>
    <t xml:space="preserve">2025-07-15 02:24:00</t>
  </si>
  <si>
    <t xml:space="preserve">SHP0290</t>
  </si>
  <si>
    <t xml:space="preserve">2025-08-20 09:00:00</t>
  </si>
  <si>
    <t xml:space="preserve">2025-08-29 19:12:00</t>
  </si>
  <si>
    <t xml:space="preserve">SHP0291</t>
  </si>
  <si>
    <t xml:space="preserve">2025-09-15 06:00:00</t>
  </si>
  <si>
    <t xml:space="preserve">2025-09-20 00:00:00</t>
  </si>
  <si>
    <t xml:space="preserve">SHP0292</t>
  </si>
  <si>
    <t xml:space="preserve">2025-10-29</t>
  </si>
  <si>
    <t xml:space="preserve">2025-10-24 23:00:00</t>
  </si>
  <si>
    <t xml:space="preserve">2025-11-01 19:12:00</t>
  </si>
  <si>
    <t xml:space="preserve">SHP0293</t>
  </si>
  <si>
    <t xml:space="preserve">2025-03-03 05:00:00</t>
  </si>
  <si>
    <t xml:space="preserve">2025-03-13 02:24:00</t>
  </si>
  <si>
    <t xml:space="preserve">SHP0294</t>
  </si>
  <si>
    <t xml:space="preserve">2025-08-05 05:00:00</t>
  </si>
  <si>
    <t xml:space="preserve">2025-08-06 00:00:00</t>
  </si>
  <si>
    <t xml:space="preserve">SHP0295</t>
  </si>
  <si>
    <t xml:space="preserve">2025-01-11</t>
  </si>
  <si>
    <t xml:space="preserve">2025-01-05 09:00:00</t>
  </si>
  <si>
    <t xml:space="preserve">2025-01-15 16:48:00</t>
  </si>
  <si>
    <t xml:space="preserve">SHP0296</t>
  </si>
  <si>
    <t xml:space="preserve">2025-01-31 07:00:00</t>
  </si>
  <si>
    <t xml:space="preserve">2025-02-01 00:00:00</t>
  </si>
  <si>
    <t xml:space="preserve">SHP0297</t>
  </si>
  <si>
    <t xml:space="preserve">2025-10-06 22:00:00</t>
  </si>
  <si>
    <t xml:space="preserve">2025-10-09 02:24:00</t>
  </si>
  <si>
    <t xml:space="preserve">SHP0298</t>
  </si>
  <si>
    <t xml:space="preserve">2025-07-16</t>
  </si>
  <si>
    <t xml:space="preserve">2025-07-09 22:00:00</t>
  </si>
  <si>
    <t xml:space="preserve">2025-07-22 00:00:00</t>
  </si>
  <si>
    <t xml:space="preserve">SHP0299</t>
  </si>
  <si>
    <t xml:space="preserve">2025-10-21 07:00:00</t>
  </si>
  <si>
    <t xml:space="preserve">2025-10-25 19:12:00</t>
  </si>
  <si>
    <t xml:space="preserve">SHP0300</t>
  </si>
  <si>
    <t xml:space="preserve">2025-09-10 02:00:00</t>
  </si>
  <si>
    <t xml:space="preserve">SHP0301</t>
  </si>
  <si>
    <t xml:space="preserve">2025-03-05 08:00:00</t>
  </si>
  <si>
    <t xml:space="preserve">2025-03-09 16:48:00</t>
  </si>
  <si>
    <t xml:space="preserve">SHP0302</t>
  </si>
  <si>
    <t xml:space="preserve">2025-09-13 07:12:00</t>
  </si>
  <si>
    <t xml:space="preserve">SHP0303</t>
  </si>
  <si>
    <t xml:space="preserve">2025-06-12 23:00:00</t>
  </si>
  <si>
    <t xml:space="preserve">2025-06-23 02:24:00</t>
  </si>
  <si>
    <t xml:space="preserve">SHP0304</t>
  </si>
  <si>
    <t xml:space="preserve">2025-09-23 06:00:00</t>
  </si>
  <si>
    <t xml:space="preserve">2025-09-27 00:00:00</t>
  </si>
  <si>
    <t xml:space="preserve">SHP0305</t>
  </si>
  <si>
    <t xml:space="preserve">2025-07-06 08:00:00</t>
  </si>
  <si>
    <t xml:space="preserve">2025-07-16 14:24:00</t>
  </si>
  <si>
    <t xml:space="preserve">SHP0306</t>
  </si>
  <si>
    <t xml:space="preserve">2025-08-20 05:00:00</t>
  </si>
  <si>
    <t xml:space="preserve">2025-08-25 16:48:00</t>
  </si>
  <si>
    <t xml:space="preserve">SHP0307</t>
  </si>
  <si>
    <t xml:space="preserve">2025-03-25 09:00:00</t>
  </si>
  <si>
    <t xml:space="preserve">2025-03-30 09:36:00</t>
  </si>
  <si>
    <t xml:space="preserve">SHP0308</t>
  </si>
  <si>
    <t xml:space="preserve">2025-04-25 02:00:00</t>
  </si>
  <si>
    <t xml:space="preserve">SHP0309</t>
  </si>
  <si>
    <t xml:space="preserve">2025-09-15 07:00:00</t>
  </si>
  <si>
    <t xml:space="preserve">2025-09-18 09:36:00</t>
  </si>
  <si>
    <t xml:space="preserve">SHP0310</t>
  </si>
  <si>
    <t xml:space="preserve">2025-07-22 19:00:00</t>
  </si>
  <si>
    <t xml:space="preserve">2025-07-28 14:24:00</t>
  </si>
  <si>
    <t xml:space="preserve">SHP0311</t>
  </si>
  <si>
    <t xml:space="preserve">2025-01-08</t>
  </si>
  <si>
    <t xml:space="preserve">2025-01-12 01:00:00</t>
  </si>
  <si>
    <t xml:space="preserve">SHP0312</t>
  </si>
  <si>
    <t xml:space="preserve">2025-01-19 00:00:00</t>
  </si>
  <si>
    <t xml:space="preserve">2025-01-26 02:24:00</t>
  </si>
  <si>
    <t xml:space="preserve">SHP0313</t>
  </si>
  <si>
    <t xml:space="preserve">2025-09-29 00:00:00</t>
  </si>
  <si>
    <t xml:space="preserve">SHP0314</t>
  </si>
  <si>
    <t xml:space="preserve">2025-09-19 00:00:00</t>
  </si>
  <si>
    <t xml:space="preserve">SHP0315</t>
  </si>
  <si>
    <t xml:space="preserve">2025-04-19</t>
  </si>
  <si>
    <t xml:space="preserve">2025-04-18 23:00:00</t>
  </si>
  <si>
    <t xml:space="preserve">2025-04-26 00:00:00</t>
  </si>
  <si>
    <t xml:space="preserve">SHP0316</t>
  </si>
  <si>
    <t xml:space="preserve">2025-04-10 19:00:00</t>
  </si>
  <si>
    <t xml:space="preserve">2025-04-17 09:36:00</t>
  </si>
  <si>
    <t xml:space="preserve">SHP0317</t>
  </si>
  <si>
    <t xml:space="preserve">2025-08-15 03:00:00</t>
  </si>
  <si>
    <t xml:space="preserve">SHP0318</t>
  </si>
  <si>
    <t xml:space="preserve">2025-02-04 20:00:00</t>
  </si>
  <si>
    <t xml:space="preserve">2025-02-12 12:00:00</t>
  </si>
  <si>
    <t xml:space="preserve">SHP0319</t>
  </si>
  <si>
    <t xml:space="preserve">2025-03-05 00:00:00</t>
  </si>
  <si>
    <t xml:space="preserve">2025-03-12 19:12:00</t>
  </si>
  <si>
    <t xml:space="preserve">SHP0320</t>
  </si>
  <si>
    <t xml:space="preserve">2025-05-12 22:00:00</t>
  </si>
  <si>
    <t xml:space="preserve">2025-05-16 00:00:00</t>
  </si>
  <si>
    <t xml:space="preserve">SHP0321</t>
  </si>
  <si>
    <t xml:space="preserve">2025-06-20 20:00:00</t>
  </si>
  <si>
    <t xml:space="preserve">SHP0322</t>
  </si>
  <si>
    <t xml:space="preserve">2025-08-13 02:00:00</t>
  </si>
  <si>
    <t xml:space="preserve">2025-08-19 12:00:00</t>
  </si>
  <si>
    <t xml:space="preserve">SHP0323</t>
  </si>
  <si>
    <t xml:space="preserve">2025-06-26 00:00:00</t>
  </si>
  <si>
    <t xml:space="preserve">2025-07-05 07:12:00</t>
  </si>
  <si>
    <t xml:space="preserve">SHP0324</t>
  </si>
  <si>
    <t xml:space="preserve">2025-08-17 09:00:00</t>
  </si>
  <si>
    <t xml:space="preserve">2025-08-28 09:36:00</t>
  </si>
  <si>
    <t xml:space="preserve">SHP0325</t>
  </si>
  <si>
    <t xml:space="preserve">2025-07-06 01:00:00</t>
  </si>
  <si>
    <t xml:space="preserve">2025-07-08 02:24:00</t>
  </si>
  <si>
    <t xml:space="preserve">SHP0326</t>
  </si>
  <si>
    <t xml:space="preserve">2025-03-08 02:00:00</t>
  </si>
  <si>
    <t xml:space="preserve">2025-03-14 21:36:00</t>
  </si>
  <si>
    <t xml:space="preserve">SHP0327</t>
  </si>
  <si>
    <t xml:space="preserve">2025-04-24 05:00:00</t>
  </si>
  <si>
    <t xml:space="preserve">2025-04-30 12:00:00</t>
  </si>
  <si>
    <t xml:space="preserve">SHP0328</t>
  </si>
  <si>
    <t xml:space="preserve">2025-10-25 19:00:00</t>
  </si>
  <si>
    <t xml:space="preserve">SHP0329</t>
  </si>
  <si>
    <t xml:space="preserve">2025-09-29 05:00:00</t>
  </si>
  <si>
    <t xml:space="preserve">2025-10-11 09:36:00</t>
  </si>
  <si>
    <t xml:space="preserve">SHP0330</t>
  </si>
  <si>
    <t xml:space="preserve">2025-08-26 04:00:00</t>
  </si>
  <si>
    <t xml:space="preserve">2025-08-29 16:48:00</t>
  </si>
  <si>
    <t xml:space="preserve">SHP0331</t>
  </si>
  <si>
    <t xml:space="preserve">2025-10-06 19:00:00</t>
  </si>
  <si>
    <t xml:space="preserve">SHP0332</t>
  </si>
  <si>
    <t xml:space="preserve">2025-08-15 21:00:00</t>
  </si>
  <si>
    <t xml:space="preserve">SHP0333</t>
  </si>
  <si>
    <t xml:space="preserve">2025-06-12 01:00:00</t>
  </si>
  <si>
    <t xml:space="preserve">2025-06-18 09:36:00</t>
  </si>
  <si>
    <t xml:space="preserve">SHP0334</t>
  </si>
  <si>
    <t xml:space="preserve">2025-03-23 23:00:00</t>
  </si>
  <si>
    <t xml:space="preserve">2025-03-29 14:24:00</t>
  </si>
  <si>
    <t xml:space="preserve">SHP0335</t>
  </si>
  <si>
    <t xml:space="preserve">2025-09-08 07:12:00</t>
  </si>
  <si>
    <t xml:space="preserve">SHP0336</t>
  </si>
  <si>
    <t xml:space="preserve">2025-04-27 19:00:00</t>
  </si>
  <si>
    <t xml:space="preserve">2025-05-07 19:12:00</t>
  </si>
  <si>
    <t xml:space="preserve">SHP0337</t>
  </si>
  <si>
    <t xml:space="preserve">2025-06-14 04:00:00</t>
  </si>
  <si>
    <t xml:space="preserve">2025-06-21 16:48:00</t>
  </si>
  <si>
    <t xml:space="preserve">SHP0338</t>
  </si>
  <si>
    <t xml:space="preserve">2025-03-23 00:00:00</t>
  </si>
  <si>
    <t xml:space="preserve">SHP0339</t>
  </si>
  <si>
    <t xml:space="preserve">2025-05-12 07:00:00</t>
  </si>
  <si>
    <t xml:space="preserve">2025-05-21 12:00:00</t>
  </si>
  <si>
    <t xml:space="preserve">SHP0340</t>
  </si>
  <si>
    <t xml:space="preserve">2025-02-07 07:00:00</t>
  </si>
  <si>
    <t xml:space="preserve">2025-02-13 09:36:00</t>
  </si>
  <si>
    <t xml:space="preserve">SHP0341</t>
  </si>
  <si>
    <t xml:space="preserve">2025-07-27 05:00:00</t>
  </si>
  <si>
    <t xml:space="preserve">2025-08-05 14:24:00</t>
  </si>
  <si>
    <t xml:space="preserve">SHP0342</t>
  </si>
  <si>
    <t xml:space="preserve">2025-03-18 03:00:00</t>
  </si>
  <si>
    <t xml:space="preserve">2025-03-29 00:00:00</t>
  </si>
  <si>
    <t xml:space="preserve">SHP0343</t>
  </si>
  <si>
    <t xml:space="preserve">2025-04-15 07:00:00</t>
  </si>
  <si>
    <t xml:space="preserve">2025-04-24 00:00:00</t>
  </si>
  <si>
    <t xml:space="preserve">SHP0344</t>
  </si>
  <si>
    <t xml:space="preserve">2025-03-27 09:00:00</t>
  </si>
  <si>
    <t xml:space="preserve">2025-04-02 02:24:00</t>
  </si>
  <si>
    <t xml:space="preserve">SHP0345</t>
  </si>
  <si>
    <t xml:space="preserve">2025-04-27 00:00:00</t>
  </si>
  <si>
    <t xml:space="preserve">2025-05-01 00:00:00</t>
  </si>
  <si>
    <t xml:space="preserve">SHP0346</t>
  </si>
  <si>
    <t xml:space="preserve">2025-01-16 08:00:00</t>
  </si>
  <si>
    <t xml:space="preserve">2025-01-19 21:36:00</t>
  </si>
  <si>
    <t xml:space="preserve">SHP0347</t>
  </si>
  <si>
    <t xml:space="preserve">2025-08-23 04:00:00</t>
  </si>
  <si>
    <t xml:space="preserve">2025-08-24 00:00:00</t>
  </si>
  <si>
    <t xml:space="preserve">SHP0348</t>
  </si>
  <si>
    <t xml:space="preserve">2025-07-24 05:00:00</t>
  </si>
  <si>
    <t xml:space="preserve">2025-08-06 12:00:00</t>
  </si>
  <si>
    <t xml:space="preserve">SHP0349</t>
  </si>
  <si>
    <t xml:space="preserve">2025-08-19 00:00:00</t>
  </si>
  <si>
    <t xml:space="preserve">2025-08-24 14:24:00</t>
  </si>
  <si>
    <t xml:space="preserve">SHP0350</t>
  </si>
  <si>
    <t xml:space="preserve">2025-06-27 05:00:00</t>
  </si>
  <si>
    <t xml:space="preserve">2025-07-07 19:12:00</t>
  </si>
  <si>
    <t xml:space="preserve">SHP0351</t>
  </si>
  <si>
    <t xml:space="preserve">2025-06-25 19:00:00</t>
  </si>
  <si>
    <t xml:space="preserve">2025-07-03 12:00:00</t>
  </si>
  <si>
    <t xml:space="preserve">SHP0352</t>
  </si>
  <si>
    <t xml:space="preserve">2025-04-09 23:00:00</t>
  </si>
  <si>
    <t xml:space="preserve">2025-04-20 02:24:00</t>
  </si>
  <si>
    <t xml:space="preserve">SHP0353</t>
  </si>
  <si>
    <t xml:space="preserve">2025-09-05 19:00:00</t>
  </si>
  <si>
    <t xml:space="preserve">SHP0354</t>
  </si>
  <si>
    <t xml:space="preserve">2025-03-18 00:00:00</t>
  </si>
  <si>
    <t xml:space="preserve">2025-03-25 09:36:00</t>
  </si>
  <si>
    <t xml:space="preserve">SHP0355</t>
  </si>
  <si>
    <t xml:space="preserve">2025-07-28 19:12:00</t>
  </si>
  <si>
    <t xml:space="preserve">SHP0356</t>
  </si>
  <si>
    <t xml:space="preserve">2025-09-19 09:00:00</t>
  </si>
  <si>
    <t xml:space="preserve">2025-09-27 16:48:00</t>
  </si>
  <si>
    <t xml:space="preserve">SHP0357</t>
  </si>
  <si>
    <t xml:space="preserve">2025-08-31 00:00:00</t>
  </si>
  <si>
    <t xml:space="preserve">SHP0358</t>
  </si>
  <si>
    <t xml:space="preserve">2025-06-12 02:24:00</t>
  </si>
  <si>
    <t xml:space="preserve">SHP0359</t>
  </si>
  <si>
    <t xml:space="preserve">2025-05-16 01:00:00</t>
  </si>
  <si>
    <t xml:space="preserve">2025-05-27 00:00:00</t>
  </si>
  <si>
    <t xml:space="preserve">SHP0360</t>
  </si>
  <si>
    <t xml:space="preserve">2025-11-04</t>
  </si>
  <si>
    <t xml:space="preserve">2025-10-30 00:00:00</t>
  </si>
  <si>
    <t xml:space="preserve">2025-11-11 14:24:00</t>
  </si>
  <si>
    <t xml:space="preserve">SHP0361</t>
  </si>
  <si>
    <t xml:space="preserve">2025-07-25 05:00:00</t>
  </si>
  <si>
    <t xml:space="preserve">2025-07-28 09:36:00</t>
  </si>
  <si>
    <t xml:space="preserve">SHP0362</t>
  </si>
  <si>
    <t xml:space="preserve">2025-06-30 00:00:00</t>
  </si>
  <si>
    <t xml:space="preserve">2025-07-07 12:00:00</t>
  </si>
  <si>
    <t xml:space="preserve">SHP0363</t>
  </si>
  <si>
    <t xml:space="preserve">2025-08-24 22:00:00</t>
  </si>
  <si>
    <t xml:space="preserve">2025-08-28 00:00:00</t>
  </si>
  <si>
    <t xml:space="preserve">SHP0364</t>
  </si>
  <si>
    <t xml:space="preserve">2025-06-27 00:00:00</t>
  </si>
  <si>
    <t xml:space="preserve">SHP0365</t>
  </si>
  <si>
    <t xml:space="preserve">2025-05-09 07:00:00</t>
  </si>
  <si>
    <t xml:space="preserve">2025-05-13 00:00:00</t>
  </si>
  <si>
    <t xml:space="preserve">SHP0366</t>
  </si>
  <si>
    <t xml:space="preserve">2025-02-08 04:00:00</t>
  </si>
  <si>
    <t xml:space="preserve">2025-02-17 21:36:00</t>
  </si>
  <si>
    <t xml:space="preserve">SHP0367</t>
  </si>
  <si>
    <t xml:space="preserve">2025-02-09 20:00:00</t>
  </si>
  <si>
    <t xml:space="preserve">2025-02-17 09:36:00</t>
  </si>
  <si>
    <t xml:space="preserve">SHP0368</t>
  </si>
  <si>
    <t xml:space="preserve">2025-01-24 21:00:00</t>
  </si>
  <si>
    <t xml:space="preserve">2025-01-29 19:12:00</t>
  </si>
  <si>
    <t xml:space="preserve">SHP0369</t>
  </si>
  <si>
    <t xml:space="preserve">2025-03-07 01:00:00</t>
  </si>
  <si>
    <t xml:space="preserve">2025-03-13 12:00:00</t>
  </si>
  <si>
    <t xml:space="preserve">SHP0370</t>
  </si>
  <si>
    <t xml:space="preserve">2025-09-27</t>
  </si>
  <si>
    <t xml:space="preserve">2025-10-01 09:00:00</t>
  </si>
  <si>
    <t xml:space="preserve">2025-10-04 21:36:00</t>
  </si>
  <si>
    <t xml:space="preserve">SHP0371</t>
  </si>
  <si>
    <t xml:space="preserve">2025-06-07 12:00:00</t>
  </si>
  <si>
    <t xml:space="preserve">SHP0372</t>
  </si>
  <si>
    <t xml:space="preserve">2025-08-09 06:00:00</t>
  </si>
  <si>
    <t xml:space="preserve">2025-08-18 02:24:00</t>
  </si>
  <si>
    <t xml:space="preserve">SHP0373</t>
  </si>
  <si>
    <t xml:space="preserve">2025-10-28 07:00:00</t>
  </si>
  <si>
    <t xml:space="preserve">2025-11-04 00:00:00</t>
  </si>
  <si>
    <t xml:space="preserve">SHP0374</t>
  </si>
  <si>
    <t xml:space="preserve">2025-09-17 05:00:00</t>
  </si>
  <si>
    <t xml:space="preserve">2025-09-22 21:36:00</t>
  </si>
  <si>
    <t xml:space="preserve">SHP0375</t>
  </si>
  <si>
    <t xml:space="preserve">2025-06-23 06:00:00</t>
  </si>
  <si>
    <t xml:space="preserve">SHP0376</t>
  </si>
  <si>
    <t xml:space="preserve">2025-02-26 21:00:00</t>
  </si>
  <si>
    <t xml:space="preserve">2025-03-09 00:00:00</t>
  </si>
  <si>
    <t xml:space="preserve">SHP0377</t>
  </si>
  <si>
    <t xml:space="preserve">2025-06-22 07:00:00</t>
  </si>
  <si>
    <t xml:space="preserve">2025-07-01 16:48:00</t>
  </si>
  <si>
    <t xml:space="preserve">SHP0378</t>
  </si>
  <si>
    <t xml:space="preserve">2025-09-21 07:00:00</t>
  </si>
  <si>
    <t xml:space="preserve">SHP0379</t>
  </si>
  <si>
    <t xml:space="preserve">2025-03-23 20:00:00</t>
  </si>
  <si>
    <t xml:space="preserve">2025-03-31 21:36:00</t>
  </si>
  <si>
    <t xml:space="preserve">SHP0380</t>
  </si>
  <si>
    <t xml:space="preserve">2025-06-27 03:00:00</t>
  </si>
  <si>
    <t xml:space="preserve">2025-07-01 07:12:00</t>
  </si>
  <si>
    <t xml:space="preserve">SHP0381</t>
  </si>
  <si>
    <t xml:space="preserve">2025-10-10 02:00:00</t>
  </si>
  <si>
    <t xml:space="preserve">2025-10-13 04:48:00</t>
  </si>
  <si>
    <t xml:space="preserve">SHP0382</t>
  </si>
  <si>
    <t xml:space="preserve">2025-07-08 22:00:00</t>
  </si>
  <si>
    <t xml:space="preserve">2025-07-10 00:00:00</t>
  </si>
  <si>
    <t xml:space="preserve">SHP0383</t>
  </si>
  <si>
    <t xml:space="preserve">2025-04-13 02:00:00</t>
  </si>
  <si>
    <t xml:space="preserve">2025-04-21 16:48:00</t>
  </si>
  <si>
    <t xml:space="preserve">SHP0384</t>
  </si>
  <si>
    <t xml:space="preserve">2025-06-23 04:00:00</t>
  </si>
  <si>
    <t xml:space="preserve">2025-06-24 07:12:00</t>
  </si>
  <si>
    <t xml:space="preserve">SHP0385</t>
  </si>
  <si>
    <t xml:space="preserve">2025-01-10</t>
  </si>
  <si>
    <t xml:space="preserve">2025-01-10 02:00:00</t>
  </si>
  <si>
    <t xml:space="preserve">2025-01-12 04:48:00</t>
  </si>
  <si>
    <t xml:space="preserve">SHP0386</t>
  </si>
  <si>
    <t xml:space="preserve">2025-07-05 20:00:00</t>
  </si>
  <si>
    <t xml:space="preserve">SHP0387</t>
  </si>
  <si>
    <t xml:space="preserve">2025-04-12</t>
  </si>
  <si>
    <t xml:space="preserve">2025-04-14 01:00:00</t>
  </si>
  <si>
    <t xml:space="preserve">SHP0388</t>
  </si>
  <si>
    <t xml:space="preserve">2025-09-20 02:24:00</t>
  </si>
  <si>
    <t xml:space="preserve">SHP0389</t>
  </si>
  <si>
    <t xml:space="preserve">2025-03-16 04:00:00</t>
  </si>
  <si>
    <t xml:space="preserve">2025-03-24 07:12:00</t>
  </si>
  <si>
    <t xml:space="preserve">SHP0390</t>
  </si>
  <si>
    <t xml:space="preserve">2025-02-25 04:00:00</t>
  </si>
  <si>
    <t xml:space="preserve">SHP0391</t>
  </si>
  <si>
    <t xml:space="preserve">2025-08-07 19:00:00</t>
  </si>
  <si>
    <t xml:space="preserve">2025-08-16 09:36:00</t>
  </si>
  <si>
    <t xml:space="preserve">SHP0392</t>
  </si>
  <si>
    <t xml:space="preserve">2025-09-04 19:00:00</t>
  </si>
  <si>
    <t xml:space="preserve">SHP0393</t>
  </si>
  <si>
    <t xml:space="preserve">2025-07-12 06:00:00</t>
  </si>
  <si>
    <t xml:space="preserve">2025-07-19 16:48:00</t>
  </si>
  <si>
    <t xml:space="preserve">SHP0394</t>
  </si>
  <si>
    <t xml:space="preserve">2025-07-21 04:00:00</t>
  </si>
  <si>
    <t xml:space="preserve">2025-07-26 07:12:00</t>
  </si>
  <si>
    <t xml:space="preserve">SHP0395</t>
  </si>
  <si>
    <t xml:space="preserve">2025-06-24 19:00:00</t>
  </si>
  <si>
    <t xml:space="preserve">2025-07-01 09:36:00</t>
  </si>
  <si>
    <t xml:space="preserve">SHP0396</t>
  </si>
  <si>
    <t xml:space="preserve">2025-08-28 07:00:00</t>
  </si>
  <si>
    <t xml:space="preserve">2025-09-03 00:00:00</t>
  </si>
  <si>
    <t xml:space="preserve">SHP0397</t>
  </si>
  <si>
    <t xml:space="preserve">2025-04-16 00:00:00</t>
  </si>
  <si>
    <t xml:space="preserve">SHP0398</t>
  </si>
  <si>
    <t xml:space="preserve">2025-09-09 07:00:00</t>
  </si>
  <si>
    <t xml:space="preserve">2025-09-13 14:24:00</t>
  </si>
  <si>
    <t xml:space="preserve">SHP0399</t>
  </si>
  <si>
    <t xml:space="preserve">2025-09-10 09:00:00</t>
  </si>
  <si>
    <t xml:space="preserve">2025-09-16 14:24:00</t>
  </si>
  <si>
    <t xml:space="preserve">SHP0400</t>
  </si>
  <si>
    <t xml:space="preserve">2025-03-04 00:00:00</t>
  </si>
  <si>
    <t xml:space="preserve">2025-03-13 16:48:00</t>
  </si>
  <si>
    <t xml:space="preserve">SHP0401</t>
  </si>
  <si>
    <t xml:space="preserve">2025-03-24 04:48:00</t>
  </si>
  <si>
    <t xml:space="preserve">SHP0402</t>
  </si>
  <si>
    <t xml:space="preserve">2025-01-16 21:00:00</t>
  </si>
  <si>
    <t xml:space="preserve">2025-01-24 07:12:00</t>
  </si>
  <si>
    <t xml:space="preserve">SHP0403</t>
  </si>
  <si>
    <t xml:space="preserve">2025-05-16 07:00:00</t>
  </si>
  <si>
    <t xml:space="preserve">2025-05-20 02:24:00</t>
  </si>
  <si>
    <t xml:space="preserve">SHP0404</t>
  </si>
  <si>
    <t xml:space="preserve">2025-06-17 07:00:00</t>
  </si>
  <si>
    <t xml:space="preserve">2025-06-21 14:24:00</t>
  </si>
  <si>
    <t xml:space="preserve">SHP0405</t>
  </si>
  <si>
    <t xml:space="preserve">2025-10-20 07:00:00</t>
  </si>
  <si>
    <t xml:space="preserve">2025-10-25 00:00:00</t>
  </si>
  <si>
    <t xml:space="preserve">SHP0406</t>
  </si>
  <si>
    <t xml:space="preserve">2025-05-12 08:00:00</t>
  </si>
  <si>
    <t xml:space="preserve">SHP0407</t>
  </si>
  <si>
    <t xml:space="preserve">2025-05-01</t>
  </si>
  <si>
    <t xml:space="preserve">2025-04-28 03:00:00</t>
  </si>
  <si>
    <t xml:space="preserve">2025-05-02 19:12:00</t>
  </si>
  <si>
    <t xml:space="preserve">SHP0408</t>
  </si>
  <si>
    <t xml:space="preserve">2025-01-06 09:00:00</t>
  </si>
  <si>
    <t xml:space="preserve">2025-01-16 16:48:00</t>
  </si>
  <si>
    <t xml:space="preserve">SHP0409</t>
  </si>
  <si>
    <t xml:space="preserve">2025-10-14 03:00:00</t>
  </si>
  <si>
    <t xml:space="preserve">2025-10-24 12:00:00</t>
  </si>
  <si>
    <t xml:space="preserve">SHP0410</t>
  </si>
  <si>
    <t xml:space="preserve">2025-02-27 09:00:00</t>
  </si>
  <si>
    <t xml:space="preserve">SHP0411</t>
  </si>
  <si>
    <t xml:space="preserve">2025-05-21 09:36:00</t>
  </si>
  <si>
    <t xml:space="preserve">SHP0412</t>
  </si>
  <si>
    <t xml:space="preserve">2025-03-16 01:00:00</t>
  </si>
  <si>
    <t xml:space="preserve">2025-03-21 16:48:00</t>
  </si>
  <si>
    <t xml:space="preserve">SHP0413</t>
  </si>
  <si>
    <t xml:space="preserve">2025-01-17 09:00:00</t>
  </si>
  <si>
    <t xml:space="preserve">2025-01-18 21:36:00</t>
  </si>
  <si>
    <t xml:space="preserve">SHP0414</t>
  </si>
  <si>
    <t xml:space="preserve">2025-03-27 06:00:00</t>
  </si>
  <si>
    <t xml:space="preserve">2025-04-06 02:24:00</t>
  </si>
  <si>
    <t xml:space="preserve">SHP0415</t>
  </si>
  <si>
    <t xml:space="preserve">2025-01-28 06:00:00</t>
  </si>
  <si>
    <t xml:space="preserve">SHP0416</t>
  </si>
  <si>
    <t xml:space="preserve">2025-08-19 09:00:00</t>
  </si>
  <si>
    <t xml:space="preserve">2025-08-24 04:48:00</t>
  </si>
  <si>
    <t xml:space="preserve">SHP0417</t>
  </si>
  <si>
    <t xml:space="preserve">2025-02-16 20:00:00</t>
  </si>
  <si>
    <t xml:space="preserve">2025-02-21 00:00:00</t>
  </si>
  <si>
    <t xml:space="preserve">SHP0418</t>
  </si>
  <si>
    <t xml:space="preserve">2025-07-13 22:00:00</t>
  </si>
  <si>
    <t xml:space="preserve">2025-07-20 07:12:00</t>
  </si>
  <si>
    <t xml:space="preserve">SHP0419</t>
  </si>
  <si>
    <t xml:space="preserve">2025-09-04 09:36:00</t>
  </si>
  <si>
    <t xml:space="preserve">SHP0420</t>
  </si>
  <si>
    <t xml:space="preserve">2025-11-01</t>
  </si>
  <si>
    <t xml:space="preserve">2025-10-28 03:00:00</t>
  </si>
  <si>
    <t xml:space="preserve">2025-11-09 04:48:00</t>
  </si>
  <si>
    <t xml:space="preserve">SHP0421</t>
  </si>
  <si>
    <t xml:space="preserve">2025-05-27 16:48:00</t>
  </si>
  <si>
    <t xml:space="preserve">SHP0422</t>
  </si>
  <si>
    <t xml:space="preserve">2025-01-08 19:00:00</t>
  </si>
  <si>
    <t xml:space="preserve">2025-01-13 00:00:00</t>
  </si>
  <si>
    <t xml:space="preserve">SHP0423</t>
  </si>
  <si>
    <t xml:space="preserve">2025-07-03 06:00:00</t>
  </si>
  <si>
    <t xml:space="preserve">SHP0424</t>
  </si>
  <si>
    <t xml:space="preserve">2025-01-01</t>
  </si>
  <si>
    <t xml:space="preserve">2025-01-03 03:00:00</t>
  </si>
  <si>
    <t xml:space="preserve">2025-01-11 09:36:00</t>
  </si>
  <si>
    <t xml:space="preserve">SHP0425</t>
  </si>
  <si>
    <t xml:space="preserve">2025-07-17 05:00:00</t>
  </si>
  <si>
    <t xml:space="preserve">2025-07-28 04:48:00</t>
  </si>
  <si>
    <t xml:space="preserve">SHP0426</t>
  </si>
  <si>
    <t xml:space="preserve">2025-02-08 03:00:00</t>
  </si>
  <si>
    <t xml:space="preserve">2025-02-14 00:00:00</t>
  </si>
  <si>
    <t xml:space="preserve">SHP0427</t>
  </si>
  <si>
    <t xml:space="preserve">2025-02-24 07:00:00</t>
  </si>
  <si>
    <t xml:space="preserve">2025-02-28 14:24:00</t>
  </si>
  <si>
    <t xml:space="preserve">SHP0428</t>
  </si>
  <si>
    <t xml:space="preserve">2025-09-02 07:00:00</t>
  </si>
  <si>
    <t xml:space="preserve">2025-09-11 19:12:00</t>
  </si>
  <si>
    <t xml:space="preserve">SHP0429</t>
  </si>
  <si>
    <t xml:space="preserve">2025-07-25 07:00:00</t>
  </si>
  <si>
    <t xml:space="preserve">2025-07-27 00:00:00</t>
  </si>
  <si>
    <t xml:space="preserve">SHP0430</t>
  </si>
  <si>
    <t xml:space="preserve">2025-01-08 07:00:00</t>
  </si>
  <si>
    <t xml:space="preserve">2025-01-13 12:00:00</t>
  </si>
  <si>
    <t xml:space="preserve">SHP0431</t>
  </si>
  <si>
    <t xml:space="preserve">2025-05-21 02:00:00</t>
  </si>
  <si>
    <t xml:space="preserve">2025-05-28 09:36:00</t>
  </si>
  <si>
    <t xml:space="preserve">SHP0432</t>
  </si>
  <si>
    <t xml:space="preserve">2025-06-17 05:00:00</t>
  </si>
  <si>
    <t xml:space="preserve">2025-06-22 09:36:00</t>
  </si>
  <si>
    <t xml:space="preserve">SHP0433</t>
  </si>
  <si>
    <t xml:space="preserve">2025-07-22 22:00:00</t>
  </si>
  <si>
    <t xml:space="preserve">2025-07-28 00:00:00</t>
  </si>
  <si>
    <t xml:space="preserve">SHP0434</t>
  </si>
  <si>
    <t xml:space="preserve">2025-01-28 08:00:00</t>
  </si>
  <si>
    <t xml:space="preserve">SHP0435</t>
  </si>
  <si>
    <t xml:space="preserve">2025-09-17 23:00:00</t>
  </si>
  <si>
    <t xml:space="preserve">2025-09-28 00:00:00</t>
  </si>
  <si>
    <t xml:space="preserve">SHP0436</t>
  </si>
  <si>
    <t xml:space="preserve">2025-06-02 05:00:00</t>
  </si>
  <si>
    <t xml:space="preserve">2025-06-07 16:48:00</t>
  </si>
  <si>
    <t xml:space="preserve">SHP0437</t>
  </si>
  <si>
    <t xml:space="preserve">2025-09-12 21:00:00</t>
  </si>
  <si>
    <t xml:space="preserve">SHP0438</t>
  </si>
  <si>
    <t xml:space="preserve">2025-02-04 04:00:00</t>
  </si>
  <si>
    <t xml:space="preserve">2025-02-18 02:24:00</t>
  </si>
  <si>
    <t xml:space="preserve">SHP0439</t>
  </si>
  <si>
    <t xml:space="preserve">2025-07-02 02:00:00</t>
  </si>
  <si>
    <t xml:space="preserve">2025-07-13 19:12:00</t>
  </si>
  <si>
    <t xml:space="preserve">SHP0440</t>
  </si>
  <si>
    <t xml:space="preserve">2025-04-16 08:00:00</t>
  </si>
  <si>
    <t xml:space="preserve">2025-04-25 16:48:00</t>
  </si>
  <si>
    <t xml:space="preserve">SHP0441</t>
  </si>
  <si>
    <t xml:space="preserve">2025-10-20 06:00:00</t>
  </si>
  <si>
    <t xml:space="preserve">SHP0442</t>
  </si>
  <si>
    <t xml:space="preserve">2025-04-24 19:00:00</t>
  </si>
  <si>
    <t xml:space="preserve">2025-05-04 07:12:00</t>
  </si>
  <si>
    <t xml:space="preserve">SHP0443</t>
  </si>
  <si>
    <t xml:space="preserve">2025-04-19 09:00:00</t>
  </si>
  <si>
    <t xml:space="preserve">2025-04-20 00:00:00</t>
  </si>
  <si>
    <t xml:space="preserve">SHP0444</t>
  </si>
  <si>
    <t xml:space="preserve">2025-08-09 03:00:00</t>
  </si>
  <si>
    <t xml:space="preserve">2025-08-10 00:00:00</t>
  </si>
  <si>
    <t xml:space="preserve">SHP0445</t>
  </si>
  <si>
    <t xml:space="preserve">2025-04-01 05:00:00</t>
  </si>
  <si>
    <t xml:space="preserve">2025-04-09 12:00:00</t>
  </si>
  <si>
    <t xml:space="preserve">SHP0446</t>
  </si>
  <si>
    <t xml:space="preserve">2025-02-05 20:00:00</t>
  </si>
  <si>
    <t xml:space="preserve">2025-02-10 19:12:00</t>
  </si>
  <si>
    <t xml:space="preserve">SHP0447</t>
  </si>
  <si>
    <t xml:space="preserve">2025-09-24</t>
  </si>
  <si>
    <t xml:space="preserve">2025-09-23 19:00:00</t>
  </si>
  <si>
    <t xml:space="preserve">2025-10-05 21:36:00</t>
  </si>
  <si>
    <t xml:space="preserve">SHP0448</t>
  </si>
  <si>
    <t xml:space="preserve">2025-04-09 08:00:00</t>
  </si>
  <si>
    <t xml:space="preserve">2025-04-13 00:00:00</t>
  </si>
  <si>
    <t xml:space="preserve">SHP0449</t>
  </si>
  <si>
    <t xml:space="preserve">2025-10-31</t>
  </si>
  <si>
    <t xml:space="preserve">2025-10-25 23:00:00</t>
  </si>
  <si>
    <t xml:space="preserve">2025-11-01 16:48:00</t>
  </si>
  <si>
    <t xml:space="preserve">SHP0450</t>
  </si>
  <si>
    <t xml:space="preserve">2025-08-29 12:00:00</t>
  </si>
  <si>
    <t xml:space="preserve">SHP0451</t>
  </si>
  <si>
    <t xml:space="preserve">2025-07-15 06:00:00</t>
  </si>
  <si>
    <t xml:space="preserve">2025-07-22 12:00:00</t>
  </si>
  <si>
    <t xml:space="preserve">SHP0452</t>
  </si>
  <si>
    <t xml:space="preserve">2025-03-03 07:00:00</t>
  </si>
  <si>
    <t xml:space="preserve">2025-03-08 14:24:00</t>
  </si>
  <si>
    <t xml:space="preserve">SHP0453</t>
  </si>
  <si>
    <t xml:space="preserve">2025-01-05 19:00:00</t>
  </si>
  <si>
    <t xml:space="preserve">2025-01-12 07:12:00</t>
  </si>
  <si>
    <t xml:space="preserve">SHP0454</t>
  </si>
  <si>
    <t xml:space="preserve">2025-06-08 09:00:00</t>
  </si>
  <si>
    <t xml:space="preserve">2025-06-12 21:36:00</t>
  </si>
  <si>
    <t xml:space="preserve">SHP0455</t>
  </si>
  <si>
    <t xml:space="preserve">2025-07-01 09:00:00</t>
  </si>
  <si>
    <t xml:space="preserve">SHP0456</t>
  </si>
  <si>
    <t xml:space="preserve">2025-09-23 23:00:00</t>
  </si>
  <si>
    <t xml:space="preserve">SHP0457</t>
  </si>
  <si>
    <t xml:space="preserve">2025-07-13 19:00:00</t>
  </si>
  <si>
    <t xml:space="preserve">2025-07-17 00:00:00</t>
  </si>
  <si>
    <t xml:space="preserve">SHP0458</t>
  </si>
  <si>
    <t xml:space="preserve">2025-03-17 00:00:00</t>
  </si>
  <si>
    <t xml:space="preserve">2025-03-29 19:12:00</t>
  </si>
  <si>
    <t xml:space="preserve">SHP0459</t>
  </si>
  <si>
    <t xml:space="preserve">2025-01-25 09:00:00</t>
  </si>
  <si>
    <t xml:space="preserve">2025-01-28 12:00:00</t>
  </si>
  <si>
    <t xml:space="preserve">SHP0460</t>
  </si>
  <si>
    <t xml:space="preserve">2025-01-17 07:00:00</t>
  </si>
  <si>
    <t xml:space="preserve">2025-01-23 16:48:00</t>
  </si>
  <si>
    <t xml:space="preserve">SHP0461</t>
  </si>
  <si>
    <t xml:space="preserve">2025-02-05 03:00:00</t>
  </si>
  <si>
    <t xml:space="preserve">2025-02-11 12:00:00</t>
  </si>
  <si>
    <t xml:space="preserve">SHP0462</t>
  </si>
  <si>
    <t xml:space="preserve">2025-08-09 21:00:00</t>
  </si>
  <si>
    <t xml:space="preserve">2025-08-12 21:36:00</t>
  </si>
  <si>
    <t xml:space="preserve">SHP0463</t>
  </si>
  <si>
    <t xml:space="preserve">2025-03-26 07:00:00</t>
  </si>
  <si>
    <t xml:space="preserve">2025-03-31 07:12:00</t>
  </si>
  <si>
    <t xml:space="preserve">SHP0464</t>
  </si>
  <si>
    <t xml:space="preserve">2025-07-25 00:00:00</t>
  </si>
  <si>
    <t xml:space="preserve">2025-08-02 09:36:00</t>
  </si>
  <si>
    <t xml:space="preserve">SHP0465</t>
  </si>
  <si>
    <t xml:space="preserve">2025-08-11 01:00:00</t>
  </si>
  <si>
    <t xml:space="preserve">SHP0466</t>
  </si>
  <si>
    <t xml:space="preserve">2025-02-20 07:00:00</t>
  </si>
  <si>
    <t xml:space="preserve">2025-02-23 00:00:00</t>
  </si>
  <si>
    <t xml:space="preserve">SHP0467</t>
  </si>
  <si>
    <t xml:space="preserve">2025-01-16 09:00:00</t>
  </si>
  <si>
    <t xml:space="preserve">2025-01-23 19:12:00</t>
  </si>
  <si>
    <t xml:space="preserve">SHP0468</t>
  </si>
  <si>
    <t xml:space="preserve">2025-10-02 03:00:00</t>
  </si>
  <si>
    <t xml:space="preserve">2025-10-14 07:12:00</t>
  </si>
  <si>
    <t xml:space="preserve">SHP0469</t>
  </si>
  <si>
    <t xml:space="preserve">2025-01-29 20:00:00</t>
  </si>
  <si>
    <t xml:space="preserve">2025-02-01 07:12:00</t>
  </si>
  <si>
    <t xml:space="preserve">SHP0470</t>
  </si>
  <si>
    <t xml:space="preserve">2025-03-25 20:00:00</t>
  </si>
  <si>
    <t xml:space="preserve">2025-03-31 19:12:00</t>
  </si>
  <si>
    <t xml:space="preserve">SHP0471</t>
  </si>
  <si>
    <t xml:space="preserve">2025-10-04 02:00:00</t>
  </si>
  <si>
    <t xml:space="preserve">2025-10-08 19:12:00</t>
  </si>
  <si>
    <t xml:space="preserve">SHP0472</t>
  </si>
  <si>
    <t xml:space="preserve">2025-07-05 04:00:00</t>
  </si>
  <si>
    <t xml:space="preserve">2025-07-08 19:12:00</t>
  </si>
  <si>
    <t xml:space="preserve">SHP0473</t>
  </si>
  <si>
    <t xml:space="preserve">2025-01-07 19:00:00</t>
  </si>
  <si>
    <t xml:space="preserve">2025-01-09 00:00:00</t>
  </si>
  <si>
    <t xml:space="preserve">SHP0474</t>
  </si>
  <si>
    <t xml:space="preserve">2025-07-20 22:00:00</t>
  </si>
  <si>
    <t xml:space="preserve">2025-07-26 00:00:00</t>
  </si>
  <si>
    <t xml:space="preserve">SHP0475</t>
  </si>
  <si>
    <t xml:space="preserve">2025-03-15 06:00:00</t>
  </si>
  <si>
    <t xml:space="preserve">2025-03-20 00:00:00</t>
  </si>
  <si>
    <t xml:space="preserve">SHP0476</t>
  </si>
  <si>
    <t xml:space="preserve">2025-10-23 08:00:00</t>
  </si>
  <si>
    <t xml:space="preserve">2025-10-28 00:00:00</t>
  </si>
  <si>
    <t xml:space="preserve">SHP0477</t>
  </si>
  <si>
    <t xml:space="preserve">2025-01-18 04:00:00</t>
  </si>
  <si>
    <t xml:space="preserve">2025-01-23 14:24:00</t>
  </si>
  <si>
    <t xml:space="preserve">SHP0478</t>
  </si>
  <si>
    <t xml:space="preserve">2025-07-11 21:00:00</t>
  </si>
  <si>
    <t xml:space="preserve">2025-07-23 21:36:00</t>
  </si>
  <si>
    <t xml:space="preserve">SHP0479</t>
  </si>
  <si>
    <t xml:space="preserve">2025-04-12 08:00:00</t>
  </si>
  <si>
    <t xml:space="preserve">2025-04-19 16:48:00</t>
  </si>
  <si>
    <t xml:space="preserve">SHP0480</t>
  </si>
  <si>
    <t xml:space="preserve">2025-04-19 02:24:00</t>
  </si>
  <si>
    <t xml:space="preserve">SHP0481</t>
  </si>
  <si>
    <t xml:space="preserve">2025-07-31 08:00:00</t>
  </si>
  <si>
    <t xml:space="preserve">2025-08-06 19:12:00</t>
  </si>
  <si>
    <t xml:space="preserve">SHP0482</t>
  </si>
  <si>
    <t xml:space="preserve">2025-09-16 23:00:00</t>
  </si>
  <si>
    <t xml:space="preserve">2025-09-21 12:00:00</t>
  </si>
  <si>
    <t xml:space="preserve">SHP0483</t>
  </si>
  <si>
    <t xml:space="preserve">2025-08-27 02:00:00</t>
  </si>
  <si>
    <t xml:space="preserve">2025-09-07 02:24:00</t>
  </si>
  <si>
    <t xml:space="preserve">SHP0484</t>
  </si>
  <si>
    <t xml:space="preserve">2025-10-15</t>
  </si>
  <si>
    <t xml:space="preserve">2025-10-25 14:24:00</t>
  </si>
  <si>
    <t xml:space="preserve">SHP0485</t>
  </si>
  <si>
    <t xml:space="preserve">2025-06-06 07:00:00</t>
  </si>
  <si>
    <t xml:space="preserve">2025-06-09 16:48:00</t>
  </si>
  <si>
    <t xml:space="preserve">SHP0486</t>
  </si>
  <si>
    <t xml:space="preserve">2025-04-04 09:00:00</t>
  </si>
  <si>
    <t xml:space="preserve">SHP0487</t>
  </si>
  <si>
    <t xml:space="preserve">2025-02-13 08:00:00</t>
  </si>
  <si>
    <t xml:space="preserve">2025-02-22 07:12:00</t>
  </si>
  <si>
    <t xml:space="preserve">SHP0488</t>
  </si>
  <si>
    <t xml:space="preserve">2025-01-15 02:24:00</t>
  </si>
  <si>
    <t xml:space="preserve">SHP0489</t>
  </si>
  <si>
    <t xml:space="preserve">2025-06-10 20:00:00</t>
  </si>
  <si>
    <t xml:space="preserve">2025-06-17 02:24:00</t>
  </si>
  <si>
    <t xml:space="preserve">SHP0490</t>
  </si>
  <si>
    <t xml:space="preserve">2025-06-05 01:00:00</t>
  </si>
  <si>
    <t xml:space="preserve">2025-06-10 16:48:00</t>
  </si>
  <si>
    <t xml:space="preserve">SHP0491</t>
  </si>
  <si>
    <t xml:space="preserve">2025-05-31</t>
  </si>
  <si>
    <t xml:space="preserve">2025-05-28 01:00:00</t>
  </si>
  <si>
    <t xml:space="preserve">2025-06-03 09:36:00</t>
  </si>
  <si>
    <t xml:space="preserve">SHP0492</t>
  </si>
  <si>
    <t xml:space="preserve">2025-08-01 20:00:00</t>
  </si>
  <si>
    <t xml:space="preserve">SHP0493</t>
  </si>
  <si>
    <t xml:space="preserve">2025-10-03 20:00:00</t>
  </si>
  <si>
    <t xml:space="preserve">2025-10-08 16:48:00</t>
  </si>
  <si>
    <t xml:space="preserve">SHP0494</t>
  </si>
  <si>
    <t xml:space="preserve">2025-08-26 14:24:00</t>
  </si>
  <si>
    <t xml:space="preserve">SHP0495</t>
  </si>
  <si>
    <t xml:space="preserve">2025-03-19 05:00:00</t>
  </si>
  <si>
    <t xml:space="preserve">2025-03-20 02:24:00</t>
  </si>
  <si>
    <t xml:space="preserve">SHP0496</t>
  </si>
  <si>
    <t xml:space="preserve">2025-01-24 19:00:00</t>
  </si>
  <si>
    <t xml:space="preserve">2025-02-01 21:36:00</t>
  </si>
  <si>
    <t xml:space="preserve">SHP0497</t>
  </si>
  <si>
    <t xml:space="preserve">2025-05-08 03:00:00</t>
  </si>
  <si>
    <t xml:space="preserve">2025-05-14 00:00:00</t>
  </si>
  <si>
    <t xml:space="preserve">SHP0498</t>
  </si>
  <si>
    <t xml:space="preserve">2025-04-08 02:00:00</t>
  </si>
  <si>
    <t xml:space="preserve">2025-04-16 16:48:00</t>
  </si>
  <si>
    <t xml:space="preserve">SHP0499</t>
  </si>
  <si>
    <t xml:space="preserve">2025-09-18 07:00:00</t>
  </si>
  <si>
    <t xml:space="preserve">SHP0500</t>
  </si>
  <si>
    <t xml:space="preserve">2025-01-08 23:00:00</t>
  </si>
  <si>
    <t xml:space="preserve">SHP0501</t>
  </si>
  <si>
    <t xml:space="preserve">2025-02-20 06:00:00</t>
  </si>
  <si>
    <t xml:space="preserve">2025-02-24 07:12:00</t>
  </si>
  <si>
    <t xml:space="preserve">SHP0502</t>
  </si>
  <si>
    <t xml:space="preserve">2025-02-03 00:00:00</t>
  </si>
  <si>
    <t xml:space="preserve">SHP0503</t>
  </si>
  <si>
    <t xml:space="preserve">2025-01-14 01:00:00</t>
  </si>
  <si>
    <t xml:space="preserve">2025-01-18 19:12:00</t>
  </si>
  <si>
    <t xml:space="preserve">SHP0504</t>
  </si>
  <si>
    <t xml:space="preserve">2025-07-11 01:00:00</t>
  </si>
  <si>
    <t xml:space="preserve">2025-07-15 19:12:00</t>
  </si>
  <si>
    <t xml:space="preserve">SHP0505</t>
  </si>
  <si>
    <t xml:space="preserve">2025-06-20 22:00:00</t>
  </si>
  <si>
    <t xml:space="preserve">2025-06-26 21:36:00</t>
  </si>
  <si>
    <t xml:space="preserve">SHP0506</t>
  </si>
  <si>
    <t xml:space="preserve">2025-06-23 09:00:00</t>
  </si>
  <si>
    <t xml:space="preserve">SHP0507</t>
  </si>
  <si>
    <t xml:space="preserve">2025-05-08 21:36:00</t>
  </si>
  <si>
    <t xml:space="preserve">SHP0508</t>
  </si>
  <si>
    <t xml:space="preserve">2025-01-29 00:00:00</t>
  </si>
  <si>
    <t xml:space="preserve">SHP0509</t>
  </si>
  <si>
    <t xml:space="preserve">SHP0510</t>
  </si>
  <si>
    <t xml:space="preserve">2025-06-30 07:00:00</t>
  </si>
  <si>
    <t xml:space="preserve">2025-07-09 00:00:00</t>
  </si>
  <si>
    <t xml:space="preserve">SHP0511</t>
  </si>
  <si>
    <t xml:space="preserve">2025-01-26 04:48:00</t>
  </si>
  <si>
    <t xml:space="preserve">SHP0512</t>
  </si>
  <si>
    <t xml:space="preserve">2025-03-02 19:00:00</t>
  </si>
  <si>
    <t xml:space="preserve">2025-03-06 12:00:00</t>
  </si>
  <si>
    <t xml:space="preserve">SHP0513</t>
  </si>
  <si>
    <t xml:space="preserve">2025-09-11 08:00:00</t>
  </si>
  <si>
    <t xml:space="preserve">2025-09-18 12:00:00</t>
  </si>
  <si>
    <t xml:space="preserve">SHP0514</t>
  </si>
  <si>
    <t xml:space="preserve">2025-01-21 01:00:00</t>
  </si>
  <si>
    <t xml:space="preserve">2025-01-30 16:48:00</t>
  </si>
  <si>
    <t xml:space="preserve">SHP0515</t>
  </si>
  <si>
    <t xml:space="preserve">2025-03-04 21:00:00</t>
  </si>
  <si>
    <t xml:space="preserve">2025-03-09 19:12:00</t>
  </si>
  <si>
    <t xml:space="preserve">SHP0516</t>
  </si>
  <si>
    <t xml:space="preserve">2025-09-30 08:00:00</t>
  </si>
  <si>
    <t xml:space="preserve">SHP0517</t>
  </si>
  <si>
    <t xml:space="preserve">2025-01-16 06:00:00</t>
  </si>
  <si>
    <t xml:space="preserve">2025-01-26 21:36:00</t>
  </si>
  <si>
    <t xml:space="preserve">SHP0518</t>
  </si>
  <si>
    <t xml:space="preserve">2025-09-15 20:00:00</t>
  </si>
  <si>
    <t xml:space="preserve">2025-09-23 09:36:00</t>
  </si>
  <si>
    <t xml:space="preserve">SHP0519</t>
  </si>
  <si>
    <t xml:space="preserve">2025-09-19 04:48:00</t>
  </si>
  <si>
    <t xml:space="preserve">SHP0520</t>
  </si>
  <si>
    <t xml:space="preserve">SHP0521</t>
  </si>
  <si>
    <t xml:space="preserve">2025-01-22 04:48:00</t>
  </si>
  <si>
    <t xml:space="preserve">SHP0522</t>
  </si>
  <si>
    <t xml:space="preserve">2025-03-19 19:00:00</t>
  </si>
  <si>
    <t xml:space="preserve">2025-03-25 14:24:00</t>
  </si>
  <si>
    <t xml:space="preserve">SHP0523</t>
  </si>
  <si>
    <t xml:space="preserve">2025-02-20 20:00:00</t>
  </si>
  <si>
    <t xml:space="preserve">2025-02-25 04:48:00</t>
  </si>
  <si>
    <t xml:space="preserve">SHP0524</t>
  </si>
  <si>
    <t xml:space="preserve">2025-05-04 23:00:00</t>
  </si>
  <si>
    <t xml:space="preserve">2025-05-12 09:36:00</t>
  </si>
  <si>
    <t xml:space="preserve">SHP0525</t>
  </si>
  <si>
    <t xml:space="preserve">2025-06-12 07:12:00</t>
  </si>
  <si>
    <t xml:space="preserve">SHP0526</t>
  </si>
  <si>
    <t xml:space="preserve">2025-09-12 04:00:00</t>
  </si>
  <si>
    <t xml:space="preserve">2025-09-16 00:00:00</t>
  </si>
  <si>
    <t xml:space="preserve">SHP0527</t>
  </si>
  <si>
    <t xml:space="preserve">2025-01-29 19:00:00</t>
  </si>
  <si>
    <t xml:space="preserve">2025-02-06 00:00:00</t>
  </si>
  <si>
    <t xml:space="preserve">SHP0528</t>
  </si>
  <si>
    <t xml:space="preserve">2025-03-03 04:00:00</t>
  </si>
  <si>
    <t xml:space="preserve">2025-03-07 00:00:00</t>
  </si>
  <si>
    <t xml:space="preserve">SHP0529</t>
  </si>
  <si>
    <t xml:space="preserve">2025-09-08 19:00:00</t>
  </si>
  <si>
    <t xml:space="preserve">2025-09-11 14:24:00</t>
  </si>
  <si>
    <t xml:space="preserve">SHP0530</t>
  </si>
  <si>
    <t xml:space="preserve">2025-04-28 02:24:00</t>
  </si>
  <si>
    <t xml:space="preserve">SHP0531</t>
  </si>
  <si>
    <t xml:space="preserve">2025-07-03 08:00:00</t>
  </si>
  <si>
    <t xml:space="preserve">2025-07-11 09:36:00</t>
  </si>
  <si>
    <t xml:space="preserve">SHP0532</t>
  </si>
  <si>
    <t xml:space="preserve">2025-01-18 23:00:00</t>
  </si>
  <si>
    <t xml:space="preserve">2025-01-25 14:24:00</t>
  </si>
  <si>
    <t xml:space="preserve">SHP0533</t>
  </si>
  <si>
    <t xml:space="preserve">2025-02-03 20:00:00</t>
  </si>
  <si>
    <t xml:space="preserve">2025-02-13 02:24:00</t>
  </si>
  <si>
    <t xml:space="preserve">SHP0534</t>
  </si>
  <si>
    <t xml:space="preserve">2025-08-16 07:00:00</t>
  </si>
  <si>
    <t xml:space="preserve">2025-08-21 00:00:00</t>
  </si>
  <si>
    <t xml:space="preserve">SHP0535</t>
  </si>
  <si>
    <t xml:space="preserve">2025-03-05 22:00:00</t>
  </si>
  <si>
    <t xml:space="preserve">2025-03-10 00:00:00</t>
  </si>
  <si>
    <t xml:space="preserve">SHP0536</t>
  </si>
  <si>
    <t xml:space="preserve">2025-04-21 04:48:00</t>
  </si>
  <si>
    <t xml:space="preserve">SHP0537</t>
  </si>
  <si>
    <t xml:space="preserve">2025-05-10 19:00:00</t>
  </si>
  <si>
    <t xml:space="preserve">SHP0538</t>
  </si>
  <si>
    <t xml:space="preserve">2025-02-14 01:00:00</t>
  </si>
  <si>
    <t xml:space="preserve">2025-02-19 07:12:00</t>
  </si>
  <si>
    <t xml:space="preserve">SHP0539</t>
  </si>
  <si>
    <t xml:space="preserve">2025-04-12 23:00:00</t>
  </si>
  <si>
    <t xml:space="preserve">2025-04-22 21:36:00</t>
  </si>
  <si>
    <t xml:space="preserve">SHP0540</t>
  </si>
  <si>
    <t xml:space="preserve">2025-01-16 20:00:00</t>
  </si>
  <si>
    <t xml:space="preserve">2025-01-26 09:36:00</t>
  </si>
  <si>
    <t xml:space="preserve">SHP0541</t>
  </si>
  <si>
    <t xml:space="preserve">2025-03-12 02:24:00</t>
  </si>
  <si>
    <t xml:space="preserve">SHP0542</t>
  </si>
  <si>
    <t xml:space="preserve">2025-05-23 19:00:00</t>
  </si>
  <si>
    <t xml:space="preserve">2025-06-05 16:48:00</t>
  </si>
  <si>
    <t xml:space="preserve">SHP0543</t>
  </si>
  <si>
    <t xml:space="preserve">2025-07-02 01:00:00</t>
  </si>
  <si>
    <t xml:space="preserve">2025-07-06 19:12:00</t>
  </si>
  <si>
    <t xml:space="preserve">SHP0544</t>
  </si>
  <si>
    <t xml:space="preserve">2025-08-15 20:00:00</t>
  </si>
  <si>
    <t xml:space="preserve">SHP0545</t>
  </si>
  <si>
    <t xml:space="preserve">2025-05-29 21:36:00</t>
  </si>
  <si>
    <t xml:space="preserve">SHP0546</t>
  </si>
  <si>
    <t xml:space="preserve">2025-05-10 01:00:00</t>
  </si>
  <si>
    <t xml:space="preserve">SHP0547</t>
  </si>
  <si>
    <t xml:space="preserve">2025-06-04 08:00:00</t>
  </si>
  <si>
    <t xml:space="preserve">2025-06-07 02:24:00</t>
  </si>
  <si>
    <t xml:space="preserve">SHP0548</t>
  </si>
  <si>
    <t xml:space="preserve">2025-01-24 23:00:00</t>
  </si>
  <si>
    <t xml:space="preserve">2025-01-28 04:48:00</t>
  </si>
  <si>
    <t xml:space="preserve">SHP0549</t>
  </si>
  <si>
    <t xml:space="preserve">SHP0550</t>
  </si>
  <si>
    <t xml:space="preserve">2025-02-12 02:00:00</t>
  </si>
  <si>
    <t xml:space="preserve">2025-02-20 04:48:00</t>
  </si>
  <si>
    <t xml:space="preserve">SHP0551</t>
  </si>
  <si>
    <t xml:space="preserve">2025-09-27 01:00:00</t>
  </si>
  <si>
    <t xml:space="preserve">2025-10-03 16:48:00</t>
  </si>
  <si>
    <t xml:space="preserve">SHP0552</t>
  </si>
  <si>
    <t xml:space="preserve">2025-05-17 23:00:00</t>
  </si>
  <si>
    <t xml:space="preserve">2025-05-25 02:24:00</t>
  </si>
  <si>
    <t xml:space="preserve">SHP0553</t>
  </si>
  <si>
    <t xml:space="preserve">2025-11-03</t>
  </si>
  <si>
    <t xml:space="preserve">2025-11-02 00:00:00</t>
  </si>
  <si>
    <t xml:space="preserve">SHP0554</t>
  </si>
  <si>
    <t xml:space="preserve">2025-04-04 23:00:00</t>
  </si>
  <si>
    <t xml:space="preserve">2025-04-08 00:00:00</t>
  </si>
  <si>
    <t xml:space="preserve">SHP0555</t>
  </si>
  <si>
    <t xml:space="preserve">2025-01-29 08:00:00</t>
  </si>
  <si>
    <t xml:space="preserve">2025-02-03 02:24:00</t>
  </si>
  <si>
    <t xml:space="preserve">SHP0556</t>
  </si>
  <si>
    <t xml:space="preserve">2025-06-10 22:00:00</t>
  </si>
  <si>
    <t xml:space="preserve">2025-06-17 16:48:00</t>
  </si>
  <si>
    <t xml:space="preserve">SHP0557</t>
  </si>
  <si>
    <t xml:space="preserve">2025-06-15 20:00:00</t>
  </si>
  <si>
    <t xml:space="preserve">SHP0558</t>
  </si>
  <si>
    <t xml:space="preserve">2025-05-14 07:00:00</t>
  </si>
  <si>
    <t xml:space="preserve">2025-05-19 02:24:00</t>
  </si>
  <si>
    <t xml:space="preserve">SHP0559</t>
  </si>
  <si>
    <t xml:space="preserve">2025-08-15 08:00:00</t>
  </si>
  <si>
    <t xml:space="preserve">2025-08-18 00:00:00</t>
  </si>
  <si>
    <t xml:space="preserve">SHP0560</t>
  </si>
  <si>
    <t xml:space="preserve">2025-05-20 01:00:00</t>
  </si>
  <si>
    <t xml:space="preserve">SHP0561</t>
  </si>
  <si>
    <t xml:space="preserve">2025-02-09 22:00:00</t>
  </si>
  <si>
    <t xml:space="preserve">2025-02-12 16:48:00</t>
  </si>
  <si>
    <t xml:space="preserve">SHP0562</t>
  </si>
  <si>
    <t xml:space="preserve">2025-03-28 00:00:00</t>
  </si>
  <si>
    <t xml:space="preserve">SHP0563</t>
  </si>
  <si>
    <t xml:space="preserve">2025-10-15 08:00:00</t>
  </si>
  <si>
    <t xml:space="preserve">2025-10-17 00:00:00</t>
  </si>
  <si>
    <t xml:space="preserve">SHP0564</t>
  </si>
  <si>
    <t xml:space="preserve">2025-04-29 00:00:00</t>
  </si>
  <si>
    <t xml:space="preserve">SHP0565</t>
  </si>
  <si>
    <t xml:space="preserve">2025-09-03 21:00:00</t>
  </si>
  <si>
    <t xml:space="preserve">2025-09-10 12:00:00</t>
  </si>
  <si>
    <t xml:space="preserve">SHP0566</t>
  </si>
  <si>
    <t xml:space="preserve">2025-02-08 22:00:00</t>
  </si>
  <si>
    <t xml:space="preserve">2025-02-14 07:12:00</t>
  </si>
  <si>
    <t xml:space="preserve">SHP0567</t>
  </si>
  <si>
    <t xml:space="preserve">2025-05-01 23:00:00</t>
  </si>
  <si>
    <t xml:space="preserve">2025-05-05 00:00:00</t>
  </si>
  <si>
    <t xml:space="preserve">SHP0568</t>
  </si>
  <si>
    <t xml:space="preserve">SHP0569</t>
  </si>
  <si>
    <t xml:space="preserve">2025-05-05 05:00:00</t>
  </si>
  <si>
    <t xml:space="preserve">2025-05-10 12:00:00</t>
  </si>
  <si>
    <t xml:space="preserve">SHP0570</t>
  </si>
  <si>
    <t xml:space="preserve">2025-10-25 07:00:00</t>
  </si>
  <si>
    <t xml:space="preserve">2025-11-05 04:48:00</t>
  </si>
  <si>
    <t xml:space="preserve">SHP0571</t>
  </si>
  <si>
    <t xml:space="preserve">2025-03-25 23:00:00</t>
  </si>
  <si>
    <t xml:space="preserve">2025-04-08 09:36:00</t>
  </si>
  <si>
    <t xml:space="preserve">SHP0572</t>
  </si>
  <si>
    <t xml:space="preserve">2025-05-30 09:00:00</t>
  </si>
  <si>
    <t xml:space="preserve">SHP0573</t>
  </si>
  <si>
    <t xml:space="preserve">2025-10-20 19:12:00</t>
  </si>
  <si>
    <t xml:space="preserve">SHP0574</t>
  </si>
  <si>
    <t xml:space="preserve">2025-06-26 09:00:00</t>
  </si>
  <si>
    <t xml:space="preserve">SHP0575</t>
  </si>
  <si>
    <t xml:space="preserve">2025-03-31 19:00:00</t>
  </si>
  <si>
    <t xml:space="preserve">2025-04-10 00:00:00</t>
  </si>
  <si>
    <t xml:space="preserve">SHP0576</t>
  </si>
  <si>
    <t xml:space="preserve">2025-04-03 21:36:00</t>
  </si>
  <si>
    <t xml:space="preserve">SHP0577</t>
  </si>
  <si>
    <t xml:space="preserve">2025-03-09 06:00:00</t>
  </si>
  <si>
    <t xml:space="preserve">2025-03-16 02:24:00</t>
  </si>
  <si>
    <t xml:space="preserve">SHP0578</t>
  </si>
  <si>
    <t xml:space="preserve">2025-03-27 01:00:00</t>
  </si>
  <si>
    <t xml:space="preserve">SHP0579</t>
  </si>
  <si>
    <t xml:space="preserve">2025-07-31 20:00:00</t>
  </si>
  <si>
    <t xml:space="preserve">SHP0580</t>
  </si>
  <si>
    <t xml:space="preserve">2025-07-20 00:00:00</t>
  </si>
  <si>
    <t xml:space="preserve">SHP0581</t>
  </si>
  <si>
    <t xml:space="preserve">SHP0582</t>
  </si>
  <si>
    <t xml:space="preserve">2025-04-21 07:00:00</t>
  </si>
  <si>
    <t xml:space="preserve">2025-04-25 09:36:00</t>
  </si>
  <si>
    <t xml:space="preserve">SHP0583</t>
  </si>
  <si>
    <t xml:space="preserve">2025-07-21 07:00:00</t>
  </si>
  <si>
    <t xml:space="preserve">2025-07-30 07:12:00</t>
  </si>
  <si>
    <t xml:space="preserve">SHP0584</t>
  </si>
  <si>
    <t xml:space="preserve">2025-03-17 05:00:00</t>
  </si>
  <si>
    <t xml:space="preserve">2025-03-18 19:12:00</t>
  </si>
  <si>
    <t xml:space="preserve">SHP0585</t>
  </si>
  <si>
    <t xml:space="preserve">2025-07-09 20:00:00</t>
  </si>
  <si>
    <t xml:space="preserve">2025-07-24 09:36:00</t>
  </si>
  <si>
    <t xml:space="preserve">SHP0586</t>
  </si>
  <si>
    <t xml:space="preserve">2025-02-26 00:00:00</t>
  </si>
  <si>
    <t xml:space="preserve">SHP0587</t>
  </si>
  <si>
    <t xml:space="preserve">2025-03-06 02:00:00</t>
  </si>
  <si>
    <t xml:space="preserve">2025-03-13 07:12:00</t>
  </si>
  <si>
    <t xml:space="preserve">SHP0588</t>
  </si>
  <si>
    <t xml:space="preserve">2025-07-29 22:00:00</t>
  </si>
  <si>
    <t xml:space="preserve">2025-08-01 00:00:00</t>
  </si>
  <si>
    <t xml:space="preserve">SHP0589</t>
  </si>
  <si>
    <t xml:space="preserve">2025-01-26 20:00:00</t>
  </si>
  <si>
    <t xml:space="preserve">2025-02-05 14:24:00</t>
  </si>
  <si>
    <t xml:space="preserve">SHP0590</t>
  </si>
  <si>
    <t xml:space="preserve">2025-10-14 19:00:00</t>
  </si>
  <si>
    <t xml:space="preserve">2025-10-22 16:48:00</t>
  </si>
  <si>
    <t xml:space="preserve">SHP0591</t>
  </si>
  <si>
    <t xml:space="preserve">2025-08-22 02:00:00</t>
  </si>
  <si>
    <t xml:space="preserve">2025-08-28 21:36:00</t>
  </si>
  <si>
    <t xml:space="preserve">SHP0592</t>
  </si>
  <si>
    <t xml:space="preserve">2025-07-13 20:00:00</t>
  </si>
  <si>
    <t xml:space="preserve">2025-07-16 02:24:00</t>
  </si>
  <si>
    <t xml:space="preserve">SHP0593</t>
  </si>
  <si>
    <t xml:space="preserve">2025-10-25 05:00:00</t>
  </si>
  <si>
    <t xml:space="preserve">2025-10-31 14:24:00</t>
  </si>
  <si>
    <t xml:space="preserve">SHP0594</t>
  </si>
  <si>
    <t xml:space="preserve">SHP0595</t>
  </si>
  <si>
    <t xml:space="preserve">2025-04-02 21:00:00</t>
  </si>
  <si>
    <t xml:space="preserve">2025-04-08 14:24:00</t>
  </si>
  <si>
    <t xml:space="preserve">SHP0596</t>
  </si>
  <si>
    <t xml:space="preserve">2025-01-30 22:00:00</t>
  </si>
  <si>
    <t xml:space="preserve">2025-02-15 02:24:00</t>
  </si>
  <si>
    <t xml:space="preserve">SHP0597</t>
  </si>
  <si>
    <t xml:space="preserve">2025-07-27 06:00:00</t>
  </si>
  <si>
    <t xml:space="preserve">2025-08-03 19:12:00</t>
  </si>
  <si>
    <t xml:space="preserve">SHP0598</t>
  </si>
  <si>
    <t xml:space="preserve">2025-07-26 04:00:00</t>
  </si>
  <si>
    <t xml:space="preserve">SHP0599</t>
  </si>
  <si>
    <t xml:space="preserve">2025-10-03 06:00:00</t>
  </si>
  <si>
    <t xml:space="preserve">2025-10-07 00:00:00</t>
  </si>
  <si>
    <t xml:space="preserve">SHP0600</t>
  </si>
  <si>
    <t xml:space="preserve">2025-09-26 19:12:00</t>
  </si>
  <si>
    <t xml:space="preserve">SHP0601</t>
  </si>
  <si>
    <t xml:space="preserve">2025-03-21 20:00:00</t>
  </si>
  <si>
    <t xml:space="preserve">2025-03-27 00:00:00</t>
  </si>
  <si>
    <t xml:space="preserve">SHP0602</t>
  </si>
  <si>
    <t xml:space="preserve">2025-06-29 04:00:00</t>
  </si>
  <si>
    <t xml:space="preserve">2025-07-10 04:48:00</t>
  </si>
  <si>
    <t xml:space="preserve">SHP0603</t>
  </si>
  <si>
    <t xml:space="preserve">SHP0604</t>
  </si>
  <si>
    <t xml:space="preserve">2025-04-07 14:24:00</t>
  </si>
  <si>
    <t xml:space="preserve">SHP0605</t>
  </si>
  <si>
    <t xml:space="preserve">2025-07-10 09:00:00</t>
  </si>
  <si>
    <t xml:space="preserve">2025-07-19 04:48:00</t>
  </si>
  <si>
    <t xml:space="preserve">SHP0606</t>
  </si>
  <si>
    <t xml:space="preserve">2025-08-04 09:00:00</t>
  </si>
  <si>
    <t xml:space="preserve">2025-08-07 07:12:00</t>
  </si>
  <si>
    <t xml:space="preserve">SHP0607</t>
  </si>
  <si>
    <t xml:space="preserve">2025-10-27 19:00:00</t>
  </si>
  <si>
    <t xml:space="preserve">SHP0608</t>
  </si>
  <si>
    <t xml:space="preserve">2025-02-18 00:00:00</t>
  </si>
  <si>
    <t xml:space="preserve">SHP0609</t>
  </si>
  <si>
    <t xml:space="preserve">2025-09-26 02:00:00</t>
  </si>
  <si>
    <t xml:space="preserve">2025-10-06 07:12:00</t>
  </si>
  <si>
    <t xml:space="preserve">SHP0610</t>
  </si>
  <si>
    <t xml:space="preserve">2025-03-05 03:00:00</t>
  </si>
  <si>
    <t xml:space="preserve">2025-03-10 12:00:00</t>
  </si>
  <si>
    <t xml:space="preserve">SHP0611</t>
  </si>
  <si>
    <t xml:space="preserve">2025-03-05 07:12:00</t>
  </si>
  <si>
    <t xml:space="preserve">SHP0612</t>
  </si>
  <si>
    <t xml:space="preserve">2025-07-31 07:00:00</t>
  </si>
  <si>
    <t xml:space="preserve">2025-08-06 07:12:00</t>
  </si>
  <si>
    <t xml:space="preserve">SHP0613</t>
  </si>
  <si>
    <t xml:space="preserve">2025-08-31 04:00:00</t>
  </si>
  <si>
    <t xml:space="preserve">2025-09-04 07:12:00</t>
  </si>
  <si>
    <t xml:space="preserve">SHP0614</t>
  </si>
  <si>
    <t xml:space="preserve">2025-05-31 01:00:00</t>
  </si>
  <si>
    <t xml:space="preserve">2025-06-13 21:36:00</t>
  </si>
  <si>
    <t xml:space="preserve">SHP0615</t>
  </si>
  <si>
    <t xml:space="preserve">2025-04-07</t>
  </si>
  <si>
    <t xml:space="preserve">2025-04-01 21:00:00</t>
  </si>
  <si>
    <t xml:space="preserve">2025-04-11 04:48:00</t>
  </si>
  <si>
    <t xml:space="preserve">SHP0616</t>
  </si>
  <si>
    <t xml:space="preserve">2025-04-20 21:00:00</t>
  </si>
  <si>
    <t xml:space="preserve">2025-04-26 12:00:00</t>
  </si>
  <si>
    <t xml:space="preserve">SHP0617</t>
  </si>
  <si>
    <t xml:space="preserve">2025-05-28 07:00:00</t>
  </si>
  <si>
    <t xml:space="preserve">2025-06-06 14:24:00</t>
  </si>
  <si>
    <t xml:space="preserve">SHP0618</t>
  </si>
  <si>
    <t xml:space="preserve">2025-11-05</t>
  </si>
  <si>
    <t xml:space="preserve">2025-10-29 21:00:00</t>
  </si>
  <si>
    <t xml:space="preserve">2025-11-07 19:12:00</t>
  </si>
  <si>
    <t xml:space="preserve">SHP0619</t>
  </si>
  <si>
    <t xml:space="preserve">SHP0620</t>
  </si>
  <si>
    <t xml:space="preserve">2025-07-13 03:00:00</t>
  </si>
  <si>
    <t xml:space="preserve">2025-07-22 14:24:00</t>
  </si>
  <si>
    <t xml:space="preserve">SHP0621</t>
  </si>
  <si>
    <t xml:space="preserve">2025-01-28 02:00:00</t>
  </si>
  <si>
    <t xml:space="preserve">2025-02-04 12:00:00</t>
  </si>
  <si>
    <t xml:space="preserve">SHP0622</t>
  </si>
  <si>
    <t xml:space="preserve">2025-06-22 01:00:00</t>
  </si>
  <si>
    <t xml:space="preserve">2025-06-27 14:24:00</t>
  </si>
  <si>
    <t xml:space="preserve">SHP0623</t>
  </si>
  <si>
    <t xml:space="preserve">2025-01-08 04:00:00</t>
  </si>
  <si>
    <t xml:space="preserve">2025-01-14 09:36:00</t>
  </si>
  <si>
    <t xml:space="preserve">SHP0624</t>
  </si>
  <si>
    <t xml:space="preserve">2025-07-31 07:12:00</t>
  </si>
  <si>
    <t xml:space="preserve">SHP0625</t>
  </si>
  <si>
    <t xml:space="preserve">2025-07-03 00:00:00</t>
  </si>
  <si>
    <t xml:space="preserve">2025-07-06 14:24:00</t>
  </si>
  <si>
    <t xml:space="preserve">SHP0626</t>
  </si>
  <si>
    <t xml:space="preserve">2025-03-10 02:24:00</t>
  </si>
  <si>
    <t xml:space="preserve">SHP0627</t>
  </si>
  <si>
    <t xml:space="preserve">2025-01-04 20:00:00</t>
  </si>
  <si>
    <t xml:space="preserve">2025-01-13 04:48:00</t>
  </si>
  <si>
    <t xml:space="preserve">SHP0628</t>
  </si>
  <si>
    <t xml:space="preserve">2025-03-14 19:00:00</t>
  </si>
  <si>
    <t xml:space="preserve">SHP0629</t>
  </si>
  <si>
    <t xml:space="preserve">2025-02-07 03:00:00</t>
  </si>
  <si>
    <t xml:space="preserve">SHP0630</t>
  </si>
  <si>
    <t xml:space="preserve">2025-06-28 20:00:00</t>
  </si>
  <si>
    <t xml:space="preserve">2025-07-04 02:24:00</t>
  </si>
  <si>
    <t xml:space="preserve">SHP0631</t>
  </si>
  <si>
    <t xml:space="preserve">2025-05-30 20:00:00</t>
  </si>
  <si>
    <t xml:space="preserve">SHP0632</t>
  </si>
  <si>
    <t xml:space="preserve">2025-02-22 01:00:00</t>
  </si>
  <si>
    <t xml:space="preserve">2025-02-28 09:36:00</t>
  </si>
  <si>
    <t xml:space="preserve">SHP0633</t>
  </si>
  <si>
    <t xml:space="preserve">2025-10-19 05:00:00</t>
  </si>
  <si>
    <t xml:space="preserve">2025-10-23 00:00:00</t>
  </si>
  <si>
    <t xml:space="preserve">SHP0634</t>
  </si>
  <si>
    <t xml:space="preserve">2025-08-22 23:00:00</t>
  </si>
  <si>
    <t xml:space="preserve">SHP0635</t>
  </si>
  <si>
    <t xml:space="preserve">2025-09-22 07:00:00</t>
  </si>
  <si>
    <t xml:space="preserve">2025-09-24 00:00:00</t>
  </si>
  <si>
    <t xml:space="preserve">SHP0636</t>
  </si>
  <si>
    <t xml:space="preserve">2025-10-15 05:00:00</t>
  </si>
  <si>
    <t xml:space="preserve">2025-10-18 02:24:00</t>
  </si>
  <si>
    <t xml:space="preserve">SHP0637</t>
  </si>
  <si>
    <t xml:space="preserve">2025-10-26 06:00:00</t>
  </si>
  <si>
    <t xml:space="preserve">SHP0638</t>
  </si>
  <si>
    <t xml:space="preserve">2025-04-01 23:00:00</t>
  </si>
  <si>
    <t xml:space="preserve">SHP0639</t>
  </si>
  <si>
    <t xml:space="preserve">2025-07-14 02:00:00</t>
  </si>
  <si>
    <t xml:space="preserve">2025-07-19 12:00:00</t>
  </si>
  <si>
    <t xml:space="preserve">SHP0640</t>
  </si>
  <si>
    <t xml:space="preserve">2025-01-10 21:00:00</t>
  </si>
  <si>
    <t xml:space="preserve">2025-01-19 04:48:00</t>
  </si>
  <si>
    <t xml:space="preserve">SHP0641</t>
  </si>
  <si>
    <t xml:space="preserve">SHP0642</t>
  </si>
  <si>
    <t xml:space="preserve">2025-01-20 21:00:00</t>
  </si>
  <si>
    <t xml:space="preserve">SHP0643</t>
  </si>
  <si>
    <t xml:space="preserve">2025-04-28 14:24:00</t>
  </si>
  <si>
    <t xml:space="preserve">SHP0644</t>
  </si>
  <si>
    <t xml:space="preserve">2025-01-11 02:00:00</t>
  </si>
  <si>
    <t xml:space="preserve">2025-01-20 00:00:00</t>
  </si>
  <si>
    <t xml:space="preserve">SHP0645</t>
  </si>
  <si>
    <t xml:space="preserve">2025-10-12 01:00:00</t>
  </si>
  <si>
    <t xml:space="preserve">2025-10-16 09:36:00</t>
  </si>
  <si>
    <t xml:space="preserve">SHP0646</t>
  </si>
  <si>
    <t xml:space="preserve">2025-03-21 06:00:00</t>
  </si>
  <si>
    <t xml:space="preserve">2025-03-27 12:00:00</t>
  </si>
  <si>
    <t xml:space="preserve">SHP0647</t>
  </si>
  <si>
    <t xml:space="preserve">2025-08-24 09:00:00</t>
  </si>
  <si>
    <t xml:space="preserve">2025-08-30 02:24:00</t>
  </si>
  <si>
    <t xml:space="preserve">SHP0648</t>
  </si>
  <si>
    <t xml:space="preserve">2025-10-15 03:00:00</t>
  </si>
  <si>
    <t xml:space="preserve">SHP0649</t>
  </si>
  <si>
    <t xml:space="preserve">2025-09-13 01:00:00</t>
  </si>
  <si>
    <t xml:space="preserve">SHP0650</t>
  </si>
  <si>
    <t xml:space="preserve">2025-07-03 03:00:00</t>
  </si>
  <si>
    <t xml:space="preserve">2025-07-05 00:00:00</t>
  </si>
  <si>
    <t xml:space="preserve">SHP0651</t>
  </si>
  <si>
    <t xml:space="preserve">2025-01-13 19:12:00</t>
  </si>
  <si>
    <t xml:space="preserve">SHP0652</t>
  </si>
  <si>
    <t xml:space="preserve">2025-02-12 02:24:00</t>
  </si>
  <si>
    <t xml:space="preserve">SHP0653</t>
  </si>
  <si>
    <t xml:space="preserve">2025-07-17 09:00:00</t>
  </si>
  <si>
    <t xml:space="preserve">2025-07-27 04:48:00</t>
  </si>
  <si>
    <t xml:space="preserve">SHP0654</t>
  </si>
  <si>
    <t xml:space="preserve">2025-06-24 04:00:00</t>
  </si>
  <si>
    <t xml:space="preserve">2025-06-29 00:00:00</t>
  </si>
  <si>
    <t xml:space="preserve">SHP0655</t>
  </si>
  <si>
    <t xml:space="preserve">2025-09-21 20:00:00</t>
  </si>
  <si>
    <t xml:space="preserve">2025-10-02 14:24:00</t>
  </si>
  <si>
    <t xml:space="preserve">SHP0656</t>
  </si>
  <si>
    <t xml:space="preserve">2025-04-27 06:00:00</t>
  </si>
  <si>
    <t xml:space="preserve">2025-05-06 02:24:00</t>
  </si>
  <si>
    <t xml:space="preserve">SHP0657</t>
  </si>
  <si>
    <t xml:space="preserve">2025-07-23 07:00:00</t>
  </si>
  <si>
    <t xml:space="preserve">SHP0658</t>
  </si>
  <si>
    <t xml:space="preserve">2025-06-15 03:00:00</t>
  </si>
  <si>
    <t xml:space="preserve">2025-06-18 07:12:00</t>
  </si>
  <si>
    <t xml:space="preserve">SHP0659</t>
  </si>
  <si>
    <t xml:space="preserve">2025-08-07 02:00:00</t>
  </si>
  <si>
    <t xml:space="preserve">2025-08-17 09:36:00</t>
  </si>
  <si>
    <t xml:space="preserve">SHP0660</t>
  </si>
  <si>
    <t xml:space="preserve">2025-07-23 22:00:00</t>
  </si>
  <si>
    <t xml:space="preserve">2025-07-28 12:00:00</t>
  </si>
  <si>
    <t xml:space="preserve">SHP0661</t>
  </si>
  <si>
    <t xml:space="preserve">2025-01-06 04:00:00</t>
  </si>
  <si>
    <t xml:space="preserve">SHP0662</t>
  </si>
  <si>
    <t xml:space="preserve">2025-05-21 09:00:00</t>
  </si>
  <si>
    <t xml:space="preserve">2025-05-29 09:36:00</t>
  </si>
  <si>
    <t xml:space="preserve">SHP0663</t>
  </si>
  <si>
    <t xml:space="preserve">2025-09-10 08:00:00</t>
  </si>
  <si>
    <t xml:space="preserve">2025-09-15 07:12:00</t>
  </si>
  <si>
    <t xml:space="preserve">SHP0664</t>
  </si>
  <si>
    <t xml:space="preserve">2025-09-27 05:00:00</t>
  </si>
  <si>
    <t xml:space="preserve">2025-10-01 00:00:00</t>
  </si>
  <si>
    <t xml:space="preserve">SHP0665</t>
  </si>
  <si>
    <t xml:space="preserve">2025-08-12 22:00:00</t>
  </si>
  <si>
    <t xml:space="preserve">2025-08-23 16:48:00</t>
  </si>
  <si>
    <t xml:space="preserve">SHP0666</t>
  </si>
  <si>
    <t xml:space="preserve">2025-04-11 07:00:00</t>
  </si>
  <si>
    <t xml:space="preserve">2025-04-13 04:48:00</t>
  </si>
  <si>
    <t xml:space="preserve">SHP0667</t>
  </si>
  <si>
    <t xml:space="preserve">2025-09-26 09:00:00</t>
  </si>
  <si>
    <t xml:space="preserve">SHP0668</t>
  </si>
  <si>
    <t xml:space="preserve">2025-04-30 09:00:00</t>
  </si>
  <si>
    <t xml:space="preserve">2025-05-02 12:00:00</t>
  </si>
  <si>
    <t xml:space="preserve">SHP0669</t>
  </si>
  <si>
    <t xml:space="preserve">2025-05-20 21:36:00</t>
  </si>
  <si>
    <t xml:space="preserve">SHP0670</t>
  </si>
  <si>
    <t xml:space="preserve">2025-08-24 01:00:00</t>
  </si>
  <si>
    <t xml:space="preserve">2025-08-30 12:00:00</t>
  </si>
  <si>
    <t xml:space="preserve">SHP0671</t>
  </si>
  <si>
    <t xml:space="preserve">2025-08-06 02:00:00</t>
  </si>
  <si>
    <t xml:space="preserve">2025-08-15 12:00:00</t>
  </si>
  <si>
    <t xml:space="preserve">SHP0672</t>
  </si>
  <si>
    <t xml:space="preserve">2025-01-12 07:00:00</t>
  </si>
  <si>
    <t xml:space="preserve">2025-01-16 02:24:00</t>
  </si>
  <si>
    <t xml:space="preserve">SHP0673</t>
  </si>
  <si>
    <t xml:space="preserve">2025-10-14 05:00:00</t>
  </si>
  <si>
    <t xml:space="preserve">2025-10-23 09:36:00</t>
  </si>
  <si>
    <t xml:space="preserve">SHP0674</t>
  </si>
  <si>
    <t xml:space="preserve">2025-07-17 22:00:00</t>
  </si>
  <si>
    <t xml:space="preserve">SHP0675</t>
  </si>
  <si>
    <t xml:space="preserve">2025-06-02 19:12:00</t>
  </si>
  <si>
    <t xml:space="preserve">SHP0676</t>
  </si>
  <si>
    <t xml:space="preserve">2025-03-10 22:00:00</t>
  </si>
  <si>
    <t xml:space="preserve">SHP0677</t>
  </si>
  <si>
    <t xml:space="preserve">2025-01-26 22:00:00</t>
  </si>
  <si>
    <t xml:space="preserve">2025-02-02 07:12:00</t>
  </si>
  <si>
    <t xml:space="preserve">SHP0678</t>
  </si>
  <si>
    <t xml:space="preserve">2025-08-27 09:00:00</t>
  </si>
  <si>
    <t xml:space="preserve">2025-09-01 04:48:00</t>
  </si>
  <si>
    <t xml:space="preserve">SHP0679</t>
  </si>
  <si>
    <t xml:space="preserve">2025-08-13 07:00:00</t>
  </si>
  <si>
    <t xml:space="preserve">2025-08-19 07:12:00</t>
  </si>
  <si>
    <t xml:space="preserve">SHP0680</t>
  </si>
  <si>
    <t xml:space="preserve">2025-09-16 02:00:00</t>
  </si>
  <si>
    <t xml:space="preserve">2025-09-23 14:24:00</t>
  </si>
  <si>
    <t xml:space="preserve">SHP0681</t>
  </si>
  <si>
    <t xml:space="preserve">2025-01-21 23:00:00</t>
  </si>
  <si>
    <t xml:space="preserve">2025-01-30 14:24:00</t>
  </si>
  <si>
    <t xml:space="preserve">SHP0682</t>
  </si>
  <si>
    <t xml:space="preserve">2025-03-16 19:00:00</t>
  </si>
  <si>
    <t xml:space="preserve">2025-03-21 09:36:00</t>
  </si>
  <si>
    <t xml:space="preserve">SHP0683</t>
  </si>
  <si>
    <t xml:space="preserve">2025-03-29 19:00:00</t>
  </si>
  <si>
    <t xml:space="preserve">2025-04-08 21:36:00</t>
  </si>
  <si>
    <t xml:space="preserve">SHP0684</t>
  </si>
  <si>
    <t xml:space="preserve">2025-08-01 01:00:00</t>
  </si>
  <si>
    <t xml:space="preserve">2025-08-07 21:36:00</t>
  </si>
  <si>
    <t xml:space="preserve">SHP0685</t>
  </si>
  <si>
    <t xml:space="preserve">2025-01-26 21:00:00</t>
  </si>
  <si>
    <t xml:space="preserve">SHP0686</t>
  </si>
  <si>
    <t xml:space="preserve">2025-05-05 23:00:00</t>
  </si>
  <si>
    <t xml:space="preserve">2025-05-09 09:36:00</t>
  </si>
  <si>
    <t xml:space="preserve">SHP0687</t>
  </si>
  <si>
    <t xml:space="preserve">2025-09-16 19:00:00</t>
  </si>
  <si>
    <t xml:space="preserve">2025-09-24 19:12:00</t>
  </si>
  <si>
    <t xml:space="preserve">SHP0688</t>
  </si>
  <si>
    <t xml:space="preserve">2025-05-25 00:00:00</t>
  </si>
  <si>
    <t xml:space="preserve">2025-05-31 12:00:00</t>
  </si>
  <si>
    <t xml:space="preserve">SHP0689</t>
  </si>
  <si>
    <t xml:space="preserve">2025-01-21 07:00:00</t>
  </si>
  <si>
    <t xml:space="preserve">2025-01-23 12:00:00</t>
  </si>
  <si>
    <t xml:space="preserve">SHP0690</t>
  </si>
  <si>
    <t xml:space="preserve">2025-09-03 21:36:00</t>
  </si>
  <si>
    <t xml:space="preserve">SHP0691</t>
  </si>
  <si>
    <t xml:space="preserve">2025-02-14 07:00:00</t>
  </si>
  <si>
    <t xml:space="preserve">2025-02-25 16:48:00</t>
  </si>
  <si>
    <t xml:space="preserve">SHP0692</t>
  </si>
  <si>
    <t xml:space="preserve">2025-09-27 22:00:00</t>
  </si>
  <si>
    <t xml:space="preserve">2025-10-03 07:12:00</t>
  </si>
  <si>
    <t xml:space="preserve">SHP0693</t>
  </si>
  <si>
    <t xml:space="preserve">2025-05-14 04:00:00</t>
  </si>
  <si>
    <t xml:space="preserve">2025-05-17 14:24:00</t>
  </si>
  <si>
    <t xml:space="preserve">SHP0694</t>
  </si>
  <si>
    <t xml:space="preserve">2025-09-02 01:00:00</t>
  </si>
  <si>
    <t xml:space="preserve">2025-09-07 00:00:00</t>
  </si>
  <si>
    <t xml:space="preserve">SHP0695</t>
  </si>
  <si>
    <t xml:space="preserve">2025-03-28 04:00:00</t>
  </si>
  <si>
    <t xml:space="preserve">2025-04-01 00:00:00</t>
  </si>
  <si>
    <t xml:space="preserve">SHP0696</t>
  </si>
  <si>
    <t xml:space="preserve">2025-06-08 06:00:00</t>
  </si>
  <si>
    <t xml:space="preserve">2025-06-15 04:48:00</t>
  </si>
  <si>
    <t xml:space="preserve">SHP0697</t>
  </si>
  <si>
    <t xml:space="preserve">2025-03-29 02:00:00</t>
  </si>
  <si>
    <t xml:space="preserve">2025-04-05 12:00:00</t>
  </si>
  <si>
    <t xml:space="preserve">SHP0698</t>
  </si>
  <si>
    <t xml:space="preserve">2025-03-11 19:00:00</t>
  </si>
  <si>
    <t xml:space="preserve">2025-03-19 16:48:00</t>
  </si>
  <si>
    <t xml:space="preserve">SHP0699</t>
  </si>
  <si>
    <t xml:space="preserve">2025-03-14 09:00:00</t>
  </si>
  <si>
    <t xml:space="preserve">2025-03-22 09:36:00</t>
  </si>
  <si>
    <t xml:space="preserve">SHP0700</t>
  </si>
  <si>
    <t xml:space="preserve">2025-05-12 00:00:00</t>
  </si>
  <si>
    <t xml:space="preserve">2025-05-14 14:24:00</t>
  </si>
  <si>
    <t xml:space="preserve">SHP0701</t>
  </si>
  <si>
    <t xml:space="preserve">2025-03-13 07:00:00</t>
  </si>
  <si>
    <t xml:space="preserve">2025-03-23 16:48:00</t>
  </si>
  <si>
    <t xml:space="preserve">SHP0702</t>
  </si>
  <si>
    <t xml:space="preserve">2025-06-25 04:00:00</t>
  </si>
  <si>
    <t xml:space="preserve">SHP0703</t>
  </si>
  <si>
    <t xml:space="preserve">2025-03-31 06:00:00</t>
  </si>
  <si>
    <t xml:space="preserve">SHP0704</t>
  </si>
  <si>
    <t xml:space="preserve">2025-04-05 00:00:00</t>
  </si>
  <si>
    <t xml:space="preserve">SHP0705</t>
  </si>
  <si>
    <t xml:space="preserve">SHP0706</t>
  </si>
  <si>
    <t xml:space="preserve">2025-06-27 01:00:00</t>
  </si>
  <si>
    <t xml:space="preserve">2025-07-03 16:48:00</t>
  </si>
  <si>
    <t xml:space="preserve">SHP0707</t>
  </si>
  <si>
    <t xml:space="preserve">2025-10-14 00:00:00</t>
  </si>
  <si>
    <t xml:space="preserve">2025-10-21 19:12:00</t>
  </si>
  <si>
    <t xml:space="preserve">SHP0708</t>
  </si>
  <si>
    <t xml:space="preserve">2025-11-01 14:24:00</t>
  </si>
  <si>
    <t xml:space="preserve">SHP0709</t>
  </si>
  <si>
    <t xml:space="preserve">2025-08-29 05:00:00</t>
  </si>
  <si>
    <t xml:space="preserve">SHP0710</t>
  </si>
  <si>
    <t xml:space="preserve">2025-06-03 00:00:00</t>
  </si>
  <si>
    <t xml:space="preserve">SHP0711</t>
  </si>
  <si>
    <t xml:space="preserve">2025-08-26 09:36:00</t>
  </si>
  <si>
    <t xml:space="preserve">SHP0712</t>
  </si>
  <si>
    <t xml:space="preserve">2025-04-10 20:00:00</t>
  </si>
  <si>
    <t xml:space="preserve">SHP0713</t>
  </si>
  <si>
    <t xml:space="preserve">2025-06-29 22:00:00</t>
  </si>
  <si>
    <t xml:space="preserve">2025-07-03 21:36:00</t>
  </si>
  <si>
    <t xml:space="preserve">SHP0714</t>
  </si>
  <si>
    <t xml:space="preserve">2025-07-29 05:00:00</t>
  </si>
  <si>
    <t xml:space="preserve">2025-08-03 00:00:00</t>
  </si>
  <si>
    <t xml:space="preserve">SHP0715</t>
  </si>
  <si>
    <t xml:space="preserve">2025-09-23 07:00:00</t>
  </si>
  <si>
    <t xml:space="preserve">SHP0716</t>
  </si>
  <si>
    <t xml:space="preserve">2025-08-10 02:00:00</t>
  </si>
  <si>
    <t xml:space="preserve">2025-08-15 21:36:00</t>
  </si>
  <si>
    <t xml:space="preserve">SHP0717</t>
  </si>
  <si>
    <t xml:space="preserve">2025-01-10 04:00:00</t>
  </si>
  <si>
    <t xml:space="preserve">2025-01-13 21:36:00</t>
  </si>
  <si>
    <t xml:space="preserve">SHP0718</t>
  </si>
  <si>
    <t xml:space="preserve">2025-07-19 20:00:00</t>
  </si>
  <si>
    <t xml:space="preserve">SHP0719</t>
  </si>
  <si>
    <t xml:space="preserve">2025-09-01 06:00:00</t>
  </si>
  <si>
    <t xml:space="preserve">2025-09-02 21:36:00</t>
  </si>
  <si>
    <t xml:space="preserve">SHP0720</t>
  </si>
  <si>
    <t xml:space="preserve">2025-08-31 06:00:00</t>
  </si>
  <si>
    <t xml:space="preserve">2025-09-06 02:24:00</t>
  </si>
  <si>
    <t xml:space="preserve">SHP0721</t>
  </si>
  <si>
    <t xml:space="preserve">2025-04-27 22:00:00</t>
  </si>
  <si>
    <t xml:space="preserve">2025-05-04 12:00:00</t>
  </si>
  <si>
    <t xml:space="preserve">SHP0722</t>
  </si>
  <si>
    <t xml:space="preserve">2025-08-06 14:24:00</t>
  </si>
  <si>
    <t xml:space="preserve">SHP0723</t>
  </si>
  <si>
    <t xml:space="preserve">2025-06-30 21:36:00</t>
  </si>
  <si>
    <t xml:space="preserve">SHP0724</t>
  </si>
  <si>
    <t xml:space="preserve">2025-08-05 19:00:00</t>
  </si>
  <si>
    <t xml:space="preserve">2025-08-11 16:48:00</t>
  </si>
  <si>
    <t xml:space="preserve">SHP0725</t>
  </si>
  <si>
    <t xml:space="preserve">2025-06-15 08:00:00</t>
  </si>
  <si>
    <t xml:space="preserve">2025-06-18 00:00:00</t>
  </si>
  <si>
    <t xml:space="preserve">SHP0726</t>
  </si>
  <si>
    <t xml:space="preserve">2025-04-22 04:00:00</t>
  </si>
  <si>
    <t xml:space="preserve">2025-04-29 07:12:00</t>
  </si>
  <si>
    <t xml:space="preserve">SHP0727</t>
  </si>
  <si>
    <t xml:space="preserve">SHP0728</t>
  </si>
  <si>
    <t xml:space="preserve">2025-06-06 04:48:00</t>
  </si>
  <si>
    <t xml:space="preserve">SHP0729</t>
  </si>
  <si>
    <t xml:space="preserve">2025-05-04 05:00:00</t>
  </si>
  <si>
    <t xml:space="preserve">2025-05-12 14:24:00</t>
  </si>
  <si>
    <t xml:space="preserve">SHP0730</t>
  </si>
  <si>
    <t xml:space="preserve">2025-04-18 08:00:00</t>
  </si>
  <si>
    <t xml:space="preserve">SHP0731</t>
  </si>
  <si>
    <t xml:space="preserve">2025-06-04 22:00:00</t>
  </si>
  <si>
    <t xml:space="preserve">2025-06-08 07:12:00</t>
  </si>
  <si>
    <t xml:space="preserve">SHP0732</t>
  </si>
  <si>
    <t xml:space="preserve">2025-01-17 02:00:00</t>
  </si>
  <si>
    <t xml:space="preserve">SHP0733</t>
  </si>
  <si>
    <t xml:space="preserve">2025-05-21 19:12:00</t>
  </si>
  <si>
    <t xml:space="preserve">SHP0734</t>
  </si>
  <si>
    <t xml:space="preserve">2025-08-13 21:36:00</t>
  </si>
  <si>
    <t xml:space="preserve">SHP0735</t>
  </si>
  <si>
    <t xml:space="preserve">2025-05-29 04:00:00</t>
  </si>
  <si>
    <t xml:space="preserve">2025-06-08 12:00:00</t>
  </si>
  <si>
    <t xml:space="preserve">SHP0736</t>
  </si>
  <si>
    <t xml:space="preserve">SHP0737</t>
  </si>
  <si>
    <t xml:space="preserve">2025-07-06 22:00:00</t>
  </si>
  <si>
    <t xml:space="preserve">2025-07-11 12:00:00</t>
  </si>
  <si>
    <t xml:space="preserve">SHP0738</t>
  </si>
  <si>
    <t xml:space="preserve">2025-07-07 05:00:00</t>
  </si>
  <si>
    <t xml:space="preserve">2025-07-11 02:24:00</t>
  </si>
  <si>
    <t xml:space="preserve">SHP0739</t>
  </si>
  <si>
    <t xml:space="preserve">2025-07-01 00:00:00</t>
  </si>
  <si>
    <t xml:space="preserve">SHP0740</t>
  </si>
  <si>
    <t xml:space="preserve">2025-01-22 04:00:00</t>
  </si>
  <si>
    <t xml:space="preserve">SHP0741</t>
  </si>
  <si>
    <t xml:space="preserve">2025-03-02 09:00:00</t>
  </si>
  <si>
    <t xml:space="preserve">2025-03-11 00:00:00</t>
  </si>
  <si>
    <t xml:space="preserve">SHP0742</t>
  </si>
  <si>
    <t xml:space="preserve">2025-08-19 08:00:00</t>
  </si>
  <si>
    <t xml:space="preserve">2025-08-28 07:12:00</t>
  </si>
  <si>
    <t xml:space="preserve">SHP0743</t>
  </si>
  <si>
    <t xml:space="preserve">2025-08-19 01:00:00</t>
  </si>
  <si>
    <t xml:space="preserve">2025-08-26 00:00:00</t>
  </si>
  <si>
    <t xml:space="preserve">SHP0744</t>
  </si>
  <si>
    <t xml:space="preserve">2025-01-16 23:00:00</t>
  </si>
  <si>
    <t xml:space="preserve">2025-01-27 21:36:00</t>
  </si>
  <si>
    <t xml:space="preserve">SHP0745</t>
  </si>
  <si>
    <t xml:space="preserve">2025-03-27 03:00:00</t>
  </si>
  <si>
    <t xml:space="preserve">2025-04-05 09:36:00</t>
  </si>
  <si>
    <t xml:space="preserve">SHP0746</t>
  </si>
  <si>
    <t xml:space="preserve">SHP0747</t>
  </si>
  <si>
    <t xml:space="preserve">2025-09-01 20:00:00</t>
  </si>
  <si>
    <t xml:space="preserve">2025-09-07 07:12:00</t>
  </si>
  <si>
    <t xml:space="preserve">SHP0748</t>
  </si>
  <si>
    <t xml:space="preserve">2025-08-21 09:00:00</t>
  </si>
  <si>
    <t xml:space="preserve">2025-08-27 21:36:00</t>
  </si>
  <si>
    <t xml:space="preserve">SHP0749</t>
  </si>
  <si>
    <t xml:space="preserve">2025-08-19 21:00:00</t>
  </si>
  <si>
    <t xml:space="preserve">2025-08-23 00:00:00</t>
  </si>
  <si>
    <t xml:space="preserve">SHP0750</t>
  </si>
  <si>
    <t xml:space="preserve">2025-02-04 09:36:00</t>
  </si>
  <si>
    <t xml:space="preserve">SHP0751</t>
  </si>
  <si>
    <t xml:space="preserve">2025-10-01 22:00:00</t>
  </si>
  <si>
    <t xml:space="preserve">SHP0752</t>
  </si>
  <si>
    <t xml:space="preserve">2025-10-22 07:00:00</t>
  </si>
  <si>
    <t xml:space="preserve">2025-10-29 02:24:00</t>
  </si>
  <si>
    <t xml:space="preserve">SHP0753</t>
  </si>
  <si>
    <t xml:space="preserve">2025-04-16 03:00:00</t>
  </si>
  <si>
    <t xml:space="preserve">2025-04-18 04:48:00</t>
  </si>
  <si>
    <t xml:space="preserve">SHP0754</t>
  </si>
  <si>
    <t xml:space="preserve">2025-08-18 20:00:00</t>
  </si>
  <si>
    <t xml:space="preserve">SHP0755</t>
  </si>
  <si>
    <t xml:space="preserve">2025-02-22 00:00:00</t>
  </si>
  <si>
    <t xml:space="preserve">SHP0756</t>
  </si>
  <si>
    <t xml:space="preserve">2025-10-05</t>
  </si>
  <si>
    <t xml:space="preserve">2025-10-09 00:00:00</t>
  </si>
  <si>
    <t xml:space="preserve">2025-10-16 04:48:00</t>
  </si>
  <si>
    <t xml:space="preserve">SHP0757</t>
  </si>
  <si>
    <t xml:space="preserve">2025-01-22 09:36:00</t>
  </si>
  <si>
    <t xml:space="preserve">SHP0758</t>
  </si>
  <si>
    <t xml:space="preserve">2025-08-22 00:00:00</t>
  </si>
  <si>
    <t xml:space="preserve">SHP0759</t>
  </si>
  <si>
    <t xml:space="preserve">2025-09-18 03:00:00</t>
  </si>
  <si>
    <t xml:space="preserve">2025-09-20 19:12:00</t>
  </si>
  <si>
    <t xml:space="preserve">SHP0760</t>
  </si>
  <si>
    <t xml:space="preserve">2025-04-19 02:00:00</t>
  </si>
  <si>
    <t xml:space="preserve">2025-04-23 14:24:00</t>
  </si>
  <si>
    <t xml:space="preserve">SHP0761</t>
  </si>
  <si>
    <t xml:space="preserve">2025-03-22 05:00:00</t>
  </si>
  <si>
    <t xml:space="preserve">2025-03-27 02:24:00</t>
  </si>
  <si>
    <t xml:space="preserve">SHP0762</t>
  </si>
  <si>
    <t xml:space="preserve">2025-05-16 19:00:00</t>
  </si>
  <si>
    <t xml:space="preserve">2025-05-25 12:00:00</t>
  </si>
  <si>
    <t xml:space="preserve">SHP0763</t>
  </si>
  <si>
    <t xml:space="preserve">2025-07-19 03:00:00</t>
  </si>
  <si>
    <t xml:space="preserve">SHP0764</t>
  </si>
  <si>
    <t xml:space="preserve">2025-10-05 09:00:00</t>
  </si>
  <si>
    <t xml:space="preserve">2025-10-10 02:24:00</t>
  </si>
  <si>
    <t xml:space="preserve">SHP0765</t>
  </si>
  <si>
    <t xml:space="preserve">2025-02-08 23:00:00</t>
  </si>
  <si>
    <t xml:space="preserve">SHP0766</t>
  </si>
  <si>
    <t xml:space="preserve">2025-07-29 09:36:00</t>
  </si>
  <si>
    <t xml:space="preserve">SHP0767</t>
  </si>
  <si>
    <t xml:space="preserve">SHP0768</t>
  </si>
  <si>
    <t xml:space="preserve">2025-04-02 08:00:00</t>
  </si>
  <si>
    <t xml:space="preserve">2025-04-07 07:12:00</t>
  </si>
  <si>
    <t xml:space="preserve">SHP0769</t>
  </si>
  <si>
    <t xml:space="preserve">SHP0770</t>
  </si>
  <si>
    <t xml:space="preserve">2025-09-03 23:00:00</t>
  </si>
  <si>
    <t xml:space="preserve">2025-09-13 09:36:00</t>
  </si>
  <si>
    <t xml:space="preserve">SHP0771</t>
  </si>
  <si>
    <t xml:space="preserve">2025-01-22 21:00:00</t>
  </si>
  <si>
    <t xml:space="preserve">2025-02-01 04:48:00</t>
  </si>
  <si>
    <t xml:space="preserve">SHP0772</t>
  </si>
  <si>
    <t xml:space="preserve">2025-03-21 22:00:00</t>
  </si>
  <si>
    <t xml:space="preserve">2025-04-06 21:36:00</t>
  </si>
  <si>
    <t xml:space="preserve">SHP0773</t>
  </si>
  <si>
    <t xml:space="preserve">2025-03-02 23:00:00</t>
  </si>
  <si>
    <t xml:space="preserve">2025-03-05 04:48:00</t>
  </si>
  <si>
    <t xml:space="preserve">SHP0774</t>
  </si>
  <si>
    <t xml:space="preserve">2025-03-29 04:00:00</t>
  </si>
  <si>
    <t xml:space="preserve">2025-04-07 04:48:00</t>
  </si>
  <si>
    <t xml:space="preserve">SHP0775</t>
  </si>
  <si>
    <t xml:space="preserve">2025-03-30 04:48:00</t>
  </si>
  <si>
    <t xml:space="preserve">SHP0776</t>
  </si>
  <si>
    <t xml:space="preserve">2025-07-16 04:00:00</t>
  </si>
  <si>
    <t xml:space="preserve">SHP0777</t>
  </si>
  <si>
    <t xml:space="preserve">2025-07-04 05:00:00</t>
  </si>
  <si>
    <t xml:space="preserve">2025-07-13 00:00:00</t>
  </si>
  <si>
    <t xml:space="preserve">SHP0778</t>
  </si>
  <si>
    <t xml:space="preserve">2025-07-05 23:00:00</t>
  </si>
  <si>
    <t xml:space="preserve">2025-07-17 04:48:00</t>
  </si>
  <si>
    <t xml:space="preserve">SHP0779</t>
  </si>
  <si>
    <t xml:space="preserve">2025-07-20 20:00:00</t>
  </si>
  <si>
    <t xml:space="preserve">SHP0780</t>
  </si>
  <si>
    <t xml:space="preserve">2025-09-05 06:00:00</t>
  </si>
  <si>
    <t xml:space="preserve">2025-09-11 00:00:00</t>
  </si>
  <si>
    <t xml:space="preserve">SHP0781</t>
  </si>
  <si>
    <t xml:space="preserve">2025-03-10 19:12:00</t>
  </si>
  <si>
    <t xml:space="preserve">SHP0782</t>
  </si>
  <si>
    <t xml:space="preserve">2025-03-18 12:00:00</t>
  </si>
  <si>
    <t xml:space="preserve">SHP0783</t>
  </si>
  <si>
    <t xml:space="preserve">2025-07-06 03:00:00</t>
  </si>
  <si>
    <t xml:space="preserve">2025-07-17 21:36:00</t>
  </si>
  <si>
    <t xml:space="preserve">SHP0784</t>
  </si>
  <si>
    <t xml:space="preserve">SHP0785</t>
  </si>
  <si>
    <t xml:space="preserve">2025-03-12 04:00:00</t>
  </si>
  <si>
    <t xml:space="preserve">2025-03-18 04:48:00</t>
  </si>
  <si>
    <t xml:space="preserve">SHP0786</t>
  </si>
  <si>
    <t xml:space="preserve">2025-08-17 06:00:00</t>
  </si>
  <si>
    <t xml:space="preserve">2025-08-24 12:00:00</t>
  </si>
  <si>
    <t xml:space="preserve">SHP0787</t>
  </si>
  <si>
    <t xml:space="preserve">2025-06-03 19:00:00</t>
  </si>
  <si>
    <t xml:space="preserve">2025-06-05 14:24:00</t>
  </si>
  <si>
    <t xml:space="preserve">SHP0788</t>
  </si>
  <si>
    <t xml:space="preserve">2025-07-25 07:12:00</t>
  </si>
  <si>
    <t xml:space="preserve">SHP0789</t>
  </si>
  <si>
    <t xml:space="preserve">2025-10-16 07:00:00</t>
  </si>
  <si>
    <t xml:space="preserve">2025-10-20 21:36:00</t>
  </si>
  <si>
    <t xml:space="preserve">SHP0790</t>
  </si>
  <si>
    <t xml:space="preserve">2025-07-25 03:00:00</t>
  </si>
  <si>
    <t xml:space="preserve">2025-07-29 00:00:00</t>
  </si>
  <si>
    <t xml:space="preserve">SHP0791</t>
  </si>
  <si>
    <t xml:space="preserve">2025-10-12 04:00:00</t>
  </si>
  <si>
    <t xml:space="preserve">2025-10-15 14:24:00</t>
  </si>
  <si>
    <t xml:space="preserve">SHP0792</t>
  </si>
  <si>
    <t xml:space="preserve">2025-10-01 01:00:00</t>
  </si>
  <si>
    <t xml:space="preserve">2025-10-08 12:00:00</t>
  </si>
  <si>
    <t xml:space="preserve">SHP0793</t>
  </si>
  <si>
    <t xml:space="preserve">2025-02-27 06:00:00</t>
  </si>
  <si>
    <t xml:space="preserve">SHP0794</t>
  </si>
  <si>
    <t xml:space="preserve">2025-02-20 00:00:00</t>
  </si>
  <si>
    <t xml:space="preserve">2025-02-22 21:36:00</t>
  </si>
  <si>
    <t xml:space="preserve">SHP0795</t>
  </si>
  <si>
    <t xml:space="preserve">2025-05-30 07:00:00</t>
  </si>
  <si>
    <t xml:space="preserve">2025-06-06 19:12:00</t>
  </si>
  <si>
    <t xml:space="preserve">SHP0796</t>
  </si>
  <si>
    <t xml:space="preserve">2025-06-09 09:36:00</t>
  </si>
  <si>
    <t xml:space="preserve">SHP0797</t>
  </si>
  <si>
    <t xml:space="preserve">2025-08-18 03:00:00</t>
  </si>
  <si>
    <t xml:space="preserve">SHP0798</t>
  </si>
  <si>
    <t xml:space="preserve">2025-04-26 07:12:00</t>
  </si>
  <si>
    <t xml:space="preserve">SHP0799</t>
  </si>
  <si>
    <t xml:space="preserve">2025-10-24 07:00:00</t>
  </si>
  <si>
    <t xml:space="preserve">2025-11-04 14:24:00</t>
  </si>
  <si>
    <t xml:space="preserve">SHP0800</t>
  </si>
  <si>
    <t xml:space="preserve">2025-06-19 05:00:00</t>
  </si>
  <si>
    <t xml:space="preserve">SHP0801</t>
  </si>
  <si>
    <t xml:space="preserve">2025-02-15 21:00:00</t>
  </si>
  <si>
    <t xml:space="preserve">2025-02-22 14:24:00</t>
  </si>
  <si>
    <t xml:space="preserve">SHP0802</t>
  </si>
  <si>
    <t xml:space="preserve">SHP0803</t>
  </si>
  <si>
    <t xml:space="preserve">2025-01-13 09:00:00</t>
  </si>
  <si>
    <t xml:space="preserve">2025-01-21 19:12:00</t>
  </si>
  <si>
    <t xml:space="preserve">SHP0804</t>
  </si>
  <si>
    <t xml:space="preserve">2025-06-19 20:00:00</t>
  </si>
  <si>
    <t xml:space="preserve">SHP0805</t>
  </si>
  <si>
    <t xml:space="preserve">2025-06-09 05:00:00</t>
  </si>
  <si>
    <t xml:space="preserve">2025-06-15 02:24:00</t>
  </si>
  <si>
    <t xml:space="preserve">SHP0806</t>
  </si>
  <si>
    <t xml:space="preserve">2025-09-03 03:00:00</t>
  </si>
  <si>
    <t xml:space="preserve">2025-09-08 16:48:00</t>
  </si>
  <si>
    <t xml:space="preserve">SHP0807</t>
  </si>
  <si>
    <t xml:space="preserve">2025-05-18 08:00:00</t>
  </si>
  <si>
    <t xml:space="preserve">2025-06-02 02:24:00</t>
  </si>
  <si>
    <t xml:space="preserve">SHP0808</t>
  </si>
  <si>
    <t xml:space="preserve">2025-01-29 07:00:00</t>
  </si>
  <si>
    <t xml:space="preserve">2025-02-07 09:36:00</t>
  </si>
  <si>
    <t xml:space="preserve">SHP0809</t>
  </si>
  <si>
    <t xml:space="preserve">2025-08-06 23:00:00</t>
  </si>
  <si>
    <t xml:space="preserve">2025-08-13 16:48:00</t>
  </si>
  <si>
    <t xml:space="preserve">SHP0810</t>
  </si>
  <si>
    <t xml:space="preserve">2025-06-16 07:12:00</t>
  </si>
  <si>
    <t xml:space="preserve">SHP0811</t>
  </si>
  <si>
    <t xml:space="preserve">2025-06-02 22:00:00</t>
  </si>
  <si>
    <t xml:space="preserve">2025-06-06 00:00:00</t>
  </si>
  <si>
    <t xml:space="preserve">SHP0812</t>
  </si>
  <si>
    <t xml:space="preserve">2025-07-29 19:12:00</t>
  </si>
  <si>
    <t xml:space="preserve">SHP0813</t>
  </si>
  <si>
    <t xml:space="preserve">2025-08-08 01:00:00</t>
  </si>
  <si>
    <t xml:space="preserve">SHP0814</t>
  </si>
  <si>
    <t xml:space="preserve">SHP0815</t>
  </si>
  <si>
    <t xml:space="preserve">2025-05-19 22:00:00</t>
  </si>
  <si>
    <t xml:space="preserve">2025-05-25 04:48:00</t>
  </si>
  <si>
    <t xml:space="preserve">SHP0816</t>
  </si>
  <si>
    <t xml:space="preserve">2025-02-19 00:00:00</t>
  </si>
  <si>
    <t xml:space="preserve">2025-02-24 00:00:00</t>
  </si>
  <si>
    <t xml:space="preserve">SHP0817</t>
  </si>
  <si>
    <t xml:space="preserve">2025-01-22 20:00:00</t>
  </si>
  <si>
    <t xml:space="preserve">SHP0818</t>
  </si>
  <si>
    <t xml:space="preserve">2025-04-01 04:00:00</t>
  </si>
  <si>
    <t xml:space="preserve">SHP0819</t>
  </si>
  <si>
    <t xml:space="preserve">2025-03-02 06:00:00</t>
  </si>
  <si>
    <t xml:space="preserve">SHP0820</t>
  </si>
  <si>
    <t xml:space="preserve">2025-01-13 19:00:00</t>
  </si>
  <si>
    <t xml:space="preserve">2025-01-17 00:00:00</t>
  </si>
  <si>
    <t xml:space="preserve">SHP0821</t>
  </si>
  <si>
    <t xml:space="preserve">2025-01-14 21:00:00</t>
  </si>
  <si>
    <t xml:space="preserve">2025-01-21 02:24:00</t>
  </si>
  <si>
    <t xml:space="preserve">SHP0822</t>
  </si>
  <si>
    <t xml:space="preserve">2025-05-02 05:00:00</t>
  </si>
  <si>
    <t xml:space="preserve">2025-05-03 07:12:00</t>
  </si>
  <si>
    <t xml:space="preserve">SHP0823</t>
  </si>
  <si>
    <t xml:space="preserve">2025-05-29 21:00:00</t>
  </si>
  <si>
    <t xml:space="preserve">SHP0824</t>
  </si>
  <si>
    <t xml:space="preserve">2025-08-29 02:00:00</t>
  </si>
  <si>
    <t xml:space="preserve">2025-09-01 07:12:00</t>
  </si>
  <si>
    <t xml:space="preserve">SHP0825</t>
  </si>
  <si>
    <t xml:space="preserve">2025-07-25 01:00:00</t>
  </si>
  <si>
    <t xml:space="preserve">SHP0826</t>
  </si>
  <si>
    <t xml:space="preserve">2025-09-17 22:00:00</t>
  </si>
  <si>
    <t xml:space="preserve">SHP0827</t>
  </si>
  <si>
    <t xml:space="preserve">2025-02-09 00:00:00</t>
  </si>
  <si>
    <t xml:space="preserve">2025-02-17 07:12:00</t>
  </si>
  <si>
    <t xml:space="preserve">SHP0828</t>
  </si>
  <si>
    <t xml:space="preserve">2025-08-10 20:00:00</t>
  </si>
  <si>
    <t xml:space="preserve">2025-08-17 04:48:00</t>
  </si>
  <si>
    <t xml:space="preserve">SHP0829</t>
  </si>
  <si>
    <t xml:space="preserve">2025-06-11 02:00:00</t>
  </si>
  <si>
    <t xml:space="preserve">2025-06-19 09:36:00</t>
  </si>
  <si>
    <t xml:space="preserve">SHP0830</t>
  </si>
  <si>
    <t xml:space="preserve">2025-01-11 23:00:00</t>
  </si>
  <si>
    <t xml:space="preserve">2025-01-21 09:36:00</t>
  </si>
  <si>
    <t xml:space="preserve">SHP0831</t>
  </si>
  <si>
    <t xml:space="preserve">2025-02-19 21:00:00</t>
  </si>
  <si>
    <t xml:space="preserve">2025-03-01 09:36:00</t>
  </si>
  <si>
    <t xml:space="preserve">SHP0832</t>
  </si>
  <si>
    <t xml:space="preserve">2025-05-20 09:00:00</t>
  </si>
  <si>
    <t xml:space="preserve">2025-05-31 16:48:00</t>
  </si>
  <si>
    <t xml:space="preserve">SHP0833</t>
  </si>
  <si>
    <t xml:space="preserve">2025-03-24 03:00:00</t>
  </si>
  <si>
    <t xml:space="preserve">2025-04-03 02:24:00</t>
  </si>
  <si>
    <t xml:space="preserve">SHP0834</t>
  </si>
  <si>
    <t xml:space="preserve">SHP0835</t>
  </si>
  <si>
    <t xml:space="preserve">2025-03-14 02:24:00</t>
  </si>
  <si>
    <t xml:space="preserve">SHP0836</t>
  </si>
  <si>
    <t xml:space="preserve">2025-03-12 22:00:00</t>
  </si>
  <si>
    <t xml:space="preserve">2025-03-23 12:00:00</t>
  </si>
  <si>
    <t xml:space="preserve">SHP0837</t>
  </si>
  <si>
    <t xml:space="preserve">2025-03-16 09:00:00</t>
  </si>
  <si>
    <t xml:space="preserve">2025-03-23 04:48:00</t>
  </si>
  <si>
    <t xml:space="preserve">SHP0838</t>
  </si>
  <si>
    <t xml:space="preserve">2025-09-25 08:00:00</t>
  </si>
  <si>
    <t xml:space="preserve">2025-09-27 12:00:00</t>
  </si>
  <si>
    <t xml:space="preserve">SHP0839</t>
  </si>
  <si>
    <t xml:space="preserve">2025-02-05 21:00:00</t>
  </si>
  <si>
    <t xml:space="preserve">2025-02-16 14:24:00</t>
  </si>
  <si>
    <t xml:space="preserve">SHP0840</t>
  </si>
  <si>
    <t xml:space="preserve">2025-03-22 23:00:00</t>
  </si>
  <si>
    <t xml:space="preserve">2025-03-31 00:00:00</t>
  </si>
  <si>
    <t xml:space="preserve">SHP0841</t>
  </si>
  <si>
    <t xml:space="preserve">SHP0842</t>
  </si>
  <si>
    <t xml:space="preserve">2025-05-28 06:00:00</t>
  </si>
  <si>
    <t xml:space="preserve">2025-06-01 12:00:00</t>
  </si>
  <si>
    <t xml:space="preserve">SHP0843</t>
  </si>
  <si>
    <t xml:space="preserve">2025-08-07 22:00:00</t>
  </si>
  <si>
    <t xml:space="preserve">2025-08-13 02:24:00</t>
  </si>
  <si>
    <t xml:space="preserve">SHP0844</t>
  </si>
  <si>
    <t xml:space="preserve">2025-02-28 22:00:00</t>
  </si>
  <si>
    <t xml:space="preserve">SHP0845</t>
  </si>
  <si>
    <t xml:space="preserve">2025-07-08 12:00:00</t>
  </si>
  <si>
    <t xml:space="preserve">SHP0846</t>
  </si>
  <si>
    <t xml:space="preserve">2025-03-28 21:00:00</t>
  </si>
  <si>
    <t xml:space="preserve">2025-04-02 00:00:00</t>
  </si>
  <si>
    <t xml:space="preserve">SHP0847</t>
  </si>
  <si>
    <t xml:space="preserve">2025-07-28 02:24:00</t>
  </si>
  <si>
    <t xml:space="preserve">SHP0848</t>
  </si>
  <si>
    <t xml:space="preserve">SHP0849</t>
  </si>
  <si>
    <t xml:space="preserve">2025-07-15 05:00:00</t>
  </si>
  <si>
    <t xml:space="preserve">2025-07-17 02:24:00</t>
  </si>
  <si>
    <t xml:space="preserve">SHP0850</t>
  </si>
  <si>
    <t xml:space="preserve">2025-02-03 22:00:00</t>
  </si>
  <si>
    <t xml:space="preserve">2025-02-11 00:00:00</t>
  </si>
  <si>
    <t xml:space="preserve">SHP0851</t>
  </si>
  <si>
    <t xml:space="preserve">2025-05-27 01:00:00</t>
  </si>
  <si>
    <t xml:space="preserve">SHP0852</t>
  </si>
  <si>
    <t xml:space="preserve">2025-07-16 01:00:00</t>
  </si>
  <si>
    <t xml:space="preserve">2025-07-20 21:36:00</t>
  </si>
  <si>
    <t xml:space="preserve">SHP0853</t>
  </si>
  <si>
    <t xml:space="preserve">SHP0854</t>
  </si>
  <si>
    <t xml:space="preserve">2025-03-06 07:00:00</t>
  </si>
  <si>
    <t xml:space="preserve">2025-03-14 07:12:00</t>
  </si>
  <si>
    <t xml:space="preserve">SHP0855</t>
  </si>
  <si>
    <t xml:space="preserve">2025-02-05 09:00:00</t>
  </si>
  <si>
    <t xml:space="preserve">2025-02-08 07:12:00</t>
  </si>
  <si>
    <t xml:space="preserve">SHP0856</t>
  </si>
  <si>
    <t xml:space="preserve">2025-09-30 04:00:00</t>
  </si>
  <si>
    <t xml:space="preserve">SHP0857</t>
  </si>
  <si>
    <t xml:space="preserve">2025-02-28 03:00:00</t>
  </si>
  <si>
    <t xml:space="preserve">SHP0858</t>
  </si>
  <si>
    <t xml:space="preserve">2025-05-20 08:00:00</t>
  </si>
  <si>
    <t xml:space="preserve">2025-05-26 14:24:00</t>
  </si>
  <si>
    <t xml:space="preserve">SHP0859</t>
  </si>
  <si>
    <t xml:space="preserve">2025-01-03 23:00:00</t>
  </si>
  <si>
    <t xml:space="preserve">SHP0860</t>
  </si>
  <si>
    <t xml:space="preserve">2025-08-31 22:00:00</t>
  </si>
  <si>
    <t xml:space="preserve">SHP0861</t>
  </si>
  <si>
    <t xml:space="preserve">2025-04-10 03:00:00</t>
  </si>
  <si>
    <t xml:space="preserve">SHP0862</t>
  </si>
  <si>
    <t xml:space="preserve">2025-06-09 02:00:00</t>
  </si>
  <si>
    <t xml:space="preserve">2025-06-19 07:12:00</t>
  </si>
  <si>
    <t xml:space="preserve">SHP0863</t>
  </si>
  <si>
    <t xml:space="preserve">2025-09-26 00:00:00</t>
  </si>
  <si>
    <t xml:space="preserve">SHP0864</t>
  </si>
  <si>
    <t xml:space="preserve">2025-01-31 19:12:00</t>
  </si>
  <si>
    <t xml:space="preserve">SHP0865</t>
  </si>
  <si>
    <t xml:space="preserve">2025-09-02 12:00:00</t>
  </si>
  <si>
    <t xml:space="preserve">SHP0866</t>
  </si>
  <si>
    <t xml:space="preserve">2025-10-15 01:00:00</t>
  </si>
  <si>
    <t xml:space="preserve">SHP0867</t>
  </si>
  <si>
    <t xml:space="preserve">2025-04-23 16:48:00</t>
  </si>
  <si>
    <t xml:space="preserve">SHP0868</t>
  </si>
  <si>
    <t xml:space="preserve">2025-03-27 20:00:00</t>
  </si>
  <si>
    <t xml:space="preserve">2025-04-04 07:12:00</t>
  </si>
  <si>
    <t xml:space="preserve">SHP0869</t>
  </si>
  <si>
    <t xml:space="preserve">2025-01-07 22:00:00</t>
  </si>
  <si>
    <t xml:space="preserve">2025-01-16 14:24:00</t>
  </si>
  <si>
    <t xml:space="preserve">SHP0870</t>
  </si>
  <si>
    <t xml:space="preserve">2025-06-10 03:00:00</t>
  </si>
  <si>
    <t xml:space="preserve">SHP0871</t>
  </si>
  <si>
    <t xml:space="preserve">2025-08-26 12:00:00</t>
  </si>
  <si>
    <t xml:space="preserve">SHP0872</t>
  </si>
  <si>
    <t xml:space="preserve">2025-04-28 02:00:00</t>
  </si>
  <si>
    <t xml:space="preserve">2025-05-07 07:12:00</t>
  </si>
  <si>
    <t xml:space="preserve">SHP0873</t>
  </si>
  <si>
    <t xml:space="preserve">2025-09-25 16:48:00</t>
  </si>
  <si>
    <t xml:space="preserve">SHP0874</t>
  </si>
  <si>
    <t xml:space="preserve">2025-08-06 22:00:00</t>
  </si>
  <si>
    <t xml:space="preserve">2025-08-16 02:24:00</t>
  </si>
  <si>
    <t xml:space="preserve">SHP0875</t>
  </si>
  <si>
    <t xml:space="preserve">SHP0876</t>
  </si>
  <si>
    <t xml:space="preserve">2025-10-24 06:00:00</t>
  </si>
  <si>
    <t xml:space="preserve">2025-10-28 14:24:00</t>
  </si>
  <si>
    <t xml:space="preserve">SHP0877</t>
  </si>
  <si>
    <t xml:space="preserve">2025-04-25 21:00:00</t>
  </si>
  <si>
    <t xml:space="preserve">2025-05-01 19:12:00</t>
  </si>
  <si>
    <t xml:space="preserve">SHP0878</t>
  </si>
  <si>
    <t xml:space="preserve">2025-01-20 16:48:00</t>
  </si>
  <si>
    <t xml:space="preserve">SHP0879</t>
  </si>
  <si>
    <t xml:space="preserve">2025-08-14 08:00:00</t>
  </si>
  <si>
    <t xml:space="preserve">SHP0880</t>
  </si>
  <si>
    <t xml:space="preserve">2025-09-29 01:00:00</t>
  </si>
  <si>
    <t xml:space="preserve">2025-10-04 00:00:00</t>
  </si>
  <si>
    <t xml:space="preserve">SHP0881</t>
  </si>
  <si>
    <t xml:space="preserve">2025-03-06 01:00:00</t>
  </si>
  <si>
    <t xml:space="preserve">SHP0882</t>
  </si>
  <si>
    <t xml:space="preserve">2025-10-17 20:00:00</t>
  </si>
  <si>
    <t xml:space="preserve">2025-10-26 12:00:00</t>
  </si>
  <si>
    <t xml:space="preserve">SHP0883</t>
  </si>
  <si>
    <t xml:space="preserve">2025-06-10 01:00:00</t>
  </si>
  <si>
    <t xml:space="preserve">2025-06-20 19:12:00</t>
  </si>
  <si>
    <t xml:space="preserve">SHP0884</t>
  </si>
  <si>
    <t xml:space="preserve">2025-09-30 19:00:00</t>
  </si>
  <si>
    <t xml:space="preserve">2025-10-09 07:12:00</t>
  </si>
  <si>
    <t xml:space="preserve">SHP0885</t>
  </si>
  <si>
    <t xml:space="preserve">2025-05-10 00:00:00</t>
  </si>
  <si>
    <t xml:space="preserve">2025-05-18 19:12:00</t>
  </si>
  <si>
    <t xml:space="preserve">SHP0886</t>
  </si>
  <si>
    <t xml:space="preserve">2025-07-18 01:00:00</t>
  </si>
  <si>
    <t xml:space="preserve">2025-07-26 04:48:00</t>
  </si>
  <si>
    <t xml:space="preserve">SHP0887</t>
  </si>
  <si>
    <t xml:space="preserve">2025-09-13 04:00:00</t>
  </si>
  <si>
    <t xml:space="preserve">2025-09-18 16:48:00</t>
  </si>
  <si>
    <t xml:space="preserve">SHP0888</t>
  </si>
  <si>
    <t xml:space="preserve">2025-10-01 05:00:00</t>
  </si>
  <si>
    <t xml:space="preserve">SHP0889</t>
  </si>
  <si>
    <t xml:space="preserve">2025-05-26 05:00:00</t>
  </si>
  <si>
    <t xml:space="preserve">2025-06-05 02:24:00</t>
  </si>
  <si>
    <t xml:space="preserve">SHP0890</t>
  </si>
  <si>
    <t xml:space="preserve">2025-02-08 07:00:00</t>
  </si>
  <si>
    <t xml:space="preserve">2025-02-17 19:12:00</t>
  </si>
  <si>
    <t xml:space="preserve">SHP0891</t>
  </si>
  <si>
    <t xml:space="preserve">2025-04-19 03:00:00</t>
  </si>
  <si>
    <t xml:space="preserve">2025-04-24 07:12:00</t>
  </si>
  <si>
    <t xml:space="preserve">SHP0892</t>
  </si>
  <si>
    <t xml:space="preserve">2025-09-29 06:00:00</t>
  </si>
  <si>
    <t xml:space="preserve">2025-10-08 09:36:00</t>
  </si>
  <si>
    <t xml:space="preserve">SHP0893</t>
  </si>
  <si>
    <t xml:space="preserve">2025-01-24 06:00:00</t>
  </si>
  <si>
    <t xml:space="preserve">2025-01-26 00:00:00</t>
  </si>
  <si>
    <t xml:space="preserve">SHP0894</t>
  </si>
  <si>
    <t xml:space="preserve">2025-05-26 03:00:00</t>
  </si>
  <si>
    <t xml:space="preserve">2025-06-02 00:00:00</t>
  </si>
  <si>
    <t xml:space="preserve">SHP0895</t>
  </si>
  <si>
    <t xml:space="preserve">2025-10-03 09:00:00</t>
  </si>
  <si>
    <t xml:space="preserve">2025-10-06 00:00:00</t>
  </si>
  <si>
    <t xml:space="preserve">SHP0896</t>
  </si>
  <si>
    <t xml:space="preserve">2025-05-06 02:00:00</t>
  </si>
  <si>
    <t xml:space="preserve">2025-05-07 00:00:00</t>
  </si>
  <si>
    <t xml:space="preserve">SHP0897</t>
  </si>
  <si>
    <t xml:space="preserve">2025-02-02 08:00:00</t>
  </si>
  <si>
    <t xml:space="preserve">2025-02-09 04:48:00</t>
  </si>
  <si>
    <t xml:space="preserve">SHP0898</t>
  </si>
  <si>
    <t xml:space="preserve">2025-01-10 03:00:00</t>
  </si>
  <si>
    <t xml:space="preserve">2025-01-22 21:36:00</t>
  </si>
  <si>
    <t xml:space="preserve">SHP0899</t>
  </si>
  <si>
    <t xml:space="preserve">2025-01-13 04:00:00</t>
  </si>
  <si>
    <t xml:space="preserve">2025-01-20 14:24:00</t>
  </si>
  <si>
    <t xml:space="preserve">SHP0900</t>
  </si>
  <si>
    <t xml:space="preserve">SHP0901</t>
  </si>
  <si>
    <t xml:space="preserve">2025-08-23 07:00:00</t>
  </si>
  <si>
    <t xml:space="preserve">SHP0902</t>
  </si>
  <si>
    <t xml:space="preserve">2025-10-20 22:00:00</t>
  </si>
  <si>
    <t xml:space="preserve">SHP0903</t>
  </si>
  <si>
    <t xml:space="preserve">2025-01-08 20:00:00</t>
  </si>
  <si>
    <t xml:space="preserve">2025-01-14 00:00:00</t>
  </si>
  <si>
    <t xml:space="preserve">SHP0904</t>
  </si>
  <si>
    <t xml:space="preserve">2025-05-04 07:00:00</t>
  </si>
  <si>
    <t xml:space="preserve">2025-05-09 00:00:00</t>
  </si>
  <si>
    <t xml:space="preserve">SHP0905</t>
  </si>
  <si>
    <t xml:space="preserve">2025-07-15 19:00:00</t>
  </si>
  <si>
    <t xml:space="preserve">SHP0906</t>
  </si>
  <si>
    <t xml:space="preserve">2025-06-27 19:00:00</t>
  </si>
  <si>
    <t xml:space="preserve">SHP0907</t>
  </si>
  <si>
    <t xml:space="preserve">2025-06-04 06:00:00</t>
  </si>
  <si>
    <t xml:space="preserve">SHP0908</t>
  </si>
  <si>
    <t xml:space="preserve">2025-01-11 22:00:00</t>
  </si>
  <si>
    <t xml:space="preserve">2025-01-17 21:36:00</t>
  </si>
  <si>
    <t xml:space="preserve">SHP0909</t>
  </si>
  <si>
    <t xml:space="preserve">2025-08-08 05:00:00</t>
  </si>
  <si>
    <t xml:space="preserve">2025-08-16 21:36:00</t>
  </si>
  <si>
    <t xml:space="preserve">SHP0910</t>
  </si>
  <si>
    <t xml:space="preserve">2025-10-24 05:00:00</t>
  </si>
  <si>
    <t xml:space="preserve">SHP0911</t>
  </si>
  <si>
    <t xml:space="preserve">SHP0912</t>
  </si>
  <si>
    <t xml:space="preserve">2025-08-12 08:00:00</t>
  </si>
  <si>
    <t xml:space="preserve">SHP0913</t>
  </si>
  <si>
    <t xml:space="preserve">2025-02-10 01:00:00</t>
  </si>
  <si>
    <t xml:space="preserve">2025-02-12 07:12:00</t>
  </si>
  <si>
    <t xml:space="preserve">SHP0914</t>
  </si>
  <si>
    <t xml:space="preserve">2025-04-20 04:00:00</t>
  </si>
  <si>
    <t xml:space="preserve">SHP0915</t>
  </si>
  <si>
    <t xml:space="preserve">2025-02-25 22:00:00</t>
  </si>
  <si>
    <t xml:space="preserve">2025-03-04 07:12:00</t>
  </si>
  <si>
    <t xml:space="preserve">SHP0916</t>
  </si>
  <si>
    <t xml:space="preserve">2025-08-20 01:00:00</t>
  </si>
  <si>
    <t xml:space="preserve">2025-08-24 19:12:00</t>
  </si>
  <si>
    <t xml:space="preserve">SHP0917</t>
  </si>
  <si>
    <t xml:space="preserve">2025-01-14 08:00:00</t>
  </si>
  <si>
    <t xml:space="preserve">2025-01-19 16:48:00</t>
  </si>
  <si>
    <t xml:space="preserve">SHP0918</t>
  </si>
  <si>
    <t xml:space="preserve">2025-06-25 02:00:00</t>
  </si>
  <si>
    <t xml:space="preserve">2025-07-03 14:24:00</t>
  </si>
  <si>
    <t xml:space="preserve">SHP0919</t>
  </si>
  <si>
    <t xml:space="preserve">2025-07-17 02:00:00</t>
  </si>
  <si>
    <t xml:space="preserve">2025-07-19 00:00:00</t>
  </si>
  <si>
    <t xml:space="preserve">SHP0920</t>
  </si>
  <si>
    <t xml:space="preserve">2025-07-03 09:36:00</t>
  </si>
  <si>
    <t xml:space="preserve">SHP0921</t>
  </si>
  <si>
    <t xml:space="preserve">2025-08-12 07:00:00</t>
  </si>
  <si>
    <t xml:space="preserve">2025-08-17 02:24:00</t>
  </si>
  <si>
    <t xml:space="preserve">SHP0922</t>
  </si>
  <si>
    <t xml:space="preserve">2025-01-23 08:00:00</t>
  </si>
  <si>
    <t xml:space="preserve">2025-01-24 19:12:00</t>
  </si>
  <si>
    <t xml:space="preserve">SHP0923</t>
  </si>
  <si>
    <t xml:space="preserve">2025-07-29 20:00:00</t>
  </si>
  <si>
    <t xml:space="preserve">2025-08-10 14:24:00</t>
  </si>
  <si>
    <t xml:space="preserve">SHP0924</t>
  </si>
  <si>
    <t xml:space="preserve">2025-02-04 09:00:00</t>
  </si>
  <si>
    <t xml:space="preserve">2025-02-07 14:24:00</t>
  </si>
  <si>
    <t xml:space="preserve">SHP0925</t>
  </si>
  <si>
    <t xml:space="preserve">2025-04-09 22:00:00</t>
  </si>
  <si>
    <t xml:space="preserve">2025-04-12 00:00:00</t>
  </si>
  <si>
    <t xml:space="preserve">SHP0926</t>
  </si>
  <si>
    <t xml:space="preserve">2025-06-01 01:00:00</t>
  </si>
  <si>
    <t xml:space="preserve">SHP0927</t>
  </si>
  <si>
    <t xml:space="preserve">2025-04-23 04:00:00</t>
  </si>
  <si>
    <t xml:space="preserve">2025-05-03 14:24:00</t>
  </si>
  <si>
    <t xml:space="preserve">SHP0928</t>
  </si>
  <si>
    <t xml:space="preserve">2025-09-08 06:00:00</t>
  </si>
  <si>
    <t xml:space="preserve">2025-09-22 07:12:00</t>
  </si>
  <si>
    <t xml:space="preserve">SHP0929</t>
  </si>
  <si>
    <t xml:space="preserve">2025-09-07 05:00:00</t>
  </si>
  <si>
    <t xml:space="preserve">SHP0930</t>
  </si>
  <si>
    <t xml:space="preserve">SHP0931</t>
  </si>
  <si>
    <t xml:space="preserve">2025-10-08 08:00:00</t>
  </si>
  <si>
    <t xml:space="preserve">2025-10-15 09:36:00</t>
  </si>
  <si>
    <t xml:space="preserve">SHP0932</t>
  </si>
  <si>
    <t xml:space="preserve">2025-07-17 04:00:00</t>
  </si>
  <si>
    <t xml:space="preserve">SHP0933</t>
  </si>
  <si>
    <t xml:space="preserve">2025-06-20 00:00:00</t>
  </si>
  <si>
    <t xml:space="preserve">SHP0934</t>
  </si>
  <si>
    <t xml:space="preserve">2025-05-12 06:00:00</t>
  </si>
  <si>
    <t xml:space="preserve">2025-05-19 09:36:00</t>
  </si>
  <si>
    <t xml:space="preserve">SHP0935</t>
  </si>
  <si>
    <t xml:space="preserve">2025-07-14 06:00:00</t>
  </si>
  <si>
    <t xml:space="preserve">2025-07-18 04:48:00</t>
  </si>
  <si>
    <t xml:space="preserve">SHP0936</t>
  </si>
  <si>
    <t xml:space="preserve">2025-06-19 23:00:00</t>
  </si>
  <si>
    <t xml:space="preserve">SHP0937</t>
  </si>
  <si>
    <t xml:space="preserve">2025-06-09 19:00:00</t>
  </si>
  <si>
    <t xml:space="preserve">2025-06-14 14:24:00</t>
  </si>
  <si>
    <t xml:space="preserve">SHP0938</t>
  </si>
  <si>
    <t xml:space="preserve">2025-05-21 07:00:00</t>
  </si>
  <si>
    <t xml:space="preserve">SHP0939</t>
  </si>
  <si>
    <t xml:space="preserve">2025-07-29 04:00:00</t>
  </si>
  <si>
    <t xml:space="preserve">SHP0940</t>
  </si>
  <si>
    <t xml:space="preserve">2025-01-15 00:00:00</t>
  </si>
  <si>
    <t xml:space="preserve">2025-01-19 14:24:00</t>
  </si>
  <si>
    <t xml:space="preserve">SHP0941</t>
  </si>
  <si>
    <t xml:space="preserve">2025-08-04 16:48:00</t>
  </si>
  <si>
    <t xml:space="preserve">SHP0942</t>
  </si>
  <si>
    <t xml:space="preserve">2025-05-14 01:00:00</t>
  </si>
  <si>
    <t xml:space="preserve">2025-05-16 12:00:00</t>
  </si>
  <si>
    <t xml:space="preserve">SHP0943</t>
  </si>
  <si>
    <t xml:space="preserve">2025-10-13 02:00:00</t>
  </si>
  <si>
    <t xml:space="preserve">2025-10-17 09:36:00</t>
  </si>
  <si>
    <t xml:space="preserve">SHP0944</t>
  </si>
  <si>
    <t xml:space="preserve">SHP0945</t>
  </si>
  <si>
    <t xml:space="preserve">2025-08-06 04:00:00</t>
  </si>
  <si>
    <t xml:space="preserve">2025-08-17 12:00:00</t>
  </si>
  <si>
    <t xml:space="preserve">SHP0946</t>
  </si>
  <si>
    <t xml:space="preserve">2025-04-30 16:48:00</t>
  </si>
  <si>
    <t xml:space="preserve">SHP0947</t>
  </si>
  <si>
    <t xml:space="preserve">2025-09-04 21:00:00</t>
  </si>
  <si>
    <t xml:space="preserve">2025-09-14 02:24:00</t>
  </si>
  <si>
    <t xml:space="preserve">SHP0948</t>
  </si>
  <si>
    <t xml:space="preserve">2025-05-12 01:00:00</t>
  </si>
  <si>
    <t xml:space="preserve">SHP0949</t>
  </si>
  <si>
    <t xml:space="preserve">2025-06-19 19:00:00</t>
  </si>
  <si>
    <t xml:space="preserve">2025-06-25 19:12:00</t>
  </si>
  <si>
    <t xml:space="preserve">SHP0950</t>
  </si>
  <si>
    <t xml:space="preserve">2025-07-29 19:00:00</t>
  </si>
  <si>
    <t xml:space="preserve">SHP0951</t>
  </si>
  <si>
    <t xml:space="preserve">2025-08-29 04:00:00</t>
  </si>
  <si>
    <t xml:space="preserve">2025-09-07 14:24:00</t>
  </si>
  <si>
    <t xml:space="preserve">SHP0952</t>
  </si>
  <si>
    <t xml:space="preserve">2025-04-18 20:00:00</t>
  </si>
  <si>
    <t xml:space="preserve">SHP0953</t>
  </si>
  <si>
    <t xml:space="preserve">2025-02-21 06:00:00</t>
  </si>
  <si>
    <t xml:space="preserve">SHP0954</t>
  </si>
  <si>
    <t xml:space="preserve">2025-10-20 05:00:00</t>
  </si>
  <si>
    <t xml:space="preserve">SHP0955</t>
  </si>
  <si>
    <t xml:space="preserve">2025-01-11 09:00:00</t>
  </si>
  <si>
    <t xml:space="preserve">SHP0956</t>
  </si>
  <si>
    <t xml:space="preserve">2025-02-18 16:48:00</t>
  </si>
  <si>
    <t xml:space="preserve">SHP0957</t>
  </si>
  <si>
    <t xml:space="preserve">2025-09-30 00:00:00</t>
  </si>
  <si>
    <t xml:space="preserve">2025-10-06 19:12:00</t>
  </si>
  <si>
    <t xml:space="preserve">SHP0958</t>
  </si>
  <si>
    <t xml:space="preserve">SHP0959</t>
  </si>
  <si>
    <t xml:space="preserve">2025-10-03 21:00:00</t>
  </si>
  <si>
    <t xml:space="preserve">SHP0960</t>
  </si>
  <si>
    <t xml:space="preserve">2025-06-10 21:00:00</t>
  </si>
  <si>
    <t xml:space="preserve">2025-06-19 14:24:00</t>
  </si>
  <si>
    <t xml:space="preserve">SHP0961</t>
  </si>
  <si>
    <t xml:space="preserve">2025-02-06 16:48:00</t>
  </si>
  <si>
    <t xml:space="preserve">SHP0962</t>
  </si>
  <si>
    <t xml:space="preserve">2025-09-12 23:00:00</t>
  </si>
  <si>
    <t xml:space="preserve">2025-09-24 02:24:00</t>
  </si>
  <si>
    <t xml:space="preserve">SHP0963</t>
  </si>
  <si>
    <t xml:space="preserve">2025-09-09 04:00:00</t>
  </si>
  <si>
    <t xml:space="preserve">2025-09-17 21:36:00</t>
  </si>
  <si>
    <t xml:space="preserve">SHP0964</t>
  </si>
  <si>
    <t xml:space="preserve">2025-06-07 07:12:00</t>
  </si>
  <si>
    <t xml:space="preserve">SHP0965</t>
  </si>
  <si>
    <t xml:space="preserve">2025-06-08 22:00:00</t>
  </si>
  <si>
    <t xml:space="preserve">2025-06-14 00:00:00</t>
  </si>
  <si>
    <t xml:space="preserve">SHP0966</t>
  </si>
  <si>
    <t xml:space="preserve">2025-09-14 06:00:00</t>
  </si>
  <si>
    <t xml:space="preserve">SHP0967</t>
  </si>
  <si>
    <t xml:space="preserve">2025-06-23 21:00:00</t>
  </si>
  <si>
    <t xml:space="preserve">2025-06-27 19:12:00</t>
  </si>
  <si>
    <t xml:space="preserve">SHP0968</t>
  </si>
  <si>
    <t xml:space="preserve">2025-06-03 20:00:00</t>
  </si>
  <si>
    <t xml:space="preserve">SHP0969</t>
  </si>
  <si>
    <t xml:space="preserve">SHP0970</t>
  </si>
  <si>
    <t xml:space="preserve">SHP0971</t>
  </si>
  <si>
    <t xml:space="preserve">2025-07-31 23:00:00</t>
  </si>
  <si>
    <t xml:space="preserve">2025-08-04 00:00:00</t>
  </si>
  <si>
    <t xml:space="preserve">SHP0972</t>
  </si>
  <si>
    <t xml:space="preserve">2025-07-29 07:12:00</t>
  </si>
  <si>
    <t xml:space="preserve">SHP0973</t>
  </si>
  <si>
    <t xml:space="preserve">2025-07-18 19:00:00</t>
  </si>
  <si>
    <t xml:space="preserve">2025-07-27 12:00:00</t>
  </si>
  <si>
    <t xml:space="preserve">SHP0974</t>
  </si>
  <si>
    <t xml:space="preserve">2025-08-10 03:00:00</t>
  </si>
  <si>
    <t xml:space="preserve">2025-08-15 00:00:00</t>
  </si>
  <si>
    <t xml:space="preserve">SHP0975</t>
  </si>
  <si>
    <t xml:space="preserve">2025-09-03 09:00:00</t>
  </si>
  <si>
    <t xml:space="preserve">2025-09-08 02:24:00</t>
  </si>
  <si>
    <t xml:space="preserve">SHP0976</t>
  </si>
  <si>
    <t xml:space="preserve">2025-10-04 21:00:00</t>
  </si>
  <si>
    <t xml:space="preserve">2025-10-10 16:48:00</t>
  </si>
  <si>
    <t xml:space="preserve">SHP0977</t>
  </si>
  <si>
    <t xml:space="preserve">2025-10-03 08:00:00</t>
  </si>
  <si>
    <t xml:space="preserve">SHP0978</t>
  </si>
  <si>
    <t xml:space="preserve">2025-01-05 04:00:00</t>
  </si>
  <si>
    <t xml:space="preserve">2025-01-10 09:36:00</t>
  </si>
  <si>
    <t xml:space="preserve">SHP0979</t>
  </si>
  <si>
    <t xml:space="preserve">2025-01-31 03:00:00</t>
  </si>
  <si>
    <t xml:space="preserve">2025-02-07 02:24:00</t>
  </si>
  <si>
    <t xml:space="preserve">SHP0980</t>
  </si>
  <si>
    <t xml:space="preserve">SHP0981</t>
  </si>
  <si>
    <t xml:space="preserve">2025-08-23 23:00:00</t>
  </si>
  <si>
    <t xml:space="preserve">2025-08-29 00:00:00</t>
  </si>
  <si>
    <t xml:space="preserve">SHP0982</t>
  </si>
  <si>
    <t xml:space="preserve">2025-04-09 07:12:00</t>
  </si>
  <si>
    <t xml:space="preserve">SHP0983</t>
  </si>
  <si>
    <t xml:space="preserve">2025-10-19 22:00:00</t>
  </si>
  <si>
    <t xml:space="preserve">SHP0984</t>
  </si>
  <si>
    <t xml:space="preserve">2025-07-24 19:00:00</t>
  </si>
  <si>
    <t xml:space="preserve">SHP0985</t>
  </si>
  <si>
    <t xml:space="preserve">2025-05-20 07:00:00</t>
  </si>
  <si>
    <t xml:space="preserve">SHP0986</t>
  </si>
  <si>
    <t xml:space="preserve">2025-10-16 00:00:00</t>
  </si>
  <si>
    <t xml:space="preserve">SHP0987</t>
  </si>
  <si>
    <t xml:space="preserve">2025-09-02 22:00:00</t>
  </si>
  <si>
    <t xml:space="preserve">2025-09-13 19:12:00</t>
  </si>
  <si>
    <t xml:space="preserve">SHP0988</t>
  </si>
  <si>
    <t xml:space="preserve">2025-05-31 02:00:00</t>
  </si>
  <si>
    <t xml:space="preserve">2025-06-08 04:48:00</t>
  </si>
  <si>
    <t xml:space="preserve">SHP0989</t>
  </si>
  <si>
    <t xml:space="preserve">2025-05-21 06:00:00</t>
  </si>
  <si>
    <t xml:space="preserve">2025-05-26 07:12:00</t>
  </si>
  <si>
    <t xml:space="preserve">SHP0990</t>
  </si>
  <si>
    <t xml:space="preserve">2025-02-27 19:00:00</t>
  </si>
  <si>
    <t xml:space="preserve">2025-03-03 12:00:00</t>
  </si>
  <si>
    <t xml:space="preserve">SHP0991</t>
  </si>
  <si>
    <t xml:space="preserve">2025-03-28 19:00:00</t>
  </si>
  <si>
    <t xml:space="preserve">2025-04-09 00:00:00</t>
  </si>
  <si>
    <t xml:space="preserve">SHP0992</t>
  </si>
  <si>
    <t xml:space="preserve">2025-02-28 06:00:00</t>
  </si>
  <si>
    <t xml:space="preserve">2025-03-05 19:12:00</t>
  </si>
  <si>
    <t xml:space="preserve">SHP0993</t>
  </si>
  <si>
    <t xml:space="preserve">2025-09-07 07:00:00</t>
  </si>
  <si>
    <t xml:space="preserve">SHP0994</t>
  </si>
  <si>
    <t xml:space="preserve">2025-09-11 23:00:00</t>
  </si>
  <si>
    <t xml:space="preserve">SHP0995</t>
  </si>
  <si>
    <t xml:space="preserve">2025-05-29 00:00:00</t>
  </si>
  <si>
    <t xml:space="preserve">2025-06-01 14:24:00</t>
  </si>
  <si>
    <t xml:space="preserve">SHP0996</t>
  </si>
  <si>
    <t xml:space="preserve">2025-05-03 23:00:00</t>
  </si>
  <si>
    <t xml:space="preserve">2025-05-08 09:36:00</t>
  </si>
  <si>
    <t xml:space="preserve">SHP0997</t>
  </si>
  <si>
    <t xml:space="preserve">2025-08-21 19:00:00</t>
  </si>
  <si>
    <t xml:space="preserve">2025-08-28 02:24:00</t>
  </si>
  <si>
    <t xml:space="preserve">SHP0998</t>
  </si>
  <si>
    <t xml:space="preserve">2025-03-02 01:00:00</t>
  </si>
  <si>
    <t xml:space="preserve">2025-03-07 04:48:00</t>
  </si>
  <si>
    <t xml:space="preserve">SHP0999</t>
  </si>
  <si>
    <t xml:space="preserve">2025-01-07 23:00:00</t>
  </si>
  <si>
    <t xml:space="preserve">2025-01-12 16:48:00</t>
  </si>
  <si>
    <t xml:space="preserve">SHP1000</t>
  </si>
  <si>
    <t xml:space="preserve">2025-10-11 23:00:00</t>
  </si>
  <si>
    <t xml:space="preserve">2025-10-22 09:36:00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</si>
</sst>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"/>
    <numFmt numFmtId="166" formatCode="0.0%"/>
    <numFmt numFmtId="167" formatCode="\₹#,##0"/>
    <numFmt numFmtId="168" formatCode="General"/>
    <numFmt numFmtId="169" formatCode="0.0"/>
    <numFmt numFmtId="170" formatCode="0%"/>
    <numFmt numFmtId="171" formatCode="0"/>
    <numFmt numFmtId="172" formatCode="\₹#,##0,,\M"/>
    <numFmt numFmtId="173" formatCode="0.00\x"/>
    <numFmt numFmtId="174" formatCode="0.00"/>
    <numFmt numFmtId="175" formatCode="dd\-mmm\-yyyy"/>
    <numFmt numFmtId="176" formatCode="dd\-mmm\-yyyy\ hh:mm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Cambria"/>
      <family val="0"/>
      <charset val="1"/>
    </font>
    <font>
      <i val="true"/>
      <sz val="10"/>
      <color rgb="FF555555"/>
      <name val="Cambria"/>
      <family val="0"/>
      <charset val="1"/>
    </font>
    <font>
      <b val="true"/>
      <sz val="9"/>
      <color rgb="FF555555"/>
      <name val="Cambria"/>
      <family val="0"/>
      <charset val="1"/>
    </font>
    <font>
      <b val="true"/>
      <sz val="15"/>
      <color rgb="FF1F3A5F"/>
      <name val="Cambria"/>
      <family val="0"/>
      <charset val="1"/>
    </font>
    <font>
      <b val="true"/>
      <sz val="12"/>
      <color rgb="FF1F3A5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1F3A5F"/>
      <name val="Cambria"/>
      <family val="0"/>
      <charset val="1"/>
    </font>
    <font>
      <b val="true"/>
      <sz val="11"/>
      <name val="Cambria"/>
      <family val="0"/>
      <charset val="1"/>
    </font>
    <font>
      <b val="true"/>
      <i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AF1FB"/>
        <bgColor rgb="FFFFFFFF"/>
      </patternFill>
    </fill>
    <fill>
      <patternFill patternType="solid">
        <fgColor rgb="FF1F3A5F"/>
        <bgColor rgb="FF333333"/>
      </patternFill>
    </fill>
    <fill>
      <patternFill patternType="solid">
        <fgColor rgb="FFFFF2CC"/>
        <bgColor rgb="FFEA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4D6"/>
      </left>
      <right style="thin">
        <color rgb="FFB7C4D6"/>
      </right>
      <top style="thin">
        <color rgb="FFB7C4D6"/>
      </top>
      <bottom style="thin">
        <color rgb="FFB7C4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C4D6"/>
      <rgbColor rgb="FF878787"/>
      <rgbColor rgb="FF9999FF"/>
      <rgbColor rgb="FF993366"/>
      <rgbColor rgb="FFFFF2CC"/>
      <rgbColor rgb="FFEA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Late % by carrier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Analysis!$A$6:$A$10</c:f>
              <c:strCache>
                <c:ptCount val="5"/>
                <c:pt idx="0">
                  <c:v>BlueDart</c:v>
                </c:pt>
                <c:pt idx="1">
                  <c:v>Delhivery</c:v>
                </c:pt>
                <c:pt idx="2">
                  <c:v>GATI Logistics</c:v>
                </c:pt>
                <c:pt idx="3">
                  <c:v>TCI Express</c:v>
                </c:pt>
                <c:pt idx="4">
                  <c:v>VRL Cargo</c:v>
                </c:pt>
              </c:strCache>
            </c:strRef>
          </c:cat>
          <c:val>
            <c:numRef>
              <c:f>Analysis!$C$6:$C$10</c:f>
              <c:numCache>
                <c:formatCode>0.0%</c:formatCode>
                <c:ptCount val="5"/>
                <c:pt idx="0">
                  <c:v>0.773869346733668</c:v>
                </c:pt>
                <c:pt idx="1">
                  <c:v>0.72538860103627</c:v>
                </c:pt>
                <c:pt idx="2">
                  <c:v>0.751243781094527</c:v>
                </c:pt>
                <c:pt idx="3">
                  <c:v>0.752336448598131</c:v>
                </c:pt>
                <c:pt idx="4">
                  <c:v>0.72020725388601</c:v>
                </c:pt>
              </c:numCache>
            </c:numRef>
          </c:val>
        </c:ser>
        <c:gapWidth val="150"/>
        <c:overlap val="0"/>
        <c:axId val="85728312"/>
        <c:axId val="61581599"/>
      </c:barChart>
      <c:catAx>
        <c:axId val="85728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581599"/>
        <c:crosses val="autoZero"/>
        <c:auto val="1"/>
        <c:lblAlgn val="ctr"/>
        <c:lblOffset val="100"/>
        <c:noMultiLvlLbl val="0"/>
      </c:catAx>
      <c:valAx>
        <c:axId val="61581599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7283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Late % by booking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f3a5f"/>
            </a:solidFill>
            <a:ln w="28080">
              <a:solidFill>
                <a:srgbClr val="1f3a5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Analysis!$A$16:$A$25</c:f>
              <c:strCache>
                <c:ptCount val="10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</c:strCache>
            </c:strRef>
          </c:cat>
          <c:val>
            <c:numRef>
              <c:f>Analysis!$C$16:$C$25</c:f>
              <c:numCache>
                <c:formatCode>0.0%</c:formatCode>
                <c:ptCount val="10"/>
                <c:pt idx="0">
                  <c:v>0.747899159663866</c:v>
                </c:pt>
                <c:pt idx="1">
                  <c:v>0.695652173913044</c:v>
                </c:pt>
                <c:pt idx="2">
                  <c:v>0.811320754716981</c:v>
                </c:pt>
                <c:pt idx="3">
                  <c:v>0.706666666666667</c:v>
                </c:pt>
                <c:pt idx="4">
                  <c:v>0.747368421052632</c:v>
                </c:pt>
                <c:pt idx="5">
                  <c:v>0.764705882352941</c:v>
                </c:pt>
                <c:pt idx="6">
                  <c:v>0.716814159292035</c:v>
                </c:pt>
                <c:pt idx="7">
                  <c:v>0.736842105263158</c:v>
                </c:pt>
                <c:pt idx="8">
                  <c:v>0.745098039215686</c:v>
                </c:pt>
                <c:pt idx="9">
                  <c:v>0.768292682926829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8014565"/>
        <c:axId val="51750370"/>
      </c:lineChart>
      <c:catAx>
        <c:axId val="480145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750370"/>
        <c:crosses val="autoZero"/>
        <c:auto val="1"/>
        <c:lblAlgn val="ctr"/>
        <c:lblOffset val="100"/>
        <c:noMultiLvlLbl val="0"/>
      </c:catAx>
      <c:valAx>
        <c:axId val="51750370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0145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Shipments by delay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Analysis!$A$77:$A$80</c:f>
              <c:strCache>
                <c:ptCount val="4"/>
                <c:pt idx="0">
                  <c:v>Early/On time</c:v>
                </c:pt>
                <c:pt idx="1">
                  <c:v>Minor (up to 2 days)</c:v>
                </c:pt>
                <c:pt idx="2">
                  <c:v>Moderate (2-5 days)</c:v>
                </c:pt>
                <c:pt idx="3">
                  <c:v>Severe (over 5 days)</c:v>
                </c:pt>
              </c:strCache>
            </c:strRef>
          </c:cat>
          <c:val>
            <c:numRef>
              <c:f>Analysis!$B$77:$B$80</c:f>
              <c:numCache>
                <c:formatCode>General</c:formatCode>
                <c:ptCount val="4"/>
                <c:pt idx="0">
                  <c:v>255</c:v>
                </c:pt>
                <c:pt idx="1">
                  <c:v>229</c:v>
                </c:pt>
                <c:pt idx="2">
                  <c:v>355</c:v>
                </c:pt>
                <c:pt idx="3">
                  <c:v>161</c:v>
                </c:pt>
              </c:numCache>
            </c:numRef>
          </c:val>
        </c:ser>
        <c:gapWidth val="150"/>
        <c:overlap val="0"/>
        <c:axId val="61524545"/>
        <c:axId val="64576723"/>
      </c:barChart>
      <c:catAx>
        <c:axId val="615245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576723"/>
        <c:crosses val="autoZero"/>
        <c:auto val="1"/>
        <c:lblAlgn val="ctr"/>
        <c:lblOffset val="100"/>
        <c:noMultiLvlLbl val="0"/>
      </c:catAx>
      <c:valAx>
        <c:axId val="64576723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5245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expected cost by policy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Model!$A$15:$A$17</c:f>
              <c:strCache>
                <c:ptCount val="3"/>
                <c:pt idx="0">
                  <c:v>Never expedite</c:v>
                </c:pt>
                <c:pt idx="1">
                  <c:v>Always expedite</c:v>
                </c:pt>
                <c:pt idx="2">
                  <c:v>Smart rule</c:v>
                </c:pt>
              </c:strCache>
            </c:strRef>
          </c:cat>
          <c:val>
            <c:numRef>
              <c:f>Model!$B$15:$B$17</c:f>
              <c:numCache>
                <c:formatCode>\₹#,##0</c:formatCode>
                <c:ptCount val="3"/>
                <c:pt idx="0">
                  <c:v>7572796.13126413</c:v>
                </c:pt>
                <c:pt idx="1">
                  <c:v>2989634.12</c:v>
                </c:pt>
                <c:pt idx="2">
                  <c:v>2735054.61538195</c:v>
                </c:pt>
              </c:numCache>
            </c:numRef>
          </c:val>
        </c:ser>
        <c:gapWidth val="150"/>
        <c:overlap val="0"/>
        <c:axId val="66341951"/>
        <c:axId val="4855499"/>
      </c:barChart>
      <c:catAx>
        <c:axId val="6634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55499"/>
        <c:crosses val="autoZero"/>
        <c:auto val="1"/>
        <c:lblAlgn val="ctr"/>
        <c:lblOffset val="100"/>
        <c:noMultiLvlLbl val="0"/>
      </c:catAx>
      <c:valAx>
        <c:axId val="4855499"/>
        <c:scaling>
          <c:orientation val="minMax"/>
        </c:scaling>
        <c:delete val="0"/>
        <c:axPos val="l"/>
        <c:numFmt formatCode="\₹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3419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</xdr:row>
      <xdr:rowOff>100800</xdr:rowOff>
    </xdr:from>
    <xdr:to>
      <xdr:col>8</xdr:col>
      <xdr:colOff>152280</xdr:colOff>
      <xdr:row>19</xdr:row>
      <xdr:rowOff>25560</xdr:rowOff>
    </xdr:to>
    <xdr:graphicFrame>
      <xdr:nvGraphicFramePr>
        <xdr:cNvPr id="0" name="Chart 1"/>
        <xdr:cNvGraphicFramePr/>
      </xdr:nvGraphicFramePr>
      <xdr:xfrm>
        <a:off x="141120" y="152388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5</xdr:row>
      <xdr:rowOff>100800</xdr:rowOff>
    </xdr:from>
    <xdr:to>
      <xdr:col>15</xdr:col>
      <xdr:colOff>152280</xdr:colOff>
      <xdr:row>19</xdr:row>
      <xdr:rowOff>25560</xdr:rowOff>
    </xdr:to>
    <xdr:graphicFrame>
      <xdr:nvGraphicFramePr>
        <xdr:cNvPr id="1" name="Chart 2"/>
        <xdr:cNvGraphicFramePr/>
      </xdr:nvGraphicFramePr>
      <xdr:xfrm>
        <a:off x="5568480" y="152388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20</xdr:row>
      <xdr:rowOff>101160</xdr:rowOff>
    </xdr:from>
    <xdr:to>
      <xdr:col>8</xdr:col>
      <xdr:colOff>152280</xdr:colOff>
      <xdr:row>34</xdr:row>
      <xdr:rowOff>25560</xdr:rowOff>
    </xdr:to>
    <xdr:graphicFrame>
      <xdr:nvGraphicFramePr>
        <xdr:cNvPr id="2" name="Chart 3"/>
        <xdr:cNvGraphicFramePr/>
      </xdr:nvGraphicFramePr>
      <xdr:xfrm>
        <a:off x="141120" y="438156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20</xdr:row>
      <xdr:rowOff>101160</xdr:rowOff>
    </xdr:from>
    <xdr:to>
      <xdr:col>15</xdr:col>
      <xdr:colOff>152280</xdr:colOff>
      <xdr:row>34</xdr:row>
      <xdr:rowOff>25560</xdr:rowOff>
    </xdr:to>
    <xdr:graphicFrame>
      <xdr:nvGraphicFramePr>
        <xdr:cNvPr id="3" name="Chart 4"/>
        <xdr:cNvGraphicFramePr/>
      </xdr:nvGraphicFramePr>
      <xdr:xfrm>
        <a:off x="5568480" y="438156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O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5" min="2" style="0" width="11"/>
  </cols>
  <sheetData>
    <row r="1" customFormat="false" ht="22.0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30" hidden="false" customHeight="true" outlineLevel="0" collapsed="false">
      <c r="B4" s="3" t="s">
        <v>2</v>
      </c>
      <c r="C4" s="3"/>
      <c r="D4" s="3" t="s">
        <v>3</v>
      </c>
      <c r="E4" s="3"/>
      <c r="F4" s="3" t="s">
        <v>4</v>
      </c>
      <c r="G4" s="3"/>
      <c r="H4" s="3" t="s">
        <v>5</v>
      </c>
      <c r="I4" s="3"/>
      <c r="J4" s="3" t="s">
        <v>6</v>
      </c>
      <c r="K4" s="3"/>
      <c r="L4" s="3" t="s">
        <v>7</v>
      </c>
      <c r="M4" s="3"/>
      <c r="N4" s="3" t="s">
        <v>8</v>
      </c>
      <c r="O4" s="3"/>
    </row>
    <row r="5" customFormat="false" ht="30" hidden="false" customHeight="true" outlineLevel="0" collapsed="false">
      <c r="B5" s="4" t="n">
        <f aca="false">Analysis!B11</f>
        <v>1000</v>
      </c>
      <c r="C5" s="4"/>
      <c r="D5" s="5" t="n">
        <f aca="false">Analysis!C11</f>
        <v>0.745</v>
      </c>
      <c r="E5" s="5"/>
      <c r="F5" s="6" t="str">
        <f aca="false">TEXT(Analysis!E11,"0.0")&amp;" days"</f>
        <v>3.4 days</v>
      </c>
      <c r="G5" s="6"/>
      <c r="H5" s="7" t="n">
        <f aca="false">SUM(Clean!$AD$2:$AD$1001)</f>
        <v>5250544.55</v>
      </c>
      <c r="I5" s="7"/>
      <c r="J5" s="7" t="n">
        <f aca="false">Model!B15</f>
        <v>7572796.13126413</v>
      </c>
      <c r="K5" s="7"/>
      <c r="L5" s="7" t="n">
        <f aca="false">Model!D17</f>
        <v>4837741.51588218</v>
      </c>
      <c r="M5" s="7"/>
      <c r="N5" s="5" t="n">
        <f aca="false">Analysis!C12</f>
        <v>0.053662092847658</v>
      </c>
      <c r="O5" s="5"/>
    </row>
    <row r="37" customFormat="false" ht="15" hidden="false" customHeight="false" outlineLevel="0" collapsed="false">
      <c r="B37" s="8" t="s">
        <v>9</v>
      </c>
      <c r="I37" s="8" t="s">
        <v>10</v>
      </c>
    </row>
    <row r="38" customFormat="false" ht="15" hidden="false" customHeight="true" outlineLevel="0" collapsed="false">
      <c r="B38" s="9" t="s">
        <v>11</v>
      </c>
      <c r="C38" s="9"/>
      <c r="D38" s="9"/>
      <c r="E38" s="9" t="s">
        <v>2</v>
      </c>
      <c r="F38" s="9" t="s">
        <v>12</v>
      </c>
      <c r="G38" s="9" t="s">
        <v>13</v>
      </c>
      <c r="I38" s="10" t="str">
        <f aca="false">"Roughly "&amp;TEXT(Analysis!C11,"0%")&amp;" of shipments arrive late, on every carrier."</f>
        <v>Roughly 75% of shipments arrive late, on every carrier.</v>
      </c>
      <c r="J38" s="10"/>
      <c r="K38" s="10"/>
      <c r="L38" s="10"/>
      <c r="M38" s="10"/>
      <c r="N38" s="10"/>
      <c r="O38" s="10"/>
    </row>
    <row r="39" customFormat="false" ht="15" hidden="false" customHeight="false" outlineLevel="0" collapsed="false">
      <c r="B39" s="11" t="str">
        <f aca="false">Analysis!A60</f>
        <v>Chennai → Surat</v>
      </c>
      <c r="C39" s="11"/>
      <c r="D39" s="11"/>
      <c r="E39" s="12" t="n">
        <f aca="false">Analysis!B60</f>
        <v>115</v>
      </c>
      <c r="F39" s="13" t="n">
        <f aca="false">Analysis!C60</f>
        <v>0.71304347826087</v>
      </c>
      <c r="G39" s="14" t="n">
        <f aca="false">Analysis!D60</f>
        <v>2.30695652173913</v>
      </c>
      <c r="I39" s="10"/>
      <c r="J39" s="10"/>
      <c r="K39" s="10"/>
      <c r="L39" s="10"/>
      <c r="M39" s="10"/>
      <c r="N39" s="10"/>
      <c r="O39" s="10"/>
    </row>
    <row r="40" customFormat="false" ht="15" hidden="false" customHeight="false" outlineLevel="0" collapsed="false">
      <c r="B40" s="11" t="str">
        <f aca="false">Analysis!A61</f>
        <v>Gujarat → Surat</v>
      </c>
      <c r="C40" s="11"/>
      <c r="D40" s="11"/>
      <c r="E40" s="12" t="n">
        <f aca="false">Analysis!B61</f>
        <v>124</v>
      </c>
      <c r="F40" s="13" t="n">
        <f aca="false">Analysis!C61</f>
        <v>0.798387096774194</v>
      </c>
      <c r="G40" s="14" t="n">
        <f aca="false">Analysis!D61</f>
        <v>2.84758064516129</v>
      </c>
      <c r="I40" s="10" t="str">
        <f aca="false">"Best and worst carriers differ by only "&amp;TEXT(Analysis!C12*100,"0.0")&amp;" percentage points in late rate, so switching carriers is not the fix."</f>
        <v>Best and worst carriers differ by only 5.4 percentage points in late rate, so switching carriers is not the fix.</v>
      </c>
      <c r="J40" s="10"/>
      <c r="K40" s="10"/>
      <c r="L40" s="10"/>
      <c r="M40" s="10"/>
      <c r="N40" s="10"/>
      <c r="O40" s="10"/>
    </row>
    <row r="41" customFormat="false" ht="15" hidden="false" customHeight="false" outlineLevel="0" collapsed="false">
      <c r="B41" s="11" t="str">
        <f aca="false">Analysis!A62</f>
        <v>Punjab → Surat</v>
      </c>
      <c r="C41" s="11"/>
      <c r="D41" s="11"/>
      <c r="E41" s="12" t="n">
        <f aca="false">Analysis!B62</f>
        <v>111</v>
      </c>
      <c r="F41" s="13" t="n">
        <f aca="false">Analysis!C62</f>
        <v>0.783783783783784</v>
      </c>
      <c r="G41" s="14" t="n">
        <f aca="false">Analysis!D62</f>
        <v>2.11351351351351</v>
      </c>
      <c r="I41" s="10"/>
      <c r="J41" s="10"/>
      <c r="K41" s="10"/>
      <c r="L41" s="10"/>
      <c r="M41" s="10"/>
      <c r="N41" s="10"/>
      <c r="O41" s="10"/>
    </row>
    <row r="42" customFormat="false" ht="15" hidden="false" customHeight="false" outlineLevel="0" collapsed="false">
      <c r="B42" s="11" t="str">
        <f aca="false">Analysis!A63</f>
        <v>Rajasthan → Surat</v>
      </c>
      <c r="C42" s="11"/>
      <c r="D42" s="11"/>
      <c r="E42" s="12" t="n">
        <f aca="false">Analysis!B63</f>
        <v>136</v>
      </c>
      <c r="F42" s="13" t="n">
        <f aca="false">Analysis!C63</f>
        <v>0.705882352941177</v>
      </c>
      <c r="G42" s="14" t="n">
        <f aca="false">Analysis!D63</f>
        <v>2.24485294117647</v>
      </c>
      <c r="I42" s="10" t="str">
        <f aca="false">"The lever is which shipments to expedite: the smart rule expedites "&amp;TEXT(Model!C18,"0%")&amp;" of shipments and cuts expected cost by "&amp;TEXT(Model!E17,"0%")&amp;" vs never expediting, and by "&amp;TEXT((Model!B16-Model!B17)/Model!B16,"0.0%")&amp;" vs expediting everything."</f>
        <v>The lever is which shipments to expedite: the smart rule expedites 82% of shipments and cuts expected cost by 64% vs never expediting, and by 8.5% vs expediting everything.</v>
      </c>
      <c r="J42" s="10"/>
      <c r="K42" s="10"/>
      <c r="L42" s="10"/>
      <c r="M42" s="10"/>
      <c r="N42" s="10"/>
      <c r="O42" s="10"/>
    </row>
    <row r="43" customFormat="false" ht="15" hidden="false" customHeight="false" outlineLevel="0" collapsed="false">
      <c r="B43" s="11" t="str">
        <f aca="false">Analysis!A64</f>
        <v>Uttar Pradesh → Surat</v>
      </c>
      <c r="C43" s="11"/>
      <c r="D43" s="11"/>
      <c r="E43" s="12" t="n">
        <f aca="false">Analysis!B64</f>
        <v>115</v>
      </c>
      <c r="F43" s="13" t="n">
        <f aca="false">Analysis!C64</f>
        <v>0.765217391304348</v>
      </c>
      <c r="G43" s="14" t="n">
        <f aca="false">Analysis!D64</f>
        <v>2.53391304347826</v>
      </c>
      <c r="I43" s="10"/>
      <c r="J43" s="10"/>
      <c r="K43" s="10"/>
      <c r="L43" s="10"/>
      <c r="M43" s="10"/>
      <c r="N43" s="10"/>
      <c r="O43" s="10"/>
    </row>
    <row r="44" customFormat="false" ht="15" hidden="false" customHeight="false" outlineLevel="0" collapsed="false">
      <c r="B44" s="11" t="str">
        <f aca="false">Analysis!A65</f>
        <v>Surat → Assam</v>
      </c>
      <c r="C44" s="11"/>
      <c r="D44" s="11"/>
      <c r="E44" s="12" t="n">
        <f aca="false">Analysis!B65</f>
        <v>41</v>
      </c>
      <c r="F44" s="13" t="n">
        <f aca="false">Analysis!C65</f>
        <v>0.560975609756098</v>
      </c>
      <c r="G44" s="14" t="n">
        <f aca="false">Analysis!D65</f>
        <v>1.53414634146341</v>
      </c>
      <c r="I44" s="10" t="str">
        <f aca="false">"Lanes vary more than carriers ("&amp;TEXT(MIN(Analysis!C60:C73),"0%")&amp;" to "&amp;TEXT(MAX(Analysis!C60:C73),"0%")&amp;" late), but outbound lanes carry only "&amp;MIN(Analysis!B65:B73)&amp;"-"&amp;MAX(Analysis!B65:B73)&amp;" shipments each, so confirm on more data before acting."</f>
        <v>Lanes vary more than carriers (56% to 85% late), but outbound lanes carry only 37-54 shipments each, so confirm on more data before acting.</v>
      </c>
      <c r="J44" s="10"/>
      <c r="K44" s="10"/>
      <c r="L44" s="10"/>
      <c r="M44" s="10"/>
      <c r="N44" s="10"/>
      <c r="O44" s="10"/>
    </row>
    <row r="45" customFormat="false" ht="15" hidden="false" customHeight="false" outlineLevel="0" collapsed="false">
      <c r="B45" s="11" t="str">
        <f aca="false">Analysis!A66</f>
        <v>Surat → Gujarat</v>
      </c>
      <c r="C45" s="11"/>
      <c r="D45" s="11"/>
      <c r="E45" s="12" t="n">
        <f aca="false">Analysis!B66</f>
        <v>42</v>
      </c>
      <c r="F45" s="13" t="n">
        <f aca="false">Analysis!C66</f>
        <v>0.761904761904762</v>
      </c>
      <c r="G45" s="14" t="n">
        <f aca="false">Analysis!D66</f>
        <v>2.32619047619048</v>
      </c>
      <c r="I45" s="10"/>
      <c r="J45" s="10"/>
      <c r="K45" s="10"/>
      <c r="L45" s="10"/>
      <c r="M45" s="10"/>
      <c r="N45" s="10"/>
      <c r="O45" s="10"/>
    </row>
    <row r="46" customFormat="false" ht="15" hidden="false" customHeight="false" outlineLevel="0" collapsed="false">
      <c r="B46" s="11" t="str">
        <f aca="false">Analysis!A67</f>
        <v>Surat → Jaipur</v>
      </c>
      <c r="C46" s="11"/>
      <c r="D46" s="11"/>
      <c r="E46" s="12" t="n">
        <f aca="false">Analysis!B67</f>
        <v>51</v>
      </c>
      <c r="F46" s="13" t="n">
        <f aca="false">Analysis!C67</f>
        <v>0.803921568627451</v>
      </c>
      <c r="G46" s="14" t="n">
        <f aca="false">Analysis!D67</f>
        <v>2.3156862745098</v>
      </c>
      <c r="I46" s="10" t="str">
        <f aca="false">"Synthetic data: read the totals as illustrative, the method as the point."</f>
        <v>Synthetic data: read the totals as illustrative, the method as the point.</v>
      </c>
      <c r="J46" s="10"/>
      <c r="K46" s="10"/>
      <c r="L46" s="10"/>
      <c r="M46" s="10"/>
      <c r="N46" s="10"/>
      <c r="O46" s="10"/>
    </row>
    <row r="47" customFormat="false" ht="15" hidden="false" customHeight="false" outlineLevel="0" collapsed="false">
      <c r="B47" s="11" t="str">
        <f aca="false">Analysis!A68</f>
        <v>Surat → Karnataka</v>
      </c>
      <c r="C47" s="11"/>
      <c r="D47" s="11"/>
      <c r="E47" s="12" t="n">
        <f aca="false">Analysis!B68</f>
        <v>37</v>
      </c>
      <c r="F47" s="13" t="n">
        <f aca="false">Analysis!C68</f>
        <v>0.567567567567568</v>
      </c>
      <c r="G47" s="14" t="n">
        <f aca="false">Analysis!D68</f>
        <v>1.78918918918919</v>
      </c>
      <c r="I47" s="10"/>
      <c r="J47" s="10"/>
      <c r="K47" s="10"/>
      <c r="L47" s="10"/>
      <c r="M47" s="10"/>
      <c r="N47" s="10"/>
      <c r="O47" s="10"/>
    </row>
    <row r="48" customFormat="false" ht="15" hidden="false" customHeight="false" outlineLevel="0" collapsed="false">
      <c r="B48" s="11" t="str">
        <f aca="false">Analysis!A69</f>
        <v>Surat → Kerala</v>
      </c>
      <c r="C48" s="11"/>
      <c r="D48" s="11"/>
      <c r="E48" s="12" t="n">
        <f aca="false">Analysis!B69</f>
        <v>45</v>
      </c>
      <c r="F48" s="13" t="n">
        <f aca="false">Analysis!C69</f>
        <v>0.666666666666667</v>
      </c>
      <c r="G48" s="14" t="n">
        <f aca="false">Analysis!D69</f>
        <v>1.78444444444444</v>
      </c>
    </row>
    <row r="49" customFormat="false" ht="15" hidden="false" customHeight="false" outlineLevel="0" collapsed="false">
      <c r="B49" s="11" t="str">
        <f aca="false">Analysis!A70</f>
        <v>Surat → Madhya Pradesh</v>
      </c>
      <c r="C49" s="11"/>
      <c r="D49" s="11"/>
      <c r="E49" s="12" t="n">
        <f aca="false">Analysis!B70</f>
        <v>44</v>
      </c>
      <c r="F49" s="13" t="n">
        <f aca="false">Analysis!C70</f>
        <v>0.75</v>
      </c>
      <c r="G49" s="14" t="n">
        <f aca="false">Analysis!D70</f>
        <v>2.13863636363636</v>
      </c>
    </row>
    <row r="50" customFormat="false" ht="15" hidden="false" customHeight="false" outlineLevel="0" collapsed="false">
      <c r="B50" s="11" t="str">
        <f aca="false">Analysis!A71</f>
        <v>Surat → Mumbai</v>
      </c>
      <c r="C50" s="11"/>
      <c r="D50" s="11"/>
      <c r="E50" s="12" t="n">
        <f aca="false">Analysis!B71</f>
        <v>41</v>
      </c>
      <c r="F50" s="13" t="n">
        <f aca="false">Analysis!C71</f>
        <v>0.75609756097561</v>
      </c>
      <c r="G50" s="14" t="n">
        <f aca="false">Analysis!D71</f>
        <v>2.1609756097561</v>
      </c>
    </row>
    <row r="51" customFormat="false" ht="15" hidden="false" customHeight="false" outlineLevel="0" collapsed="false">
      <c r="B51" s="11" t="str">
        <f aca="false">Analysis!A72</f>
        <v>Surat → Uttarakhand</v>
      </c>
      <c r="C51" s="11"/>
      <c r="D51" s="11"/>
      <c r="E51" s="12" t="n">
        <f aca="false">Analysis!B72</f>
        <v>54</v>
      </c>
      <c r="F51" s="13" t="n">
        <f aca="false">Analysis!C72</f>
        <v>0.851851851851852</v>
      </c>
      <c r="G51" s="14" t="n">
        <f aca="false">Analysis!D72</f>
        <v>3.02777777777778</v>
      </c>
    </row>
    <row r="52" customFormat="false" ht="15" hidden="false" customHeight="false" outlineLevel="0" collapsed="false">
      <c r="B52" s="11" t="str">
        <f aca="false">Analysis!A73</f>
        <v>Surat → West Bengal</v>
      </c>
      <c r="C52" s="11"/>
      <c r="D52" s="11"/>
      <c r="E52" s="12" t="n">
        <f aca="false">Analysis!B73</f>
        <v>44</v>
      </c>
      <c r="F52" s="13" t="n">
        <f aca="false">Analysis!C73</f>
        <v>0.818181818181818</v>
      </c>
      <c r="G52" s="14" t="n">
        <f aca="false">Analysis!D73</f>
        <v>2.77954545454545</v>
      </c>
    </row>
  </sheetData>
  <mergeCells count="34">
    <mergeCell ref="B4:C4"/>
    <mergeCell ref="D4:E4"/>
    <mergeCell ref="F4:G4"/>
    <mergeCell ref="H4:I4"/>
    <mergeCell ref="J4:K4"/>
    <mergeCell ref="L4:M4"/>
    <mergeCell ref="N4:O4"/>
    <mergeCell ref="B5:C5"/>
    <mergeCell ref="D5:E5"/>
    <mergeCell ref="F5:G5"/>
    <mergeCell ref="H5:I5"/>
    <mergeCell ref="J5:K5"/>
    <mergeCell ref="L5:M5"/>
    <mergeCell ref="N5:O5"/>
    <mergeCell ref="B38:D38"/>
    <mergeCell ref="I38:O39"/>
    <mergeCell ref="B39:D39"/>
    <mergeCell ref="B40:D40"/>
    <mergeCell ref="I40:O41"/>
    <mergeCell ref="B41:D41"/>
    <mergeCell ref="B42:D42"/>
    <mergeCell ref="I42:O43"/>
    <mergeCell ref="B43:D43"/>
    <mergeCell ref="B44:D44"/>
    <mergeCell ref="I44:O45"/>
    <mergeCell ref="B45:D45"/>
    <mergeCell ref="B46:D46"/>
    <mergeCell ref="I46:O47"/>
    <mergeCell ref="B47:D47"/>
    <mergeCell ref="B48:D48"/>
    <mergeCell ref="B49:D49"/>
    <mergeCell ref="B50:D50"/>
    <mergeCell ref="B51:D51"/>
    <mergeCell ref="B52:D52"/>
  </mergeCells>
  <conditionalFormatting sqref="F39:F5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6" min="5" style="0" width="14"/>
    <col collapsed="false" customWidth="true" hidden="false" outlineLevel="0" max="7" min="7" style="0" width="15"/>
  </cols>
  <sheetData>
    <row r="1" customFormat="false" ht="19.7" hidden="false" customHeight="false" outlineLevel="0" collapsed="false">
      <c r="A1" s="15" t="s">
        <v>14</v>
      </c>
    </row>
    <row r="2" customFormat="false" ht="15" hidden="false" customHeight="false" outlineLevel="0" collapsed="false">
      <c r="A2" s="2" t="s">
        <v>15</v>
      </c>
    </row>
    <row r="4" customFormat="false" ht="15" hidden="false" customHeight="false" outlineLevel="0" collapsed="false">
      <c r="A4" s="8" t="s">
        <v>16</v>
      </c>
    </row>
    <row r="5" customFormat="false" ht="30" hidden="false" customHeight="true" outlineLevel="0" collapsed="false">
      <c r="A5" s="9" t="s">
        <v>17</v>
      </c>
      <c r="B5" s="9" t="s">
        <v>2</v>
      </c>
      <c r="C5" s="9" t="s">
        <v>12</v>
      </c>
      <c r="D5" s="9" t="s">
        <v>18</v>
      </c>
      <c r="E5" s="9" t="s">
        <v>4</v>
      </c>
      <c r="F5" s="9" t="s">
        <v>19</v>
      </c>
      <c r="G5" s="9" t="s">
        <v>20</v>
      </c>
    </row>
    <row r="6" customFormat="false" ht="15" hidden="false" customHeight="false" outlineLevel="0" collapsed="false">
      <c r="A6" s="12" t="s">
        <v>21</v>
      </c>
      <c r="B6" s="12" t="n">
        <f aca="false">COUNTIFS(Clean!$AA$2:$AA$1001,$A6)</f>
        <v>199</v>
      </c>
      <c r="C6" s="13" t="n">
        <f aca="false">AVERAGEIFS(Clean!$V$2:$V$1001,Clean!$AA$2:$AA$1001,$A6)</f>
        <v>0.773869346733668</v>
      </c>
      <c r="D6" s="14" t="n">
        <f aca="false">AVERAGEIFS(Clean!$S$2:$S$1001,Clean!$AA$2:$AA$1001,$A6)</f>
        <v>2.36683417085427</v>
      </c>
      <c r="E6" s="14" t="n">
        <f aca="false">AVERAGEIFS(Clean!$S$2:$S$1001,Clean!$AA$2:$AA$1001,$A6,Clean!$V$2:$V$1001,1)</f>
        <v>3.29285714285714</v>
      </c>
      <c r="F6" s="16" t="n">
        <f aca="false">AVERAGEIFS(Clean!$AG$2:$AG$1001,Clean!$AA$2:$AA$1001,$A6)</f>
        <v>560.080401129382</v>
      </c>
      <c r="G6" s="13" t="n">
        <f aca="false">(COUNTIFS(Clean!$AA$2:$AA$1001,$A6,Clean!$AC$2:$AC$1001,"Returned")+COUNTIFS(Clean!$AA$2:$AA$1001,$A6,Clean!$AC$2:$AC$1001,"Damaged"))/B6</f>
        <v>0.386934673366834</v>
      </c>
    </row>
    <row r="7" customFormat="false" ht="15" hidden="false" customHeight="false" outlineLevel="0" collapsed="false">
      <c r="A7" s="12" t="s">
        <v>22</v>
      </c>
      <c r="B7" s="12" t="n">
        <f aca="false">COUNTIFS(Clean!$AA$2:$AA$1001,$A7)</f>
        <v>193</v>
      </c>
      <c r="C7" s="13" t="n">
        <f aca="false">AVERAGEIFS(Clean!$V$2:$V$1001,Clean!$AA$2:$AA$1001,$A7)</f>
        <v>0.72538860103627</v>
      </c>
      <c r="D7" s="14" t="n">
        <f aca="false">AVERAGEIFS(Clean!$S$2:$S$1001,Clean!$AA$2:$AA$1001,$A7)</f>
        <v>2.47564766839378</v>
      </c>
      <c r="E7" s="14" t="n">
        <f aca="false">AVERAGEIFS(Clean!$S$2:$S$1001,Clean!$AA$2:$AA$1001,$A7,Clean!$V$2:$V$1001,1)</f>
        <v>3.71071428571429</v>
      </c>
      <c r="F7" s="16" t="n">
        <f aca="false">AVERAGEIFS(Clean!$AG$2:$AG$1001,Clean!$AA$2:$AA$1001,$A7)</f>
        <v>586.281157377917</v>
      </c>
      <c r="G7" s="13" t="n">
        <f aca="false">(COUNTIFS(Clean!$AA$2:$AA$1001,$A7,Clean!$AC$2:$AC$1001,"Returned")+COUNTIFS(Clean!$AA$2:$AA$1001,$A7,Clean!$AC$2:$AC$1001,"Damaged"))/B7</f>
        <v>0.409326424870466</v>
      </c>
    </row>
    <row r="8" customFormat="false" ht="15" hidden="false" customHeight="false" outlineLevel="0" collapsed="false">
      <c r="A8" s="12" t="s">
        <v>23</v>
      </c>
      <c r="B8" s="12" t="n">
        <f aca="false">COUNTIFS(Clean!$AA$2:$AA$1001,$A8)</f>
        <v>201</v>
      </c>
      <c r="C8" s="13" t="n">
        <f aca="false">AVERAGEIFS(Clean!$V$2:$V$1001,Clean!$AA$2:$AA$1001,$A8)</f>
        <v>0.751243781094527</v>
      </c>
      <c r="D8" s="14" t="n">
        <f aca="false">AVERAGEIFS(Clean!$S$2:$S$1001,Clean!$AA$2:$AA$1001,$A8)</f>
        <v>2.46218905472637</v>
      </c>
      <c r="E8" s="14" t="n">
        <f aca="false">AVERAGEIFS(Clean!$S$2:$S$1001,Clean!$AA$2:$AA$1001,$A8,Clean!$V$2:$V$1001,1)</f>
        <v>3.53112582781457</v>
      </c>
      <c r="F8" s="16" t="n">
        <f aca="false">AVERAGEIFS(Clean!$AG$2:$AG$1001,Clean!$AA$2:$AA$1001,$A8)</f>
        <v>578.769408514573</v>
      </c>
      <c r="G8" s="13" t="n">
        <f aca="false">(COUNTIFS(Clean!$AA$2:$AA$1001,$A8,Clean!$AC$2:$AC$1001,"Returned")+COUNTIFS(Clean!$AA$2:$AA$1001,$A8,Clean!$AC$2:$AC$1001,"Damaged"))/B8</f>
        <v>0.417910447761194</v>
      </c>
    </row>
    <row r="9" customFormat="false" ht="15" hidden="false" customHeight="false" outlineLevel="0" collapsed="false">
      <c r="A9" s="12" t="s">
        <v>24</v>
      </c>
      <c r="B9" s="12" t="n">
        <f aca="false">COUNTIFS(Clean!$AA$2:$AA$1001,$A9)</f>
        <v>214</v>
      </c>
      <c r="C9" s="13" t="n">
        <f aca="false">AVERAGEIFS(Clean!$V$2:$V$1001,Clean!$AA$2:$AA$1001,$A9)</f>
        <v>0.752336448598131</v>
      </c>
      <c r="D9" s="14" t="n">
        <f aca="false">AVERAGEIFS(Clean!$S$2:$S$1001,Clean!$AA$2:$AA$1001,$A9)</f>
        <v>2.11775700934579</v>
      </c>
      <c r="E9" s="14" t="n">
        <f aca="false">AVERAGEIFS(Clean!$S$2:$S$1001,Clean!$AA$2:$AA$1001,$A9,Clean!$V$2:$V$1001,1)</f>
        <v>3.06832298136646</v>
      </c>
      <c r="F9" s="16" t="n">
        <f aca="false">AVERAGEIFS(Clean!$AG$2:$AG$1001,Clean!$AA$2:$AA$1001,$A9)</f>
        <v>607.852898729532</v>
      </c>
      <c r="G9" s="13" t="n">
        <f aca="false">(COUNTIFS(Clean!$AA$2:$AA$1001,$A9,Clean!$AC$2:$AC$1001,"Returned")+COUNTIFS(Clean!$AA$2:$AA$1001,$A9,Clean!$AC$2:$AC$1001,"Damaged"))/B9</f>
        <v>0.373831775700935</v>
      </c>
    </row>
    <row r="10" customFormat="false" ht="15" hidden="false" customHeight="false" outlineLevel="0" collapsed="false">
      <c r="A10" s="12" t="s">
        <v>25</v>
      </c>
      <c r="B10" s="12" t="n">
        <f aca="false">COUNTIFS(Clean!$AA$2:$AA$1001,$A10)</f>
        <v>193</v>
      </c>
      <c r="C10" s="13" t="n">
        <f aca="false">AVERAGEIFS(Clean!$V$2:$V$1001,Clean!$AA$2:$AA$1001,$A10)</f>
        <v>0.72020725388601</v>
      </c>
      <c r="D10" s="14" t="n">
        <f aca="false">AVERAGEIFS(Clean!$S$2:$S$1001,Clean!$AA$2:$AA$1001,$A10)</f>
        <v>2.31347150259067</v>
      </c>
      <c r="E10" s="14" t="n">
        <f aca="false">AVERAGEIFS(Clean!$S$2:$S$1001,Clean!$AA$2:$AA$1001,$A10,Clean!$V$2:$V$1001,1)</f>
        <v>3.53525179856115</v>
      </c>
      <c r="F10" s="16" t="n">
        <f aca="false">AVERAGEIFS(Clean!$AG$2:$AG$1001,Clean!$AA$2:$AA$1001,$A10)</f>
        <v>586.658676935741</v>
      </c>
      <c r="G10" s="13" t="n">
        <f aca="false">(COUNTIFS(Clean!$AA$2:$AA$1001,$A10,Clean!$AC$2:$AC$1001,"Returned")+COUNTIFS(Clean!$AA$2:$AA$1001,$A10,Clean!$AC$2:$AC$1001,"Damaged"))/B10</f>
        <v>0.404145077720207</v>
      </c>
    </row>
    <row r="11" customFormat="false" ht="15" hidden="false" customHeight="false" outlineLevel="0" collapsed="false">
      <c r="A11" s="17" t="s">
        <v>26</v>
      </c>
      <c r="B11" s="12" t="n">
        <f aca="false">COUNTA(Clean!$AA$2:$AA$1001)</f>
        <v>1000</v>
      </c>
      <c r="C11" s="13" t="n">
        <f aca="false">AVERAGE(Clean!$V$2:$V$1001)</f>
        <v>0.745</v>
      </c>
      <c r="D11" s="14" t="n">
        <f aca="false">AVERAGE(Clean!$S$2:$S$1001)</f>
        <v>2.3434</v>
      </c>
      <c r="E11" s="14" t="n">
        <f aca="false">AVERAGEIFS(Clean!$S$2:$S$1001,Clean!$V$2:$V$1001,1)</f>
        <v>3.41637583892617</v>
      </c>
      <c r="F11" s="16" t="n">
        <f aca="false">AVERAGE(Clean!$AG$2:$AG$1001)</f>
        <v>584.246559286832</v>
      </c>
      <c r="G11" s="13" t="n">
        <f aca="false">(COUNTIF(Clean!$AC$2:$AC$1001,"Returned")+COUNTIF(Clean!$AC$2:$AC$1001,"Damaged"))/B11</f>
        <v>0.398</v>
      </c>
    </row>
    <row r="12" customFormat="false" ht="15" hidden="false" customHeight="false" outlineLevel="0" collapsed="false">
      <c r="A12" s="18" t="s">
        <v>27</v>
      </c>
      <c r="B12" s="12"/>
      <c r="C12" s="13" t="n">
        <f aca="false">MAX(C6:C10)-MIN(C6:C10)</f>
        <v>0.053662092847658</v>
      </c>
      <c r="D12" s="14" t="n">
        <f aca="false">MAX(D6:D10)-MIN(D6:D10)</f>
        <v>0.357890659047988</v>
      </c>
      <c r="E12" s="14" t="n">
        <f aca="false">MAX(E6:E10)-MIN(E6:E10)</f>
        <v>0.642391304347826</v>
      </c>
      <c r="F12" s="16" t="n">
        <f aca="false">MAX(F6:F10)-MIN(F6:F10)</f>
        <v>47.77249760015</v>
      </c>
      <c r="G12" s="13" t="n">
        <f aca="false">MAX(G6:G10)-MIN(G6:G10)</f>
        <v>0.0440786720602595</v>
      </c>
    </row>
    <row r="14" customFormat="false" ht="15" hidden="false" customHeight="false" outlineLevel="0" collapsed="false">
      <c r="A14" s="8" t="s">
        <v>28</v>
      </c>
    </row>
    <row r="15" customFormat="false" ht="28.35" hidden="false" customHeight="false" outlineLevel="0" collapsed="false">
      <c r="A15" s="9" t="s">
        <v>29</v>
      </c>
      <c r="B15" s="9" t="s">
        <v>2</v>
      </c>
      <c r="C15" s="9" t="s">
        <v>12</v>
      </c>
      <c r="D15" s="9" t="s">
        <v>18</v>
      </c>
    </row>
    <row r="16" customFormat="false" ht="15" hidden="false" customHeight="false" outlineLevel="0" collapsed="false">
      <c r="A16" s="12" t="s">
        <v>30</v>
      </c>
      <c r="B16" s="12" t="n">
        <f aca="false">COUNTIFS(Clean!$Y$2:$Y$1001,$A16)</f>
        <v>119</v>
      </c>
      <c r="C16" s="13" t="n">
        <f aca="false">AVERAGEIFS(Clean!$V$2:$V$1001,Clean!$Y$2:$Y$1001,$A16)</f>
        <v>0.747899159663866</v>
      </c>
      <c r="D16" s="14" t="n">
        <f aca="false">AVERAGEIFS(Clean!$S$2:$S$1001,Clean!$Y$2:$Y$1001,$A16)</f>
        <v>2.42605042016807</v>
      </c>
    </row>
    <row r="17" customFormat="false" ht="15" hidden="false" customHeight="false" outlineLevel="0" collapsed="false">
      <c r="A17" s="12" t="s">
        <v>31</v>
      </c>
      <c r="B17" s="12" t="n">
        <f aca="false">COUNTIFS(Clean!$Y$2:$Y$1001,$A17)</f>
        <v>92</v>
      </c>
      <c r="C17" s="13" t="n">
        <f aca="false">AVERAGEIFS(Clean!$V$2:$V$1001,Clean!$Y$2:$Y$1001,$A17)</f>
        <v>0.695652173913044</v>
      </c>
      <c r="D17" s="14" t="n">
        <f aca="false">AVERAGEIFS(Clean!$S$2:$S$1001,Clean!$Y$2:$Y$1001,$A17)</f>
        <v>2.09239130434783</v>
      </c>
    </row>
    <row r="18" customFormat="false" ht="15" hidden="false" customHeight="false" outlineLevel="0" collapsed="false">
      <c r="A18" s="12" t="s">
        <v>32</v>
      </c>
      <c r="B18" s="12" t="n">
        <f aca="false">COUNTIFS(Clean!$Y$2:$Y$1001,$A18)</f>
        <v>106</v>
      </c>
      <c r="C18" s="13" t="n">
        <f aca="false">AVERAGEIFS(Clean!$V$2:$V$1001,Clean!$Y$2:$Y$1001,$A18)</f>
        <v>0.811320754716981</v>
      </c>
      <c r="D18" s="14" t="n">
        <f aca="false">AVERAGEIFS(Clean!$S$2:$S$1001,Clean!$Y$2:$Y$1001,$A18)</f>
        <v>2.47641509433962</v>
      </c>
    </row>
    <row r="19" customFormat="false" ht="15" hidden="false" customHeight="false" outlineLevel="0" collapsed="false">
      <c r="A19" s="12" t="s">
        <v>33</v>
      </c>
      <c r="B19" s="12" t="n">
        <f aca="false">COUNTIFS(Clean!$Y$2:$Y$1001,$A19)</f>
        <v>75</v>
      </c>
      <c r="C19" s="13" t="n">
        <f aca="false">AVERAGEIFS(Clean!$V$2:$V$1001,Clean!$Y$2:$Y$1001,$A19)</f>
        <v>0.706666666666667</v>
      </c>
      <c r="D19" s="14" t="n">
        <f aca="false">AVERAGEIFS(Clean!$S$2:$S$1001,Clean!$Y$2:$Y$1001,$A19)</f>
        <v>2.016</v>
      </c>
    </row>
    <row r="20" customFormat="false" ht="15" hidden="false" customHeight="false" outlineLevel="0" collapsed="false">
      <c r="A20" s="12" t="s">
        <v>34</v>
      </c>
      <c r="B20" s="12" t="n">
        <f aca="false">COUNTIFS(Clean!$Y$2:$Y$1001,$A20)</f>
        <v>95</v>
      </c>
      <c r="C20" s="13" t="n">
        <f aca="false">AVERAGEIFS(Clean!$V$2:$V$1001,Clean!$Y$2:$Y$1001,$A20)</f>
        <v>0.747368421052632</v>
      </c>
      <c r="D20" s="14" t="n">
        <f aca="false">AVERAGEIFS(Clean!$S$2:$S$1001,Clean!$Y$2:$Y$1001,$A20)</f>
        <v>2.89473684210526</v>
      </c>
    </row>
    <row r="21" customFormat="false" ht="15" hidden="false" customHeight="false" outlineLevel="0" collapsed="false">
      <c r="A21" s="12" t="s">
        <v>35</v>
      </c>
      <c r="B21" s="12" t="n">
        <f aca="false">COUNTIFS(Clean!$Y$2:$Y$1001,$A21)</f>
        <v>102</v>
      </c>
      <c r="C21" s="13" t="n">
        <f aca="false">AVERAGEIFS(Clean!$V$2:$V$1001,Clean!$Y$2:$Y$1001,$A21)</f>
        <v>0.764705882352941</v>
      </c>
      <c r="D21" s="14" t="n">
        <f aca="false">AVERAGEIFS(Clean!$S$2:$S$1001,Clean!$Y$2:$Y$1001,$A21)</f>
        <v>2.55588235294118</v>
      </c>
    </row>
    <row r="22" customFormat="false" ht="15" hidden="false" customHeight="false" outlineLevel="0" collapsed="false">
      <c r="A22" s="12" t="s">
        <v>36</v>
      </c>
      <c r="B22" s="12" t="n">
        <f aca="false">COUNTIFS(Clean!$Y$2:$Y$1001,$A22)</f>
        <v>113</v>
      </c>
      <c r="C22" s="13" t="n">
        <f aca="false">AVERAGEIFS(Clean!$V$2:$V$1001,Clean!$Y$2:$Y$1001,$A22)</f>
        <v>0.716814159292035</v>
      </c>
      <c r="D22" s="14" t="n">
        <f aca="false">AVERAGEIFS(Clean!$S$2:$S$1001,Clean!$Y$2:$Y$1001,$A22)</f>
        <v>2.14690265486726</v>
      </c>
    </row>
    <row r="23" customFormat="false" ht="15" hidden="false" customHeight="false" outlineLevel="0" collapsed="false">
      <c r="A23" s="12" t="s">
        <v>37</v>
      </c>
      <c r="B23" s="12" t="n">
        <f aca="false">COUNTIFS(Clean!$Y$2:$Y$1001,$A23)</f>
        <v>114</v>
      </c>
      <c r="C23" s="13" t="n">
        <f aca="false">AVERAGEIFS(Clean!$V$2:$V$1001,Clean!$Y$2:$Y$1001,$A23)</f>
        <v>0.736842105263158</v>
      </c>
      <c r="D23" s="14" t="n">
        <f aca="false">AVERAGEIFS(Clean!$S$2:$S$1001,Clean!$Y$2:$Y$1001,$A23)</f>
        <v>1.93508771929825</v>
      </c>
    </row>
    <row r="24" customFormat="false" ht="15" hidden="false" customHeight="false" outlineLevel="0" collapsed="false">
      <c r="A24" s="12" t="s">
        <v>38</v>
      </c>
      <c r="B24" s="12" t="n">
        <f aca="false">COUNTIFS(Clean!$Y$2:$Y$1001,$A24)</f>
        <v>102</v>
      </c>
      <c r="C24" s="13" t="n">
        <f aca="false">AVERAGEIFS(Clean!$V$2:$V$1001,Clean!$Y$2:$Y$1001,$A24)</f>
        <v>0.745098039215686</v>
      </c>
      <c r="D24" s="14" t="n">
        <f aca="false">AVERAGEIFS(Clean!$S$2:$S$1001,Clean!$Y$2:$Y$1001,$A24)</f>
        <v>2.38039215686275</v>
      </c>
    </row>
    <row r="25" customFormat="false" ht="15" hidden="false" customHeight="false" outlineLevel="0" collapsed="false">
      <c r="A25" s="12" t="s">
        <v>39</v>
      </c>
      <c r="B25" s="12" t="n">
        <f aca="false">COUNTIFS(Clean!$Y$2:$Y$1001,$A25)</f>
        <v>82</v>
      </c>
      <c r="C25" s="13" t="n">
        <f aca="false">AVERAGEIFS(Clean!$V$2:$V$1001,Clean!$Y$2:$Y$1001,$A25)</f>
        <v>0.768292682926829</v>
      </c>
      <c r="D25" s="14" t="n">
        <f aca="false">AVERAGEIFS(Clean!$S$2:$S$1001,Clean!$Y$2:$Y$1001,$A25)</f>
        <v>2.5219512195122</v>
      </c>
    </row>
    <row r="27" customFormat="false" ht="15" hidden="false" customHeight="false" outlineLevel="0" collapsed="false">
      <c r="A27" s="8" t="s">
        <v>40</v>
      </c>
    </row>
    <row r="28" customFormat="false" ht="28.35" hidden="false" customHeight="false" outlineLevel="0" collapsed="false">
      <c r="A28" s="9" t="s">
        <v>41</v>
      </c>
      <c r="B28" s="9" t="s">
        <v>2</v>
      </c>
      <c r="C28" s="9" t="s">
        <v>12</v>
      </c>
      <c r="D28" s="9" t="s">
        <v>18</v>
      </c>
    </row>
    <row r="29" customFormat="false" ht="15" hidden="false" customHeight="false" outlineLevel="0" collapsed="false">
      <c r="A29" s="12" t="s">
        <v>42</v>
      </c>
      <c r="B29" s="12" t="n">
        <f aca="false">COUNTIFS(Clean!$I$2:$I$1001,$A29)</f>
        <v>338</v>
      </c>
      <c r="C29" s="13" t="n">
        <f aca="false">AVERAGEIFS(Clean!$V$2:$V$1001,Clean!$I$2:$I$1001,$A29)</f>
        <v>0.766272189349113</v>
      </c>
      <c r="D29" s="14" t="n">
        <f aca="false">AVERAGEIFS(Clean!$S$2:$S$1001,Clean!$I$2:$I$1001,$A29)</f>
        <v>2.48372781065089</v>
      </c>
    </row>
    <row r="30" customFormat="false" ht="15" hidden="false" customHeight="false" outlineLevel="0" collapsed="false">
      <c r="A30" s="12" t="s">
        <v>43</v>
      </c>
      <c r="B30" s="12" t="n">
        <f aca="false">COUNTIFS(Clean!$I$2:$I$1001,$A30)</f>
        <v>357</v>
      </c>
      <c r="C30" s="13" t="n">
        <f aca="false">AVERAGEIFS(Clean!$V$2:$V$1001,Clean!$I$2:$I$1001,$A30)</f>
        <v>0.753501400560224</v>
      </c>
      <c r="D30" s="14" t="n">
        <f aca="false">AVERAGEIFS(Clean!$S$2:$S$1001,Clean!$I$2:$I$1001,$A30)</f>
        <v>2.22072829131653</v>
      </c>
    </row>
    <row r="31" customFormat="false" ht="15" hidden="false" customHeight="false" outlineLevel="0" collapsed="false">
      <c r="A31" s="12" t="s">
        <v>44</v>
      </c>
      <c r="B31" s="12" t="n">
        <f aca="false">COUNTIFS(Clean!$I$2:$I$1001,$A31)</f>
        <v>305</v>
      </c>
      <c r="C31" s="13" t="n">
        <f aca="false">AVERAGEIFS(Clean!$V$2:$V$1001,Clean!$I$2:$I$1001,$A31)</f>
        <v>0.711475409836066</v>
      </c>
      <c r="D31" s="14" t="n">
        <f aca="false">AVERAGEIFS(Clean!$S$2:$S$1001,Clean!$I$2:$I$1001,$A31)</f>
        <v>2.33147540983607</v>
      </c>
    </row>
    <row r="33" customFormat="false" ht="15" hidden="false" customHeight="false" outlineLevel="0" collapsed="false">
      <c r="A33" s="8" t="s">
        <v>45</v>
      </c>
    </row>
    <row r="34" customFormat="false" ht="28.35" hidden="false" customHeight="false" outlineLevel="0" collapsed="false">
      <c r="A34" s="9" t="s">
        <v>46</v>
      </c>
      <c r="B34" s="9" t="s">
        <v>2</v>
      </c>
      <c r="C34" s="9" t="s">
        <v>12</v>
      </c>
      <c r="D34" s="9" t="s">
        <v>18</v>
      </c>
    </row>
    <row r="35" customFormat="false" ht="15" hidden="false" customHeight="false" outlineLevel="0" collapsed="false">
      <c r="A35" s="12" t="s">
        <v>47</v>
      </c>
      <c r="B35" s="12" t="n">
        <f aca="false">COUNTIFS(Clean!$B$2:$B$1001,$A35)</f>
        <v>601</v>
      </c>
      <c r="C35" s="13" t="n">
        <f aca="false">AVERAGEIFS(Clean!$V$2:$V$1001,Clean!$B$2:$B$1001,$A35)</f>
        <v>0.752079866888519</v>
      </c>
      <c r="D35" s="14" t="n">
        <f aca="false">AVERAGEIFS(Clean!$S$2:$S$1001,Clean!$B$2:$B$1001,$A35)</f>
        <v>2.41214642262895</v>
      </c>
    </row>
    <row r="36" customFormat="false" ht="15" hidden="false" customHeight="false" outlineLevel="0" collapsed="false">
      <c r="A36" s="12" t="s">
        <v>48</v>
      </c>
      <c r="B36" s="12" t="n">
        <f aca="false">COUNTIFS(Clean!$B$2:$B$1001,$A36)</f>
        <v>399</v>
      </c>
      <c r="C36" s="13" t="n">
        <f aca="false">AVERAGEIFS(Clean!$V$2:$V$1001,Clean!$B$2:$B$1001,$A36)</f>
        <v>0.734335839598998</v>
      </c>
      <c r="D36" s="14" t="n">
        <f aca="false">AVERAGEIFS(Clean!$S$2:$S$1001,Clean!$B$2:$B$1001,$A36)</f>
        <v>2.23984962406015</v>
      </c>
    </row>
    <row r="38" customFormat="false" ht="15" hidden="false" customHeight="false" outlineLevel="0" collapsed="false">
      <c r="A38" s="8" t="s">
        <v>49</v>
      </c>
    </row>
    <row r="39" customFormat="false" ht="28.35" hidden="false" customHeight="false" outlineLevel="0" collapsed="false">
      <c r="A39" s="9" t="s">
        <v>50</v>
      </c>
      <c r="B39" s="9" t="s">
        <v>2</v>
      </c>
      <c r="C39" s="9" t="s">
        <v>12</v>
      </c>
      <c r="D39" s="9" t="s">
        <v>18</v>
      </c>
    </row>
    <row r="40" customFormat="false" ht="15" hidden="false" customHeight="false" outlineLevel="0" collapsed="false">
      <c r="A40" s="12" t="s">
        <v>51</v>
      </c>
      <c r="B40" s="12" t="n">
        <f aca="false">COUNTIFS(Clean!$AB$2:$AB$1001,$A40)</f>
        <v>482</v>
      </c>
      <c r="C40" s="13" t="n">
        <f aca="false">AVERAGEIFS(Clean!$V$2:$V$1001,Clean!$AB$2:$AB$1001,$A40)</f>
        <v>0.782157676348548</v>
      </c>
      <c r="D40" s="14" t="n">
        <f aca="false">AVERAGEIFS(Clean!$S$2:$S$1001,Clean!$AB$2:$AB$1001,$A40)</f>
        <v>2.49792531120332</v>
      </c>
    </row>
    <row r="41" customFormat="false" ht="15" hidden="false" customHeight="false" outlineLevel="0" collapsed="false">
      <c r="A41" s="12" t="s">
        <v>52</v>
      </c>
      <c r="B41" s="12" t="n">
        <f aca="false">COUNTIFS(Clean!$AB$2:$AB$1001,$A41)</f>
        <v>518</v>
      </c>
      <c r="C41" s="13" t="n">
        <f aca="false">AVERAGEIFS(Clean!$V$2:$V$1001,Clean!$AB$2:$AB$1001,$A41)</f>
        <v>0.71042471042471</v>
      </c>
      <c r="D41" s="14" t="n">
        <f aca="false">AVERAGEIFS(Clean!$S$2:$S$1001,Clean!$AB$2:$AB$1001,$A41)</f>
        <v>2.1996138996139</v>
      </c>
    </row>
    <row r="43" customFormat="false" ht="15" hidden="false" customHeight="false" outlineLevel="0" collapsed="false">
      <c r="A43" s="8" t="s">
        <v>53</v>
      </c>
    </row>
    <row r="44" customFormat="false" ht="28.35" hidden="false" customHeight="false" outlineLevel="0" collapsed="false">
      <c r="A44" s="9" t="s">
        <v>54</v>
      </c>
      <c r="B44" s="9" t="s">
        <v>2</v>
      </c>
      <c r="C44" s="9" t="s">
        <v>12</v>
      </c>
      <c r="D44" s="9" t="s">
        <v>18</v>
      </c>
    </row>
    <row r="45" customFormat="false" ht="15" hidden="false" customHeight="false" outlineLevel="0" collapsed="false">
      <c r="A45" s="12" t="s">
        <v>55</v>
      </c>
      <c r="B45" s="12" t="n">
        <f aca="false">COUNTIFS(Clean!$F$2:$F$1001,$A45,Clean!$B$2:$B$1001,"Inbound")</f>
        <v>362</v>
      </c>
      <c r="C45" s="13" t="n">
        <f aca="false">AVERAGEIFS(Clean!$V$2:$V$1001,Clean!$F$2:$F$1001,$A45,Clean!$B$2:$B$1001,"Inbound")</f>
        <v>0.748618784530387</v>
      </c>
      <c r="D45" s="14" t="n">
        <f aca="false">AVERAGEIFS(Clean!$S$2:$S$1001,Clean!$F$2:$F$1001,$A45,Clean!$B$2:$B$1001,"Inbound")</f>
        <v>2.29640883977901</v>
      </c>
    </row>
    <row r="46" customFormat="false" ht="15" hidden="false" customHeight="false" outlineLevel="0" collapsed="false">
      <c r="A46" s="12" t="s">
        <v>56</v>
      </c>
      <c r="B46" s="12" t="n">
        <f aca="false">COUNTIFS(Clean!$F$2:$F$1001,$A46,Clean!$B$2:$B$1001,"Inbound")</f>
        <v>115</v>
      </c>
      <c r="C46" s="13" t="n">
        <f aca="false">AVERAGEIFS(Clean!$V$2:$V$1001,Clean!$F$2:$F$1001,$A46,Clean!$B$2:$B$1001,"Inbound")</f>
        <v>0.71304347826087</v>
      </c>
      <c r="D46" s="14" t="n">
        <f aca="false">AVERAGEIFS(Clean!$S$2:$S$1001,Clean!$F$2:$F$1001,$A46,Clean!$B$2:$B$1001,"Inbound")</f>
        <v>2.30695652173913</v>
      </c>
    </row>
    <row r="47" customFormat="false" ht="15" hidden="false" customHeight="false" outlineLevel="0" collapsed="false">
      <c r="A47" s="12" t="s">
        <v>57</v>
      </c>
      <c r="B47" s="12" t="n">
        <f aca="false">COUNTIFS(Clean!$F$2:$F$1001,$A47,Clean!$B$2:$B$1001,"Inbound")</f>
        <v>124</v>
      </c>
      <c r="C47" s="13" t="n">
        <f aca="false">AVERAGEIFS(Clean!$V$2:$V$1001,Clean!$F$2:$F$1001,$A47,Clean!$B$2:$B$1001,"Inbound")</f>
        <v>0.798387096774194</v>
      </c>
      <c r="D47" s="14" t="n">
        <f aca="false">AVERAGEIFS(Clean!$S$2:$S$1001,Clean!$F$2:$F$1001,$A47,Clean!$B$2:$B$1001,"Inbound")</f>
        <v>2.84758064516129</v>
      </c>
    </row>
    <row r="49" customFormat="false" ht="15" hidden="false" customHeight="false" outlineLevel="0" collapsed="false">
      <c r="A49" s="8" t="s">
        <v>58</v>
      </c>
    </row>
    <row r="50" customFormat="false" ht="28.35" hidden="false" customHeight="false" outlineLevel="0" collapsed="false">
      <c r="A50" s="9" t="s">
        <v>59</v>
      </c>
      <c r="B50" s="9" t="s">
        <v>2</v>
      </c>
      <c r="C50" s="9" t="s">
        <v>12</v>
      </c>
      <c r="D50" s="9" t="s">
        <v>18</v>
      </c>
    </row>
    <row r="51" customFormat="false" ht="15" hidden="false" customHeight="false" outlineLevel="0" collapsed="false">
      <c r="A51" s="12" t="s">
        <v>60</v>
      </c>
      <c r="B51" s="12" t="n">
        <f aca="false">COUNTIFS(Clean!$H$2:$H$1001,$A51,Clean!$B$2:$B$1001,"Outbound")</f>
        <v>44</v>
      </c>
      <c r="C51" s="13" t="n">
        <f aca="false">AVERAGEIFS(Clean!$V$2:$V$1001,Clean!$H$2:$H$1001,$A51,Clean!$B$2:$B$1001,"Outbound")</f>
        <v>0.75</v>
      </c>
      <c r="D51" s="14" t="n">
        <f aca="false">AVERAGEIFS(Clean!$S$2:$S$1001,Clean!$H$2:$H$1001,$A51,Clean!$B$2:$B$1001,"Outbound")</f>
        <v>2.13863636363636</v>
      </c>
    </row>
    <row r="52" customFormat="false" ht="15" hidden="false" customHeight="false" outlineLevel="0" collapsed="false">
      <c r="A52" s="12" t="s">
        <v>61</v>
      </c>
      <c r="B52" s="12" t="n">
        <f aca="false">COUNTIFS(Clean!$H$2:$H$1001,$A52,Clean!$B$2:$B$1001,"Outbound")</f>
        <v>44</v>
      </c>
      <c r="C52" s="13" t="n">
        <f aca="false">AVERAGEIFS(Clean!$V$2:$V$1001,Clean!$H$2:$H$1001,$A52,Clean!$B$2:$B$1001,"Outbound")</f>
        <v>0.818181818181818</v>
      </c>
      <c r="D52" s="14" t="n">
        <f aca="false">AVERAGEIFS(Clean!$S$2:$S$1001,Clean!$H$2:$H$1001,$A52,Clean!$B$2:$B$1001,"Outbound")</f>
        <v>2.77954545454545</v>
      </c>
    </row>
    <row r="53" customFormat="false" ht="15" hidden="false" customHeight="false" outlineLevel="0" collapsed="false">
      <c r="A53" s="12" t="s">
        <v>55</v>
      </c>
      <c r="B53" s="12" t="n">
        <f aca="false">COUNTIFS(Clean!$H$2:$H$1001,$A53,Clean!$B$2:$B$1001,"Outbound")</f>
        <v>105</v>
      </c>
      <c r="C53" s="13" t="n">
        <f aca="false">AVERAGEIFS(Clean!$V$2:$V$1001,Clean!$H$2:$H$1001,$A53,Clean!$B$2:$B$1001,"Outbound")</f>
        <v>0.828571428571429</v>
      </c>
      <c r="D53" s="14" t="n">
        <f aca="false">AVERAGEIFS(Clean!$S$2:$S$1001,Clean!$H$2:$H$1001,$A53,Clean!$B$2:$B$1001,"Outbound")</f>
        <v>2.68190476190476</v>
      </c>
    </row>
    <row r="54" customFormat="false" ht="15" hidden="false" customHeight="false" outlineLevel="0" collapsed="false">
      <c r="A54" s="12" t="s">
        <v>62</v>
      </c>
      <c r="B54" s="12" t="n">
        <f aca="false">COUNTIFS(Clean!$H$2:$H$1001,$A54,Clean!$B$2:$B$1001,"Outbound")</f>
        <v>41</v>
      </c>
      <c r="C54" s="13" t="n">
        <f aca="false">AVERAGEIFS(Clean!$V$2:$V$1001,Clean!$H$2:$H$1001,$A54,Clean!$B$2:$B$1001,"Outbound")</f>
        <v>0.560975609756098</v>
      </c>
      <c r="D54" s="14" t="n">
        <f aca="false">AVERAGEIFS(Clean!$S$2:$S$1001,Clean!$H$2:$H$1001,$A54,Clean!$B$2:$B$1001,"Outbound")</f>
        <v>1.53414634146341</v>
      </c>
    </row>
    <row r="55" customFormat="false" ht="15" hidden="false" customHeight="false" outlineLevel="0" collapsed="false">
      <c r="A55" s="12" t="s">
        <v>56</v>
      </c>
      <c r="B55" s="12" t="n">
        <f aca="false">COUNTIFS(Clean!$H$2:$H$1001,$A55,Clean!$B$2:$B$1001,"Outbound")</f>
        <v>82</v>
      </c>
      <c r="C55" s="13" t="n">
        <f aca="false">AVERAGEIFS(Clean!$V$2:$V$1001,Clean!$H$2:$H$1001,$A55,Clean!$B$2:$B$1001,"Outbound")</f>
        <v>0.621951219512195</v>
      </c>
      <c r="D55" s="14" t="n">
        <f aca="false">AVERAGEIFS(Clean!$S$2:$S$1001,Clean!$H$2:$H$1001,$A55,Clean!$B$2:$B$1001,"Outbound")</f>
        <v>1.78658536585366</v>
      </c>
    </row>
    <row r="56" customFormat="false" ht="15" hidden="false" customHeight="false" outlineLevel="0" collapsed="false">
      <c r="A56" s="12" t="s">
        <v>57</v>
      </c>
      <c r="B56" s="12" t="n">
        <f aca="false">COUNTIFS(Clean!$H$2:$H$1001,$A56,Clean!$B$2:$B$1001,"Outbound")</f>
        <v>83</v>
      </c>
      <c r="C56" s="13" t="n">
        <f aca="false">AVERAGEIFS(Clean!$V$2:$V$1001,Clean!$H$2:$H$1001,$A56,Clean!$B$2:$B$1001,"Outbound")</f>
        <v>0.759036144578313</v>
      </c>
      <c r="D56" s="14" t="n">
        <f aca="false">AVERAGEIFS(Clean!$S$2:$S$1001,Clean!$H$2:$H$1001,$A56,Clean!$B$2:$B$1001,"Outbound")</f>
        <v>2.24457831325301</v>
      </c>
    </row>
    <row r="58" customFormat="false" ht="15" hidden="false" customHeight="false" outlineLevel="0" collapsed="false">
      <c r="A58" s="8" t="s">
        <v>63</v>
      </c>
    </row>
    <row r="59" customFormat="false" ht="28.35" hidden="false" customHeight="false" outlineLevel="0" collapsed="false">
      <c r="A59" s="9" t="s">
        <v>11</v>
      </c>
      <c r="B59" s="9" t="s">
        <v>2</v>
      </c>
      <c r="C59" s="9" t="s">
        <v>12</v>
      </c>
      <c r="D59" s="9" t="s">
        <v>18</v>
      </c>
    </row>
    <row r="60" customFormat="false" ht="15" hidden="false" customHeight="false" outlineLevel="0" collapsed="false">
      <c r="A60" s="12" t="s">
        <v>64</v>
      </c>
      <c r="B60" s="12" t="n">
        <f aca="false">COUNTIFS(Clean!$Z$2:$Z$1001,$A60)</f>
        <v>115</v>
      </c>
      <c r="C60" s="13" t="n">
        <f aca="false">AVERAGEIFS(Clean!$V$2:$V$1001,Clean!$Z$2:$Z$1001,$A60)</f>
        <v>0.71304347826087</v>
      </c>
      <c r="D60" s="14" t="n">
        <f aca="false">AVERAGEIFS(Clean!$S$2:$S$1001,Clean!$Z$2:$Z$1001,$A60)</f>
        <v>2.30695652173913</v>
      </c>
    </row>
    <row r="61" customFormat="false" ht="15" hidden="false" customHeight="false" outlineLevel="0" collapsed="false">
      <c r="A61" s="12" t="s">
        <v>65</v>
      </c>
      <c r="B61" s="12" t="n">
        <f aca="false">COUNTIFS(Clean!$Z$2:$Z$1001,$A61)</f>
        <v>124</v>
      </c>
      <c r="C61" s="13" t="n">
        <f aca="false">AVERAGEIFS(Clean!$V$2:$V$1001,Clean!$Z$2:$Z$1001,$A61)</f>
        <v>0.798387096774194</v>
      </c>
      <c r="D61" s="14" t="n">
        <f aca="false">AVERAGEIFS(Clean!$S$2:$S$1001,Clean!$Z$2:$Z$1001,$A61)</f>
        <v>2.84758064516129</v>
      </c>
    </row>
    <row r="62" customFormat="false" ht="15" hidden="false" customHeight="false" outlineLevel="0" collapsed="false">
      <c r="A62" s="12" t="s">
        <v>66</v>
      </c>
      <c r="B62" s="12" t="n">
        <f aca="false">COUNTIFS(Clean!$Z$2:$Z$1001,$A62)</f>
        <v>111</v>
      </c>
      <c r="C62" s="13" t="n">
        <f aca="false">AVERAGEIFS(Clean!$V$2:$V$1001,Clean!$Z$2:$Z$1001,$A62)</f>
        <v>0.783783783783784</v>
      </c>
      <c r="D62" s="14" t="n">
        <f aca="false">AVERAGEIFS(Clean!$S$2:$S$1001,Clean!$Z$2:$Z$1001,$A62)</f>
        <v>2.11351351351351</v>
      </c>
    </row>
    <row r="63" customFormat="false" ht="15" hidden="false" customHeight="false" outlineLevel="0" collapsed="false">
      <c r="A63" s="12" t="s">
        <v>67</v>
      </c>
      <c r="B63" s="12" t="n">
        <f aca="false">COUNTIFS(Clean!$Z$2:$Z$1001,$A63)</f>
        <v>136</v>
      </c>
      <c r="C63" s="13" t="n">
        <f aca="false">AVERAGEIFS(Clean!$V$2:$V$1001,Clean!$Z$2:$Z$1001,$A63)</f>
        <v>0.705882352941177</v>
      </c>
      <c r="D63" s="14" t="n">
        <f aca="false">AVERAGEIFS(Clean!$S$2:$S$1001,Clean!$Z$2:$Z$1001,$A63)</f>
        <v>2.24485294117647</v>
      </c>
    </row>
    <row r="64" customFormat="false" ht="15" hidden="false" customHeight="false" outlineLevel="0" collapsed="false">
      <c r="A64" s="12" t="s">
        <v>68</v>
      </c>
      <c r="B64" s="12" t="n">
        <f aca="false">COUNTIFS(Clean!$Z$2:$Z$1001,$A64)</f>
        <v>115</v>
      </c>
      <c r="C64" s="13" t="n">
        <f aca="false">AVERAGEIFS(Clean!$V$2:$V$1001,Clean!$Z$2:$Z$1001,$A64)</f>
        <v>0.765217391304348</v>
      </c>
      <c r="D64" s="14" t="n">
        <f aca="false">AVERAGEIFS(Clean!$S$2:$S$1001,Clean!$Z$2:$Z$1001,$A64)</f>
        <v>2.53391304347826</v>
      </c>
    </row>
    <row r="65" customFormat="false" ht="15" hidden="false" customHeight="false" outlineLevel="0" collapsed="false">
      <c r="A65" s="12" t="s">
        <v>69</v>
      </c>
      <c r="B65" s="12" t="n">
        <f aca="false">COUNTIFS(Clean!$Z$2:$Z$1001,$A65)</f>
        <v>41</v>
      </c>
      <c r="C65" s="13" t="n">
        <f aca="false">AVERAGEIFS(Clean!$V$2:$V$1001,Clean!$Z$2:$Z$1001,$A65)</f>
        <v>0.560975609756098</v>
      </c>
      <c r="D65" s="14" t="n">
        <f aca="false">AVERAGEIFS(Clean!$S$2:$S$1001,Clean!$Z$2:$Z$1001,$A65)</f>
        <v>1.53414634146341</v>
      </c>
    </row>
    <row r="66" customFormat="false" ht="15" hidden="false" customHeight="false" outlineLevel="0" collapsed="false">
      <c r="A66" s="12" t="s">
        <v>70</v>
      </c>
      <c r="B66" s="12" t="n">
        <f aca="false">COUNTIFS(Clean!$Z$2:$Z$1001,$A66)</f>
        <v>42</v>
      </c>
      <c r="C66" s="13" t="n">
        <f aca="false">AVERAGEIFS(Clean!$V$2:$V$1001,Clean!$Z$2:$Z$1001,$A66)</f>
        <v>0.761904761904762</v>
      </c>
      <c r="D66" s="14" t="n">
        <f aca="false">AVERAGEIFS(Clean!$S$2:$S$1001,Clean!$Z$2:$Z$1001,$A66)</f>
        <v>2.32619047619048</v>
      </c>
    </row>
    <row r="67" customFormat="false" ht="15" hidden="false" customHeight="false" outlineLevel="0" collapsed="false">
      <c r="A67" s="12" t="s">
        <v>71</v>
      </c>
      <c r="B67" s="12" t="n">
        <f aca="false">COUNTIFS(Clean!$Z$2:$Z$1001,$A67)</f>
        <v>51</v>
      </c>
      <c r="C67" s="13" t="n">
        <f aca="false">AVERAGEIFS(Clean!$V$2:$V$1001,Clean!$Z$2:$Z$1001,$A67)</f>
        <v>0.803921568627451</v>
      </c>
      <c r="D67" s="14" t="n">
        <f aca="false">AVERAGEIFS(Clean!$S$2:$S$1001,Clean!$Z$2:$Z$1001,$A67)</f>
        <v>2.3156862745098</v>
      </c>
    </row>
    <row r="68" customFormat="false" ht="15" hidden="false" customHeight="false" outlineLevel="0" collapsed="false">
      <c r="A68" s="12" t="s">
        <v>72</v>
      </c>
      <c r="B68" s="12" t="n">
        <f aca="false">COUNTIFS(Clean!$Z$2:$Z$1001,$A68)</f>
        <v>37</v>
      </c>
      <c r="C68" s="13" t="n">
        <f aca="false">AVERAGEIFS(Clean!$V$2:$V$1001,Clean!$Z$2:$Z$1001,$A68)</f>
        <v>0.567567567567568</v>
      </c>
      <c r="D68" s="14" t="n">
        <f aca="false">AVERAGEIFS(Clean!$S$2:$S$1001,Clean!$Z$2:$Z$1001,$A68)</f>
        <v>1.78918918918919</v>
      </c>
    </row>
    <row r="69" customFormat="false" ht="15" hidden="false" customHeight="false" outlineLevel="0" collapsed="false">
      <c r="A69" s="12" t="s">
        <v>73</v>
      </c>
      <c r="B69" s="12" t="n">
        <f aca="false">COUNTIFS(Clean!$Z$2:$Z$1001,$A69)</f>
        <v>45</v>
      </c>
      <c r="C69" s="13" t="n">
        <f aca="false">AVERAGEIFS(Clean!$V$2:$V$1001,Clean!$Z$2:$Z$1001,$A69)</f>
        <v>0.666666666666667</v>
      </c>
      <c r="D69" s="14" t="n">
        <f aca="false">AVERAGEIFS(Clean!$S$2:$S$1001,Clean!$Z$2:$Z$1001,$A69)</f>
        <v>1.78444444444444</v>
      </c>
    </row>
    <row r="70" customFormat="false" ht="15" hidden="false" customHeight="false" outlineLevel="0" collapsed="false">
      <c r="A70" s="12" t="s">
        <v>74</v>
      </c>
      <c r="B70" s="12" t="n">
        <f aca="false">COUNTIFS(Clean!$Z$2:$Z$1001,$A70)</f>
        <v>44</v>
      </c>
      <c r="C70" s="13" t="n">
        <f aca="false">AVERAGEIFS(Clean!$V$2:$V$1001,Clean!$Z$2:$Z$1001,$A70)</f>
        <v>0.75</v>
      </c>
      <c r="D70" s="14" t="n">
        <f aca="false">AVERAGEIFS(Clean!$S$2:$S$1001,Clean!$Z$2:$Z$1001,$A70)</f>
        <v>2.13863636363636</v>
      </c>
    </row>
    <row r="71" customFormat="false" ht="15" hidden="false" customHeight="false" outlineLevel="0" collapsed="false">
      <c r="A71" s="12" t="s">
        <v>75</v>
      </c>
      <c r="B71" s="12" t="n">
        <f aca="false">COUNTIFS(Clean!$Z$2:$Z$1001,$A71)</f>
        <v>41</v>
      </c>
      <c r="C71" s="13" t="n">
        <f aca="false">AVERAGEIFS(Clean!$V$2:$V$1001,Clean!$Z$2:$Z$1001,$A71)</f>
        <v>0.75609756097561</v>
      </c>
      <c r="D71" s="14" t="n">
        <f aca="false">AVERAGEIFS(Clean!$S$2:$S$1001,Clean!$Z$2:$Z$1001,$A71)</f>
        <v>2.1609756097561</v>
      </c>
    </row>
    <row r="72" customFormat="false" ht="15" hidden="false" customHeight="false" outlineLevel="0" collapsed="false">
      <c r="A72" s="12" t="s">
        <v>76</v>
      </c>
      <c r="B72" s="12" t="n">
        <f aca="false">COUNTIFS(Clean!$Z$2:$Z$1001,$A72)</f>
        <v>54</v>
      </c>
      <c r="C72" s="13" t="n">
        <f aca="false">AVERAGEIFS(Clean!$V$2:$V$1001,Clean!$Z$2:$Z$1001,$A72)</f>
        <v>0.851851851851852</v>
      </c>
      <c r="D72" s="14" t="n">
        <f aca="false">AVERAGEIFS(Clean!$S$2:$S$1001,Clean!$Z$2:$Z$1001,$A72)</f>
        <v>3.02777777777778</v>
      </c>
    </row>
    <row r="73" customFormat="false" ht="15" hidden="false" customHeight="false" outlineLevel="0" collapsed="false">
      <c r="A73" s="12" t="s">
        <v>77</v>
      </c>
      <c r="B73" s="12" t="n">
        <f aca="false">COUNTIFS(Clean!$Z$2:$Z$1001,$A73)</f>
        <v>44</v>
      </c>
      <c r="C73" s="13" t="n">
        <f aca="false">AVERAGEIFS(Clean!$V$2:$V$1001,Clean!$Z$2:$Z$1001,$A73)</f>
        <v>0.818181818181818</v>
      </c>
      <c r="D73" s="14" t="n">
        <f aca="false">AVERAGEIFS(Clean!$S$2:$S$1001,Clean!$Z$2:$Z$1001,$A73)</f>
        <v>2.77954545454545</v>
      </c>
    </row>
    <row r="75" customFormat="false" ht="15" hidden="false" customHeight="false" outlineLevel="0" collapsed="false">
      <c r="A75" s="8" t="s">
        <v>78</v>
      </c>
    </row>
    <row r="76" customFormat="false" ht="15" hidden="false" customHeight="false" outlineLevel="0" collapsed="false">
      <c r="A76" s="9" t="s">
        <v>79</v>
      </c>
      <c r="B76" s="9" t="s">
        <v>2</v>
      </c>
      <c r="C76" s="9" t="s">
        <v>80</v>
      </c>
    </row>
    <row r="77" customFormat="false" ht="15" hidden="false" customHeight="false" outlineLevel="0" collapsed="false">
      <c r="A77" s="12" t="s">
        <v>81</v>
      </c>
      <c r="B77" s="12" t="n">
        <f aca="false">COUNTIF(Clean!$X$2:$X$1001,$A77)</f>
        <v>255</v>
      </c>
      <c r="C77" s="13" t="n">
        <f aca="false">B77/COUNTA(Clean!$AA$2:$AA$1001)</f>
        <v>0.255</v>
      </c>
    </row>
    <row r="78" customFormat="false" ht="15" hidden="false" customHeight="false" outlineLevel="0" collapsed="false">
      <c r="A78" s="12" t="s">
        <v>82</v>
      </c>
      <c r="B78" s="12" t="n">
        <f aca="false">COUNTIF(Clean!$X$2:$X$1001,$A78)</f>
        <v>229</v>
      </c>
      <c r="C78" s="13" t="n">
        <f aca="false">B78/COUNTA(Clean!$AA$2:$AA$1001)</f>
        <v>0.229</v>
      </c>
    </row>
    <row r="79" customFormat="false" ht="15" hidden="false" customHeight="false" outlineLevel="0" collapsed="false">
      <c r="A79" s="12" t="s">
        <v>83</v>
      </c>
      <c r="B79" s="12" t="n">
        <f aca="false">COUNTIF(Clean!$X$2:$X$1001,$A79)</f>
        <v>355</v>
      </c>
      <c r="C79" s="13" t="n">
        <f aca="false">B79/COUNTA(Clean!$AA$2:$AA$1001)</f>
        <v>0.355</v>
      </c>
    </row>
    <row r="80" customFormat="false" ht="15" hidden="false" customHeight="false" outlineLevel="0" collapsed="false">
      <c r="A80" s="12" t="s">
        <v>84</v>
      </c>
      <c r="B80" s="12" t="n">
        <f aca="false">COUNTIF(Clean!$X$2:$X$1001,$A80)</f>
        <v>161</v>
      </c>
      <c r="C80" s="13" t="n">
        <f aca="false">B80/COUNTA(Clean!$AA$2:$AA$1001)</f>
        <v>0.161</v>
      </c>
    </row>
  </sheetData>
  <conditionalFormatting sqref="C6:C10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C60:C73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  <col collapsed="false" customWidth="true" hidden="false" outlineLevel="0" max="5" min="5" style="0" width="11"/>
    <col collapsed="false" customWidth="true" hidden="false" outlineLevel="0" max="7" min="7" style="0" width="24"/>
    <col collapsed="false" customWidth="true" hidden="false" outlineLevel="0" max="10" min="8" style="0" width="11"/>
  </cols>
  <sheetData>
    <row r="1" customFormat="false" ht="19.7" hidden="false" customHeight="false" outlineLevel="0" collapsed="false">
      <c r="A1" s="15" t="s">
        <v>85</v>
      </c>
    </row>
    <row r="2" customFormat="false" ht="15" hidden="false" customHeight="false" outlineLevel="0" collapsed="false">
      <c r="A2" s="2" t="s">
        <v>86</v>
      </c>
    </row>
    <row r="3" customFormat="false" ht="15" hidden="false" customHeight="false" outlineLevel="0" collapsed="false">
      <c r="A3" s="8" t="s">
        <v>87</v>
      </c>
    </row>
    <row r="4" customFormat="false" ht="15" hidden="false" customHeight="false" outlineLevel="0" collapsed="false">
      <c r="A4" s="0" t="s">
        <v>88</v>
      </c>
      <c r="B4" s="19" t="n">
        <v>1</v>
      </c>
      <c r="C4" s="2" t="s">
        <v>89</v>
      </c>
    </row>
    <row r="5" customFormat="false" ht="15" hidden="false" customHeight="false" outlineLevel="0" collapsed="false">
      <c r="A5" s="0" t="s">
        <v>90</v>
      </c>
      <c r="B5" s="20" t="n">
        <v>1</v>
      </c>
      <c r="C5" s="2" t="s">
        <v>91</v>
      </c>
    </row>
    <row r="7" customFormat="false" ht="15" hidden="false" customHeight="false" outlineLevel="0" collapsed="false">
      <c r="A7" s="8" t="s">
        <v>92</v>
      </c>
    </row>
    <row r="8" customFormat="false" ht="15" hidden="false" customHeight="false" outlineLevel="0" collapsed="false">
      <c r="A8" s="0" t="s">
        <v>93</v>
      </c>
    </row>
    <row r="9" customFormat="false" ht="15" hidden="false" customHeight="false" outlineLevel="0" collapsed="false">
      <c r="A9" s="0" t="s">
        <v>94</v>
      </c>
    </row>
    <row r="10" customFormat="false" ht="15" hidden="false" customHeight="false" outlineLevel="0" collapsed="false">
      <c r="A10" s="0" t="s">
        <v>95</v>
      </c>
    </row>
    <row r="11" customFormat="false" ht="15" hidden="false" customHeight="false" outlineLevel="0" collapsed="false">
      <c r="A11" s="0" t="s">
        <v>96</v>
      </c>
    </row>
    <row r="13" customFormat="false" ht="15" hidden="false" customHeight="false" outlineLevel="0" collapsed="false">
      <c r="A13" s="8" t="s">
        <v>97</v>
      </c>
    </row>
    <row r="14" customFormat="false" ht="30" hidden="false" customHeight="true" outlineLevel="0" collapsed="false">
      <c r="A14" s="9" t="s">
        <v>98</v>
      </c>
      <c r="B14" s="9" t="s">
        <v>99</v>
      </c>
      <c r="C14" s="9" t="s">
        <v>100</v>
      </c>
      <c r="D14" s="9" t="s">
        <v>101</v>
      </c>
      <c r="E14" s="9" t="s">
        <v>102</v>
      </c>
    </row>
    <row r="15" customFormat="false" ht="15" hidden="false" customHeight="false" outlineLevel="0" collapsed="false">
      <c r="A15" s="12" t="s">
        <v>103</v>
      </c>
      <c r="B15" s="16" t="n">
        <f aca="false">SUM(Model_Detail!$J$2:$J$1001)</f>
        <v>7572796.13126413</v>
      </c>
      <c r="C15" s="12" t="n">
        <v>0</v>
      </c>
      <c r="D15" s="16" t="n">
        <f aca="false">$B$15-B15</f>
        <v>0</v>
      </c>
      <c r="E15" s="13" t="n">
        <f aca="false">IF($B$15=0,0,D15/$B$15)</f>
        <v>0</v>
      </c>
    </row>
    <row r="16" customFormat="false" ht="15" hidden="false" customHeight="false" outlineLevel="0" collapsed="false">
      <c r="A16" s="12" t="s">
        <v>104</v>
      </c>
      <c r="B16" s="16" t="n">
        <f aca="false">SUM(Model_Detail!$K$2:$K$1001)</f>
        <v>2989634.12</v>
      </c>
      <c r="C16" s="12" t="n">
        <f aca="false">COUNTA(Model_Detail!$A$2:$A$1001)</f>
        <v>1000</v>
      </c>
      <c r="D16" s="16" t="n">
        <f aca="false">$B$15-B16</f>
        <v>4583162.01126413</v>
      </c>
      <c r="E16" s="13" t="n">
        <f aca="false">IF($B$15=0,0,D16/$B$15)</f>
        <v>0.605213970087303</v>
      </c>
    </row>
    <row r="17" customFormat="false" ht="15" hidden="false" customHeight="false" outlineLevel="0" collapsed="false">
      <c r="A17" s="17" t="s">
        <v>105</v>
      </c>
      <c r="B17" s="21" t="n">
        <f aca="false">SUM(Model_Detail!$L$2:$L$1001)</f>
        <v>2735054.61538195</v>
      </c>
      <c r="C17" s="12" t="n">
        <f aca="false">COUNTIF(Model_Detail!$I$2:$I$1001,"Expedite")</f>
        <v>822</v>
      </c>
      <c r="D17" s="21" t="n">
        <f aca="false">$B$15-B17</f>
        <v>4837741.51588218</v>
      </c>
      <c r="E17" s="13" t="n">
        <f aca="false">IF($B$15=0,0,D17/$B$15)</f>
        <v>0.638831606189643</v>
      </c>
    </row>
    <row r="18" customFormat="false" ht="15" hidden="false" customHeight="false" outlineLevel="0" collapsed="false">
      <c r="A18" s="0" t="s">
        <v>106</v>
      </c>
      <c r="C18" s="22" t="n">
        <f aca="false">C17/C16</f>
        <v>0.822</v>
      </c>
    </row>
    <row r="20" customFormat="false" ht="15" hidden="false" customHeight="false" outlineLevel="0" collapsed="false">
      <c r="A20" s="8" t="s">
        <v>107</v>
      </c>
      <c r="G20" s="8" t="s">
        <v>108</v>
      </c>
    </row>
    <row r="21" customFormat="false" ht="15" hidden="false" customHeight="false" outlineLevel="0" collapsed="false">
      <c r="A21" s="2" t="s">
        <v>109</v>
      </c>
    </row>
    <row r="22" customFormat="false" ht="28.35" hidden="false" customHeight="false" outlineLevel="0" collapsed="false">
      <c r="A22" s="9" t="s">
        <v>110</v>
      </c>
      <c r="B22" s="23" t="n">
        <v>0.5</v>
      </c>
      <c r="C22" s="23" t="n">
        <v>0.75</v>
      </c>
      <c r="D22" s="23" t="n">
        <v>1</v>
      </c>
      <c r="G22" s="9" t="s">
        <v>110</v>
      </c>
      <c r="H22" s="23" t="n">
        <v>0.5</v>
      </c>
      <c r="I22" s="23" t="n">
        <v>0.75</v>
      </c>
      <c r="J22" s="23" t="n">
        <v>1</v>
      </c>
    </row>
    <row r="23" customFormat="false" ht="15" hidden="false" customHeight="false" outlineLevel="0" collapsed="false">
      <c r="A23" s="24" t="n">
        <v>0.25</v>
      </c>
      <c r="B23" s="16" t="n">
        <f aca="false">SUMPRODUCT(--(Model_Detail!$E$2:$E$1001&lt;B$22*$A23*Model_Detail!$G$2:$G$1001),B$22*$A23*Model_Detail!$G$2:$G$1001-Model_Detail!$E$2:$E$1001)</f>
        <v>18910.087728114</v>
      </c>
      <c r="C23" s="16" t="n">
        <f aca="false">SUMPRODUCT(--(Model_Detail!$E$2:$E$1001&lt;C$22*$A23*Model_Detail!$G$2:$G$1001),C$22*$A23*Model_Detail!$G$2:$G$1001-Model_Detail!$E$2:$E$1001)</f>
        <v>98092.7866045196</v>
      </c>
      <c r="D23" s="16" t="n">
        <f aca="false">SUMPRODUCT(--(Model_Detail!$E$2:$E$1001&lt;D$22*$A23*Model_Detail!$G$2:$G$1001),D$22*$A23*Model_Detail!$G$2:$G$1001-Model_Detail!$E$2:$E$1001)</f>
        <v>256187.562411062</v>
      </c>
      <c r="G23" s="24" t="n">
        <v>0.25</v>
      </c>
      <c r="H23" s="13" t="n">
        <f aca="false">SUMPRODUCT(--(Model_Detail!$E$2:$E$1001&lt;H$22*$G23*Model_Detail!$G$2:$G$1001))/COUNTA(Model_Detail!$A$2:$A$1001)</f>
        <v>0.045</v>
      </c>
      <c r="I23" s="13" t="n">
        <f aca="false">SUMPRODUCT(--(Model_Detail!$E$2:$E$1001&lt;I$22*$G23*Model_Detail!$G$2:$G$1001))/COUNTA(Model_Detail!$A$2:$A$1001)</f>
        <v>0.145</v>
      </c>
      <c r="J23" s="13" t="n">
        <f aca="false">SUMPRODUCT(--(Model_Detail!$E$2:$E$1001&lt;J$22*$G23*Model_Detail!$G$2:$G$1001))/COUNTA(Model_Detail!$A$2:$A$1001)</f>
        <v>0.241</v>
      </c>
    </row>
    <row r="24" customFormat="false" ht="15" hidden="false" customHeight="false" outlineLevel="0" collapsed="false">
      <c r="A24" s="24" t="n">
        <v>0.5</v>
      </c>
      <c r="B24" s="16" t="n">
        <f aca="false">SUMPRODUCT(--(Model_Detail!$E$2:$E$1001&lt;B$22*$A24*Model_Detail!$G$2:$G$1001),B$22*$A24*Model_Detail!$G$2:$G$1001-Model_Detail!$E$2:$E$1001)</f>
        <v>256187.562411062</v>
      </c>
      <c r="C24" s="16" t="n">
        <f aca="false">SUMPRODUCT(--(Model_Detail!$E$2:$E$1001&lt;C$22*$A24*Model_Detail!$G$2:$G$1001),C$22*$A24*Model_Detail!$G$2:$G$1001-Model_Detail!$E$2:$E$1001)</f>
        <v>756830.074605903</v>
      </c>
      <c r="D24" s="16" t="n">
        <f aca="false">SUMPRODUCT(--(Model_Detail!$E$2:$E$1001&lt;D$22*$A24*Model_Detail!$G$2:$G$1001),D$22*$A24*Model_Detail!$G$2:$G$1001-Model_Detail!$E$2:$E$1001)</f>
        <v>1446921.81707699</v>
      </c>
      <c r="G24" s="24" t="n">
        <v>0.5</v>
      </c>
      <c r="H24" s="13" t="n">
        <f aca="false">SUMPRODUCT(--(Model_Detail!$E$2:$E$1001&lt;H$22*$G24*Model_Detail!$G$2:$G$1001))/COUNTA(Model_Detail!$A$2:$A$1001)</f>
        <v>0.241</v>
      </c>
      <c r="I24" s="13" t="n">
        <f aca="false">SUMPRODUCT(--(Model_Detail!$E$2:$E$1001&lt;I$22*$G24*Model_Detail!$G$2:$G$1001))/COUNTA(Model_Detail!$A$2:$A$1001)</f>
        <v>0.434</v>
      </c>
      <c r="J24" s="13" t="n">
        <f aca="false">SUMPRODUCT(--(Model_Detail!$E$2:$E$1001&lt;J$22*$G24*Model_Detail!$G$2:$G$1001))/COUNTA(Model_Detail!$A$2:$A$1001)</f>
        <v>0.593</v>
      </c>
    </row>
    <row r="25" customFormat="false" ht="15" hidden="false" customHeight="false" outlineLevel="0" collapsed="false">
      <c r="A25" s="24" t="n">
        <v>0.75</v>
      </c>
      <c r="B25" s="16" t="n">
        <f aca="false">SUMPRODUCT(--(Model_Detail!$E$2:$E$1001&lt;B$22*$A25*Model_Detail!$G$2:$G$1001),B$22*$A25*Model_Detail!$G$2:$G$1001-Model_Detail!$E$2:$E$1001)</f>
        <v>756830.074605903</v>
      </c>
      <c r="C25" s="16" t="n">
        <f aca="false">SUMPRODUCT(--(Model_Detail!$E$2:$E$1001&lt;C$22*$A25*Model_Detail!$G$2:$G$1001),C$22*$A25*Model_Detail!$G$2:$G$1001-Model_Detail!$E$2:$E$1001)</f>
        <v>1831119.14633734</v>
      </c>
      <c r="D25" s="16" t="n">
        <f aca="false">SUMPRODUCT(--(Model_Detail!$E$2:$E$1001&lt;D$22*$A25*Model_Detail!$G$2:$G$1001),D$22*$A25*Model_Detail!$G$2:$G$1001-Model_Detail!$E$2:$E$1001)</f>
        <v>3071494.08116726</v>
      </c>
      <c r="G25" s="24" t="n">
        <v>0.75</v>
      </c>
      <c r="H25" s="13" t="n">
        <f aca="false">SUMPRODUCT(--(Model_Detail!$E$2:$E$1001&lt;H$22*$G25*Model_Detail!$G$2:$G$1001))/COUNTA(Model_Detail!$A$2:$A$1001)</f>
        <v>0.434</v>
      </c>
      <c r="I25" s="13" t="n">
        <f aca="false">SUMPRODUCT(--(Model_Detail!$E$2:$E$1001&lt;I$22*$G25*Model_Detail!$G$2:$G$1001))/COUNTA(Model_Detail!$A$2:$A$1001)</f>
        <v>0.63</v>
      </c>
      <c r="J25" s="13" t="n">
        <f aca="false">SUMPRODUCT(--(Model_Detail!$E$2:$E$1001&lt;J$22*$G25*Model_Detail!$G$2:$G$1001))/COUNTA(Model_Detail!$A$2:$A$1001)</f>
        <v>0.742</v>
      </c>
    </row>
    <row r="26" customFormat="false" ht="15" hidden="false" customHeight="false" outlineLevel="0" collapsed="false">
      <c r="A26" s="24" t="n">
        <v>1</v>
      </c>
      <c r="B26" s="16" t="n">
        <f aca="false">SUMPRODUCT(--(Model_Detail!$E$2:$E$1001&lt;B$22*$A26*Model_Detail!$G$2:$G$1001),B$22*$A26*Model_Detail!$G$2:$G$1001-Model_Detail!$E$2:$E$1001)</f>
        <v>1446921.81707699</v>
      </c>
      <c r="C26" s="16" t="n">
        <f aca="false">SUMPRODUCT(--(Model_Detail!$E$2:$E$1001&lt;C$22*$A26*Model_Detail!$G$2:$G$1001),C$22*$A26*Model_Detail!$G$2:$G$1001-Model_Detail!$E$2:$E$1001)</f>
        <v>3071494.08116726</v>
      </c>
      <c r="D26" s="16" t="n">
        <f aca="false">SUMPRODUCT(--(Model_Detail!$E$2:$E$1001&lt;D$22*$A26*Model_Detail!$G$2:$G$1001),D$22*$A26*Model_Detail!$G$2:$G$1001-Model_Detail!$E$2:$E$1001)</f>
        <v>4837741.51588218</v>
      </c>
      <c r="G26" s="24" t="n">
        <v>1</v>
      </c>
      <c r="H26" s="13" t="n">
        <f aca="false">SUMPRODUCT(--(Model_Detail!$E$2:$E$1001&lt;H$22*$G26*Model_Detail!$G$2:$G$1001))/COUNTA(Model_Detail!$A$2:$A$1001)</f>
        <v>0.593</v>
      </c>
      <c r="I26" s="13" t="n">
        <f aca="false">SUMPRODUCT(--(Model_Detail!$E$2:$E$1001&lt;I$22*$G26*Model_Detail!$G$2:$G$1001))/COUNTA(Model_Detail!$A$2:$A$1001)</f>
        <v>0.742</v>
      </c>
      <c r="J26" s="13" t="n">
        <f aca="false">SUMPRODUCT(--(Model_Detail!$E$2:$E$1001&lt;J$22*$G26*Model_Detail!$G$2:$G$1001))/COUNTA(Model_Detail!$A$2:$A$1001)</f>
        <v>0.822</v>
      </c>
    </row>
    <row r="27" customFormat="false" ht="15" hidden="false" customHeight="false" outlineLevel="0" collapsed="false">
      <c r="A27" s="24" t="n">
        <v>1.25</v>
      </c>
      <c r="B27" s="16" t="n">
        <f aca="false">SUMPRODUCT(--(Model_Detail!$E$2:$E$1001&lt;B$22*$A27*Model_Detail!$G$2:$G$1001),B$22*$A27*Model_Detail!$G$2:$G$1001-Model_Detail!$E$2:$E$1001)</f>
        <v>2230159.38746638</v>
      </c>
      <c r="C27" s="16" t="n">
        <f aca="false">SUMPRODUCT(--(Model_Detail!$E$2:$E$1001&lt;C$22*$A27*Model_Detail!$G$2:$G$1001),C$22*$A27*Model_Detail!$G$2:$G$1001-Model_Detail!$E$2:$E$1001)</f>
        <v>4389041.28268628</v>
      </c>
      <c r="D27" s="16" t="n">
        <f aca="false">SUMPRODUCT(--(Model_Detail!$E$2:$E$1001&lt;D$22*$A27*Model_Detail!$G$2:$G$1001),D$22*$A27*Model_Detail!$G$2:$G$1001-Model_Detail!$E$2:$E$1001)</f>
        <v>6662095.51286284</v>
      </c>
      <c r="G27" s="24" t="n">
        <v>1.25</v>
      </c>
      <c r="H27" s="13" t="n">
        <f aca="false">SUMPRODUCT(--(Model_Detail!$E$2:$E$1001&lt;H$22*$G27*Model_Detail!$G$2:$G$1001))/COUNTA(Model_Detail!$A$2:$A$1001)</f>
        <v>0.673</v>
      </c>
      <c r="I27" s="13" t="n">
        <f aca="false">SUMPRODUCT(--(Model_Detail!$E$2:$E$1001&lt;I$22*$G27*Model_Detail!$G$2:$G$1001))/COUNTA(Model_Detail!$A$2:$A$1001)</f>
        <v>0.805</v>
      </c>
      <c r="J27" s="13" t="n">
        <f aca="false">SUMPRODUCT(--(Model_Detail!$E$2:$E$1001&lt;J$22*$G27*Model_Detail!$G$2:$G$1001))/COUNTA(Model_Detail!$A$2:$A$1001)</f>
        <v>0.865</v>
      </c>
    </row>
    <row r="28" customFormat="false" ht="15" hidden="false" customHeight="false" outlineLevel="0" collapsed="false">
      <c r="A28" s="24" t="n">
        <v>1.5</v>
      </c>
      <c r="B28" s="16" t="n">
        <f aca="false">SUMPRODUCT(--(Model_Detail!$E$2:$E$1001&lt;B$22*$A28*Model_Detail!$G$2:$G$1001),B$22*$A28*Model_Detail!$G$2:$G$1001-Model_Detail!$E$2:$E$1001)</f>
        <v>3071494.08116726</v>
      </c>
      <c r="C28" s="16" t="n">
        <f aca="false">SUMPRODUCT(--(Model_Detail!$E$2:$E$1001&lt;C$22*$A28*Model_Detail!$G$2:$G$1001),C$22*$A28*Model_Detail!$G$2:$G$1001-Model_Detail!$E$2:$E$1001)</f>
        <v>5745374.4428972</v>
      </c>
      <c r="D28" s="16" t="n">
        <f aca="false">SUMPRODUCT(--(Model_Detail!$E$2:$E$1001&lt;D$22*$A28*Model_Detail!$G$2:$G$1001),D$22*$A28*Model_Detail!$G$2:$G$1001-Model_Detail!$E$2:$E$1001)</f>
        <v>8512148.56339358</v>
      </c>
      <c r="G28" s="24" t="n">
        <v>1.5</v>
      </c>
      <c r="H28" s="13" t="n">
        <f aca="false">SUMPRODUCT(--(Model_Detail!$E$2:$E$1001&lt;H$22*$G28*Model_Detail!$G$2:$G$1001))/COUNTA(Model_Detail!$A$2:$A$1001)</f>
        <v>0.742</v>
      </c>
      <c r="I28" s="13" t="n">
        <f aca="false">SUMPRODUCT(--(Model_Detail!$E$2:$E$1001&lt;I$22*$G28*Model_Detail!$G$2:$G$1001))/COUNTA(Model_Detail!$A$2:$A$1001)</f>
        <v>0.854</v>
      </c>
      <c r="J28" s="13" t="n">
        <f aca="false">SUMPRODUCT(--(Model_Detail!$E$2:$E$1001&lt;J$22*$G28*Model_Detail!$G$2:$G$1001))/COUNTA(Model_Detail!$A$2:$A$1001)</f>
        <v>0.898</v>
      </c>
    </row>
    <row r="29" customFormat="false" ht="15" hidden="false" customHeight="false" outlineLevel="0" collapsed="false">
      <c r="A29" s="24" t="n">
        <v>2</v>
      </c>
      <c r="B29" s="16" t="n">
        <f aca="false">SUMPRODUCT(--(Model_Detail!$E$2:$E$1001&lt;B$22*$A29*Model_Detail!$G$2:$G$1001),B$22*$A29*Model_Detail!$G$2:$G$1001-Model_Detail!$E$2:$E$1001)</f>
        <v>4837741.51588218</v>
      </c>
      <c r="C29" s="16" t="n">
        <f aca="false">SUMPRODUCT(--(Model_Detail!$E$2:$E$1001&lt;C$22*$A29*Model_Detail!$G$2:$G$1001),C$22*$A29*Model_Detail!$G$2:$G$1001-Model_Detail!$E$2:$E$1001)</f>
        <v>8512148.56339358</v>
      </c>
      <c r="D29" s="16" t="n">
        <f aca="false">SUMPRODUCT(--(Model_Detail!$E$2:$E$1001&lt;D$22*$A29*Model_Detail!$G$2:$G$1001),D$22*$A29*Model_Detail!$G$2:$G$1001-Model_Detail!$E$2:$E$1001)</f>
        <v>12244261.3393875</v>
      </c>
      <c r="G29" s="24" t="n">
        <v>2</v>
      </c>
      <c r="H29" s="13" t="n">
        <f aca="false">SUMPRODUCT(--(Model_Detail!$E$2:$E$1001&lt;H$22*$G29*Model_Detail!$G$2:$G$1001))/COUNTA(Model_Detail!$A$2:$A$1001)</f>
        <v>0.822</v>
      </c>
      <c r="I29" s="13" t="n">
        <f aca="false">SUMPRODUCT(--(Model_Detail!$E$2:$E$1001&lt;I$22*$G29*Model_Detail!$G$2:$G$1001))/COUNTA(Model_Detail!$A$2:$A$1001)</f>
        <v>0.898</v>
      </c>
      <c r="J29" s="13" t="n">
        <f aca="false">SUMPRODUCT(--(Model_Detail!$E$2:$E$1001&lt;J$22*$G29*Model_Detail!$G$2:$G$1001))/COUNTA(Model_Detail!$A$2:$A$1001)</f>
        <v>0.933</v>
      </c>
    </row>
    <row r="31" customFormat="false" ht="15" hidden="false" customHeight="false" outlineLevel="0" collapsed="false">
      <c r="A31" s="8" t="s">
        <v>111</v>
      </c>
    </row>
    <row r="32" customFormat="false" ht="15" hidden="false" customHeight="false" outlineLevel="0" collapsed="false">
      <c r="A32" s="2" t="s">
        <v>112</v>
      </c>
    </row>
    <row r="33" customFormat="false" ht="15" hidden="false" customHeight="false" outlineLevel="0" collapsed="false">
      <c r="A33" s="12" t="s">
        <v>113</v>
      </c>
      <c r="B33" s="25" t="s">
        <v>114</v>
      </c>
    </row>
    <row r="34" customFormat="false" ht="15" hidden="false" customHeight="false" outlineLevel="0" collapsed="false">
      <c r="A34" s="12" t="s">
        <v>17</v>
      </c>
      <c r="B34" s="12" t="str">
        <f aca="false">IFERROR(INDEX(Model_Detail!$B$2:$B$1001,MATCH($B$33,Model_Detail!$A$2:$A$1001,0)),"not found")</f>
        <v>BlueDart</v>
      </c>
    </row>
    <row r="35" customFormat="false" ht="15" hidden="false" customHeight="false" outlineLevel="0" collapsed="false">
      <c r="A35" s="12" t="s">
        <v>115</v>
      </c>
      <c r="B35" s="26" t="n">
        <f aca="false">IFERROR(INDEX(Model_Detail!$C$2:$C$1001,MATCH($B$33,Model_Detail!$A$2:$A$1001,0)),0)</f>
        <v>8.12</v>
      </c>
    </row>
    <row r="36" customFormat="false" ht="15" hidden="false" customHeight="false" outlineLevel="0" collapsed="false">
      <c r="A36" s="12" t="s">
        <v>116</v>
      </c>
      <c r="B36" s="16" t="n">
        <f aca="false">IFERROR(INDEX(Model_Detail!$E$2:$E$1001,MATCH($B$33,Model_Detail!$A$2:$A$1001,0)),0)</f>
        <v>3404.46</v>
      </c>
    </row>
    <row r="37" customFormat="false" ht="15" hidden="false" customHeight="false" outlineLevel="0" collapsed="false">
      <c r="A37" s="12" t="s">
        <v>117</v>
      </c>
      <c r="B37" s="13" t="n">
        <f aca="false">IFERROR(INDEX(Model_Detail!$F$2:$F$1001,MATCH($B$33,Model_Detail!$A$2:$A$1001,0)),0)</f>
        <v>0.773869346733668</v>
      </c>
    </row>
    <row r="38" customFormat="false" ht="15" hidden="false" customHeight="false" outlineLevel="0" collapsed="false">
      <c r="A38" s="12" t="s">
        <v>118</v>
      </c>
      <c r="B38" s="16" t="n">
        <f aca="false">IFERROR(INDEX(Model_Detail!$D$2:$D$1001,MATCH($B$33,Model_Detail!$A$2:$A$1001,0)),0)</f>
        <v>1208.07</v>
      </c>
    </row>
    <row r="39" customFormat="false" ht="15" hidden="false" customHeight="false" outlineLevel="0" collapsed="false">
      <c r="A39" s="12" t="s">
        <v>119</v>
      </c>
      <c r="B39" s="27" t="n">
        <v>1208.07</v>
      </c>
    </row>
    <row r="40" customFormat="false" ht="15" hidden="false" customHeight="false" outlineLevel="0" collapsed="false">
      <c r="A40" s="12" t="s">
        <v>120</v>
      </c>
      <c r="B40" s="16" t="n">
        <f aca="false">B37*B35*B39*$B$4</f>
        <v>7591.29333467337</v>
      </c>
    </row>
    <row r="41" customFormat="false" ht="15" hidden="false" customHeight="false" outlineLevel="0" collapsed="false">
      <c r="A41" s="12" t="s">
        <v>121</v>
      </c>
      <c r="B41" s="16" t="n">
        <f aca="false">$B$5*B40</f>
        <v>7591.29333467337</v>
      </c>
    </row>
    <row r="42" customFormat="false" ht="15" hidden="false" customHeight="false" outlineLevel="0" collapsed="false">
      <c r="A42" s="12" t="s">
        <v>122</v>
      </c>
      <c r="B42" s="21" t="n">
        <f aca="false">B41-B36</f>
        <v>4186.83333467337</v>
      </c>
    </row>
    <row r="43" customFormat="false" ht="15" hidden="false" customHeight="false" outlineLevel="0" collapsed="false">
      <c r="A43" s="12" t="s">
        <v>123</v>
      </c>
      <c r="B43" s="17" t="str">
        <f aca="false">IF(B42&gt;0,"Expedite","Standard")</f>
        <v>Expedite</v>
      </c>
    </row>
    <row r="44" customFormat="false" ht="15" hidden="false" customHeight="false" outlineLevel="0" collapsed="false">
      <c r="A44" s="12" t="s">
        <v>124</v>
      </c>
      <c r="B44" s="16" t="n">
        <f aca="false">IFERROR(B36/(B37*B35*$B$5*$B$4),"")</f>
        <v>541.781987716717</v>
      </c>
    </row>
  </sheetData>
  <conditionalFormatting sqref="B23:D29">
    <cfRule type="colorScale" priority="2">
      <colorScale>
        <cfvo type="min" val="0"/>
        <cfvo type="max" val="0"/>
        <color rgb="FFFFFFFF"/>
        <color rgb="FF63BE7B"/>
      </colorScale>
    </cfRule>
  </conditionalFormatting>
  <conditionalFormatting sqref="H23:J29">
    <cfRule type="colorScale" priority="3">
      <colorScale>
        <cfvo type="min" val="0"/>
        <cfvo type="max" val="0"/>
        <color rgb="FFFFFFFF"/>
        <color rgb="FF5B9BD5"/>
      </colorScale>
    </cfRule>
  </conditionalFormatting>
  <dataValidations count="1">
    <dataValidation allowBlank="false" errorStyle="stop" operator="between" showDropDown="false" showErrorMessage="false" showInputMessage="false" sqref="B33" type="list">
      <formula1>Model_Detail!$A$2:$A$1001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4"/>
  </cols>
  <sheetData>
    <row r="1" customFormat="false" ht="45" hidden="false" customHeight="true" outlineLevel="0" collapsed="false">
      <c r="A1" s="9" t="s">
        <v>125</v>
      </c>
      <c r="B1" s="9" t="s">
        <v>126</v>
      </c>
      <c r="C1" s="9" t="s">
        <v>127</v>
      </c>
      <c r="D1" s="9" t="s">
        <v>128</v>
      </c>
      <c r="E1" s="9" t="s">
        <v>129</v>
      </c>
      <c r="F1" s="9" t="s">
        <v>130</v>
      </c>
      <c r="G1" s="9" t="s">
        <v>131</v>
      </c>
      <c r="H1" s="9" t="s">
        <v>132</v>
      </c>
      <c r="I1" s="9" t="s">
        <v>133</v>
      </c>
      <c r="J1" s="9" t="s">
        <v>134</v>
      </c>
      <c r="K1" s="9" t="s">
        <v>135</v>
      </c>
      <c r="L1" s="9" t="s">
        <v>136</v>
      </c>
      <c r="M1" s="9" t="s">
        <v>137</v>
      </c>
      <c r="N1" s="9" t="s">
        <v>138</v>
      </c>
    </row>
    <row r="2" customFormat="false" ht="15" hidden="false" customHeight="false" outlineLevel="0" collapsed="false">
      <c r="A2" s="0" t="str">
        <f aca="false">Clean!A2</f>
        <v>SHP0001</v>
      </c>
      <c r="B2" s="0" t="str">
        <f aca="false">Clean!AA2</f>
        <v>BlueDart</v>
      </c>
      <c r="C2" s="28" t="n">
        <f aca="false">Clean!J2</f>
        <v>8.12</v>
      </c>
      <c r="D2" s="29" t="n">
        <f aca="false">Clean!AF2</f>
        <v>1208.07</v>
      </c>
      <c r="E2" s="29" t="n">
        <f aca="false">Clean!AE2</f>
        <v>3404.46</v>
      </c>
      <c r="F2" s="22" t="n">
        <f aca="false">AVERAGEIFS(Clean!$V$2:$V$1001,Clean!$AA$2:$AA$1001,B2)</f>
        <v>0.773869346733668</v>
      </c>
      <c r="G2" s="29" t="n">
        <f aca="false">F2*C2*D2</f>
        <v>7591.29333467337</v>
      </c>
      <c r="H2" s="29" t="n">
        <f aca="false">G2*Model!$B$4</f>
        <v>7591.29333467337</v>
      </c>
      <c r="I2" s="0" t="str">
        <f aca="false">IF(E2&lt;Model!$B$5*H2,"Expedite","Standard")</f>
        <v>Expedite</v>
      </c>
      <c r="J2" s="29" t="n">
        <f aca="false">H2</f>
        <v>7591.29333467337</v>
      </c>
      <c r="K2" s="29" t="n">
        <f aca="false">E2+(1-Model!$B$5)*H2</f>
        <v>3404.46</v>
      </c>
      <c r="L2" s="29" t="n">
        <f aca="false">IF(I2="Expedite",K2,J2)</f>
        <v>3404.46</v>
      </c>
      <c r="M2" s="29" t="n">
        <f aca="false">J2-L2</f>
        <v>4186.83333467337</v>
      </c>
      <c r="N2" s="29" t="n">
        <f aca="false">IFERROR(E2/(F2*C2*Model!$B$5),"")</f>
        <v>541.781987716717</v>
      </c>
    </row>
    <row r="3" customFormat="false" ht="15" hidden="false" customHeight="false" outlineLevel="0" collapsed="false">
      <c r="A3" s="0" t="str">
        <f aca="false">Clean!A3</f>
        <v>SHP0002</v>
      </c>
      <c r="B3" s="0" t="str">
        <f aca="false">Clean!AA3</f>
        <v>Delhivery</v>
      </c>
      <c r="C3" s="28" t="n">
        <f aca="false">Clean!J3</f>
        <v>1.39</v>
      </c>
      <c r="D3" s="29" t="n">
        <f aca="false">Clean!AF3</f>
        <v>931.95</v>
      </c>
      <c r="E3" s="29" t="n">
        <f aca="false">Clean!AE3</f>
        <v>3099.03</v>
      </c>
      <c r="F3" s="22" t="n">
        <f aca="false">AVERAGEIFS(Clean!$V$2:$V$1001,Clean!$AA$2:$AA$1001,B3)</f>
        <v>0.72538860103627</v>
      </c>
      <c r="G3" s="29" t="n">
        <f aca="false">F3*C3*D3</f>
        <v>939.676010362694</v>
      </c>
      <c r="H3" s="29" t="n">
        <f aca="false">G3*Model!$B$4</f>
        <v>939.676010362694</v>
      </c>
      <c r="I3" s="0" t="str">
        <f aca="false">IF(E3&lt;Model!$B$5*H3,"Expedite","Standard")</f>
        <v>Standard</v>
      </c>
      <c r="J3" s="29" t="n">
        <f aca="false">H3</f>
        <v>939.676010362694</v>
      </c>
      <c r="K3" s="29" t="n">
        <f aca="false">E3+(1-Model!$B$5)*H3</f>
        <v>3099.03</v>
      </c>
      <c r="L3" s="29" t="n">
        <f aca="false">IF(I3="Expedite",K3,J3)</f>
        <v>939.676010362694</v>
      </c>
      <c r="M3" s="29" t="n">
        <f aca="false">J3-L3</f>
        <v>0</v>
      </c>
      <c r="N3" s="29" t="n">
        <f aca="false">IFERROR(E3/(F3*C3*Model!$B$5),"")</f>
        <v>3073.54979445015</v>
      </c>
    </row>
    <row r="4" customFormat="false" ht="15" hidden="false" customHeight="false" outlineLevel="0" collapsed="false">
      <c r="A4" s="0" t="str">
        <f aca="false">Clean!A4</f>
        <v>SHP0003</v>
      </c>
      <c r="B4" s="0" t="str">
        <f aca="false">Clean!AA4</f>
        <v>VRL Cargo</v>
      </c>
      <c r="C4" s="28" t="n">
        <f aca="false">Clean!J4</f>
        <v>6.53</v>
      </c>
      <c r="D4" s="29" t="n">
        <f aca="false">Clean!AF4</f>
        <v>1107.54</v>
      </c>
      <c r="E4" s="29" t="n">
        <f aca="false">Clean!AE4</f>
        <v>1185.8</v>
      </c>
      <c r="F4" s="22" t="n">
        <f aca="false">AVERAGEIFS(Clean!$V$2:$V$1001,Clean!$AA$2:$AA$1001,B4)</f>
        <v>0.72020725388601</v>
      </c>
      <c r="G4" s="29" t="n">
        <f aca="false">F4*C4*D4</f>
        <v>5208.708973057</v>
      </c>
      <c r="H4" s="29" t="n">
        <f aca="false">G4*Model!$B$4</f>
        <v>5208.708973057</v>
      </c>
      <c r="I4" s="0" t="str">
        <f aca="false">IF(E4&lt;Model!$B$5*H4,"Expedite","Standard")</f>
        <v>Expedite</v>
      </c>
      <c r="J4" s="29" t="n">
        <f aca="false">H4</f>
        <v>5208.708973057</v>
      </c>
      <c r="K4" s="29" t="n">
        <f aca="false">E4+(1-Model!$B$5)*H4</f>
        <v>1185.8</v>
      </c>
      <c r="L4" s="29" t="n">
        <f aca="false">IF(I4="Expedite",K4,J4)</f>
        <v>1185.8</v>
      </c>
      <c r="M4" s="29" t="n">
        <f aca="false">J4-L4</f>
        <v>4022.908973057</v>
      </c>
      <c r="N4" s="29" t="n">
        <f aca="false">IFERROR(E4/(F4*C4*Model!$B$5),"")</f>
        <v>252.139433935241</v>
      </c>
    </row>
    <row r="5" customFormat="false" ht="15" hidden="false" customHeight="false" outlineLevel="0" collapsed="false">
      <c r="A5" s="0" t="str">
        <f aca="false">Clean!A5</f>
        <v>SHP0004</v>
      </c>
      <c r="B5" s="0" t="str">
        <f aca="false">Clean!AA5</f>
        <v>Delhivery</v>
      </c>
      <c r="C5" s="28" t="n">
        <f aca="false">Clean!J5</f>
        <v>4.24</v>
      </c>
      <c r="D5" s="29" t="n">
        <f aca="false">Clean!AF5</f>
        <v>1184.23</v>
      </c>
      <c r="E5" s="29" t="n">
        <f aca="false">Clean!AE5</f>
        <v>1390.69</v>
      </c>
      <c r="F5" s="22" t="n">
        <f aca="false">AVERAGEIFS(Clean!$V$2:$V$1001,Clean!$AA$2:$AA$1001,B5)</f>
        <v>0.72538860103627</v>
      </c>
      <c r="G5" s="29" t="n">
        <f aca="false">F5*C5*D5</f>
        <v>3642.27423834197</v>
      </c>
      <c r="H5" s="29" t="n">
        <f aca="false">G5*Model!$B$4</f>
        <v>3642.27423834197</v>
      </c>
      <c r="I5" s="0" t="str">
        <f aca="false">IF(E5&lt;Model!$B$5*H5,"Expedite","Standard")</f>
        <v>Expedite</v>
      </c>
      <c r="J5" s="29" t="n">
        <f aca="false">H5</f>
        <v>3642.27423834197</v>
      </c>
      <c r="K5" s="29" t="n">
        <f aca="false">E5+(1-Model!$B$5)*H5</f>
        <v>1390.69</v>
      </c>
      <c r="L5" s="29" t="n">
        <f aca="false">IF(I5="Expedite",K5,J5)</f>
        <v>1390.69</v>
      </c>
      <c r="M5" s="29" t="n">
        <f aca="false">J5-L5</f>
        <v>2251.58423834197</v>
      </c>
      <c r="N5" s="29" t="n">
        <f aca="false">IFERROR(E5/(F5*C5*Model!$B$5),"")</f>
        <v>452.161674528302</v>
      </c>
    </row>
    <row r="6" customFormat="false" ht="15" hidden="false" customHeight="false" outlineLevel="0" collapsed="false">
      <c r="A6" s="0" t="str">
        <f aca="false">Clean!A6</f>
        <v>SHP0005</v>
      </c>
      <c r="B6" s="0" t="str">
        <f aca="false">Clean!AA6</f>
        <v>VRL Cargo</v>
      </c>
      <c r="C6" s="28" t="n">
        <f aca="false">Clean!J6</f>
        <v>9.36</v>
      </c>
      <c r="D6" s="29" t="n">
        <f aca="false">Clean!AF6</f>
        <v>1067.7</v>
      </c>
      <c r="E6" s="29" t="n">
        <f aca="false">Clean!AE6</f>
        <v>1831.77</v>
      </c>
      <c r="F6" s="22" t="n">
        <f aca="false">AVERAGEIFS(Clean!$V$2:$V$1001,Clean!$AA$2:$AA$1001,B6)</f>
        <v>0.72020725388601</v>
      </c>
      <c r="G6" s="29" t="n">
        <f aca="false">F6*C6*D6</f>
        <v>7197.51506735751</v>
      </c>
      <c r="H6" s="29" t="n">
        <f aca="false">G6*Model!$B$4</f>
        <v>7197.51506735751</v>
      </c>
      <c r="I6" s="0" t="str">
        <f aca="false">IF(E6&lt;Model!$B$5*H6,"Expedite","Standard")</f>
        <v>Expedite</v>
      </c>
      <c r="J6" s="29" t="n">
        <f aca="false">H6</f>
        <v>7197.51506735751</v>
      </c>
      <c r="K6" s="29" t="n">
        <f aca="false">E6+(1-Model!$B$5)*H6</f>
        <v>1831.77</v>
      </c>
      <c r="L6" s="29" t="n">
        <f aca="false">IF(I6="Expedite",K6,J6)</f>
        <v>1831.77</v>
      </c>
      <c r="M6" s="29" t="n">
        <f aca="false">J6-L6</f>
        <v>5365.74506735751</v>
      </c>
      <c r="N6" s="29" t="n">
        <f aca="false">IFERROR(E6/(F6*C6*Model!$B$5),"")</f>
        <v>271.730008301052</v>
      </c>
    </row>
    <row r="7" customFormat="false" ht="15" hidden="false" customHeight="false" outlineLevel="0" collapsed="false">
      <c r="A7" s="0" t="str">
        <f aca="false">Clean!A7</f>
        <v>SHP0006</v>
      </c>
      <c r="B7" s="0" t="str">
        <f aca="false">Clean!AA7</f>
        <v>GATI Logistics</v>
      </c>
      <c r="C7" s="28" t="n">
        <f aca="false">Clean!J7</f>
        <v>1.59</v>
      </c>
      <c r="D7" s="29" t="n">
        <f aca="false">Clean!AF7</f>
        <v>1070.44</v>
      </c>
      <c r="E7" s="29" t="n">
        <f aca="false">Clean!AE7</f>
        <v>2306.16</v>
      </c>
      <c r="F7" s="22" t="n">
        <f aca="false">AVERAGEIFS(Clean!$V$2:$V$1001,Clean!$AA$2:$AA$1001,B7)</f>
        <v>0.751243781094527</v>
      </c>
      <c r="G7" s="29" t="n">
        <f aca="false">F7*C7*D7</f>
        <v>1278.61661492537</v>
      </c>
      <c r="H7" s="29" t="n">
        <f aca="false">G7*Model!$B$4</f>
        <v>1278.61661492537</v>
      </c>
      <c r="I7" s="0" t="str">
        <f aca="false">IF(E7&lt;Model!$B$5*H7,"Expedite","Standard")</f>
        <v>Standard</v>
      </c>
      <c r="J7" s="29" t="n">
        <f aca="false">H7</f>
        <v>1278.61661492537</v>
      </c>
      <c r="K7" s="29" t="n">
        <f aca="false">E7+(1-Model!$B$5)*H7</f>
        <v>2306.16</v>
      </c>
      <c r="L7" s="29" t="n">
        <f aca="false">IF(I7="Expedite",K7,J7)</f>
        <v>1278.61661492537</v>
      </c>
      <c r="M7" s="29" t="n">
        <f aca="false">J7-L7</f>
        <v>0</v>
      </c>
      <c r="N7" s="29" t="n">
        <f aca="false">IFERROR(E7/(F7*C7*Model!$B$5),"")</f>
        <v>1930.68499312758</v>
      </c>
    </row>
    <row r="8" customFormat="false" ht="15" hidden="false" customHeight="false" outlineLevel="0" collapsed="false">
      <c r="A8" s="0" t="str">
        <f aca="false">Clean!A8</f>
        <v>SHP0007</v>
      </c>
      <c r="B8" s="0" t="str">
        <f aca="false">Clean!AA8</f>
        <v>BlueDart</v>
      </c>
      <c r="C8" s="28" t="n">
        <f aca="false">Clean!J8</f>
        <v>10.9</v>
      </c>
      <c r="D8" s="29" t="n">
        <f aca="false">Clean!AF8</f>
        <v>796.27</v>
      </c>
      <c r="E8" s="29" t="n">
        <f aca="false">Clean!AE8</f>
        <v>2104</v>
      </c>
      <c r="F8" s="22" t="n">
        <f aca="false">AVERAGEIFS(Clean!$V$2:$V$1001,Clean!$AA$2:$AA$1001,B8)</f>
        <v>0.773869346733668</v>
      </c>
      <c r="G8" s="29" t="n">
        <f aca="false">F8*C8*D8</f>
        <v>6716.67749748744</v>
      </c>
      <c r="H8" s="29" t="n">
        <f aca="false">G8*Model!$B$4</f>
        <v>6716.67749748744</v>
      </c>
      <c r="I8" s="0" t="str">
        <f aca="false">IF(E8&lt;Model!$B$5*H8,"Expedite","Standard")</f>
        <v>Expedite</v>
      </c>
      <c r="J8" s="29" t="n">
        <f aca="false">H8</f>
        <v>6716.67749748744</v>
      </c>
      <c r="K8" s="29" t="n">
        <f aca="false">E8+(1-Model!$B$5)*H8</f>
        <v>2104</v>
      </c>
      <c r="L8" s="29" t="n">
        <f aca="false">IF(I8="Expedite",K8,J8)</f>
        <v>2104</v>
      </c>
      <c r="M8" s="29" t="n">
        <f aca="false">J8-L8</f>
        <v>4612.67749748744</v>
      </c>
      <c r="N8" s="29" t="n">
        <f aca="false">IFERROR(E8/(F8*C8*Model!$B$5),"")</f>
        <v>249.431669248183</v>
      </c>
    </row>
    <row r="9" customFormat="false" ht="15" hidden="false" customHeight="false" outlineLevel="0" collapsed="false">
      <c r="A9" s="0" t="str">
        <f aca="false">Clean!A9</f>
        <v>SHP0008</v>
      </c>
      <c r="B9" s="0" t="str">
        <f aca="false">Clean!AA9</f>
        <v>Delhivery</v>
      </c>
      <c r="C9" s="28" t="n">
        <f aca="false">Clean!J9</f>
        <v>4.14</v>
      </c>
      <c r="D9" s="29" t="n">
        <f aca="false">Clean!AF9</f>
        <v>1211.34</v>
      </c>
      <c r="E9" s="29" t="n">
        <f aca="false">Clean!AE9</f>
        <v>1795.37</v>
      </c>
      <c r="F9" s="22" t="n">
        <f aca="false">AVERAGEIFS(Clean!$V$2:$V$1001,Clean!$AA$2:$AA$1001,B9)</f>
        <v>0.72538860103627</v>
      </c>
      <c r="G9" s="29" t="n">
        <f aca="false">F9*C9*D9</f>
        <v>3637.7858238342</v>
      </c>
      <c r="H9" s="29" t="n">
        <f aca="false">G9*Model!$B$4</f>
        <v>3637.7858238342</v>
      </c>
      <c r="I9" s="0" t="str">
        <f aca="false">IF(E9&lt;Model!$B$5*H9,"Expedite","Standard")</f>
        <v>Expedite</v>
      </c>
      <c r="J9" s="29" t="n">
        <f aca="false">H9</f>
        <v>3637.7858238342</v>
      </c>
      <c r="K9" s="29" t="n">
        <f aca="false">E9+(1-Model!$B$5)*H9</f>
        <v>1795.37</v>
      </c>
      <c r="L9" s="29" t="n">
        <f aca="false">IF(I9="Expedite",K9,J9)</f>
        <v>1795.37</v>
      </c>
      <c r="M9" s="29" t="n">
        <f aca="false">J9-L9</f>
        <v>1842.4158238342</v>
      </c>
      <c r="N9" s="29" t="n">
        <f aca="false">IFERROR(E9/(F9*C9*Model!$B$5),"")</f>
        <v>597.837146307798</v>
      </c>
    </row>
    <row r="10" customFormat="false" ht="15" hidden="false" customHeight="false" outlineLevel="0" collapsed="false">
      <c r="A10" s="0" t="str">
        <f aca="false">Clean!A10</f>
        <v>SHP0009</v>
      </c>
      <c r="B10" s="0" t="str">
        <f aca="false">Clean!AA10</f>
        <v>VRL Cargo</v>
      </c>
      <c r="C10" s="28" t="n">
        <f aca="false">Clean!J10</f>
        <v>16.01</v>
      </c>
      <c r="D10" s="29" t="n">
        <f aca="false">Clean!AF10</f>
        <v>1137.56</v>
      </c>
      <c r="E10" s="29" t="n">
        <f aca="false">Clean!AE10</f>
        <v>3918.42</v>
      </c>
      <c r="F10" s="22" t="n">
        <f aca="false">AVERAGEIFS(Clean!$V$2:$V$1001,Clean!$AA$2:$AA$1001,B10)</f>
        <v>0.72020725388601</v>
      </c>
      <c r="G10" s="29" t="n">
        <f aca="false">F10*C10*D10</f>
        <v>13116.6562093264</v>
      </c>
      <c r="H10" s="29" t="n">
        <f aca="false">G10*Model!$B$4</f>
        <v>13116.6562093264</v>
      </c>
      <c r="I10" s="0" t="str">
        <f aca="false">IF(E10&lt;Model!$B$5*H10,"Expedite","Standard")</f>
        <v>Expedite</v>
      </c>
      <c r="J10" s="29" t="n">
        <f aca="false">H10</f>
        <v>13116.6562093264</v>
      </c>
      <c r="K10" s="29" t="n">
        <f aca="false">E10+(1-Model!$B$5)*H10</f>
        <v>3918.42</v>
      </c>
      <c r="L10" s="29" t="n">
        <f aca="false">IF(I10="Expedite",K10,J10)</f>
        <v>3918.42</v>
      </c>
      <c r="M10" s="29" t="n">
        <f aca="false">J10-L10</f>
        <v>9198.23620932643</v>
      </c>
      <c r="N10" s="29" t="n">
        <f aca="false">IFERROR(E10/(F10*C10*Model!$B$5),"")</f>
        <v>339.830348837732</v>
      </c>
    </row>
    <row r="11" customFormat="false" ht="15" hidden="false" customHeight="false" outlineLevel="0" collapsed="false">
      <c r="A11" s="0" t="str">
        <f aca="false">Clean!A11</f>
        <v>SHP0010</v>
      </c>
      <c r="B11" s="0" t="str">
        <f aca="false">Clean!AA11</f>
        <v>VRL Cargo</v>
      </c>
      <c r="C11" s="28" t="n">
        <f aca="false">Clean!J11</f>
        <v>17.86</v>
      </c>
      <c r="D11" s="29" t="n">
        <f aca="false">Clean!AF11</f>
        <v>540.43</v>
      </c>
      <c r="E11" s="29" t="n">
        <f aca="false">Clean!AE11</f>
        <v>2024.27</v>
      </c>
      <c r="F11" s="22" t="n">
        <f aca="false">AVERAGEIFS(Clean!$V$2:$V$1001,Clean!$AA$2:$AA$1001,B11)</f>
        <v>0.72020725388601</v>
      </c>
      <c r="G11" s="29" t="n">
        <f aca="false">F11*C11*D11</f>
        <v>6951.49788704663</v>
      </c>
      <c r="H11" s="29" t="n">
        <f aca="false">G11*Model!$B$4</f>
        <v>6951.49788704663</v>
      </c>
      <c r="I11" s="0" t="str">
        <f aca="false">IF(E11&lt;Model!$B$5*H11,"Expedite","Standard")</f>
        <v>Expedite</v>
      </c>
      <c r="J11" s="29" t="n">
        <f aca="false">H11</f>
        <v>6951.49788704663</v>
      </c>
      <c r="K11" s="29" t="n">
        <f aca="false">E11+(1-Model!$B$5)*H11</f>
        <v>2024.27</v>
      </c>
      <c r="L11" s="29" t="n">
        <f aca="false">IF(I11="Expedite",K11,J11)</f>
        <v>2024.27</v>
      </c>
      <c r="M11" s="29" t="n">
        <f aca="false">J11-L11</f>
        <v>4927.22788704663</v>
      </c>
      <c r="N11" s="29" t="n">
        <f aca="false">IFERROR(E11/(F11*C11*Model!$B$5),"")</f>
        <v>157.372735182515</v>
      </c>
    </row>
    <row r="12" customFormat="false" ht="15" hidden="false" customHeight="false" outlineLevel="0" collapsed="false">
      <c r="A12" s="0" t="str">
        <f aca="false">Clean!A12</f>
        <v>SHP0011</v>
      </c>
      <c r="B12" s="0" t="str">
        <f aca="false">Clean!AA12</f>
        <v>BlueDart</v>
      </c>
      <c r="C12" s="28" t="n">
        <f aca="false">Clean!J12</f>
        <v>14.5</v>
      </c>
      <c r="D12" s="29" t="n">
        <f aca="false">Clean!AF12</f>
        <v>1104.42</v>
      </c>
      <c r="E12" s="29" t="n">
        <f aca="false">Clean!AE12</f>
        <v>1557.33</v>
      </c>
      <c r="F12" s="22" t="n">
        <f aca="false">AVERAGEIFS(Clean!$V$2:$V$1001,Clean!$AA$2:$AA$1001,B12)</f>
        <v>0.773869346733668</v>
      </c>
      <c r="G12" s="29" t="n">
        <f aca="false">F12*C12*D12</f>
        <v>12392.8133668342</v>
      </c>
      <c r="H12" s="29" t="n">
        <f aca="false">G12*Model!$B$4</f>
        <v>12392.8133668342</v>
      </c>
      <c r="I12" s="0" t="str">
        <f aca="false">IF(E12&lt;Model!$B$5*H12,"Expedite","Standard")</f>
        <v>Expedite</v>
      </c>
      <c r="J12" s="29" t="n">
        <f aca="false">H12</f>
        <v>12392.8133668342</v>
      </c>
      <c r="K12" s="29" t="n">
        <f aca="false">E12+(1-Model!$B$5)*H12</f>
        <v>1557.33</v>
      </c>
      <c r="L12" s="29" t="n">
        <f aca="false">IF(I12="Expedite",K12,J12)</f>
        <v>1557.33</v>
      </c>
      <c r="M12" s="29" t="n">
        <f aca="false">J12-L12</f>
        <v>10835.4833668342</v>
      </c>
      <c r="N12" s="29" t="n">
        <f aca="false">IFERROR(E12/(F12*C12*Model!$B$5),"")</f>
        <v>138.78579041648</v>
      </c>
    </row>
    <row r="13" customFormat="false" ht="15" hidden="false" customHeight="false" outlineLevel="0" collapsed="false">
      <c r="A13" s="0" t="str">
        <f aca="false">Clean!A13</f>
        <v>SHP0012</v>
      </c>
      <c r="B13" s="0" t="str">
        <f aca="false">Clean!AA13</f>
        <v>VRL Cargo</v>
      </c>
      <c r="C13" s="28" t="n">
        <f aca="false">Clean!J13</f>
        <v>11.26</v>
      </c>
      <c r="D13" s="29" t="n">
        <f aca="false">Clean!AF13</f>
        <v>1133.4</v>
      </c>
      <c r="E13" s="29" t="n">
        <f aca="false">Clean!AE13</f>
        <v>4232.48</v>
      </c>
      <c r="F13" s="22" t="n">
        <f aca="false">AVERAGEIFS(Clean!$V$2:$V$1001,Clean!$AA$2:$AA$1001,B13)</f>
        <v>0.72020725388601</v>
      </c>
      <c r="G13" s="29" t="n">
        <f aca="false">F13*C13*D13</f>
        <v>9191.34547150259</v>
      </c>
      <c r="H13" s="29" t="n">
        <f aca="false">G13*Model!$B$4</f>
        <v>9191.34547150259</v>
      </c>
      <c r="I13" s="0" t="str">
        <f aca="false">IF(E13&lt;Model!$B$5*H13,"Expedite","Standard")</f>
        <v>Expedite</v>
      </c>
      <c r="J13" s="29" t="n">
        <f aca="false">H13</f>
        <v>9191.34547150259</v>
      </c>
      <c r="K13" s="29" t="n">
        <f aca="false">E13+(1-Model!$B$5)*H13</f>
        <v>4232.48</v>
      </c>
      <c r="L13" s="29" t="n">
        <f aca="false">IF(I13="Expedite",K13,J13)</f>
        <v>4232.48</v>
      </c>
      <c r="M13" s="29" t="n">
        <f aca="false">J13-L13</f>
        <v>4958.86547150259</v>
      </c>
      <c r="N13" s="29" t="n">
        <f aca="false">IFERROR(E13/(F13*C13*Model!$B$5),"")</f>
        <v>521.914103530675</v>
      </c>
    </row>
    <row r="14" customFormat="false" ht="15" hidden="false" customHeight="false" outlineLevel="0" collapsed="false">
      <c r="A14" s="0" t="str">
        <f aca="false">Clean!A14</f>
        <v>SHP0013</v>
      </c>
      <c r="B14" s="0" t="str">
        <f aca="false">Clean!AA14</f>
        <v>Delhivery</v>
      </c>
      <c r="C14" s="28" t="n">
        <f aca="false">Clean!J14</f>
        <v>17.56</v>
      </c>
      <c r="D14" s="29" t="n">
        <f aca="false">Clean!AF14</f>
        <v>927.11</v>
      </c>
      <c r="E14" s="29" t="n">
        <f aca="false">Clean!AE14</f>
        <v>1911.74</v>
      </c>
      <c r="F14" s="22" t="n">
        <f aca="false">AVERAGEIFS(Clean!$V$2:$V$1001,Clean!$AA$2:$AA$1001,B14)</f>
        <v>0.72538860103627</v>
      </c>
      <c r="G14" s="29" t="n">
        <f aca="false">F14*C14*D14</f>
        <v>11809.3638549223</v>
      </c>
      <c r="H14" s="29" t="n">
        <f aca="false">G14*Model!$B$4</f>
        <v>11809.3638549223</v>
      </c>
      <c r="I14" s="0" t="str">
        <f aca="false">IF(E14&lt;Model!$B$5*H14,"Expedite","Standard")</f>
        <v>Expedite</v>
      </c>
      <c r="J14" s="29" t="n">
        <f aca="false">H14</f>
        <v>11809.3638549223</v>
      </c>
      <c r="K14" s="29" t="n">
        <f aca="false">E14+(1-Model!$B$5)*H14</f>
        <v>1911.74</v>
      </c>
      <c r="L14" s="29" t="n">
        <f aca="false">IF(I14="Expedite",K14,J14)</f>
        <v>1911.74</v>
      </c>
      <c r="M14" s="29" t="n">
        <f aca="false">J14-L14</f>
        <v>9897.62385492228</v>
      </c>
      <c r="N14" s="29" t="n">
        <f aca="false">IFERROR(E14/(F14*C14*Model!$B$5),"")</f>
        <v>150.083721119427</v>
      </c>
    </row>
    <row r="15" customFormat="false" ht="15" hidden="false" customHeight="false" outlineLevel="0" collapsed="false">
      <c r="A15" s="0" t="str">
        <f aca="false">Clean!A15</f>
        <v>SHP0014</v>
      </c>
      <c r="B15" s="0" t="str">
        <f aca="false">Clean!AA15</f>
        <v>GATI Logistics</v>
      </c>
      <c r="C15" s="28" t="n">
        <f aca="false">Clean!J15</f>
        <v>16.54</v>
      </c>
      <c r="D15" s="29" t="n">
        <f aca="false">Clean!AF15</f>
        <v>744.13</v>
      </c>
      <c r="E15" s="29" t="n">
        <f aca="false">Clean!AE15</f>
        <v>2077.65</v>
      </c>
      <c r="F15" s="22" t="n">
        <f aca="false">AVERAGEIFS(Clean!$V$2:$V$1001,Clean!$AA$2:$AA$1001,B15)</f>
        <v>0.751243781094527</v>
      </c>
      <c r="G15" s="29" t="n">
        <f aca="false">F15*C15*D15</f>
        <v>9246.2409960199</v>
      </c>
      <c r="H15" s="29" t="n">
        <f aca="false">G15*Model!$B$4</f>
        <v>9246.2409960199</v>
      </c>
      <c r="I15" s="0" t="str">
        <f aca="false">IF(E15&lt;Model!$B$5*H15,"Expedite","Standard")</f>
        <v>Expedite</v>
      </c>
      <c r="J15" s="29" t="n">
        <f aca="false">H15</f>
        <v>9246.2409960199</v>
      </c>
      <c r="K15" s="29" t="n">
        <f aca="false">E15+(1-Model!$B$5)*H15</f>
        <v>2077.65</v>
      </c>
      <c r="L15" s="29" t="n">
        <f aca="false">IF(I15="Expedite",K15,J15)</f>
        <v>2077.65</v>
      </c>
      <c r="M15" s="29" t="n">
        <f aca="false">J15-L15</f>
        <v>7168.5909960199</v>
      </c>
      <c r="N15" s="29" t="n">
        <f aca="false">IFERROR(E15/(F15*C15*Model!$B$5),"")</f>
        <v>167.207592270795</v>
      </c>
    </row>
    <row r="16" customFormat="false" ht="15" hidden="false" customHeight="false" outlineLevel="0" collapsed="false">
      <c r="A16" s="0" t="str">
        <f aca="false">Clean!A16</f>
        <v>SHP0015</v>
      </c>
      <c r="B16" s="0" t="str">
        <f aca="false">Clean!AA16</f>
        <v>BlueDart</v>
      </c>
      <c r="C16" s="28" t="n">
        <f aca="false">Clean!J16</f>
        <v>4.2</v>
      </c>
      <c r="D16" s="29" t="n">
        <f aca="false">Clean!AF16</f>
        <v>648.09</v>
      </c>
      <c r="E16" s="29" t="n">
        <f aca="false">Clean!AE16</f>
        <v>3849.08</v>
      </c>
      <c r="F16" s="22" t="n">
        <f aca="false">AVERAGEIFS(Clean!$V$2:$V$1001,Clean!$AA$2:$AA$1001,B16)</f>
        <v>0.773869346733668</v>
      </c>
      <c r="G16" s="29" t="n">
        <f aca="false">F16*C16*D16</f>
        <v>2106.45533668342</v>
      </c>
      <c r="H16" s="29" t="n">
        <f aca="false">G16*Model!$B$4</f>
        <v>2106.45533668342</v>
      </c>
      <c r="I16" s="0" t="str">
        <f aca="false">IF(E16&lt;Model!$B$5*H16,"Expedite","Standard")</f>
        <v>Standard</v>
      </c>
      <c r="J16" s="29" t="n">
        <f aca="false">H16</f>
        <v>2106.45533668342</v>
      </c>
      <c r="K16" s="29" t="n">
        <f aca="false">E16+(1-Model!$B$5)*H16</f>
        <v>3849.08</v>
      </c>
      <c r="L16" s="29" t="n">
        <f aca="false">IF(I16="Expedite",K16,J16)</f>
        <v>2106.45533668342</v>
      </c>
      <c r="M16" s="29" t="n">
        <f aca="false">J16-L16</f>
        <v>0</v>
      </c>
      <c r="N16" s="29" t="n">
        <f aca="false">IFERROR(E16/(F16*C16*Model!$B$5),"")</f>
        <v>1184.24075448361</v>
      </c>
    </row>
    <row r="17" customFormat="false" ht="15" hidden="false" customHeight="false" outlineLevel="0" collapsed="false">
      <c r="A17" s="0" t="str">
        <f aca="false">Clean!A17</f>
        <v>SHP0016</v>
      </c>
      <c r="B17" s="0" t="str">
        <f aca="false">Clean!AA17</f>
        <v>BlueDart</v>
      </c>
      <c r="C17" s="28" t="n">
        <f aca="false">Clean!J17</f>
        <v>19.96</v>
      </c>
      <c r="D17" s="29" t="n">
        <f aca="false">Clean!AF17</f>
        <v>1180.71</v>
      </c>
      <c r="E17" s="29" t="n">
        <f aca="false">Clean!AE17</f>
        <v>3537.41</v>
      </c>
      <c r="F17" s="22" t="n">
        <f aca="false">AVERAGEIFS(Clean!$V$2:$V$1001,Clean!$AA$2:$AA$1001,B17)</f>
        <v>0.773869346733668</v>
      </c>
      <c r="G17" s="29" t="n">
        <f aca="false">F17*C17*D17</f>
        <v>18237.7569165829</v>
      </c>
      <c r="H17" s="29" t="n">
        <f aca="false">G17*Model!$B$4</f>
        <v>18237.7569165829</v>
      </c>
      <c r="I17" s="0" t="str">
        <f aca="false">IF(E17&lt;Model!$B$5*H17,"Expedite","Standard")</f>
        <v>Expedite</v>
      </c>
      <c r="J17" s="29" t="n">
        <f aca="false">H17</f>
        <v>18237.7569165829</v>
      </c>
      <c r="K17" s="29" t="n">
        <f aca="false">E17+(1-Model!$B$5)*H17</f>
        <v>3537.41</v>
      </c>
      <c r="L17" s="29" t="n">
        <f aca="false">IF(I17="Expedite",K17,J17)</f>
        <v>3537.41</v>
      </c>
      <c r="M17" s="29" t="n">
        <f aca="false">J17-L17</f>
        <v>14700.3469165829</v>
      </c>
      <c r="N17" s="29" t="n">
        <f aca="false">IFERROR(E17/(F17*C17*Model!$B$5),"")</f>
        <v>229.011461234157</v>
      </c>
    </row>
    <row r="18" customFormat="false" ht="15" hidden="false" customHeight="false" outlineLevel="0" collapsed="false">
      <c r="A18" s="0" t="str">
        <f aca="false">Clean!A18</f>
        <v>SHP0017</v>
      </c>
      <c r="B18" s="0" t="str">
        <f aca="false">Clean!AA18</f>
        <v>Delhivery</v>
      </c>
      <c r="C18" s="28" t="n">
        <f aca="false">Clean!J18</f>
        <v>11.09</v>
      </c>
      <c r="D18" s="29" t="n">
        <f aca="false">Clean!AF18</f>
        <v>1133.53</v>
      </c>
      <c r="E18" s="29" t="n">
        <f aca="false">Clean!AE18</f>
        <v>3529.22</v>
      </c>
      <c r="F18" s="22" t="n">
        <f aca="false">AVERAGEIFS(Clean!$V$2:$V$1001,Clean!$AA$2:$AA$1001,B18)</f>
        <v>0.72538860103627</v>
      </c>
      <c r="G18" s="29" t="n">
        <f aca="false">F18*C18*D18</f>
        <v>9118.74962694301</v>
      </c>
      <c r="H18" s="29" t="n">
        <f aca="false">G18*Model!$B$4</f>
        <v>9118.74962694301</v>
      </c>
      <c r="I18" s="0" t="str">
        <f aca="false">IF(E18&lt;Model!$B$5*H18,"Expedite","Standard")</f>
        <v>Expedite</v>
      </c>
      <c r="J18" s="29" t="n">
        <f aca="false">H18</f>
        <v>9118.74962694301</v>
      </c>
      <c r="K18" s="29" t="n">
        <f aca="false">E18+(1-Model!$B$5)*H18</f>
        <v>3529.22</v>
      </c>
      <c r="L18" s="29" t="n">
        <f aca="false">IF(I18="Expedite",K18,J18)</f>
        <v>3529.22</v>
      </c>
      <c r="M18" s="29" t="n">
        <f aca="false">J18-L18</f>
        <v>5589.52962694301</v>
      </c>
      <c r="N18" s="29" t="n">
        <f aca="false">IFERROR(E18/(F18*C18*Model!$B$5),"")</f>
        <v>438.708914079608</v>
      </c>
    </row>
    <row r="19" customFormat="false" ht="15" hidden="false" customHeight="false" outlineLevel="0" collapsed="false">
      <c r="A19" s="0" t="str">
        <f aca="false">Clean!A19</f>
        <v>SHP0018</v>
      </c>
      <c r="B19" s="0" t="str">
        <f aca="false">Clean!AA19</f>
        <v>Delhivery</v>
      </c>
      <c r="C19" s="28" t="n">
        <f aca="false">Clean!J19</f>
        <v>11.18</v>
      </c>
      <c r="D19" s="29" t="n">
        <f aca="false">Clean!AF19</f>
        <v>1177.56</v>
      </c>
      <c r="E19" s="29" t="n">
        <f aca="false">Clean!AE19</f>
        <v>3363.57</v>
      </c>
      <c r="F19" s="22" t="n">
        <f aca="false">AVERAGEIFS(Clean!$V$2:$V$1001,Clean!$AA$2:$AA$1001,B19)</f>
        <v>0.72538860103627</v>
      </c>
      <c r="G19" s="29" t="n">
        <f aca="false">F19*C19*D19</f>
        <v>9549.82855958549</v>
      </c>
      <c r="H19" s="29" t="n">
        <f aca="false">G19*Model!$B$4</f>
        <v>9549.82855958549</v>
      </c>
      <c r="I19" s="0" t="str">
        <f aca="false">IF(E19&lt;Model!$B$5*H19,"Expedite","Standard")</f>
        <v>Expedite</v>
      </c>
      <c r="J19" s="29" t="n">
        <f aca="false">H19</f>
        <v>9549.82855958549</v>
      </c>
      <c r="K19" s="29" t="n">
        <f aca="false">E19+(1-Model!$B$5)*H19</f>
        <v>3363.57</v>
      </c>
      <c r="L19" s="29" t="n">
        <f aca="false">IF(I19="Expedite",K19,J19)</f>
        <v>3363.57</v>
      </c>
      <c r="M19" s="29" t="n">
        <f aca="false">J19-L19</f>
        <v>6186.25855958549</v>
      </c>
      <c r="N19" s="29" t="n">
        <f aca="false">IFERROR(E19/(F19*C19*Model!$B$5),"")</f>
        <v>414.751475849732</v>
      </c>
    </row>
    <row r="20" customFormat="false" ht="15" hidden="false" customHeight="false" outlineLevel="0" collapsed="false">
      <c r="A20" s="0" t="str">
        <f aca="false">Clean!A20</f>
        <v>SHP0019</v>
      </c>
      <c r="B20" s="0" t="str">
        <f aca="false">Clean!AA20</f>
        <v>VRL Cargo</v>
      </c>
      <c r="C20" s="28" t="n">
        <f aca="false">Clean!J20</f>
        <v>1.32</v>
      </c>
      <c r="D20" s="29" t="n">
        <f aca="false">Clean!AF20</f>
        <v>613.47</v>
      </c>
      <c r="E20" s="29" t="n">
        <f aca="false">Clean!AE20</f>
        <v>2364.27</v>
      </c>
      <c r="F20" s="22" t="n">
        <f aca="false">AVERAGEIFS(Clean!$V$2:$V$1001,Clean!$AA$2:$AA$1001,B20)</f>
        <v>0.72020725388601</v>
      </c>
      <c r="G20" s="29" t="n">
        <f aca="false">F20*C20*D20</f>
        <v>583.209718134715</v>
      </c>
      <c r="H20" s="29" t="n">
        <f aca="false">G20*Model!$B$4</f>
        <v>583.209718134715</v>
      </c>
      <c r="I20" s="0" t="str">
        <f aca="false">IF(E20&lt;Model!$B$5*H20,"Expedite","Standard")</f>
        <v>Standard</v>
      </c>
      <c r="J20" s="29" t="n">
        <f aca="false">H20</f>
        <v>583.209718134715</v>
      </c>
      <c r="K20" s="29" t="n">
        <f aca="false">E20+(1-Model!$B$5)*H20</f>
        <v>2364.27</v>
      </c>
      <c r="L20" s="29" t="n">
        <f aca="false">IF(I20="Expedite",K20,J20)</f>
        <v>583.209718134715</v>
      </c>
      <c r="M20" s="29" t="n">
        <f aca="false">J20-L20</f>
        <v>0</v>
      </c>
      <c r="N20" s="29" t="n">
        <f aca="false">IFERROR(E20/(F20*C20*Model!$B$5),"")</f>
        <v>2486.94195552649</v>
      </c>
    </row>
    <row r="21" customFormat="false" ht="15" hidden="false" customHeight="false" outlineLevel="0" collapsed="false">
      <c r="A21" s="0" t="str">
        <f aca="false">Clean!A21</f>
        <v>SHP0020</v>
      </c>
      <c r="B21" s="0" t="str">
        <f aca="false">Clean!AA21</f>
        <v>TCI Express</v>
      </c>
      <c r="C21" s="28" t="n">
        <f aca="false">Clean!J21</f>
        <v>18.57</v>
      </c>
      <c r="D21" s="29" t="n">
        <f aca="false">Clean!AF21</f>
        <v>1496.25</v>
      </c>
      <c r="E21" s="29" t="n">
        <f aca="false">Clean!AE21</f>
        <v>2043.32</v>
      </c>
      <c r="F21" s="22" t="n">
        <f aca="false">AVERAGEIFS(Clean!$V$2:$V$1001,Clean!$AA$2:$AA$1001,B21)</f>
        <v>0.752336448598131</v>
      </c>
      <c r="G21" s="29" t="n">
        <f aca="false">F21*C21*D21</f>
        <v>20903.9409462617</v>
      </c>
      <c r="H21" s="29" t="n">
        <f aca="false">G21*Model!$B$4</f>
        <v>20903.9409462617</v>
      </c>
      <c r="I21" s="0" t="str">
        <f aca="false">IF(E21&lt;Model!$B$5*H21,"Expedite","Standard")</f>
        <v>Expedite</v>
      </c>
      <c r="J21" s="29" t="n">
        <f aca="false">H21</f>
        <v>20903.9409462617</v>
      </c>
      <c r="K21" s="29" t="n">
        <f aca="false">E21+(1-Model!$B$5)*H21</f>
        <v>2043.32</v>
      </c>
      <c r="L21" s="29" t="n">
        <f aca="false">IF(I21="Expedite",K21,J21)</f>
        <v>2043.32</v>
      </c>
      <c r="M21" s="29" t="n">
        <f aca="false">J21-L21</f>
        <v>18860.6209462617</v>
      </c>
      <c r="N21" s="29" t="n">
        <f aca="false">IFERROR(E21/(F21*C21*Model!$B$5),"")</f>
        <v>146.255558119855</v>
      </c>
    </row>
    <row r="22" customFormat="false" ht="15" hidden="false" customHeight="false" outlineLevel="0" collapsed="false">
      <c r="A22" s="0" t="str">
        <f aca="false">Clean!A22</f>
        <v>SHP0021</v>
      </c>
      <c r="B22" s="0" t="str">
        <f aca="false">Clean!AA22</f>
        <v>GATI Logistics</v>
      </c>
      <c r="C22" s="28" t="n">
        <f aca="false">Clean!J22</f>
        <v>19.34</v>
      </c>
      <c r="D22" s="29" t="n">
        <f aca="false">Clean!AF22</f>
        <v>1350.93</v>
      </c>
      <c r="E22" s="29" t="n">
        <f aca="false">Clean!AE22</f>
        <v>4551.08</v>
      </c>
      <c r="F22" s="22" t="n">
        <f aca="false">AVERAGEIFS(Clean!$V$2:$V$1001,Clean!$AA$2:$AA$1001,B22)</f>
        <v>0.751243781094527</v>
      </c>
      <c r="G22" s="29" t="n">
        <f aca="false">F22*C22*D22</f>
        <v>19627.7359014925</v>
      </c>
      <c r="H22" s="29" t="n">
        <f aca="false">G22*Model!$B$4</f>
        <v>19627.7359014925</v>
      </c>
      <c r="I22" s="0" t="str">
        <f aca="false">IF(E22&lt;Model!$B$5*H22,"Expedite","Standard")</f>
        <v>Expedite</v>
      </c>
      <c r="J22" s="29" t="n">
        <f aca="false">H22</f>
        <v>19627.7359014925</v>
      </c>
      <c r="K22" s="29" t="n">
        <f aca="false">E22+(1-Model!$B$5)*H22</f>
        <v>4551.08</v>
      </c>
      <c r="L22" s="29" t="n">
        <f aca="false">IF(I22="Expedite",K22,J22)</f>
        <v>4551.08</v>
      </c>
      <c r="M22" s="29" t="n">
        <f aca="false">J22-L22</f>
        <v>15076.6559014925</v>
      </c>
      <c r="N22" s="29" t="n">
        <f aca="false">IFERROR(E22/(F22*C22*Model!$B$5),"")</f>
        <v>313.239924118425</v>
      </c>
    </row>
    <row r="23" customFormat="false" ht="15" hidden="false" customHeight="false" outlineLevel="0" collapsed="false">
      <c r="A23" s="0" t="str">
        <f aca="false">Clean!A23</f>
        <v>SHP0022</v>
      </c>
      <c r="B23" s="0" t="str">
        <f aca="false">Clean!AA23</f>
        <v>TCI Express</v>
      </c>
      <c r="C23" s="28" t="n">
        <f aca="false">Clean!J23</f>
        <v>18.78</v>
      </c>
      <c r="D23" s="29" t="n">
        <f aca="false">Clean!AF23</f>
        <v>805.36</v>
      </c>
      <c r="E23" s="29" t="n">
        <f aca="false">Clean!AE23</f>
        <v>2135.68</v>
      </c>
      <c r="F23" s="22" t="n">
        <f aca="false">AVERAGEIFS(Clean!$V$2:$V$1001,Clean!$AA$2:$AA$1001,B23)</f>
        <v>0.752336448598131</v>
      </c>
      <c r="G23" s="29" t="n">
        <f aca="false">F23*C23*D23</f>
        <v>11378.8335925234</v>
      </c>
      <c r="H23" s="29" t="n">
        <f aca="false">G23*Model!$B$4</f>
        <v>11378.8335925234</v>
      </c>
      <c r="I23" s="0" t="str">
        <f aca="false">IF(E23&lt;Model!$B$5*H23,"Expedite","Standard")</f>
        <v>Expedite</v>
      </c>
      <c r="J23" s="29" t="n">
        <f aca="false">H23</f>
        <v>11378.8335925234</v>
      </c>
      <c r="K23" s="29" t="n">
        <f aca="false">E23+(1-Model!$B$5)*H23</f>
        <v>2135.68</v>
      </c>
      <c r="L23" s="29" t="n">
        <f aca="false">IF(I23="Expedite",K23,J23)</f>
        <v>2135.68</v>
      </c>
      <c r="M23" s="29" t="n">
        <f aca="false">J23-L23</f>
        <v>9243.15359252337</v>
      </c>
      <c r="N23" s="29" t="n">
        <f aca="false">IFERROR(E23/(F23*C23*Model!$B$5),"")</f>
        <v>151.157078694792</v>
      </c>
    </row>
    <row r="24" customFormat="false" ht="15" hidden="false" customHeight="false" outlineLevel="0" collapsed="false">
      <c r="A24" s="0" t="str">
        <f aca="false">Clean!A24</f>
        <v>SHP0023</v>
      </c>
      <c r="B24" s="0" t="str">
        <f aca="false">Clean!AA24</f>
        <v>GATI Logistics</v>
      </c>
      <c r="C24" s="28" t="n">
        <f aca="false">Clean!J24</f>
        <v>10.23</v>
      </c>
      <c r="D24" s="29" t="n">
        <f aca="false">Clean!AF24</f>
        <v>1220.94</v>
      </c>
      <c r="E24" s="29" t="n">
        <f aca="false">Clean!AE24</f>
        <v>3976.68</v>
      </c>
      <c r="F24" s="22" t="n">
        <f aca="false">AVERAGEIFS(Clean!$V$2:$V$1001,Clean!$AA$2:$AA$1001,B24)</f>
        <v>0.751243781094527</v>
      </c>
      <c r="G24" s="29" t="n">
        <f aca="false">F24*C24*D24</f>
        <v>9383.19724477612</v>
      </c>
      <c r="H24" s="29" t="n">
        <f aca="false">G24*Model!$B$4</f>
        <v>9383.19724477612</v>
      </c>
      <c r="I24" s="0" t="str">
        <f aca="false">IF(E24&lt;Model!$B$5*H24,"Expedite","Standard")</f>
        <v>Expedite</v>
      </c>
      <c r="J24" s="29" t="n">
        <f aca="false">H24</f>
        <v>9383.19724477612</v>
      </c>
      <c r="K24" s="29" t="n">
        <f aca="false">E24+(1-Model!$B$5)*H24</f>
        <v>3976.68</v>
      </c>
      <c r="L24" s="29" t="n">
        <f aca="false">IF(I24="Expedite",K24,J24)</f>
        <v>3976.68</v>
      </c>
      <c r="M24" s="29" t="n">
        <f aca="false">J24-L24</f>
        <v>5406.51724477612</v>
      </c>
      <c r="N24" s="29" t="n">
        <f aca="false">IFERROR(E24/(F24*C24*Model!$B$5),"")</f>
        <v>517.444912703191</v>
      </c>
    </row>
    <row r="25" customFormat="false" ht="15" hidden="false" customHeight="false" outlineLevel="0" collapsed="false">
      <c r="A25" s="0" t="str">
        <f aca="false">Clean!A25</f>
        <v>SHP0024</v>
      </c>
      <c r="B25" s="0" t="str">
        <f aca="false">Clean!AA25</f>
        <v>VRL Cargo</v>
      </c>
      <c r="C25" s="28" t="n">
        <f aca="false">Clean!J25</f>
        <v>6.85</v>
      </c>
      <c r="D25" s="29" t="n">
        <f aca="false">Clean!AF25</f>
        <v>1002.64</v>
      </c>
      <c r="E25" s="29" t="n">
        <f aca="false">Clean!AE25</f>
        <v>4179.25</v>
      </c>
      <c r="F25" s="22" t="n">
        <f aca="false">AVERAGEIFS(Clean!$V$2:$V$1001,Clean!$AA$2:$AA$1001,B25)</f>
        <v>0.72020725388601</v>
      </c>
      <c r="G25" s="29" t="n">
        <f aca="false">F25*C25*D25</f>
        <v>4946.44391709845</v>
      </c>
      <c r="H25" s="29" t="n">
        <f aca="false">G25*Model!$B$4</f>
        <v>4946.44391709845</v>
      </c>
      <c r="I25" s="0" t="str">
        <f aca="false">IF(E25&lt;Model!$B$5*H25,"Expedite","Standard")</f>
        <v>Expedite</v>
      </c>
      <c r="J25" s="29" t="n">
        <f aca="false">H25</f>
        <v>4946.44391709845</v>
      </c>
      <c r="K25" s="29" t="n">
        <f aca="false">E25+(1-Model!$B$5)*H25</f>
        <v>4179.25</v>
      </c>
      <c r="L25" s="29" t="n">
        <f aca="false">IF(I25="Expedite",K25,J25)</f>
        <v>4179.25</v>
      </c>
      <c r="M25" s="29" t="n">
        <f aca="false">J25-L25</f>
        <v>767.193917098445</v>
      </c>
      <c r="N25" s="29" t="n">
        <f aca="false">IFERROR(E25/(F25*C25*Model!$B$5),"")</f>
        <v>847.130441632096</v>
      </c>
    </row>
    <row r="26" customFormat="false" ht="15" hidden="false" customHeight="false" outlineLevel="0" collapsed="false">
      <c r="A26" s="0" t="str">
        <f aca="false">Clean!A26</f>
        <v>SHP0025</v>
      </c>
      <c r="B26" s="0" t="str">
        <f aca="false">Clean!AA26</f>
        <v>BlueDart</v>
      </c>
      <c r="C26" s="28" t="n">
        <f aca="false">Clean!J26</f>
        <v>11.96</v>
      </c>
      <c r="D26" s="29" t="n">
        <f aca="false">Clean!AF26</f>
        <v>779.56</v>
      </c>
      <c r="E26" s="29" t="n">
        <f aca="false">Clean!AE26</f>
        <v>2879.78</v>
      </c>
      <c r="F26" s="22" t="n">
        <f aca="false">AVERAGEIFS(Clean!$V$2:$V$1001,Clean!$AA$2:$AA$1001,B26)</f>
        <v>0.773869346733668</v>
      </c>
      <c r="G26" s="29" t="n">
        <f aca="false">F26*C26*D26</f>
        <v>7215.19995175879</v>
      </c>
      <c r="H26" s="29" t="n">
        <f aca="false">G26*Model!$B$4</f>
        <v>7215.19995175879</v>
      </c>
      <c r="I26" s="0" t="str">
        <f aca="false">IF(E26&lt;Model!$B$5*H26,"Expedite","Standard")</f>
        <v>Expedite</v>
      </c>
      <c r="J26" s="29" t="n">
        <f aca="false">H26</f>
        <v>7215.19995175879</v>
      </c>
      <c r="K26" s="29" t="n">
        <f aca="false">E26+(1-Model!$B$5)*H26</f>
        <v>2879.78</v>
      </c>
      <c r="L26" s="29" t="n">
        <f aca="false">IF(I26="Expedite",K26,J26)</f>
        <v>2879.78</v>
      </c>
      <c r="M26" s="29" t="n">
        <f aca="false">J26-L26</f>
        <v>4335.41995175879</v>
      </c>
      <c r="N26" s="29" t="n">
        <f aca="false">IFERROR(E26/(F26*C26*Model!$B$5),"")</f>
        <v>311.143324067237</v>
      </c>
    </row>
    <row r="27" customFormat="false" ht="15" hidden="false" customHeight="false" outlineLevel="0" collapsed="false">
      <c r="A27" s="0" t="str">
        <f aca="false">Clean!A27</f>
        <v>SHP0026</v>
      </c>
      <c r="B27" s="0" t="str">
        <f aca="false">Clean!AA27</f>
        <v>GATI Logistics</v>
      </c>
      <c r="C27" s="28" t="n">
        <f aca="false">Clean!J27</f>
        <v>17.79</v>
      </c>
      <c r="D27" s="29" t="n">
        <f aca="false">Clean!AF27</f>
        <v>575.35</v>
      </c>
      <c r="E27" s="29" t="n">
        <f aca="false">Clean!AE27</f>
        <v>4921.33</v>
      </c>
      <c r="F27" s="22" t="n">
        <f aca="false">AVERAGEIFS(Clean!$V$2:$V$1001,Clean!$AA$2:$AA$1001,B27)</f>
        <v>0.751243781094527</v>
      </c>
      <c r="G27" s="29" t="n">
        <f aca="false">F27*C27*D27</f>
        <v>7689.33806716418</v>
      </c>
      <c r="H27" s="29" t="n">
        <f aca="false">G27*Model!$B$4</f>
        <v>7689.33806716418</v>
      </c>
      <c r="I27" s="0" t="str">
        <f aca="false">IF(E27&lt;Model!$B$5*H27,"Expedite","Standard")</f>
        <v>Expedite</v>
      </c>
      <c r="J27" s="29" t="n">
        <f aca="false">H27</f>
        <v>7689.33806716418</v>
      </c>
      <c r="K27" s="29" t="n">
        <f aca="false">E27+(1-Model!$B$5)*H27</f>
        <v>4921.33</v>
      </c>
      <c r="L27" s="29" t="n">
        <f aca="false">IF(I27="Expedite",K27,J27)</f>
        <v>4921.33</v>
      </c>
      <c r="M27" s="29" t="n">
        <f aca="false">J27-L27</f>
        <v>2768.00806716418</v>
      </c>
      <c r="N27" s="29" t="n">
        <f aca="false">IFERROR(E27/(F27*C27*Model!$B$5),"")</f>
        <v>368.235495795316</v>
      </c>
    </row>
    <row r="28" customFormat="false" ht="15" hidden="false" customHeight="false" outlineLevel="0" collapsed="false">
      <c r="A28" s="0" t="str">
        <f aca="false">Clean!A28</f>
        <v>SHP0027</v>
      </c>
      <c r="B28" s="0" t="str">
        <f aca="false">Clean!AA28</f>
        <v>VRL Cargo</v>
      </c>
      <c r="C28" s="28" t="n">
        <f aca="false">Clean!J28</f>
        <v>6.81</v>
      </c>
      <c r="D28" s="29" t="n">
        <f aca="false">Clean!AF28</f>
        <v>708.92</v>
      </c>
      <c r="E28" s="29" t="n">
        <f aca="false">Clean!AE28</f>
        <v>1281.66</v>
      </c>
      <c r="F28" s="22" t="n">
        <f aca="false">AVERAGEIFS(Clean!$V$2:$V$1001,Clean!$AA$2:$AA$1001,B28)</f>
        <v>0.72020725388601</v>
      </c>
      <c r="G28" s="29" t="n">
        <f aca="false">F28*C28*D28</f>
        <v>3476.97711295337</v>
      </c>
      <c r="H28" s="29" t="n">
        <f aca="false">G28*Model!$B$4</f>
        <v>3476.97711295337</v>
      </c>
      <c r="I28" s="0" t="str">
        <f aca="false">IF(E28&lt;Model!$B$5*H28,"Expedite","Standard")</f>
        <v>Expedite</v>
      </c>
      <c r="J28" s="29" t="n">
        <f aca="false">H28</f>
        <v>3476.97711295337</v>
      </c>
      <c r="K28" s="29" t="n">
        <f aca="false">E28+(1-Model!$B$5)*H28</f>
        <v>1281.66</v>
      </c>
      <c r="L28" s="29" t="n">
        <f aca="false">IF(I28="Expedite",K28,J28)</f>
        <v>1281.66</v>
      </c>
      <c r="M28" s="29" t="n">
        <f aca="false">J28-L28</f>
        <v>2195.31711295337</v>
      </c>
      <c r="N28" s="29" t="n">
        <f aca="false">IFERROR(E28/(F28*C28*Model!$B$5),"")</f>
        <v>261.317339080278</v>
      </c>
    </row>
    <row r="29" customFormat="false" ht="15" hidden="false" customHeight="false" outlineLevel="0" collapsed="false">
      <c r="A29" s="0" t="str">
        <f aca="false">Clean!A29</f>
        <v>SHP0028</v>
      </c>
      <c r="B29" s="0" t="str">
        <f aca="false">Clean!AA29</f>
        <v>TCI Express</v>
      </c>
      <c r="C29" s="28" t="n">
        <f aca="false">Clean!J29</f>
        <v>13.75</v>
      </c>
      <c r="D29" s="29" t="n">
        <f aca="false">Clean!AF29</f>
        <v>1208.91</v>
      </c>
      <c r="E29" s="29" t="n">
        <f aca="false">Clean!AE29</f>
        <v>1546.49</v>
      </c>
      <c r="F29" s="22" t="n">
        <f aca="false">AVERAGEIFS(Clean!$V$2:$V$1001,Clean!$AA$2:$AA$1001,B29)</f>
        <v>0.752336448598131</v>
      </c>
      <c r="G29" s="29" t="n">
        <f aca="false">F29*C29*D29</f>
        <v>12505.722021028</v>
      </c>
      <c r="H29" s="29" t="n">
        <f aca="false">G29*Model!$B$4</f>
        <v>12505.722021028</v>
      </c>
      <c r="I29" s="0" t="str">
        <f aca="false">IF(E29&lt;Model!$B$5*H29,"Expedite","Standard")</f>
        <v>Expedite</v>
      </c>
      <c r="J29" s="29" t="n">
        <f aca="false">H29</f>
        <v>12505.722021028</v>
      </c>
      <c r="K29" s="29" t="n">
        <f aca="false">E29+(1-Model!$B$5)*H29</f>
        <v>1546.49</v>
      </c>
      <c r="L29" s="29" t="n">
        <f aca="false">IF(I29="Expedite",K29,J29)</f>
        <v>1546.49</v>
      </c>
      <c r="M29" s="29" t="n">
        <f aca="false">J29-L29</f>
        <v>10959.232021028</v>
      </c>
      <c r="N29" s="29" t="n">
        <f aca="false">IFERROR(E29/(F29*C29*Model!$B$5),"")</f>
        <v>149.496944099379</v>
      </c>
    </row>
    <row r="30" customFormat="false" ht="15" hidden="false" customHeight="false" outlineLevel="0" collapsed="false">
      <c r="A30" s="0" t="str">
        <f aca="false">Clean!A30</f>
        <v>SHP0029</v>
      </c>
      <c r="B30" s="0" t="str">
        <f aca="false">Clean!AA30</f>
        <v>BlueDart</v>
      </c>
      <c r="C30" s="28" t="n">
        <f aca="false">Clean!J30</f>
        <v>11.5</v>
      </c>
      <c r="D30" s="29" t="n">
        <f aca="false">Clean!AF30</f>
        <v>550.77</v>
      </c>
      <c r="E30" s="29" t="n">
        <f aca="false">Clean!AE30</f>
        <v>2587.14</v>
      </c>
      <c r="F30" s="22" t="n">
        <f aca="false">AVERAGEIFS(Clean!$V$2:$V$1001,Clean!$AA$2:$AA$1001,B30)</f>
        <v>0.773869346733668</v>
      </c>
      <c r="G30" s="29" t="n">
        <f aca="false">F30*C30*D30</f>
        <v>4901.57623115578</v>
      </c>
      <c r="H30" s="29" t="n">
        <f aca="false">G30*Model!$B$4</f>
        <v>4901.57623115578</v>
      </c>
      <c r="I30" s="0" t="str">
        <f aca="false">IF(E30&lt;Model!$B$5*H30,"Expedite","Standard")</f>
        <v>Expedite</v>
      </c>
      <c r="J30" s="29" t="n">
        <f aca="false">H30</f>
        <v>4901.57623115578</v>
      </c>
      <c r="K30" s="29" t="n">
        <f aca="false">E30+(1-Model!$B$5)*H30</f>
        <v>2587.14</v>
      </c>
      <c r="L30" s="29" t="n">
        <f aca="false">IF(I30="Expedite",K30,J30)</f>
        <v>2587.14</v>
      </c>
      <c r="M30" s="29" t="n">
        <f aca="false">J30-L30</f>
        <v>2314.43623115578</v>
      </c>
      <c r="N30" s="29" t="n">
        <f aca="false">IFERROR(E30/(F30*C30*Model!$B$5),"")</f>
        <v>290.706301524562</v>
      </c>
    </row>
    <row r="31" customFormat="false" ht="15" hidden="false" customHeight="false" outlineLevel="0" collapsed="false">
      <c r="A31" s="0" t="str">
        <f aca="false">Clean!A31</f>
        <v>SHP0030</v>
      </c>
      <c r="B31" s="0" t="str">
        <f aca="false">Clean!AA31</f>
        <v>GATI Logistics</v>
      </c>
      <c r="C31" s="28" t="n">
        <f aca="false">Clean!J31</f>
        <v>17.85</v>
      </c>
      <c r="D31" s="29" t="n">
        <f aca="false">Clean!AF31</f>
        <v>1360.4</v>
      </c>
      <c r="E31" s="29" t="n">
        <f aca="false">Clean!AE31</f>
        <v>4355.73</v>
      </c>
      <c r="F31" s="22" t="n">
        <f aca="false">AVERAGEIFS(Clean!$V$2:$V$1001,Clean!$AA$2:$AA$1001,B31)</f>
        <v>0.751243781094527</v>
      </c>
      <c r="G31" s="29" t="n">
        <f aca="false">F31*C31*D31</f>
        <v>18242.5579104478</v>
      </c>
      <c r="H31" s="29" t="n">
        <f aca="false">G31*Model!$B$4</f>
        <v>18242.5579104478</v>
      </c>
      <c r="I31" s="0" t="str">
        <f aca="false">IF(E31&lt;Model!$B$5*H31,"Expedite","Standard")</f>
        <v>Expedite</v>
      </c>
      <c r="J31" s="29" t="n">
        <f aca="false">H31</f>
        <v>18242.5579104478</v>
      </c>
      <c r="K31" s="29" t="n">
        <f aca="false">E31+(1-Model!$B$5)*H31</f>
        <v>4355.73</v>
      </c>
      <c r="L31" s="29" t="n">
        <f aca="false">IF(I31="Expedite",K31,J31)</f>
        <v>4355.73</v>
      </c>
      <c r="M31" s="29" t="n">
        <f aca="false">J31-L31</f>
        <v>13886.8279104478</v>
      </c>
      <c r="N31" s="29" t="n">
        <f aca="false">IFERROR(E31/(F31*C31*Model!$B$5),"")</f>
        <v>324.819311035673</v>
      </c>
    </row>
    <row r="32" customFormat="false" ht="15" hidden="false" customHeight="false" outlineLevel="0" collapsed="false">
      <c r="A32" s="0" t="str">
        <f aca="false">Clean!A32</f>
        <v>SHP0031</v>
      </c>
      <c r="B32" s="0" t="str">
        <f aca="false">Clean!AA32</f>
        <v>Delhivery</v>
      </c>
      <c r="C32" s="28" t="n">
        <f aca="false">Clean!J32</f>
        <v>5.75</v>
      </c>
      <c r="D32" s="29" t="n">
        <f aca="false">Clean!AF32</f>
        <v>1342.02</v>
      </c>
      <c r="E32" s="29" t="n">
        <f aca="false">Clean!AE32</f>
        <v>2829.06</v>
      </c>
      <c r="F32" s="22" t="n">
        <f aca="false">AVERAGEIFS(Clean!$V$2:$V$1001,Clean!$AA$2:$AA$1001,B32)</f>
        <v>0.72538860103627</v>
      </c>
      <c r="G32" s="29" t="n">
        <f aca="false">F32*C32*D32</f>
        <v>5597.54455958549</v>
      </c>
      <c r="H32" s="29" t="n">
        <f aca="false">G32*Model!$B$4</f>
        <v>5597.54455958549</v>
      </c>
      <c r="I32" s="0" t="str">
        <f aca="false">IF(E32&lt;Model!$B$5*H32,"Expedite","Standard")</f>
        <v>Expedite</v>
      </c>
      <c r="J32" s="29" t="n">
        <f aca="false">H32</f>
        <v>5597.54455958549</v>
      </c>
      <c r="K32" s="29" t="n">
        <f aca="false">E32+(1-Model!$B$5)*H32</f>
        <v>2829.06</v>
      </c>
      <c r="L32" s="29" t="n">
        <f aca="false">IF(I32="Expedite",K32,J32)</f>
        <v>2829.06</v>
      </c>
      <c r="M32" s="29" t="n">
        <f aca="false">J32-L32</f>
        <v>2768.48455958549</v>
      </c>
      <c r="N32" s="29" t="n">
        <f aca="false">IFERROR(E32/(F32*C32*Model!$B$5),"")</f>
        <v>678.271527950311</v>
      </c>
    </row>
    <row r="33" customFormat="false" ht="15" hidden="false" customHeight="false" outlineLevel="0" collapsed="false">
      <c r="A33" s="0" t="str">
        <f aca="false">Clean!A33</f>
        <v>SHP0032</v>
      </c>
      <c r="B33" s="0" t="str">
        <f aca="false">Clean!AA33</f>
        <v>GATI Logistics</v>
      </c>
      <c r="C33" s="28" t="n">
        <f aca="false">Clean!J33</f>
        <v>4.69</v>
      </c>
      <c r="D33" s="29" t="n">
        <f aca="false">Clean!AF33</f>
        <v>898.82</v>
      </c>
      <c r="E33" s="29" t="n">
        <f aca="false">Clean!AE33</f>
        <v>1164.27</v>
      </c>
      <c r="F33" s="22" t="n">
        <f aca="false">AVERAGEIFS(Clean!$V$2:$V$1001,Clean!$AA$2:$AA$1001,B33)</f>
        <v>0.751243781094527</v>
      </c>
      <c r="G33" s="29" t="n">
        <f aca="false">F33*C33*D33</f>
        <v>3166.84246666667</v>
      </c>
      <c r="H33" s="29" t="n">
        <f aca="false">G33*Model!$B$4</f>
        <v>3166.84246666667</v>
      </c>
      <c r="I33" s="0" t="str">
        <f aca="false">IF(E33&lt;Model!$B$5*H33,"Expedite","Standard")</f>
        <v>Expedite</v>
      </c>
      <c r="J33" s="29" t="n">
        <f aca="false">H33</f>
        <v>3166.84246666667</v>
      </c>
      <c r="K33" s="29" t="n">
        <f aca="false">E33+(1-Model!$B$5)*H33</f>
        <v>1164.27</v>
      </c>
      <c r="L33" s="29" t="n">
        <f aca="false">IF(I33="Expedite",K33,J33)</f>
        <v>1164.27</v>
      </c>
      <c r="M33" s="29" t="n">
        <f aca="false">J33-L33</f>
        <v>2002.57246666667</v>
      </c>
      <c r="N33" s="29" t="n">
        <f aca="false">IFERROR(E33/(F33*C33*Model!$B$5),"")</f>
        <v>330.445600756859</v>
      </c>
    </row>
    <row r="34" customFormat="false" ht="15" hidden="false" customHeight="false" outlineLevel="0" collapsed="false">
      <c r="A34" s="0" t="str">
        <f aca="false">Clean!A34</f>
        <v>SHP0033</v>
      </c>
      <c r="B34" s="0" t="str">
        <f aca="false">Clean!AA34</f>
        <v>Delhivery</v>
      </c>
      <c r="C34" s="28" t="n">
        <f aca="false">Clean!J34</f>
        <v>9.24</v>
      </c>
      <c r="D34" s="29" t="n">
        <f aca="false">Clean!AF34</f>
        <v>593.87</v>
      </c>
      <c r="E34" s="29" t="n">
        <f aca="false">Clean!AE34</f>
        <v>1959.15</v>
      </c>
      <c r="F34" s="22" t="n">
        <f aca="false">AVERAGEIFS(Clean!$V$2:$V$1001,Clean!$AA$2:$AA$1001,B34)</f>
        <v>0.72538860103627</v>
      </c>
      <c r="G34" s="29" t="n">
        <f aca="false">F34*C34*D34</f>
        <v>3980.46752331606</v>
      </c>
      <c r="H34" s="29" t="n">
        <f aca="false">G34*Model!$B$4</f>
        <v>3980.46752331606</v>
      </c>
      <c r="I34" s="0" t="str">
        <f aca="false">IF(E34&lt;Model!$B$5*H34,"Expedite","Standard")</f>
        <v>Expedite</v>
      </c>
      <c r="J34" s="29" t="n">
        <f aca="false">H34</f>
        <v>3980.46752331606</v>
      </c>
      <c r="K34" s="29" t="n">
        <f aca="false">E34+(1-Model!$B$5)*H34</f>
        <v>1959.15</v>
      </c>
      <c r="L34" s="29" t="n">
        <f aca="false">IF(I34="Expedite",K34,J34)</f>
        <v>1959.15</v>
      </c>
      <c r="M34" s="29" t="n">
        <f aca="false">J34-L34</f>
        <v>2021.31752331606</v>
      </c>
      <c r="N34" s="29" t="n">
        <f aca="false">IFERROR(E34/(F34*C34*Model!$B$5),"")</f>
        <v>292.297425788497</v>
      </c>
    </row>
    <row r="35" customFormat="false" ht="15" hidden="false" customHeight="false" outlineLevel="0" collapsed="false">
      <c r="A35" s="0" t="str">
        <f aca="false">Clean!A35</f>
        <v>SHP0034</v>
      </c>
      <c r="B35" s="0" t="str">
        <f aca="false">Clean!AA35</f>
        <v>VRL Cargo</v>
      </c>
      <c r="C35" s="28" t="n">
        <f aca="false">Clean!J35</f>
        <v>4.47</v>
      </c>
      <c r="D35" s="29" t="n">
        <f aca="false">Clean!AF35</f>
        <v>547.72</v>
      </c>
      <c r="E35" s="29" t="n">
        <f aca="false">Clean!AE35</f>
        <v>3920.16</v>
      </c>
      <c r="F35" s="22" t="n">
        <f aca="false">AVERAGEIFS(Clean!$V$2:$V$1001,Clean!$AA$2:$AA$1001,B35)</f>
        <v>0.72020725388601</v>
      </c>
      <c r="G35" s="29" t="n">
        <f aca="false">F35*C35*D35</f>
        <v>1763.28946943005</v>
      </c>
      <c r="H35" s="29" t="n">
        <f aca="false">G35*Model!$B$4</f>
        <v>1763.28946943005</v>
      </c>
      <c r="I35" s="0" t="str">
        <f aca="false">IF(E35&lt;Model!$B$5*H35,"Expedite","Standard")</f>
        <v>Standard</v>
      </c>
      <c r="J35" s="29" t="n">
        <f aca="false">H35</f>
        <v>1763.28946943005</v>
      </c>
      <c r="K35" s="29" t="n">
        <f aca="false">E35+(1-Model!$B$5)*H35</f>
        <v>3920.16</v>
      </c>
      <c r="L35" s="29" t="n">
        <f aca="false">IF(I35="Expedite",K35,J35)</f>
        <v>1763.28946943005</v>
      </c>
      <c r="M35" s="29" t="n">
        <f aca="false">J35-L35</f>
        <v>0</v>
      </c>
      <c r="N35" s="29" t="n">
        <f aca="false">IFERROR(E35/(F35*C35*Model!$B$5),"")</f>
        <v>1217.6957172517</v>
      </c>
    </row>
    <row r="36" customFormat="false" ht="15" hidden="false" customHeight="false" outlineLevel="0" collapsed="false">
      <c r="A36" s="0" t="str">
        <f aca="false">Clean!A36</f>
        <v>SHP0035</v>
      </c>
      <c r="B36" s="0" t="str">
        <f aca="false">Clean!AA36</f>
        <v>GATI Logistics</v>
      </c>
      <c r="C36" s="28" t="n">
        <f aca="false">Clean!J36</f>
        <v>11.75</v>
      </c>
      <c r="D36" s="29" t="n">
        <f aca="false">Clean!AF36</f>
        <v>964.67</v>
      </c>
      <c r="E36" s="29" t="n">
        <f aca="false">Clean!AE36</f>
        <v>2385.22</v>
      </c>
      <c r="F36" s="22" t="n">
        <f aca="false">AVERAGEIFS(Clean!$V$2:$V$1001,Clean!$AA$2:$AA$1001,B36)</f>
        <v>0.751243781094527</v>
      </c>
      <c r="G36" s="29" t="n">
        <f aca="false">F36*C36*D36</f>
        <v>8515.25247512438</v>
      </c>
      <c r="H36" s="29" t="n">
        <f aca="false">G36*Model!$B$4</f>
        <v>8515.25247512438</v>
      </c>
      <c r="I36" s="0" t="str">
        <f aca="false">IF(E36&lt;Model!$B$5*H36,"Expedite","Standard")</f>
        <v>Expedite</v>
      </c>
      <c r="J36" s="29" t="n">
        <f aca="false">H36</f>
        <v>8515.25247512438</v>
      </c>
      <c r="K36" s="29" t="n">
        <f aca="false">E36+(1-Model!$B$5)*H36</f>
        <v>2385.22</v>
      </c>
      <c r="L36" s="29" t="n">
        <f aca="false">IF(I36="Expedite",K36,J36)</f>
        <v>2385.22</v>
      </c>
      <c r="M36" s="29" t="n">
        <f aca="false">J36-L36</f>
        <v>6130.03247512438</v>
      </c>
      <c r="N36" s="29" t="n">
        <f aca="false">IFERROR(E36/(F36*C36*Model!$B$5),"")</f>
        <v>270.215144427223</v>
      </c>
    </row>
    <row r="37" customFormat="false" ht="15" hidden="false" customHeight="false" outlineLevel="0" collapsed="false">
      <c r="A37" s="0" t="str">
        <f aca="false">Clean!A37</f>
        <v>SHP0036</v>
      </c>
      <c r="B37" s="0" t="str">
        <f aca="false">Clean!AA37</f>
        <v>GATI Logistics</v>
      </c>
      <c r="C37" s="28" t="n">
        <f aca="false">Clean!J37</f>
        <v>13.35</v>
      </c>
      <c r="D37" s="29" t="n">
        <f aca="false">Clean!AF37</f>
        <v>1001.04</v>
      </c>
      <c r="E37" s="29" t="n">
        <f aca="false">Clean!AE37</f>
        <v>4733.75</v>
      </c>
      <c r="F37" s="22" t="n">
        <f aca="false">AVERAGEIFS(Clean!$V$2:$V$1001,Clean!$AA$2:$AA$1001,B37)</f>
        <v>0.751243781094527</v>
      </c>
      <c r="G37" s="29" t="n">
        <f aca="false">F37*C37*D37</f>
        <v>10039.5347462687</v>
      </c>
      <c r="H37" s="29" t="n">
        <f aca="false">G37*Model!$B$4</f>
        <v>10039.5347462687</v>
      </c>
      <c r="I37" s="0" t="str">
        <f aca="false">IF(E37&lt;Model!$B$5*H37,"Expedite","Standard")</f>
        <v>Expedite</v>
      </c>
      <c r="J37" s="29" t="n">
        <f aca="false">H37</f>
        <v>10039.5347462687</v>
      </c>
      <c r="K37" s="29" t="n">
        <f aca="false">E37+(1-Model!$B$5)*H37</f>
        <v>4733.75</v>
      </c>
      <c r="L37" s="29" t="n">
        <f aca="false">IF(I37="Expedite",K37,J37)</f>
        <v>4733.75</v>
      </c>
      <c r="M37" s="29" t="n">
        <f aca="false">J37-L37</f>
        <v>5305.78474626866</v>
      </c>
      <c r="N37" s="29" t="n">
        <f aca="false">IFERROR(E37/(F37*C37*Model!$B$5),"")</f>
        <v>472.001264975073</v>
      </c>
    </row>
    <row r="38" customFormat="false" ht="15" hidden="false" customHeight="false" outlineLevel="0" collapsed="false">
      <c r="A38" s="0" t="str">
        <f aca="false">Clean!A38</f>
        <v>SHP0037</v>
      </c>
      <c r="B38" s="0" t="str">
        <f aca="false">Clean!AA38</f>
        <v>VRL Cargo</v>
      </c>
      <c r="C38" s="28" t="n">
        <f aca="false">Clean!J38</f>
        <v>11.25</v>
      </c>
      <c r="D38" s="29" t="n">
        <f aca="false">Clean!AF38</f>
        <v>628.5</v>
      </c>
      <c r="E38" s="29" t="n">
        <f aca="false">Clean!AE38</f>
        <v>3293.47</v>
      </c>
      <c r="F38" s="22" t="n">
        <f aca="false">AVERAGEIFS(Clean!$V$2:$V$1001,Clean!$AA$2:$AA$1001,B38)</f>
        <v>0.72020725388601</v>
      </c>
      <c r="G38" s="29" t="n">
        <f aca="false">F38*C38*D38</f>
        <v>5092.31541450777</v>
      </c>
      <c r="H38" s="29" t="n">
        <f aca="false">G38*Model!$B$4</f>
        <v>5092.31541450777</v>
      </c>
      <c r="I38" s="0" t="str">
        <f aca="false">IF(E38&lt;Model!$B$5*H38,"Expedite","Standard")</f>
        <v>Expedite</v>
      </c>
      <c r="J38" s="29" t="n">
        <f aca="false">H38</f>
        <v>5092.31541450777</v>
      </c>
      <c r="K38" s="29" t="n">
        <f aca="false">E38+(1-Model!$B$5)*H38</f>
        <v>3293.47</v>
      </c>
      <c r="L38" s="29" t="n">
        <f aca="false">IF(I38="Expedite",K38,J38)</f>
        <v>3293.47</v>
      </c>
      <c r="M38" s="29" t="n">
        <f aca="false">J38-L38</f>
        <v>1798.84541450777</v>
      </c>
      <c r="N38" s="29" t="n">
        <f aca="false">IFERROR(E38/(F38*C38*Model!$B$5),"")</f>
        <v>406.484227018385</v>
      </c>
    </row>
    <row r="39" customFormat="false" ht="15" hidden="false" customHeight="false" outlineLevel="0" collapsed="false">
      <c r="A39" s="0" t="str">
        <f aca="false">Clean!A39</f>
        <v>SHP0038</v>
      </c>
      <c r="B39" s="0" t="str">
        <f aca="false">Clean!AA39</f>
        <v>VRL Cargo</v>
      </c>
      <c r="C39" s="28" t="n">
        <f aca="false">Clean!J39</f>
        <v>16.41</v>
      </c>
      <c r="D39" s="29" t="n">
        <f aca="false">Clean!AF39</f>
        <v>714.59</v>
      </c>
      <c r="E39" s="29" t="n">
        <f aca="false">Clean!AE39</f>
        <v>2095.84</v>
      </c>
      <c r="F39" s="22" t="n">
        <f aca="false">AVERAGEIFS(Clean!$V$2:$V$1001,Clean!$AA$2:$AA$1001,B39)</f>
        <v>0.72020725388601</v>
      </c>
      <c r="G39" s="29" t="n">
        <f aca="false">F39*C39*D39</f>
        <v>8445.45411450777</v>
      </c>
      <c r="H39" s="29" t="n">
        <f aca="false">G39*Model!$B$4</f>
        <v>8445.45411450777</v>
      </c>
      <c r="I39" s="0" t="str">
        <f aca="false">IF(E39&lt;Model!$B$5*H39,"Expedite","Standard")</f>
        <v>Expedite</v>
      </c>
      <c r="J39" s="29" t="n">
        <f aca="false">H39</f>
        <v>8445.45411450777</v>
      </c>
      <c r="K39" s="29" t="n">
        <f aca="false">E39+(1-Model!$B$5)*H39</f>
        <v>2095.84</v>
      </c>
      <c r="L39" s="29" t="n">
        <f aca="false">IF(I39="Expedite",K39,J39)</f>
        <v>2095.84</v>
      </c>
      <c r="M39" s="29" t="n">
        <f aca="false">J39-L39</f>
        <v>6349.61411450777</v>
      </c>
      <c r="N39" s="29" t="n">
        <f aca="false">IFERROR(E39/(F39*C39*Model!$B$5),"")</f>
        <v>177.334017246897</v>
      </c>
    </row>
    <row r="40" customFormat="false" ht="15" hidden="false" customHeight="false" outlineLevel="0" collapsed="false">
      <c r="A40" s="0" t="str">
        <f aca="false">Clean!A40</f>
        <v>SHP0039</v>
      </c>
      <c r="B40" s="0" t="str">
        <f aca="false">Clean!AA40</f>
        <v>Delhivery</v>
      </c>
      <c r="C40" s="28" t="n">
        <f aca="false">Clean!J40</f>
        <v>8.17</v>
      </c>
      <c r="D40" s="29" t="n">
        <f aca="false">Clean!AF40</f>
        <v>618.16</v>
      </c>
      <c r="E40" s="29" t="n">
        <f aca="false">Clean!AE40</f>
        <v>2127.42</v>
      </c>
      <c r="F40" s="22" t="n">
        <f aca="false">AVERAGEIFS(Clean!$V$2:$V$1001,Clean!$AA$2:$AA$1001,B40)</f>
        <v>0.72538860103627</v>
      </c>
      <c r="G40" s="29" t="n">
        <f aca="false">F40*C40*D40</f>
        <v>3663.47879792746</v>
      </c>
      <c r="H40" s="29" t="n">
        <f aca="false">G40*Model!$B$4</f>
        <v>3663.47879792746</v>
      </c>
      <c r="I40" s="0" t="str">
        <f aca="false">IF(E40&lt;Model!$B$5*H40,"Expedite","Standard")</f>
        <v>Expedite</v>
      </c>
      <c r="J40" s="29" t="n">
        <f aca="false">H40</f>
        <v>3663.47879792746</v>
      </c>
      <c r="K40" s="29" t="n">
        <f aca="false">E40+(1-Model!$B$5)*H40</f>
        <v>2127.42</v>
      </c>
      <c r="L40" s="29" t="n">
        <f aca="false">IF(I40="Expedite",K40,J40)</f>
        <v>2127.42</v>
      </c>
      <c r="M40" s="29" t="n">
        <f aca="false">J40-L40</f>
        <v>1536.05879792746</v>
      </c>
      <c r="N40" s="29" t="n">
        <f aca="false">IFERROR(E40/(F40*C40*Model!$B$5),"")</f>
        <v>358.971900681937</v>
      </c>
    </row>
    <row r="41" customFormat="false" ht="15" hidden="false" customHeight="false" outlineLevel="0" collapsed="false">
      <c r="A41" s="0" t="str">
        <f aca="false">Clean!A41</f>
        <v>SHP0040</v>
      </c>
      <c r="B41" s="0" t="str">
        <f aca="false">Clean!AA41</f>
        <v>GATI Logistics</v>
      </c>
      <c r="C41" s="28" t="n">
        <f aca="false">Clean!J41</f>
        <v>14.24</v>
      </c>
      <c r="D41" s="29" t="n">
        <f aca="false">Clean!AF41</f>
        <v>1250.61</v>
      </c>
      <c r="E41" s="29" t="n">
        <f aca="false">Clean!AE41</f>
        <v>1709.76</v>
      </c>
      <c r="F41" s="22" t="n">
        <f aca="false">AVERAGEIFS(Clean!$V$2:$V$1001,Clean!$AA$2:$AA$1001,B41)</f>
        <v>0.751243781094527</v>
      </c>
      <c r="G41" s="29" t="n">
        <f aca="false">F41*C41*D41</f>
        <v>13378.6649074627</v>
      </c>
      <c r="H41" s="29" t="n">
        <f aca="false">G41*Model!$B$4</f>
        <v>13378.6649074627</v>
      </c>
      <c r="I41" s="0" t="str">
        <f aca="false">IF(E41&lt;Model!$B$5*H41,"Expedite","Standard")</f>
        <v>Expedite</v>
      </c>
      <c r="J41" s="29" t="n">
        <f aca="false">H41</f>
        <v>13378.6649074627</v>
      </c>
      <c r="K41" s="29" t="n">
        <f aca="false">E41+(1-Model!$B$5)*H41</f>
        <v>1709.76</v>
      </c>
      <c r="L41" s="29" t="n">
        <f aca="false">IF(I41="Expedite",K41,J41)</f>
        <v>1709.76</v>
      </c>
      <c r="M41" s="29" t="n">
        <f aca="false">J41-L41</f>
        <v>11668.9049074627</v>
      </c>
      <c r="N41" s="29" t="n">
        <f aca="false">IFERROR(E41/(F41*C41*Model!$B$5),"")</f>
        <v>159.824838157601</v>
      </c>
    </row>
    <row r="42" customFormat="false" ht="15" hidden="false" customHeight="false" outlineLevel="0" collapsed="false">
      <c r="A42" s="0" t="str">
        <f aca="false">Clean!A42</f>
        <v>SHP0041</v>
      </c>
      <c r="B42" s="0" t="str">
        <f aca="false">Clean!AA42</f>
        <v>TCI Express</v>
      </c>
      <c r="C42" s="28" t="n">
        <f aca="false">Clean!J42</f>
        <v>16.33</v>
      </c>
      <c r="D42" s="29" t="n">
        <f aca="false">Clean!AF42</f>
        <v>1250.87</v>
      </c>
      <c r="E42" s="29" t="n">
        <f aca="false">Clean!AE42</f>
        <v>2715.98</v>
      </c>
      <c r="F42" s="22" t="n">
        <f aca="false">AVERAGEIFS(Clean!$V$2:$V$1001,Clean!$AA$2:$AA$1001,B42)</f>
        <v>0.752336448598131</v>
      </c>
      <c r="G42" s="29" t="n">
        <f aca="false">F42*C42*D42</f>
        <v>15367.7562761682</v>
      </c>
      <c r="H42" s="29" t="n">
        <f aca="false">G42*Model!$B$4</f>
        <v>15367.7562761682</v>
      </c>
      <c r="I42" s="0" t="str">
        <f aca="false">IF(E42&lt;Model!$B$5*H42,"Expedite","Standard")</f>
        <v>Expedite</v>
      </c>
      <c r="J42" s="29" t="n">
        <f aca="false">H42</f>
        <v>15367.7562761682</v>
      </c>
      <c r="K42" s="29" t="n">
        <f aca="false">E42+(1-Model!$B$5)*H42</f>
        <v>2715.98</v>
      </c>
      <c r="L42" s="29" t="n">
        <f aca="false">IF(I42="Expedite",K42,J42)</f>
        <v>2715.98</v>
      </c>
      <c r="M42" s="29" t="n">
        <f aca="false">J42-L42</f>
        <v>12651.7762761682</v>
      </c>
      <c r="N42" s="29" t="n">
        <f aca="false">IFERROR(E42/(F42*C42*Model!$B$5),"")</f>
        <v>221.069220616706</v>
      </c>
    </row>
    <row r="43" customFormat="false" ht="15" hidden="false" customHeight="false" outlineLevel="0" collapsed="false">
      <c r="A43" s="0" t="str">
        <f aca="false">Clean!A43</f>
        <v>SHP0042</v>
      </c>
      <c r="B43" s="0" t="str">
        <f aca="false">Clean!AA43</f>
        <v>TCI Express</v>
      </c>
      <c r="C43" s="28" t="n">
        <f aca="false">Clean!J43</f>
        <v>15.34</v>
      </c>
      <c r="D43" s="29" t="n">
        <f aca="false">Clean!AF43</f>
        <v>510.84</v>
      </c>
      <c r="E43" s="29" t="n">
        <f aca="false">Clean!AE43</f>
        <v>2556.81</v>
      </c>
      <c r="F43" s="22" t="n">
        <f aca="false">AVERAGEIFS(Clean!$V$2:$V$1001,Clean!$AA$2:$AA$1001,B43)</f>
        <v>0.752336448598131</v>
      </c>
      <c r="G43" s="29" t="n">
        <f aca="false">F43*C43*D43</f>
        <v>5895.52327850467</v>
      </c>
      <c r="H43" s="29" t="n">
        <f aca="false">G43*Model!$B$4</f>
        <v>5895.52327850467</v>
      </c>
      <c r="I43" s="0" t="str">
        <f aca="false">IF(E43&lt;Model!$B$5*H43,"Expedite","Standard")</f>
        <v>Expedite</v>
      </c>
      <c r="J43" s="29" t="n">
        <f aca="false">H43</f>
        <v>5895.52327850467</v>
      </c>
      <c r="K43" s="29" t="n">
        <f aca="false">E43+(1-Model!$B$5)*H43</f>
        <v>2556.81</v>
      </c>
      <c r="L43" s="29" t="n">
        <f aca="false">IF(I43="Expedite",K43,J43)</f>
        <v>2556.81</v>
      </c>
      <c r="M43" s="29" t="n">
        <f aca="false">J43-L43</f>
        <v>3338.71327850467</v>
      </c>
      <c r="N43" s="29" t="n">
        <f aca="false">IFERROR(E43/(F43*C43*Model!$B$5),"")</f>
        <v>221.544510758217</v>
      </c>
    </row>
    <row r="44" customFormat="false" ht="15" hidden="false" customHeight="false" outlineLevel="0" collapsed="false">
      <c r="A44" s="0" t="str">
        <f aca="false">Clean!A44</f>
        <v>SHP0043</v>
      </c>
      <c r="B44" s="0" t="str">
        <f aca="false">Clean!AA44</f>
        <v>TCI Express</v>
      </c>
      <c r="C44" s="28" t="n">
        <f aca="false">Clean!J44</f>
        <v>18.2</v>
      </c>
      <c r="D44" s="29" t="n">
        <f aca="false">Clean!AF44</f>
        <v>712.73</v>
      </c>
      <c r="E44" s="29" t="n">
        <f aca="false">Clean!AE44</f>
        <v>3214.81</v>
      </c>
      <c r="F44" s="22" t="n">
        <f aca="false">AVERAGEIFS(Clean!$V$2:$V$1001,Clean!$AA$2:$AA$1001,B44)</f>
        <v>0.752336448598131</v>
      </c>
      <c r="G44" s="29" t="n">
        <f aca="false">F44*C44*D44</f>
        <v>9759.07217757009</v>
      </c>
      <c r="H44" s="29" t="n">
        <f aca="false">G44*Model!$B$4</f>
        <v>9759.07217757009</v>
      </c>
      <c r="I44" s="0" t="str">
        <f aca="false">IF(E44&lt;Model!$B$5*H44,"Expedite","Standard")</f>
        <v>Expedite</v>
      </c>
      <c r="J44" s="29" t="n">
        <f aca="false">H44</f>
        <v>9759.07217757009</v>
      </c>
      <c r="K44" s="29" t="n">
        <f aca="false">E44+(1-Model!$B$5)*H44</f>
        <v>3214.81</v>
      </c>
      <c r="L44" s="29" t="n">
        <f aca="false">IF(I44="Expedite",K44,J44)</f>
        <v>3214.81</v>
      </c>
      <c r="M44" s="29" t="n">
        <f aca="false">J44-L44</f>
        <v>6544.26217757009</v>
      </c>
      <c r="N44" s="29" t="n">
        <f aca="false">IFERROR(E44/(F44*C44*Model!$B$5),"")</f>
        <v>234.785796191386</v>
      </c>
    </row>
    <row r="45" customFormat="false" ht="15" hidden="false" customHeight="false" outlineLevel="0" collapsed="false">
      <c r="A45" s="0" t="str">
        <f aca="false">Clean!A45</f>
        <v>SHP0044</v>
      </c>
      <c r="B45" s="0" t="str">
        <f aca="false">Clean!AA45</f>
        <v>Delhivery</v>
      </c>
      <c r="C45" s="28" t="n">
        <f aca="false">Clean!J45</f>
        <v>18.98</v>
      </c>
      <c r="D45" s="29" t="n">
        <f aca="false">Clean!AF45</f>
        <v>1237.04</v>
      </c>
      <c r="E45" s="29" t="n">
        <f aca="false">Clean!AE45</f>
        <v>1223.48</v>
      </c>
      <c r="F45" s="22" t="n">
        <f aca="false">AVERAGEIFS(Clean!$V$2:$V$1001,Clean!$AA$2:$AA$1001,B45)</f>
        <v>0.72538860103627</v>
      </c>
      <c r="G45" s="29" t="n">
        <f aca="false">F45*C45*D45</f>
        <v>17031.4128911917</v>
      </c>
      <c r="H45" s="29" t="n">
        <f aca="false">G45*Model!$B$4</f>
        <v>17031.4128911917</v>
      </c>
      <c r="I45" s="0" t="str">
        <f aca="false">IF(E45&lt;Model!$B$5*H45,"Expedite","Standard")</f>
        <v>Expedite</v>
      </c>
      <c r="J45" s="29" t="n">
        <f aca="false">H45</f>
        <v>17031.4128911917</v>
      </c>
      <c r="K45" s="29" t="n">
        <f aca="false">E45+(1-Model!$B$5)*H45</f>
        <v>1223.48</v>
      </c>
      <c r="L45" s="29" t="n">
        <f aca="false">IF(I45="Expedite",K45,J45)</f>
        <v>1223.48</v>
      </c>
      <c r="M45" s="29" t="n">
        <f aca="false">J45-L45</f>
        <v>15807.9328911917</v>
      </c>
      <c r="N45" s="29" t="n">
        <f aca="false">IFERROR(E45/(F45*C45*Model!$B$5),"")</f>
        <v>88.8648351648352</v>
      </c>
    </row>
    <row r="46" customFormat="false" ht="15" hidden="false" customHeight="false" outlineLevel="0" collapsed="false">
      <c r="A46" s="0" t="str">
        <f aca="false">Clean!A46</f>
        <v>SHP0045</v>
      </c>
      <c r="B46" s="0" t="str">
        <f aca="false">Clean!AA46</f>
        <v>Delhivery</v>
      </c>
      <c r="C46" s="28" t="n">
        <f aca="false">Clean!J46</f>
        <v>11.37</v>
      </c>
      <c r="D46" s="29" t="n">
        <f aca="false">Clean!AF46</f>
        <v>896.65</v>
      </c>
      <c r="E46" s="29" t="n">
        <f aca="false">Clean!AE46</f>
        <v>1890.31</v>
      </c>
      <c r="F46" s="22" t="n">
        <f aca="false">AVERAGEIFS(Clean!$V$2:$V$1001,Clean!$AA$2:$AA$1001,B46)</f>
        <v>0.72538860103627</v>
      </c>
      <c r="G46" s="29" t="n">
        <f aca="false">F46*C46*D46</f>
        <v>7395.27186528497</v>
      </c>
      <c r="H46" s="29" t="n">
        <f aca="false">G46*Model!$B$4</f>
        <v>7395.27186528497</v>
      </c>
      <c r="I46" s="0" t="str">
        <f aca="false">IF(E46&lt;Model!$B$5*H46,"Expedite","Standard")</f>
        <v>Expedite</v>
      </c>
      <c r="J46" s="29" t="n">
        <f aca="false">H46</f>
        <v>7395.27186528497</v>
      </c>
      <c r="K46" s="29" t="n">
        <f aca="false">E46+(1-Model!$B$5)*H46</f>
        <v>1890.31</v>
      </c>
      <c r="L46" s="29" t="n">
        <f aca="false">IF(I46="Expedite",K46,J46)</f>
        <v>1890.31</v>
      </c>
      <c r="M46" s="29" t="n">
        <f aca="false">J46-L46</f>
        <v>5504.96186528498</v>
      </c>
      <c r="N46" s="29" t="n">
        <f aca="false">IFERROR(E46/(F46*C46*Model!$B$5),"")</f>
        <v>229.193259203418</v>
      </c>
    </row>
    <row r="47" customFormat="false" ht="15" hidden="false" customHeight="false" outlineLevel="0" collapsed="false">
      <c r="A47" s="0" t="str">
        <f aca="false">Clean!A47</f>
        <v>SHP0046</v>
      </c>
      <c r="B47" s="0" t="str">
        <f aca="false">Clean!AA47</f>
        <v>GATI Logistics</v>
      </c>
      <c r="C47" s="28" t="n">
        <f aca="false">Clean!J47</f>
        <v>17.95</v>
      </c>
      <c r="D47" s="29" t="n">
        <f aca="false">Clean!AF47</f>
        <v>1447.25</v>
      </c>
      <c r="E47" s="29" t="n">
        <f aca="false">Clean!AE47</f>
        <v>4251.2</v>
      </c>
      <c r="F47" s="22" t="n">
        <f aca="false">AVERAGEIFS(Clean!$V$2:$V$1001,Clean!$AA$2:$AA$1001,B47)</f>
        <v>0.751243781094527</v>
      </c>
      <c r="G47" s="29" t="n">
        <f aca="false">F47*C47*D47</f>
        <v>19515.9142412935</v>
      </c>
      <c r="H47" s="29" t="n">
        <f aca="false">G47*Model!$B$4</f>
        <v>19515.9142412935</v>
      </c>
      <c r="I47" s="0" t="str">
        <f aca="false">IF(E47&lt;Model!$B$5*H47,"Expedite","Standard")</f>
        <v>Expedite</v>
      </c>
      <c r="J47" s="29" t="n">
        <f aca="false">H47</f>
        <v>19515.9142412935</v>
      </c>
      <c r="K47" s="29" t="n">
        <f aca="false">E47+(1-Model!$B$5)*H47</f>
        <v>4251.2</v>
      </c>
      <c r="L47" s="29" t="n">
        <f aca="false">IF(I47="Expedite",K47,J47)</f>
        <v>4251.2</v>
      </c>
      <c r="M47" s="29" t="n">
        <f aca="false">J47-L47</f>
        <v>15264.7142412935</v>
      </c>
      <c r="N47" s="29" t="n">
        <f aca="false">IFERROR(E47/(F47*C47*Model!$B$5),"")</f>
        <v>315.258056780239</v>
      </c>
    </row>
    <row r="48" customFormat="false" ht="15" hidden="false" customHeight="false" outlineLevel="0" collapsed="false">
      <c r="A48" s="0" t="str">
        <f aca="false">Clean!A48</f>
        <v>SHP0047</v>
      </c>
      <c r="B48" s="0" t="str">
        <f aca="false">Clean!AA48</f>
        <v>Delhivery</v>
      </c>
      <c r="C48" s="28" t="n">
        <f aca="false">Clean!J48</f>
        <v>19.73</v>
      </c>
      <c r="D48" s="29" t="n">
        <f aca="false">Clean!AF48</f>
        <v>753.68</v>
      </c>
      <c r="E48" s="29" t="n">
        <f aca="false">Clean!AE48</f>
        <v>2737.81</v>
      </c>
      <c r="F48" s="22" t="n">
        <f aca="false">AVERAGEIFS(Clean!$V$2:$V$1001,Clean!$AA$2:$AA$1001,B48)</f>
        <v>0.72538860103627</v>
      </c>
      <c r="G48" s="29" t="n">
        <f aca="false">F48*C48*D48</f>
        <v>10786.6056787565</v>
      </c>
      <c r="H48" s="29" t="n">
        <f aca="false">G48*Model!$B$4</f>
        <v>10786.6056787565</v>
      </c>
      <c r="I48" s="0" t="str">
        <f aca="false">IF(E48&lt;Model!$B$5*H48,"Expedite","Standard")</f>
        <v>Expedite</v>
      </c>
      <c r="J48" s="29" t="n">
        <f aca="false">H48</f>
        <v>10786.6056787565</v>
      </c>
      <c r="K48" s="29" t="n">
        <f aca="false">E48+(1-Model!$B$5)*H48</f>
        <v>2737.81</v>
      </c>
      <c r="L48" s="29" t="n">
        <f aca="false">IF(I48="Expedite",K48,J48)</f>
        <v>2737.81</v>
      </c>
      <c r="M48" s="29" t="n">
        <f aca="false">J48-L48</f>
        <v>8048.79567875648</v>
      </c>
      <c r="N48" s="29" t="n">
        <f aca="false">IFERROR(E48/(F48*C48*Model!$B$5),"")</f>
        <v>191.295825791036</v>
      </c>
    </row>
    <row r="49" customFormat="false" ht="15" hidden="false" customHeight="false" outlineLevel="0" collapsed="false">
      <c r="A49" s="0" t="str">
        <f aca="false">Clean!A49</f>
        <v>SHP0048</v>
      </c>
      <c r="B49" s="0" t="str">
        <f aca="false">Clean!AA49</f>
        <v>Delhivery</v>
      </c>
      <c r="C49" s="28" t="n">
        <f aca="false">Clean!J49</f>
        <v>8.7</v>
      </c>
      <c r="D49" s="29" t="n">
        <f aca="false">Clean!AF49</f>
        <v>1462.17</v>
      </c>
      <c r="E49" s="29" t="n">
        <f aca="false">Clean!AE49</f>
        <v>3333.48</v>
      </c>
      <c r="F49" s="22" t="n">
        <f aca="false">AVERAGEIFS(Clean!$V$2:$V$1001,Clean!$AA$2:$AA$1001,B49)</f>
        <v>0.72538860103627</v>
      </c>
      <c r="G49" s="29" t="n">
        <f aca="false">F49*C49*D49</f>
        <v>9227.58062176166</v>
      </c>
      <c r="H49" s="29" t="n">
        <f aca="false">G49*Model!$B$4</f>
        <v>9227.58062176166</v>
      </c>
      <c r="I49" s="0" t="str">
        <f aca="false">IF(E49&lt;Model!$B$5*H49,"Expedite","Standard")</f>
        <v>Expedite</v>
      </c>
      <c r="J49" s="29" t="n">
        <f aca="false">H49</f>
        <v>9227.58062176166</v>
      </c>
      <c r="K49" s="29" t="n">
        <f aca="false">E49+(1-Model!$B$5)*H49</f>
        <v>3333.48</v>
      </c>
      <c r="L49" s="29" t="n">
        <f aca="false">IF(I49="Expedite",K49,J49)</f>
        <v>3333.48</v>
      </c>
      <c r="M49" s="29" t="n">
        <f aca="false">J49-L49</f>
        <v>5894.10062176166</v>
      </c>
      <c r="N49" s="29" t="n">
        <f aca="false">IFERROR(E49/(F49*C49*Model!$B$5),"")</f>
        <v>528.211527093596</v>
      </c>
    </row>
    <row r="50" customFormat="false" ht="15" hidden="false" customHeight="false" outlineLevel="0" collapsed="false">
      <c r="A50" s="0" t="str">
        <f aca="false">Clean!A50</f>
        <v>SHP0049</v>
      </c>
      <c r="B50" s="0" t="str">
        <f aca="false">Clean!AA50</f>
        <v>BlueDart</v>
      </c>
      <c r="C50" s="28" t="n">
        <f aca="false">Clean!J50</f>
        <v>8.12</v>
      </c>
      <c r="D50" s="29" t="n">
        <f aca="false">Clean!AF50</f>
        <v>575.43</v>
      </c>
      <c r="E50" s="29" t="n">
        <f aca="false">Clean!AE50</f>
        <v>3781.64</v>
      </c>
      <c r="F50" s="22" t="n">
        <f aca="false">AVERAGEIFS(Clean!$V$2:$V$1001,Clean!$AA$2:$AA$1001,B50)</f>
        <v>0.773869346733668</v>
      </c>
      <c r="G50" s="29" t="n">
        <f aca="false">F50*C50*D50</f>
        <v>3615.89802211055</v>
      </c>
      <c r="H50" s="29" t="n">
        <f aca="false">G50*Model!$B$4</f>
        <v>3615.89802211055</v>
      </c>
      <c r="I50" s="0" t="str">
        <f aca="false">IF(E50&lt;Model!$B$5*H50,"Expedite","Standard")</f>
        <v>Standard</v>
      </c>
      <c r="J50" s="29" t="n">
        <f aca="false">H50</f>
        <v>3615.89802211055</v>
      </c>
      <c r="K50" s="29" t="n">
        <f aca="false">E50+(1-Model!$B$5)*H50</f>
        <v>3781.64</v>
      </c>
      <c r="L50" s="29" t="n">
        <f aca="false">IF(I50="Expedite",K50,J50)</f>
        <v>3615.89802211055</v>
      </c>
      <c r="M50" s="29" t="n">
        <f aca="false">J50-L50</f>
        <v>0</v>
      </c>
      <c r="N50" s="29" t="n">
        <f aca="false">IFERROR(E50/(F50*C50*Model!$B$5),"")</f>
        <v>601.805994498113</v>
      </c>
    </row>
    <row r="51" customFormat="false" ht="15" hidden="false" customHeight="false" outlineLevel="0" collapsed="false">
      <c r="A51" s="0" t="str">
        <f aca="false">Clean!A51</f>
        <v>SHP0050</v>
      </c>
      <c r="B51" s="0" t="str">
        <f aca="false">Clean!AA51</f>
        <v>BlueDart</v>
      </c>
      <c r="C51" s="28" t="n">
        <f aca="false">Clean!J51</f>
        <v>4.16</v>
      </c>
      <c r="D51" s="29" t="n">
        <f aca="false">Clean!AF51</f>
        <v>1415.25</v>
      </c>
      <c r="E51" s="29" t="n">
        <f aca="false">Clean!AE51</f>
        <v>3948.4</v>
      </c>
      <c r="F51" s="22" t="n">
        <f aca="false">AVERAGEIFS(Clean!$V$2:$V$1001,Clean!$AA$2:$AA$1001,B51)</f>
        <v>0.773869346733668</v>
      </c>
      <c r="G51" s="29" t="n">
        <f aca="false">F51*C51*D51</f>
        <v>4556.10934673367</v>
      </c>
      <c r="H51" s="29" t="n">
        <f aca="false">G51*Model!$B$4</f>
        <v>4556.10934673367</v>
      </c>
      <c r="I51" s="0" t="str">
        <f aca="false">IF(E51&lt;Model!$B$5*H51,"Expedite","Standard")</f>
        <v>Expedite</v>
      </c>
      <c r="J51" s="29" t="n">
        <f aca="false">H51</f>
        <v>4556.10934673367</v>
      </c>
      <c r="K51" s="29" t="n">
        <f aca="false">E51+(1-Model!$B$5)*H51</f>
        <v>3948.4</v>
      </c>
      <c r="L51" s="29" t="n">
        <f aca="false">IF(I51="Expedite",K51,J51)</f>
        <v>3948.4</v>
      </c>
      <c r="M51" s="29" t="n">
        <f aca="false">J51-L51</f>
        <v>607.709346733669</v>
      </c>
      <c r="N51" s="29" t="n">
        <f aca="false">IFERROR(E51/(F51*C51*Model!$B$5),"")</f>
        <v>1226.47914585415</v>
      </c>
    </row>
    <row r="52" customFormat="false" ht="15" hidden="false" customHeight="false" outlineLevel="0" collapsed="false">
      <c r="A52" s="0" t="str">
        <f aca="false">Clean!A52</f>
        <v>SHP0051</v>
      </c>
      <c r="B52" s="0" t="str">
        <f aca="false">Clean!AA52</f>
        <v>GATI Logistics</v>
      </c>
      <c r="C52" s="28" t="n">
        <f aca="false">Clean!J52</f>
        <v>19.22</v>
      </c>
      <c r="D52" s="29" t="n">
        <f aca="false">Clean!AF52</f>
        <v>577.73</v>
      </c>
      <c r="E52" s="29" t="n">
        <f aca="false">Clean!AE52</f>
        <v>3334.62</v>
      </c>
      <c r="F52" s="22" t="n">
        <f aca="false">AVERAGEIFS(Clean!$V$2:$V$1001,Clean!$AA$2:$AA$1001,B52)</f>
        <v>0.751243781094527</v>
      </c>
      <c r="G52" s="29" t="n">
        <f aca="false">F52*C52*D52</f>
        <v>8341.78885870647</v>
      </c>
      <c r="H52" s="29" t="n">
        <f aca="false">G52*Model!$B$4</f>
        <v>8341.78885870647</v>
      </c>
      <c r="I52" s="0" t="str">
        <f aca="false">IF(E52&lt;Model!$B$5*H52,"Expedite","Standard")</f>
        <v>Expedite</v>
      </c>
      <c r="J52" s="29" t="n">
        <f aca="false">H52</f>
        <v>8341.78885870647</v>
      </c>
      <c r="K52" s="29" t="n">
        <f aca="false">E52+(1-Model!$B$5)*H52</f>
        <v>3334.62</v>
      </c>
      <c r="L52" s="29" t="n">
        <f aca="false">IF(I52="Expedite",K52,J52)</f>
        <v>3334.62</v>
      </c>
      <c r="M52" s="29" t="n">
        <f aca="false">J52-L52</f>
        <v>5007.16885870647</v>
      </c>
      <c r="N52" s="29" t="n">
        <f aca="false">IFERROR(E52/(F52*C52*Model!$B$5),"")</f>
        <v>230.94686825947</v>
      </c>
    </row>
    <row r="53" customFormat="false" ht="15" hidden="false" customHeight="false" outlineLevel="0" collapsed="false">
      <c r="A53" s="0" t="str">
        <f aca="false">Clean!A53</f>
        <v>SHP0052</v>
      </c>
      <c r="B53" s="0" t="str">
        <f aca="false">Clean!AA53</f>
        <v>VRL Cargo</v>
      </c>
      <c r="C53" s="28" t="n">
        <f aca="false">Clean!J53</f>
        <v>19.51</v>
      </c>
      <c r="D53" s="29" t="n">
        <f aca="false">Clean!AF53</f>
        <v>662.62</v>
      </c>
      <c r="E53" s="29" t="n">
        <f aca="false">Clean!AE53</f>
        <v>3738.92</v>
      </c>
      <c r="F53" s="22" t="n">
        <f aca="false">AVERAGEIFS(Clean!$V$2:$V$1001,Clean!$AA$2:$AA$1001,B53)</f>
        <v>0.72020725388601</v>
      </c>
      <c r="G53" s="29" t="n">
        <f aca="false">F53*C53*D53</f>
        <v>9310.63498341969</v>
      </c>
      <c r="H53" s="29" t="n">
        <f aca="false">G53*Model!$B$4</f>
        <v>9310.63498341969</v>
      </c>
      <c r="I53" s="0" t="str">
        <f aca="false">IF(E53&lt;Model!$B$5*H53,"Expedite","Standard")</f>
        <v>Expedite</v>
      </c>
      <c r="J53" s="29" t="n">
        <f aca="false">H53</f>
        <v>9310.63498341969</v>
      </c>
      <c r="K53" s="29" t="n">
        <f aca="false">E53+(1-Model!$B$5)*H53</f>
        <v>3738.92</v>
      </c>
      <c r="L53" s="29" t="n">
        <f aca="false">IF(I53="Expedite",K53,J53)</f>
        <v>3738.92</v>
      </c>
      <c r="M53" s="29" t="n">
        <f aca="false">J53-L53</f>
        <v>5571.71498341969</v>
      </c>
      <c r="N53" s="29" t="n">
        <f aca="false">IFERROR(E53/(F53*C53*Model!$B$5),"")</f>
        <v>266.091751509095</v>
      </c>
    </row>
    <row r="54" customFormat="false" ht="15" hidden="false" customHeight="false" outlineLevel="0" collapsed="false">
      <c r="A54" s="0" t="str">
        <f aca="false">Clean!A54</f>
        <v>SHP0053</v>
      </c>
      <c r="B54" s="0" t="str">
        <f aca="false">Clean!AA54</f>
        <v>BlueDart</v>
      </c>
      <c r="C54" s="28" t="n">
        <f aca="false">Clean!J54</f>
        <v>18.31</v>
      </c>
      <c r="D54" s="29" t="n">
        <f aca="false">Clean!AF54</f>
        <v>911.26</v>
      </c>
      <c r="E54" s="29" t="n">
        <f aca="false">Clean!AE54</f>
        <v>1659.34</v>
      </c>
      <c r="F54" s="22" t="n">
        <f aca="false">AVERAGEIFS(Clean!$V$2:$V$1001,Clean!$AA$2:$AA$1001,B54)</f>
        <v>0.773869346733668</v>
      </c>
      <c r="G54" s="29" t="n">
        <f aca="false">F54*C54*D54</f>
        <v>12912.1420723618</v>
      </c>
      <c r="H54" s="29" t="n">
        <f aca="false">G54*Model!$B$4</f>
        <v>12912.1420723618</v>
      </c>
      <c r="I54" s="0" t="str">
        <f aca="false">IF(E54&lt;Model!$B$5*H54,"Expedite","Standard")</f>
        <v>Expedite</v>
      </c>
      <c r="J54" s="29" t="n">
        <f aca="false">H54</f>
        <v>12912.1420723618</v>
      </c>
      <c r="K54" s="29" t="n">
        <f aca="false">E54+(1-Model!$B$5)*H54</f>
        <v>1659.34</v>
      </c>
      <c r="L54" s="29" t="n">
        <f aca="false">IF(I54="Expedite",K54,J54)</f>
        <v>1659.34</v>
      </c>
      <c r="M54" s="29" t="n">
        <f aca="false">J54-L54</f>
        <v>11252.8020723618</v>
      </c>
      <c r="N54" s="29" t="n">
        <f aca="false">IFERROR(E54/(F54*C54*Model!$B$5),"")</f>
        <v>117.106066516771</v>
      </c>
    </row>
    <row r="55" customFormat="false" ht="15" hidden="false" customHeight="false" outlineLevel="0" collapsed="false">
      <c r="A55" s="0" t="str">
        <f aca="false">Clean!A55</f>
        <v>SHP0054</v>
      </c>
      <c r="B55" s="0" t="str">
        <f aca="false">Clean!AA55</f>
        <v>BlueDart</v>
      </c>
      <c r="C55" s="28" t="n">
        <f aca="false">Clean!J55</f>
        <v>15.77</v>
      </c>
      <c r="D55" s="29" t="n">
        <f aca="false">Clean!AF55</f>
        <v>1069.08</v>
      </c>
      <c r="E55" s="29" t="n">
        <f aca="false">Clean!AE55</f>
        <v>4316.66</v>
      </c>
      <c r="F55" s="22" t="n">
        <f aca="false">AVERAGEIFS(Clean!$V$2:$V$1001,Clean!$AA$2:$AA$1001,B55)</f>
        <v>0.773869346733668</v>
      </c>
      <c r="G55" s="29" t="n">
        <f aca="false">F55*C55*D55</f>
        <v>13046.9663638191</v>
      </c>
      <c r="H55" s="29" t="n">
        <f aca="false">G55*Model!$B$4</f>
        <v>13046.9663638191</v>
      </c>
      <c r="I55" s="0" t="str">
        <f aca="false">IF(E55&lt;Model!$B$5*H55,"Expedite","Standard")</f>
        <v>Expedite</v>
      </c>
      <c r="J55" s="29" t="n">
        <f aca="false">H55</f>
        <v>13046.9663638191</v>
      </c>
      <c r="K55" s="29" t="n">
        <f aca="false">E55+(1-Model!$B$5)*H55</f>
        <v>4316.66</v>
      </c>
      <c r="L55" s="29" t="n">
        <f aca="false">IF(I55="Expedite",K55,J55)</f>
        <v>4316.66</v>
      </c>
      <c r="M55" s="29" t="n">
        <f aca="false">J55-L55</f>
        <v>8730.30636381909</v>
      </c>
      <c r="N55" s="29" t="n">
        <f aca="false">IFERROR(E55/(F55*C55*Model!$B$5),"")</f>
        <v>353.71095043194</v>
      </c>
    </row>
    <row r="56" customFormat="false" ht="15" hidden="false" customHeight="false" outlineLevel="0" collapsed="false">
      <c r="A56" s="0" t="str">
        <f aca="false">Clean!A56</f>
        <v>SHP0055</v>
      </c>
      <c r="B56" s="0" t="str">
        <f aca="false">Clean!AA56</f>
        <v>BlueDart</v>
      </c>
      <c r="C56" s="28" t="n">
        <f aca="false">Clean!J56</f>
        <v>2.21</v>
      </c>
      <c r="D56" s="29" t="n">
        <f aca="false">Clean!AF56</f>
        <v>741.08</v>
      </c>
      <c r="E56" s="29" t="n">
        <f aca="false">Clean!AE56</f>
        <v>2511.4</v>
      </c>
      <c r="F56" s="22" t="n">
        <f aca="false">AVERAGEIFS(Clean!$V$2:$V$1001,Clean!$AA$2:$AA$1001,B56)</f>
        <v>0.773869346733668</v>
      </c>
      <c r="G56" s="29" t="n">
        <f aca="false">F56*C56*D56</f>
        <v>1267.43300100503</v>
      </c>
      <c r="H56" s="29" t="n">
        <f aca="false">G56*Model!$B$4</f>
        <v>1267.43300100503</v>
      </c>
      <c r="I56" s="0" t="str">
        <f aca="false">IF(E56&lt;Model!$B$5*H56,"Expedite","Standard")</f>
        <v>Standard</v>
      </c>
      <c r="J56" s="29" t="n">
        <f aca="false">H56</f>
        <v>1267.43300100503</v>
      </c>
      <c r="K56" s="29" t="n">
        <f aca="false">E56+(1-Model!$B$5)*H56</f>
        <v>2511.4</v>
      </c>
      <c r="L56" s="29" t="n">
        <f aca="false">IF(I56="Expedite",K56,J56)</f>
        <v>1267.43300100503</v>
      </c>
      <c r="M56" s="29" t="n">
        <f aca="false">J56-L56</f>
        <v>0</v>
      </c>
      <c r="N56" s="29" t="n">
        <f aca="false">IFERROR(E56/(F56*C56*Model!$B$5),"")</f>
        <v>1468.43920785097</v>
      </c>
    </row>
    <row r="57" customFormat="false" ht="15" hidden="false" customHeight="false" outlineLevel="0" collapsed="false">
      <c r="A57" s="0" t="str">
        <f aca="false">Clean!A57</f>
        <v>SHP0056</v>
      </c>
      <c r="B57" s="0" t="str">
        <f aca="false">Clean!AA57</f>
        <v>TCI Express</v>
      </c>
      <c r="C57" s="28" t="n">
        <f aca="false">Clean!J57</f>
        <v>4.9</v>
      </c>
      <c r="D57" s="29" t="n">
        <f aca="false">Clean!AF57</f>
        <v>768.67</v>
      </c>
      <c r="E57" s="29" t="n">
        <f aca="false">Clean!AE57</f>
        <v>1187.59</v>
      </c>
      <c r="F57" s="22" t="n">
        <f aca="false">AVERAGEIFS(Clean!$V$2:$V$1001,Clean!$AA$2:$AA$1001,B57)</f>
        <v>0.752336448598131</v>
      </c>
      <c r="G57" s="29" t="n">
        <f aca="false">F57*C57*D57</f>
        <v>2833.66244392523</v>
      </c>
      <c r="H57" s="29" t="n">
        <f aca="false">G57*Model!$B$4</f>
        <v>2833.66244392523</v>
      </c>
      <c r="I57" s="0" t="str">
        <f aca="false">IF(E57&lt;Model!$B$5*H57,"Expedite","Standard")</f>
        <v>Expedite</v>
      </c>
      <c r="J57" s="29" t="n">
        <f aca="false">H57</f>
        <v>2833.66244392523</v>
      </c>
      <c r="K57" s="29" t="n">
        <f aca="false">E57+(1-Model!$B$5)*H57</f>
        <v>1187.59</v>
      </c>
      <c r="L57" s="29" t="n">
        <f aca="false">IF(I57="Expedite",K57,J57)</f>
        <v>1187.59</v>
      </c>
      <c r="M57" s="29" t="n">
        <f aca="false">J57-L57</f>
        <v>1646.07244392523</v>
      </c>
      <c r="N57" s="29" t="n">
        <f aca="false">IFERROR(E57/(F57*C57*Model!$B$5),"")</f>
        <v>322.150158448473</v>
      </c>
    </row>
    <row r="58" customFormat="false" ht="15" hidden="false" customHeight="false" outlineLevel="0" collapsed="false">
      <c r="A58" s="0" t="str">
        <f aca="false">Clean!A58</f>
        <v>SHP0057</v>
      </c>
      <c r="B58" s="0" t="str">
        <f aca="false">Clean!AA58</f>
        <v>GATI Logistics</v>
      </c>
      <c r="C58" s="28" t="n">
        <f aca="false">Clean!J58</f>
        <v>1.42</v>
      </c>
      <c r="D58" s="29" t="n">
        <f aca="false">Clean!AF58</f>
        <v>1089.96</v>
      </c>
      <c r="E58" s="29" t="n">
        <f aca="false">Clean!AE58</f>
        <v>4167.27</v>
      </c>
      <c r="F58" s="22" t="n">
        <f aca="false">AVERAGEIFS(Clean!$V$2:$V$1001,Clean!$AA$2:$AA$1001,B58)</f>
        <v>0.751243781094527</v>
      </c>
      <c r="G58" s="29" t="n">
        <f aca="false">F58*C58*D58</f>
        <v>1162.73245373134</v>
      </c>
      <c r="H58" s="29" t="n">
        <f aca="false">G58*Model!$B$4</f>
        <v>1162.73245373134</v>
      </c>
      <c r="I58" s="0" t="str">
        <f aca="false">IF(E58&lt;Model!$B$5*H58,"Expedite","Standard")</f>
        <v>Standard</v>
      </c>
      <c r="J58" s="29" t="n">
        <f aca="false">H58</f>
        <v>1162.73245373134</v>
      </c>
      <c r="K58" s="29" t="n">
        <f aca="false">E58+(1-Model!$B$5)*H58</f>
        <v>4167.27</v>
      </c>
      <c r="L58" s="29" t="n">
        <f aca="false">IF(I58="Expedite",K58,J58)</f>
        <v>1162.73245373134</v>
      </c>
      <c r="M58" s="29" t="n">
        <f aca="false">J58-L58</f>
        <v>0</v>
      </c>
      <c r="N58" s="29" t="n">
        <f aca="false">IFERROR(E58/(F58*C58*Model!$B$5),"")</f>
        <v>3906.4512172372</v>
      </c>
    </row>
    <row r="59" customFormat="false" ht="15" hidden="false" customHeight="false" outlineLevel="0" collapsed="false">
      <c r="A59" s="0" t="str">
        <f aca="false">Clean!A59</f>
        <v>SHP0058</v>
      </c>
      <c r="B59" s="0" t="str">
        <f aca="false">Clean!AA59</f>
        <v>TCI Express</v>
      </c>
      <c r="C59" s="28" t="n">
        <f aca="false">Clean!J59</f>
        <v>10.12</v>
      </c>
      <c r="D59" s="29" t="n">
        <f aca="false">Clean!AF59</f>
        <v>850.59</v>
      </c>
      <c r="E59" s="29" t="n">
        <f aca="false">Clean!AE59</f>
        <v>1058.18</v>
      </c>
      <c r="F59" s="22" t="n">
        <f aca="false">AVERAGEIFS(Clean!$V$2:$V$1001,Clean!$AA$2:$AA$1001,B59)</f>
        <v>0.752336448598131</v>
      </c>
      <c r="G59" s="29" t="n">
        <f aca="false">F59*C59*D59</f>
        <v>6476.09018130841</v>
      </c>
      <c r="H59" s="29" t="n">
        <f aca="false">G59*Model!$B$4</f>
        <v>6476.09018130841</v>
      </c>
      <c r="I59" s="0" t="str">
        <f aca="false">IF(E59&lt;Model!$B$5*H59,"Expedite","Standard")</f>
        <v>Expedite</v>
      </c>
      <c r="J59" s="29" t="n">
        <f aca="false">H59</f>
        <v>6476.09018130841</v>
      </c>
      <c r="K59" s="29" t="n">
        <f aca="false">E59+(1-Model!$B$5)*H59</f>
        <v>1058.18</v>
      </c>
      <c r="L59" s="29" t="n">
        <f aca="false">IF(I59="Expedite",K59,J59)</f>
        <v>1058.18</v>
      </c>
      <c r="M59" s="29" t="n">
        <f aca="false">J59-L59</f>
        <v>5417.91018130841</v>
      </c>
      <c r="N59" s="29" t="n">
        <f aca="false">IFERROR(E59/(F59*C59*Model!$B$5),"")</f>
        <v>138.984680725702</v>
      </c>
    </row>
    <row r="60" customFormat="false" ht="15" hidden="false" customHeight="false" outlineLevel="0" collapsed="false">
      <c r="A60" s="0" t="str">
        <f aca="false">Clean!A60</f>
        <v>SHP0059</v>
      </c>
      <c r="B60" s="0" t="str">
        <f aca="false">Clean!AA60</f>
        <v>VRL Cargo</v>
      </c>
      <c r="C60" s="28" t="n">
        <f aca="false">Clean!J60</f>
        <v>12.21</v>
      </c>
      <c r="D60" s="29" t="n">
        <f aca="false">Clean!AF60</f>
        <v>1197.64</v>
      </c>
      <c r="E60" s="29" t="n">
        <f aca="false">Clean!AE60</f>
        <v>3094.41</v>
      </c>
      <c r="F60" s="22" t="n">
        <f aca="false">AVERAGEIFS(Clean!$V$2:$V$1001,Clean!$AA$2:$AA$1001,B60)</f>
        <v>0.72020725388601</v>
      </c>
      <c r="G60" s="29" t="n">
        <f aca="false">F60*C60*D60</f>
        <v>10531.7234797927</v>
      </c>
      <c r="H60" s="29" t="n">
        <f aca="false">G60*Model!$B$4</f>
        <v>10531.7234797927</v>
      </c>
      <c r="I60" s="0" t="str">
        <f aca="false">IF(E60&lt;Model!$B$5*H60,"Expedite","Standard")</f>
        <v>Expedite</v>
      </c>
      <c r="J60" s="29" t="n">
        <f aca="false">H60</f>
        <v>10531.7234797927</v>
      </c>
      <c r="K60" s="29" t="n">
        <f aca="false">E60+(1-Model!$B$5)*H60</f>
        <v>3094.41</v>
      </c>
      <c r="L60" s="29" t="n">
        <f aca="false">IF(I60="Expedite",K60,J60)</f>
        <v>3094.41</v>
      </c>
      <c r="M60" s="29" t="n">
        <f aca="false">J60-L60</f>
        <v>7437.31347979275</v>
      </c>
      <c r="N60" s="29" t="n">
        <f aca="false">IFERROR(E60/(F60*C60*Model!$B$5),"")</f>
        <v>351.888197550068</v>
      </c>
    </row>
    <row r="61" customFormat="false" ht="15" hidden="false" customHeight="false" outlineLevel="0" collapsed="false">
      <c r="A61" s="0" t="str">
        <f aca="false">Clean!A61</f>
        <v>SHP0060</v>
      </c>
      <c r="B61" s="0" t="str">
        <f aca="false">Clean!AA61</f>
        <v>VRL Cargo</v>
      </c>
      <c r="C61" s="28" t="n">
        <f aca="false">Clean!J61</f>
        <v>16.13</v>
      </c>
      <c r="D61" s="29" t="n">
        <f aca="false">Clean!AF61</f>
        <v>847.41</v>
      </c>
      <c r="E61" s="29" t="n">
        <f aca="false">Clean!AE61</f>
        <v>3483.22</v>
      </c>
      <c r="F61" s="22" t="n">
        <f aca="false">AVERAGEIFS(Clean!$V$2:$V$1001,Clean!$AA$2:$AA$1001,B61)</f>
        <v>0.72020725388601</v>
      </c>
      <c r="G61" s="29" t="n">
        <f aca="false">F61*C61*D61</f>
        <v>9844.31367202072</v>
      </c>
      <c r="H61" s="29" t="n">
        <f aca="false">G61*Model!$B$4</f>
        <v>9844.31367202072</v>
      </c>
      <c r="I61" s="0" t="str">
        <f aca="false">IF(E61&lt;Model!$B$5*H61,"Expedite","Standard")</f>
        <v>Expedite</v>
      </c>
      <c r="J61" s="29" t="n">
        <f aca="false">H61</f>
        <v>9844.31367202072</v>
      </c>
      <c r="K61" s="29" t="n">
        <f aca="false">E61+(1-Model!$B$5)*H61</f>
        <v>3483.22</v>
      </c>
      <c r="L61" s="29" t="n">
        <f aca="false">IF(I61="Expedite",K61,J61)</f>
        <v>3483.22</v>
      </c>
      <c r="M61" s="29" t="n">
        <f aca="false">J61-L61</f>
        <v>6361.09367202073</v>
      </c>
      <c r="N61" s="29" t="n">
        <f aca="false">IFERROR(E61/(F61*C61*Model!$B$5),"")</f>
        <v>299.839639261932</v>
      </c>
    </row>
    <row r="62" customFormat="false" ht="15" hidden="false" customHeight="false" outlineLevel="0" collapsed="false">
      <c r="A62" s="0" t="str">
        <f aca="false">Clean!A62</f>
        <v>SHP0061</v>
      </c>
      <c r="B62" s="0" t="str">
        <f aca="false">Clean!AA62</f>
        <v>VRL Cargo</v>
      </c>
      <c r="C62" s="28" t="n">
        <f aca="false">Clean!J62</f>
        <v>4.97</v>
      </c>
      <c r="D62" s="29" t="n">
        <f aca="false">Clean!AF62</f>
        <v>845.67</v>
      </c>
      <c r="E62" s="29" t="n">
        <f aca="false">Clean!AE62</f>
        <v>1727.52</v>
      </c>
      <c r="F62" s="22" t="n">
        <f aca="false">AVERAGEIFS(Clean!$V$2:$V$1001,Clean!$AA$2:$AA$1001,B62)</f>
        <v>0.72020725388601</v>
      </c>
      <c r="G62" s="29" t="n">
        <f aca="false">F62*C62*D62</f>
        <v>3027.0166119171</v>
      </c>
      <c r="H62" s="29" t="n">
        <f aca="false">G62*Model!$B$4</f>
        <v>3027.0166119171</v>
      </c>
      <c r="I62" s="0" t="str">
        <f aca="false">IF(E62&lt;Model!$B$5*H62,"Expedite","Standard")</f>
        <v>Expedite</v>
      </c>
      <c r="J62" s="29" t="n">
        <f aca="false">H62</f>
        <v>3027.0166119171</v>
      </c>
      <c r="K62" s="29" t="n">
        <f aca="false">E62+(1-Model!$B$5)*H62</f>
        <v>1727.52</v>
      </c>
      <c r="L62" s="29" t="n">
        <f aca="false">IF(I62="Expedite",K62,J62)</f>
        <v>1727.52</v>
      </c>
      <c r="M62" s="29" t="n">
        <f aca="false">J62-L62</f>
        <v>1299.4966119171</v>
      </c>
      <c r="N62" s="29" t="n">
        <f aca="false">IFERROR(E62/(F62*C62*Model!$B$5),"")</f>
        <v>482.624321468379</v>
      </c>
    </row>
    <row r="63" customFormat="false" ht="15" hidden="false" customHeight="false" outlineLevel="0" collapsed="false">
      <c r="A63" s="0" t="str">
        <f aca="false">Clean!A63</f>
        <v>SHP0062</v>
      </c>
      <c r="B63" s="0" t="str">
        <f aca="false">Clean!AA63</f>
        <v>Delhivery</v>
      </c>
      <c r="C63" s="28" t="n">
        <f aca="false">Clean!J63</f>
        <v>18.04</v>
      </c>
      <c r="D63" s="29" t="n">
        <f aca="false">Clean!AF63</f>
        <v>778.59</v>
      </c>
      <c r="E63" s="29" t="n">
        <f aca="false">Clean!AE63</f>
        <v>1675.74</v>
      </c>
      <c r="F63" s="22" t="n">
        <f aca="false">AVERAGEIFS(Clean!$V$2:$V$1001,Clean!$AA$2:$AA$1001,B63)</f>
        <v>0.72538860103627</v>
      </c>
      <c r="G63" s="29" t="n">
        <f aca="false">F63*C63*D63</f>
        <v>10188.6368082902</v>
      </c>
      <c r="H63" s="29" t="n">
        <f aca="false">G63*Model!$B$4</f>
        <v>10188.6368082902</v>
      </c>
      <c r="I63" s="0" t="str">
        <f aca="false">IF(E63&lt;Model!$B$5*H63,"Expedite","Standard")</f>
        <v>Expedite</v>
      </c>
      <c r="J63" s="29" t="n">
        <f aca="false">H63</f>
        <v>10188.6368082902</v>
      </c>
      <c r="K63" s="29" t="n">
        <f aca="false">E63+(1-Model!$B$5)*H63</f>
        <v>1675.74</v>
      </c>
      <c r="L63" s="29" t="n">
        <f aca="false">IF(I63="Expedite",K63,J63)</f>
        <v>1675.74</v>
      </c>
      <c r="M63" s="29" t="n">
        <f aca="false">J63-L63</f>
        <v>8512.89680829016</v>
      </c>
      <c r="N63" s="29" t="n">
        <f aca="false">IFERROR(E63/(F63*C63*Model!$B$5),"")</f>
        <v>128.055836236934</v>
      </c>
    </row>
    <row r="64" customFormat="false" ht="15" hidden="false" customHeight="false" outlineLevel="0" collapsed="false">
      <c r="A64" s="0" t="str">
        <f aca="false">Clean!A64</f>
        <v>SHP0063</v>
      </c>
      <c r="B64" s="0" t="str">
        <f aca="false">Clean!AA64</f>
        <v>GATI Logistics</v>
      </c>
      <c r="C64" s="28" t="n">
        <f aca="false">Clean!J64</f>
        <v>4.36</v>
      </c>
      <c r="D64" s="29" t="n">
        <f aca="false">Clean!AF64</f>
        <v>1299.41</v>
      </c>
      <c r="E64" s="29" t="n">
        <f aca="false">Clean!AE64</f>
        <v>1157.25</v>
      </c>
      <c r="F64" s="22" t="n">
        <f aca="false">AVERAGEIFS(Clean!$V$2:$V$1001,Clean!$AA$2:$AA$1001,B64)</f>
        <v>0.751243781094527</v>
      </c>
      <c r="G64" s="29" t="n">
        <f aca="false">F64*C64*D64</f>
        <v>4256.11725174129</v>
      </c>
      <c r="H64" s="29" t="n">
        <f aca="false">G64*Model!$B$4</f>
        <v>4256.11725174129</v>
      </c>
      <c r="I64" s="0" t="str">
        <f aca="false">IF(E64&lt;Model!$B$5*H64,"Expedite","Standard")</f>
        <v>Expedite</v>
      </c>
      <c r="J64" s="29" t="n">
        <f aca="false">H64</f>
        <v>4256.11725174129</v>
      </c>
      <c r="K64" s="29" t="n">
        <f aca="false">E64+(1-Model!$B$5)*H64</f>
        <v>1157.25</v>
      </c>
      <c r="L64" s="29" t="n">
        <f aca="false">IF(I64="Expedite",K64,J64)</f>
        <v>1157.25</v>
      </c>
      <c r="M64" s="29" t="n">
        <f aca="false">J64-L64</f>
        <v>3098.86725174129</v>
      </c>
      <c r="N64" s="29" t="n">
        <f aca="false">IFERROR(E64/(F64*C64*Model!$B$5),"")</f>
        <v>353.313156935415</v>
      </c>
    </row>
    <row r="65" customFormat="false" ht="15" hidden="false" customHeight="false" outlineLevel="0" collapsed="false">
      <c r="A65" s="0" t="str">
        <f aca="false">Clean!A65</f>
        <v>SHP0064</v>
      </c>
      <c r="B65" s="0" t="str">
        <f aca="false">Clean!AA65</f>
        <v>VRL Cargo</v>
      </c>
      <c r="C65" s="28" t="n">
        <f aca="false">Clean!J65</f>
        <v>12.93</v>
      </c>
      <c r="D65" s="29" t="n">
        <f aca="false">Clean!AF65</f>
        <v>684.52</v>
      </c>
      <c r="E65" s="29" t="n">
        <f aca="false">Clean!AE65</f>
        <v>3993.04</v>
      </c>
      <c r="F65" s="22" t="n">
        <f aca="false">AVERAGEIFS(Clean!$V$2:$V$1001,Clean!$AA$2:$AA$1001,B65)</f>
        <v>0.72020725388601</v>
      </c>
      <c r="G65" s="29" t="n">
        <f aca="false">F65*C65*D65</f>
        <v>6374.44176373057</v>
      </c>
      <c r="H65" s="29" t="n">
        <f aca="false">G65*Model!$B$4</f>
        <v>6374.44176373057</v>
      </c>
      <c r="I65" s="0" t="str">
        <f aca="false">IF(E65&lt;Model!$B$5*H65,"Expedite","Standard")</f>
        <v>Expedite</v>
      </c>
      <c r="J65" s="29" t="n">
        <f aca="false">H65</f>
        <v>6374.44176373057</v>
      </c>
      <c r="K65" s="29" t="n">
        <f aca="false">E65+(1-Model!$B$5)*H65</f>
        <v>3993.04</v>
      </c>
      <c r="L65" s="29" t="n">
        <f aca="false">IF(I65="Expedite",K65,J65)</f>
        <v>3993.04</v>
      </c>
      <c r="M65" s="29" t="n">
        <f aca="false">J65-L65</f>
        <v>2381.40176373057</v>
      </c>
      <c r="N65" s="29" t="n">
        <f aca="false">IFERROR(E65/(F65*C65*Model!$B$5),"")</f>
        <v>428.792958208839</v>
      </c>
    </row>
    <row r="66" customFormat="false" ht="15" hidden="false" customHeight="false" outlineLevel="0" collapsed="false">
      <c r="A66" s="0" t="str">
        <f aca="false">Clean!A66</f>
        <v>SHP0065</v>
      </c>
      <c r="B66" s="0" t="str">
        <f aca="false">Clean!AA66</f>
        <v>GATI Logistics</v>
      </c>
      <c r="C66" s="28" t="n">
        <f aca="false">Clean!J66</f>
        <v>4.98</v>
      </c>
      <c r="D66" s="29" t="n">
        <f aca="false">Clean!AF66</f>
        <v>1213.35</v>
      </c>
      <c r="E66" s="29" t="n">
        <f aca="false">Clean!AE66</f>
        <v>2009.75</v>
      </c>
      <c r="F66" s="22" t="n">
        <f aca="false">AVERAGEIFS(Clean!$V$2:$V$1001,Clean!$AA$2:$AA$1001,B66)</f>
        <v>0.751243781094527</v>
      </c>
      <c r="G66" s="29" t="n">
        <f aca="false">F66*C66*D66</f>
        <v>4539.3777761194</v>
      </c>
      <c r="H66" s="29" t="n">
        <f aca="false">G66*Model!$B$4</f>
        <v>4539.3777761194</v>
      </c>
      <c r="I66" s="0" t="str">
        <f aca="false">IF(E66&lt;Model!$B$5*H66,"Expedite","Standard")</f>
        <v>Expedite</v>
      </c>
      <c r="J66" s="29" t="n">
        <f aca="false">H66</f>
        <v>4539.3777761194</v>
      </c>
      <c r="K66" s="29" t="n">
        <f aca="false">E66+(1-Model!$B$5)*H66</f>
        <v>2009.75</v>
      </c>
      <c r="L66" s="29" t="n">
        <f aca="false">IF(I66="Expedite",K66,J66)</f>
        <v>2009.75</v>
      </c>
      <c r="M66" s="29" t="n">
        <f aca="false">J66-L66</f>
        <v>2529.6277761194</v>
      </c>
      <c r="N66" s="29" t="n">
        <f aca="false">IFERROR(E66/(F66*C66*Model!$B$5),"")</f>
        <v>537.194805712918</v>
      </c>
    </row>
    <row r="67" customFormat="false" ht="15" hidden="false" customHeight="false" outlineLevel="0" collapsed="false">
      <c r="A67" s="0" t="str">
        <f aca="false">Clean!A67</f>
        <v>SHP0066</v>
      </c>
      <c r="B67" s="0" t="str">
        <f aca="false">Clean!AA67</f>
        <v>BlueDart</v>
      </c>
      <c r="C67" s="28" t="n">
        <f aca="false">Clean!J67</f>
        <v>18.01</v>
      </c>
      <c r="D67" s="29" t="n">
        <f aca="false">Clean!AF67</f>
        <v>769.24</v>
      </c>
      <c r="E67" s="29" t="n">
        <f aca="false">Clean!AE67</f>
        <v>1969.88</v>
      </c>
      <c r="F67" s="22" t="n">
        <f aca="false">AVERAGEIFS(Clean!$V$2:$V$1001,Clean!$AA$2:$AA$1001,B67)</f>
        <v>0.773869346733668</v>
      </c>
      <c r="G67" s="29" t="n">
        <f aca="false">F67*C67*D67</f>
        <v>10721.1955256281</v>
      </c>
      <c r="H67" s="29" t="n">
        <f aca="false">G67*Model!$B$4</f>
        <v>10721.1955256281</v>
      </c>
      <c r="I67" s="0" t="str">
        <f aca="false">IF(E67&lt;Model!$B$5*H67,"Expedite","Standard")</f>
        <v>Expedite</v>
      </c>
      <c r="J67" s="29" t="n">
        <f aca="false">H67</f>
        <v>10721.1955256281</v>
      </c>
      <c r="K67" s="29" t="n">
        <f aca="false">E67+(1-Model!$B$5)*H67</f>
        <v>1969.88</v>
      </c>
      <c r="L67" s="29" t="n">
        <f aca="false">IF(I67="Expedite",K67,J67)</f>
        <v>1969.88</v>
      </c>
      <c r="M67" s="29" t="n">
        <f aca="false">J67-L67</f>
        <v>8751.31552562814</v>
      </c>
      <c r="N67" s="29" t="n">
        <f aca="false">IFERROR(E67/(F67*C67*Model!$B$5),"")</f>
        <v>141.337828190688</v>
      </c>
    </row>
    <row r="68" customFormat="false" ht="15" hidden="false" customHeight="false" outlineLevel="0" collapsed="false">
      <c r="A68" s="0" t="str">
        <f aca="false">Clean!A68</f>
        <v>SHP0067</v>
      </c>
      <c r="B68" s="0" t="str">
        <f aca="false">Clean!AA68</f>
        <v>BlueDart</v>
      </c>
      <c r="C68" s="28" t="n">
        <f aca="false">Clean!J68</f>
        <v>8.17</v>
      </c>
      <c r="D68" s="29" t="n">
        <f aca="false">Clean!AF68</f>
        <v>998.44</v>
      </c>
      <c r="E68" s="29" t="n">
        <f aca="false">Clean!AE68</f>
        <v>4156.68</v>
      </c>
      <c r="F68" s="22" t="n">
        <f aca="false">AVERAGEIFS(Clean!$V$2:$V$1001,Clean!$AA$2:$AA$1001,B68)</f>
        <v>0.773869346733668</v>
      </c>
      <c r="G68" s="29" t="n">
        <f aca="false">F68*C68*D68</f>
        <v>6312.64944321608</v>
      </c>
      <c r="H68" s="29" t="n">
        <f aca="false">G68*Model!$B$4</f>
        <v>6312.64944321608</v>
      </c>
      <c r="I68" s="0" t="str">
        <f aca="false">IF(E68&lt;Model!$B$5*H68,"Expedite","Standard")</f>
        <v>Expedite</v>
      </c>
      <c r="J68" s="29" t="n">
        <f aca="false">H68</f>
        <v>6312.64944321608</v>
      </c>
      <c r="K68" s="29" t="n">
        <f aca="false">E68+(1-Model!$B$5)*H68</f>
        <v>4156.68</v>
      </c>
      <c r="L68" s="29" t="n">
        <f aca="false">IF(I68="Expedite",K68,J68)</f>
        <v>4156.68</v>
      </c>
      <c r="M68" s="29" t="n">
        <f aca="false">J68-L68</f>
        <v>2155.96944321608</v>
      </c>
      <c r="N68" s="29" t="n">
        <f aca="false">IFERROR(E68/(F68*C68*Model!$B$5),"")</f>
        <v>657.44116104214</v>
      </c>
    </row>
    <row r="69" customFormat="false" ht="15" hidden="false" customHeight="false" outlineLevel="0" collapsed="false">
      <c r="A69" s="0" t="str">
        <f aca="false">Clean!A69</f>
        <v>SHP0068</v>
      </c>
      <c r="B69" s="0" t="str">
        <f aca="false">Clean!AA69</f>
        <v>Delhivery</v>
      </c>
      <c r="C69" s="28" t="n">
        <f aca="false">Clean!J69</f>
        <v>2.65</v>
      </c>
      <c r="D69" s="29" t="n">
        <f aca="false">Clean!AF69</f>
        <v>1145.92</v>
      </c>
      <c r="E69" s="29" t="n">
        <f aca="false">Clean!AE69</f>
        <v>2452.33</v>
      </c>
      <c r="F69" s="22" t="n">
        <f aca="false">AVERAGEIFS(Clean!$V$2:$V$1001,Clean!$AA$2:$AA$1001,B69)</f>
        <v>0.72538860103627</v>
      </c>
      <c r="G69" s="29" t="n">
        <f aca="false">F69*C69*D69</f>
        <v>2202.77886010363</v>
      </c>
      <c r="H69" s="29" t="n">
        <f aca="false">G69*Model!$B$4</f>
        <v>2202.77886010363</v>
      </c>
      <c r="I69" s="0" t="str">
        <f aca="false">IF(E69&lt;Model!$B$5*H69,"Expedite","Standard")</f>
        <v>Standard</v>
      </c>
      <c r="J69" s="29" t="n">
        <f aca="false">H69</f>
        <v>2202.77886010363</v>
      </c>
      <c r="K69" s="29" t="n">
        <f aca="false">E69+(1-Model!$B$5)*H69</f>
        <v>2452.33</v>
      </c>
      <c r="L69" s="29" t="n">
        <f aca="false">IF(I69="Expedite",K69,J69)</f>
        <v>2202.77886010363</v>
      </c>
      <c r="M69" s="29" t="n">
        <f aca="false">J69-L69</f>
        <v>0</v>
      </c>
      <c r="N69" s="29" t="n">
        <f aca="false">IFERROR(E69/(F69*C69*Model!$B$5),"")</f>
        <v>1275.74040431267</v>
      </c>
    </row>
    <row r="70" customFormat="false" ht="15" hidden="false" customHeight="false" outlineLevel="0" collapsed="false">
      <c r="A70" s="0" t="str">
        <f aca="false">Clean!A70</f>
        <v>SHP0069</v>
      </c>
      <c r="B70" s="0" t="str">
        <f aca="false">Clean!AA70</f>
        <v>BlueDart</v>
      </c>
      <c r="C70" s="28" t="n">
        <f aca="false">Clean!J70</f>
        <v>11.84</v>
      </c>
      <c r="D70" s="29" t="n">
        <f aca="false">Clean!AF70</f>
        <v>555.65</v>
      </c>
      <c r="E70" s="29" t="n">
        <f aca="false">Clean!AE70</f>
        <v>4223.46</v>
      </c>
      <c r="F70" s="22" t="n">
        <f aca="false">AVERAGEIFS(Clean!$V$2:$V$1001,Clean!$AA$2:$AA$1001,B70)</f>
        <v>0.773869346733668</v>
      </c>
      <c r="G70" s="29" t="n">
        <f aca="false">F70*C70*D70</f>
        <v>5091.20594974874</v>
      </c>
      <c r="H70" s="29" t="n">
        <f aca="false">G70*Model!$B$4</f>
        <v>5091.20594974874</v>
      </c>
      <c r="I70" s="0" t="str">
        <f aca="false">IF(E70&lt;Model!$B$5*H70,"Expedite","Standard")</f>
        <v>Expedite</v>
      </c>
      <c r="J70" s="29" t="n">
        <f aca="false">H70</f>
        <v>5091.20594974874</v>
      </c>
      <c r="K70" s="29" t="n">
        <f aca="false">E70+(1-Model!$B$5)*H70</f>
        <v>4223.46</v>
      </c>
      <c r="L70" s="29" t="n">
        <f aca="false">IF(I70="Expedite",K70,J70)</f>
        <v>4223.46</v>
      </c>
      <c r="M70" s="29" t="n">
        <f aca="false">J70-L70</f>
        <v>867.745949748743</v>
      </c>
      <c r="N70" s="29" t="n">
        <f aca="false">IFERROR(E70/(F70*C70*Model!$B$5),"")</f>
        <v>460.944925851176</v>
      </c>
    </row>
    <row r="71" customFormat="false" ht="15" hidden="false" customHeight="false" outlineLevel="0" collapsed="false">
      <c r="A71" s="0" t="str">
        <f aca="false">Clean!A71</f>
        <v>SHP0070</v>
      </c>
      <c r="B71" s="0" t="str">
        <f aca="false">Clean!AA71</f>
        <v>GATI Logistics</v>
      </c>
      <c r="C71" s="28" t="n">
        <f aca="false">Clean!J71</f>
        <v>17</v>
      </c>
      <c r="D71" s="29" t="n">
        <f aca="false">Clean!AF71</f>
        <v>1417.4</v>
      </c>
      <c r="E71" s="29" t="n">
        <f aca="false">Clean!AE71</f>
        <v>3303.99</v>
      </c>
      <c r="F71" s="22" t="n">
        <f aca="false">AVERAGEIFS(Clean!$V$2:$V$1001,Clean!$AA$2:$AA$1001,B71)</f>
        <v>0.751243781094527</v>
      </c>
      <c r="G71" s="29" t="n">
        <f aca="false">F71*C71*D71</f>
        <v>18101.8199004975</v>
      </c>
      <c r="H71" s="29" t="n">
        <f aca="false">G71*Model!$B$4</f>
        <v>18101.8199004975</v>
      </c>
      <c r="I71" s="0" t="str">
        <f aca="false">IF(E71&lt;Model!$B$5*H71,"Expedite","Standard")</f>
        <v>Expedite</v>
      </c>
      <c r="J71" s="29" t="n">
        <f aca="false">H71</f>
        <v>18101.8199004975</v>
      </c>
      <c r="K71" s="29" t="n">
        <f aca="false">E71+(1-Model!$B$5)*H71</f>
        <v>3303.99</v>
      </c>
      <c r="L71" s="29" t="n">
        <f aca="false">IF(I71="Expedite",K71,J71)</f>
        <v>3303.99</v>
      </c>
      <c r="M71" s="29" t="n">
        <f aca="false">J71-L71</f>
        <v>14797.8299004975</v>
      </c>
      <c r="N71" s="29" t="n">
        <f aca="false">IFERROR(E71/(F71*C71*Model!$B$5),"")</f>
        <v>258.707436696533</v>
      </c>
    </row>
    <row r="72" customFormat="false" ht="15" hidden="false" customHeight="false" outlineLevel="0" collapsed="false">
      <c r="A72" s="0" t="str">
        <f aca="false">Clean!A72</f>
        <v>SHP0071</v>
      </c>
      <c r="B72" s="0" t="str">
        <f aca="false">Clean!AA72</f>
        <v>Delhivery</v>
      </c>
      <c r="C72" s="28" t="n">
        <f aca="false">Clean!J72</f>
        <v>1.1</v>
      </c>
      <c r="D72" s="29" t="n">
        <f aca="false">Clean!AF72</f>
        <v>687.04</v>
      </c>
      <c r="E72" s="29" t="n">
        <f aca="false">Clean!AE72</f>
        <v>4077.97</v>
      </c>
      <c r="F72" s="22" t="n">
        <f aca="false">AVERAGEIFS(Clean!$V$2:$V$1001,Clean!$AA$2:$AA$1001,B72)</f>
        <v>0.72538860103627</v>
      </c>
      <c r="G72" s="29" t="n">
        <f aca="false">F72*C72*D72</f>
        <v>548.208082901555</v>
      </c>
      <c r="H72" s="29" t="n">
        <f aca="false">G72*Model!$B$4</f>
        <v>548.208082901555</v>
      </c>
      <c r="I72" s="0" t="str">
        <f aca="false">IF(E72&lt;Model!$B$5*H72,"Expedite","Standard")</f>
        <v>Standard</v>
      </c>
      <c r="J72" s="29" t="n">
        <f aca="false">H72</f>
        <v>548.208082901555</v>
      </c>
      <c r="K72" s="29" t="n">
        <f aca="false">E72+(1-Model!$B$5)*H72</f>
        <v>4077.97</v>
      </c>
      <c r="L72" s="29" t="n">
        <f aca="false">IF(I72="Expedite",K72,J72)</f>
        <v>548.208082901555</v>
      </c>
      <c r="M72" s="29" t="n">
        <f aca="false">J72-L72</f>
        <v>0</v>
      </c>
      <c r="N72" s="29" t="n">
        <f aca="false">IFERROR(E72/(F72*C72*Model!$B$5),"")</f>
        <v>5110.70266233766</v>
      </c>
    </row>
    <row r="73" customFormat="false" ht="15" hidden="false" customHeight="false" outlineLevel="0" collapsed="false">
      <c r="A73" s="0" t="str">
        <f aca="false">Clean!A73</f>
        <v>SHP0072</v>
      </c>
      <c r="B73" s="0" t="str">
        <f aca="false">Clean!AA73</f>
        <v>GATI Logistics</v>
      </c>
      <c r="C73" s="28" t="n">
        <f aca="false">Clean!J73</f>
        <v>7.15</v>
      </c>
      <c r="D73" s="29" t="n">
        <f aca="false">Clean!AF73</f>
        <v>1081.24</v>
      </c>
      <c r="E73" s="29" t="n">
        <f aca="false">Clean!AE73</f>
        <v>2154.52</v>
      </c>
      <c r="F73" s="22" t="n">
        <f aca="false">AVERAGEIFS(Clean!$V$2:$V$1001,Clean!$AA$2:$AA$1001,B73)</f>
        <v>0.751243781094527</v>
      </c>
      <c r="G73" s="29" t="n">
        <f aca="false">F73*C73*D73</f>
        <v>5807.76500497513</v>
      </c>
      <c r="H73" s="29" t="n">
        <f aca="false">G73*Model!$B$4</f>
        <v>5807.76500497513</v>
      </c>
      <c r="I73" s="0" t="str">
        <f aca="false">IF(E73&lt;Model!$B$5*H73,"Expedite","Standard")</f>
        <v>Expedite</v>
      </c>
      <c r="J73" s="29" t="n">
        <f aca="false">H73</f>
        <v>5807.76500497513</v>
      </c>
      <c r="K73" s="29" t="n">
        <f aca="false">E73+(1-Model!$B$5)*H73</f>
        <v>2154.52</v>
      </c>
      <c r="L73" s="29" t="n">
        <f aca="false">IF(I73="Expedite",K73,J73)</f>
        <v>2154.52</v>
      </c>
      <c r="M73" s="29" t="n">
        <f aca="false">J73-L73</f>
        <v>3653.24500497513</v>
      </c>
      <c r="N73" s="29" t="n">
        <f aca="false">IFERROR(E73/(F73*C73*Model!$B$5),"")</f>
        <v>401.110100495531</v>
      </c>
    </row>
    <row r="74" customFormat="false" ht="15" hidden="false" customHeight="false" outlineLevel="0" collapsed="false">
      <c r="A74" s="0" t="str">
        <f aca="false">Clean!A74</f>
        <v>SHP0073</v>
      </c>
      <c r="B74" s="0" t="str">
        <f aca="false">Clean!AA74</f>
        <v>VRL Cargo</v>
      </c>
      <c r="C74" s="28" t="n">
        <f aca="false">Clean!J74</f>
        <v>3.93</v>
      </c>
      <c r="D74" s="29" t="n">
        <f aca="false">Clean!AF74</f>
        <v>1309.87</v>
      </c>
      <c r="E74" s="29" t="n">
        <f aca="false">Clean!AE74</f>
        <v>2289.42</v>
      </c>
      <c r="F74" s="22" t="n">
        <f aca="false">AVERAGEIFS(Clean!$V$2:$V$1001,Clean!$AA$2:$AA$1001,B74)</f>
        <v>0.72020725388601</v>
      </c>
      <c r="G74" s="29" t="n">
        <f aca="false">F74*C74*D74</f>
        <v>3707.47505129534</v>
      </c>
      <c r="H74" s="29" t="n">
        <f aca="false">G74*Model!$B$4</f>
        <v>3707.47505129534</v>
      </c>
      <c r="I74" s="0" t="str">
        <f aca="false">IF(E74&lt;Model!$B$5*H74,"Expedite","Standard")</f>
        <v>Expedite</v>
      </c>
      <c r="J74" s="29" t="n">
        <f aca="false">H74</f>
        <v>3707.47505129534</v>
      </c>
      <c r="K74" s="29" t="n">
        <f aca="false">E74+(1-Model!$B$5)*H74</f>
        <v>2289.42</v>
      </c>
      <c r="L74" s="29" t="n">
        <f aca="false">IF(I74="Expedite",K74,J74)</f>
        <v>2289.42</v>
      </c>
      <c r="M74" s="29" t="n">
        <f aca="false">J74-L74</f>
        <v>1418.05505129534</v>
      </c>
      <c r="N74" s="29" t="n">
        <f aca="false">IFERROR(E74/(F74*C74*Model!$B$5),"")</f>
        <v>808.863858531495</v>
      </c>
    </row>
    <row r="75" customFormat="false" ht="15" hidden="false" customHeight="false" outlineLevel="0" collapsed="false">
      <c r="A75" s="0" t="str">
        <f aca="false">Clean!A75</f>
        <v>SHP0074</v>
      </c>
      <c r="B75" s="0" t="str">
        <f aca="false">Clean!AA75</f>
        <v>BlueDart</v>
      </c>
      <c r="C75" s="28" t="n">
        <f aca="false">Clean!J75</f>
        <v>5.84</v>
      </c>
      <c r="D75" s="29" t="n">
        <f aca="false">Clean!AF75</f>
        <v>1429.53</v>
      </c>
      <c r="E75" s="29" t="n">
        <f aca="false">Clean!AE75</f>
        <v>2395.47</v>
      </c>
      <c r="F75" s="22" t="n">
        <f aca="false">AVERAGEIFS(Clean!$V$2:$V$1001,Clean!$AA$2:$AA$1001,B75)</f>
        <v>0.773869346733668</v>
      </c>
      <c r="G75" s="29" t="n">
        <f aca="false">F75*C75*D75</f>
        <v>6460.6135718593</v>
      </c>
      <c r="H75" s="29" t="n">
        <f aca="false">G75*Model!$B$4</f>
        <v>6460.6135718593</v>
      </c>
      <c r="I75" s="0" t="str">
        <f aca="false">IF(E75&lt;Model!$B$5*H75,"Expedite","Standard")</f>
        <v>Expedite</v>
      </c>
      <c r="J75" s="29" t="n">
        <f aca="false">H75</f>
        <v>6460.6135718593</v>
      </c>
      <c r="K75" s="29" t="n">
        <f aca="false">E75+(1-Model!$B$5)*H75</f>
        <v>2395.47</v>
      </c>
      <c r="L75" s="29" t="n">
        <f aca="false">IF(I75="Expedite",K75,J75)</f>
        <v>2395.47</v>
      </c>
      <c r="M75" s="29" t="n">
        <f aca="false">J75-L75</f>
        <v>4065.1435718593</v>
      </c>
      <c r="N75" s="29" t="n">
        <f aca="false">IFERROR(E75/(F75*C75*Model!$B$5),"")</f>
        <v>530.041952054795</v>
      </c>
    </row>
    <row r="76" customFormat="false" ht="15" hidden="false" customHeight="false" outlineLevel="0" collapsed="false">
      <c r="A76" s="0" t="str">
        <f aca="false">Clean!A76</f>
        <v>SHP0075</v>
      </c>
      <c r="B76" s="0" t="str">
        <f aca="false">Clean!AA76</f>
        <v>TCI Express</v>
      </c>
      <c r="C76" s="28" t="n">
        <f aca="false">Clean!J76</f>
        <v>16.78</v>
      </c>
      <c r="D76" s="29" t="n">
        <f aca="false">Clean!AF76</f>
        <v>1250.5</v>
      </c>
      <c r="E76" s="29" t="n">
        <f aca="false">Clean!AE76</f>
        <v>4311.76</v>
      </c>
      <c r="F76" s="22" t="n">
        <f aca="false">AVERAGEIFS(Clean!$V$2:$V$1001,Clean!$AA$2:$AA$1001,B76)</f>
        <v>0.752336448598131</v>
      </c>
      <c r="G76" s="29" t="n">
        <f aca="false">F76*C76*D76</f>
        <v>15786.5691121495</v>
      </c>
      <c r="H76" s="29" t="n">
        <f aca="false">G76*Model!$B$4</f>
        <v>15786.5691121495</v>
      </c>
      <c r="I76" s="0" t="str">
        <f aca="false">IF(E76&lt;Model!$B$5*H76,"Expedite","Standard")</f>
        <v>Expedite</v>
      </c>
      <c r="J76" s="29" t="n">
        <f aca="false">H76</f>
        <v>15786.5691121495</v>
      </c>
      <c r="K76" s="29" t="n">
        <f aca="false">E76+(1-Model!$B$5)*H76</f>
        <v>4311.76</v>
      </c>
      <c r="L76" s="29" t="n">
        <f aca="false">IF(I76="Expedite",K76,J76)</f>
        <v>4311.76</v>
      </c>
      <c r="M76" s="29" t="n">
        <f aca="false">J76-L76</f>
        <v>11474.8091121495</v>
      </c>
      <c r="N76" s="29" t="n">
        <f aca="false">IFERROR(E76/(F76*C76*Model!$B$5),"")</f>
        <v>341.547035438521</v>
      </c>
    </row>
    <row r="77" customFormat="false" ht="15" hidden="false" customHeight="false" outlineLevel="0" collapsed="false">
      <c r="A77" s="0" t="str">
        <f aca="false">Clean!A77</f>
        <v>SHP0076</v>
      </c>
      <c r="B77" s="0" t="str">
        <f aca="false">Clean!AA77</f>
        <v>TCI Express</v>
      </c>
      <c r="C77" s="28" t="n">
        <f aca="false">Clean!J77</f>
        <v>16.19</v>
      </c>
      <c r="D77" s="29" t="n">
        <f aca="false">Clean!AF77</f>
        <v>1088.31</v>
      </c>
      <c r="E77" s="29" t="n">
        <f aca="false">Clean!AE77</f>
        <v>2264.79</v>
      </c>
      <c r="F77" s="22" t="n">
        <f aca="false">AVERAGEIFS(Clean!$V$2:$V$1001,Clean!$AA$2:$AA$1001,B77)</f>
        <v>0.752336448598131</v>
      </c>
      <c r="G77" s="29" t="n">
        <f aca="false">F77*C77*D77</f>
        <v>13255.9717892523</v>
      </c>
      <c r="H77" s="29" t="n">
        <f aca="false">G77*Model!$B$4</f>
        <v>13255.9717892523</v>
      </c>
      <c r="I77" s="0" t="str">
        <f aca="false">IF(E77&lt;Model!$B$5*H77,"Expedite","Standard")</f>
        <v>Expedite</v>
      </c>
      <c r="J77" s="29" t="n">
        <f aca="false">H77</f>
        <v>13255.9717892523</v>
      </c>
      <c r="K77" s="29" t="n">
        <f aca="false">E77+(1-Model!$B$5)*H77</f>
        <v>2264.79</v>
      </c>
      <c r="L77" s="29" t="n">
        <f aca="false">IF(I77="Expedite",K77,J77)</f>
        <v>2264.79</v>
      </c>
      <c r="M77" s="29" t="n">
        <f aca="false">J77-L77</f>
        <v>10991.1817892523</v>
      </c>
      <c r="N77" s="29" t="n">
        <f aca="false">IFERROR(E77/(F77*C77*Model!$B$5),"")</f>
        <v>185.938356243214</v>
      </c>
    </row>
    <row r="78" customFormat="false" ht="15" hidden="false" customHeight="false" outlineLevel="0" collapsed="false">
      <c r="A78" s="0" t="str">
        <f aca="false">Clean!A78</f>
        <v>SHP0077</v>
      </c>
      <c r="B78" s="0" t="str">
        <f aca="false">Clean!AA78</f>
        <v>GATI Logistics</v>
      </c>
      <c r="C78" s="28" t="n">
        <f aca="false">Clean!J78</f>
        <v>13.98</v>
      </c>
      <c r="D78" s="29" t="n">
        <f aca="false">Clean!AF78</f>
        <v>883.89</v>
      </c>
      <c r="E78" s="29" t="n">
        <f aca="false">Clean!AE78</f>
        <v>4598.3</v>
      </c>
      <c r="F78" s="22" t="n">
        <f aca="false">AVERAGEIFS(Clean!$V$2:$V$1001,Clean!$AA$2:$AA$1001,B78)</f>
        <v>0.751243781094527</v>
      </c>
      <c r="G78" s="29" t="n">
        <f aca="false">F78*C78*D78</f>
        <v>9282.95578208955</v>
      </c>
      <c r="H78" s="29" t="n">
        <f aca="false">G78*Model!$B$4</f>
        <v>9282.95578208955</v>
      </c>
      <c r="I78" s="0" t="str">
        <f aca="false">IF(E78&lt;Model!$B$5*H78,"Expedite","Standard")</f>
        <v>Expedite</v>
      </c>
      <c r="J78" s="29" t="n">
        <f aca="false">H78</f>
        <v>9282.95578208955</v>
      </c>
      <c r="K78" s="29" t="n">
        <f aca="false">E78+(1-Model!$B$5)*H78</f>
        <v>4598.3</v>
      </c>
      <c r="L78" s="29" t="n">
        <f aca="false">IF(I78="Expedite",K78,J78)</f>
        <v>4598.3</v>
      </c>
      <c r="M78" s="29" t="n">
        <f aca="false">J78-L78</f>
        <v>4684.65578208955</v>
      </c>
      <c r="N78" s="29" t="n">
        <f aca="false">IFERROR(E78/(F78*C78*Model!$B$5),"")</f>
        <v>437.833754938465</v>
      </c>
    </row>
    <row r="79" customFormat="false" ht="15" hidden="false" customHeight="false" outlineLevel="0" collapsed="false">
      <c r="A79" s="0" t="str">
        <f aca="false">Clean!A79</f>
        <v>SHP0078</v>
      </c>
      <c r="B79" s="0" t="str">
        <f aca="false">Clean!AA79</f>
        <v>BlueDart</v>
      </c>
      <c r="C79" s="28" t="n">
        <f aca="false">Clean!J79</f>
        <v>11.33</v>
      </c>
      <c r="D79" s="29" t="n">
        <f aca="false">Clean!AF79</f>
        <v>639.27</v>
      </c>
      <c r="E79" s="29" t="n">
        <f aca="false">Clean!AE79</f>
        <v>2339.62</v>
      </c>
      <c r="F79" s="22" t="n">
        <f aca="false">AVERAGEIFS(Clean!$V$2:$V$1001,Clean!$AA$2:$AA$1001,B79)</f>
        <v>0.773869346733668</v>
      </c>
      <c r="G79" s="29" t="n">
        <f aca="false">F79*C79*D79</f>
        <v>5605.08081105528</v>
      </c>
      <c r="H79" s="29" t="n">
        <f aca="false">G79*Model!$B$4</f>
        <v>5605.08081105528</v>
      </c>
      <c r="I79" s="0" t="str">
        <f aca="false">IF(E79&lt;Model!$B$5*H79,"Expedite","Standard")</f>
        <v>Expedite</v>
      </c>
      <c r="J79" s="29" t="n">
        <f aca="false">H79</f>
        <v>5605.08081105528</v>
      </c>
      <c r="K79" s="29" t="n">
        <f aca="false">E79+(1-Model!$B$5)*H79</f>
        <v>2339.62</v>
      </c>
      <c r="L79" s="29" t="n">
        <f aca="false">IF(I79="Expedite",K79,J79)</f>
        <v>2339.62</v>
      </c>
      <c r="M79" s="29" t="n">
        <f aca="false">J79-L79</f>
        <v>3265.46081105528</v>
      </c>
      <c r="N79" s="29" t="n">
        <f aca="false">IFERROR(E79/(F79*C79*Model!$B$5),"")</f>
        <v>266.838057793927</v>
      </c>
    </row>
    <row r="80" customFormat="false" ht="15" hidden="false" customHeight="false" outlineLevel="0" collapsed="false">
      <c r="A80" s="0" t="str">
        <f aca="false">Clean!A80</f>
        <v>SHP0079</v>
      </c>
      <c r="B80" s="0" t="str">
        <f aca="false">Clean!AA80</f>
        <v>TCI Express</v>
      </c>
      <c r="C80" s="28" t="n">
        <f aca="false">Clean!J80</f>
        <v>16.09</v>
      </c>
      <c r="D80" s="29" t="n">
        <f aca="false">Clean!AF80</f>
        <v>704.54</v>
      </c>
      <c r="E80" s="29" t="n">
        <f aca="false">Clean!AE80</f>
        <v>1572.51</v>
      </c>
      <c r="F80" s="22" t="n">
        <f aca="false">AVERAGEIFS(Clean!$V$2:$V$1001,Clean!$AA$2:$AA$1001,B80)</f>
        <v>0.752336448598131</v>
      </c>
      <c r="G80" s="29" t="n">
        <f aca="false">F80*C80*D80</f>
        <v>8528.52254485981</v>
      </c>
      <c r="H80" s="29" t="n">
        <f aca="false">G80*Model!$B$4</f>
        <v>8528.52254485981</v>
      </c>
      <c r="I80" s="0" t="str">
        <f aca="false">IF(E80&lt;Model!$B$5*H80,"Expedite","Standard")</f>
        <v>Expedite</v>
      </c>
      <c r="J80" s="29" t="n">
        <f aca="false">H80</f>
        <v>8528.52254485981</v>
      </c>
      <c r="K80" s="29" t="n">
        <f aca="false">E80+(1-Model!$B$5)*H80</f>
        <v>1572.51</v>
      </c>
      <c r="L80" s="29" t="n">
        <f aca="false">IF(I80="Expedite",K80,J80)</f>
        <v>1572.51</v>
      </c>
      <c r="M80" s="29" t="n">
        <f aca="false">J80-L80</f>
        <v>6956.01254485981</v>
      </c>
      <c r="N80" s="29" t="n">
        <f aca="false">IFERROR(E80/(F80*C80*Model!$B$5),"")</f>
        <v>129.904821095623</v>
      </c>
    </row>
    <row r="81" customFormat="false" ht="15" hidden="false" customHeight="false" outlineLevel="0" collapsed="false">
      <c r="A81" s="0" t="str">
        <f aca="false">Clean!A81</f>
        <v>SHP0080</v>
      </c>
      <c r="B81" s="0" t="str">
        <f aca="false">Clean!AA81</f>
        <v>GATI Logistics</v>
      </c>
      <c r="C81" s="28" t="n">
        <f aca="false">Clean!J81</f>
        <v>14.57</v>
      </c>
      <c r="D81" s="29" t="n">
        <f aca="false">Clean!AF81</f>
        <v>1002.29</v>
      </c>
      <c r="E81" s="29" t="n">
        <f aca="false">Clean!AE81</f>
        <v>3415.83</v>
      </c>
      <c r="F81" s="22" t="n">
        <f aca="false">AVERAGEIFS(Clean!$V$2:$V$1001,Clean!$AA$2:$AA$1001,B81)</f>
        <v>0.751243781094527</v>
      </c>
      <c r="G81" s="29" t="n">
        <f aca="false">F81*C81*D81</f>
        <v>10970.6873646766</v>
      </c>
      <c r="H81" s="29" t="n">
        <f aca="false">G81*Model!$B$4</f>
        <v>10970.6873646766</v>
      </c>
      <c r="I81" s="0" t="str">
        <f aca="false">IF(E81&lt;Model!$B$5*H81,"Expedite","Standard")</f>
        <v>Expedite</v>
      </c>
      <c r="J81" s="29" t="n">
        <f aca="false">H81</f>
        <v>10970.6873646766</v>
      </c>
      <c r="K81" s="29" t="n">
        <f aca="false">E81+(1-Model!$B$5)*H81</f>
        <v>3415.83</v>
      </c>
      <c r="L81" s="29" t="n">
        <f aca="false">IF(I81="Expedite",K81,J81)</f>
        <v>3415.83</v>
      </c>
      <c r="M81" s="29" t="n">
        <f aca="false">J81-L81</f>
        <v>7554.85736467662</v>
      </c>
      <c r="N81" s="29" t="n">
        <f aca="false">IFERROR(E81/(F81*C81*Model!$B$5),"")</f>
        <v>312.072720413441</v>
      </c>
    </row>
    <row r="82" customFormat="false" ht="15" hidden="false" customHeight="false" outlineLevel="0" collapsed="false">
      <c r="A82" s="0" t="str">
        <f aca="false">Clean!A82</f>
        <v>SHP0081</v>
      </c>
      <c r="B82" s="0" t="str">
        <f aca="false">Clean!AA82</f>
        <v>GATI Logistics</v>
      </c>
      <c r="C82" s="28" t="n">
        <f aca="false">Clean!J82</f>
        <v>11.26</v>
      </c>
      <c r="D82" s="29" t="n">
        <f aca="false">Clean!AF82</f>
        <v>1326.8</v>
      </c>
      <c r="E82" s="29" t="n">
        <f aca="false">Clean!AE82</f>
        <v>3396.12</v>
      </c>
      <c r="F82" s="22" t="n">
        <f aca="false">AVERAGEIFS(Clean!$V$2:$V$1001,Clean!$AA$2:$AA$1001,B82)</f>
        <v>0.751243781094527</v>
      </c>
      <c r="G82" s="29" t="n">
        <f aca="false">F82*C82*D82</f>
        <v>11223.407800995</v>
      </c>
      <c r="H82" s="29" t="n">
        <f aca="false">G82*Model!$B$4</f>
        <v>11223.407800995</v>
      </c>
      <c r="I82" s="0" t="str">
        <f aca="false">IF(E82&lt;Model!$B$5*H82,"Expedite","Standard")</f>
        <v>Expedite</v>
      </c>
      <c r="J82" s="29" t="n">
        <f aca="false">H82</f>
        <v>11223.407800995</v>
      </c>
      <c r="K82" s="29" t="n">
        <f aca="false">E82+(1-Model!$B$5)*H82</f>
        <v>3396.12</v>
      </c>
      <c r="L82" s="29" t="n">
        <f aca="false">IF(I82="Expedite",K82,J82)</f>
        <v>3396.12</v>
      </c>
      <c r="M82" s="29" t="n">
        <f aca="false">J82-L82</f>
        <v>7827.28780099503</v>
      </c>
      <c r="N82" s="29" t="n">
        <f aca="false">IFERROR(E82/(F82*C82*Model!$B$5),"")</f>
        <v>401.479844259113</v>
      </c>
    </row>
    <row r="83" customFormat="false" ht="15" hidden="false" customHeight="false" outlineLevel="0" collapsed="false">
      <c r="A83" s="0" t="str">
        <f aca="false">Clean!A83</f>
        <v>SHP0082</v>
      </c>
      <c r="B83" s="0" t="str">
        <f aca="false">Clean!AA83</f>
        <v>TCI Express</v>
      </c>
      <c r="C83" s="28" t="n">
        <f aca="false">Clean!J83</f>
        <v>19.22</v>
      </c>
      <c r="D83" s="29" t="n">
        <f aca="false">Clean!AF83</f>
        <v>600.79</v>
      </c>
      <c r="E83" s="29" t="n">
        <f aca="false">Clean!AE83</f>
        <v>1556.46</v>
      </c>
      <c r="F83" s="22" t="n">
        <f aca="false">AVERAGEIFS(Clean!$V$2:$V$1001,Clean!$AA$2:$AA$1001,B83)</f>
        <v>0.752336448598131</v>
      </c>
      <c r="G83" s="29" t="n">
        <f aca="false">F83*C83*D83</f>
        <v>8687.36725140187</v>
      </c>
      <c r="H83" s="29" t="n">
        <f aca="false">G83*Model!$B$4</f>
        <v>8687.36725140187</v>
      </c>
      <c r="I83" s="0" t="str">
        <f aca="false">IF(E83&lt;Model!$B$5*H83,"Expedite","Standard")</f>
        <v>Expedite</v>
      </c>
      <c r="J83" s="29" t="n">
        <f aca="false">H83</f>
        <v>8687.36725140187</v>
      </c>
      <c r="K83" s="29" t="n">
        <f aca="false">E83+(1-Model!$B$5)*H83</f>
        <v>1556.46</v>
      </c>
      <c r="L83" s="29" t="n">
        <f aca="false">IF(I83="Expedite",K83,J83)</f>
        <v>1556.46</v>
      </c>
      <c r="M83" s="29" t="n">
        <f aca="false">J83-L83</f>
        <v>7130.90725140187</v>
      </c>
      <c r="N83" s="29" t="n">
        <f aca="false">IFERROR(E83/(F83*C83*Model!$B$5),"")</f>
        <v>107.639699846821</v>
      </c>
    </row>
    <row r="84" customFormat="false" ht="15" hidden="false" customHeight="false" outlineLevel="0" collapsed="false">
      <c r="A84" s="0" t="str">
        <f aca="false">Clean!A84</f>
        <v>SHP0083</v>
      </c>
      <c r="B84" s="0" t="str">
        <f aca="false">Clean!AA84</f>
        <v>GATI Logistics</v>
      </c>
      <c r="C84" s="28" t="n">
        <f aca="false">Clean!J84</f>
        <v>5.86</v>
      </c>
      <c r="D84" s="29" t="n">
        <f aca="false">Clean!AF84</f>
        <v>874.44</v>
      </c>
      <c r="E84" s="29" t="n">
        <f aca="false">Clean!AE84</f>
        <v>4084.99</v>
      </c>
      <c r="F84" s="22" t="n">
        <f aca="false">AVERAGEIFS(Clean!$V$2:$V$1001,Clean!$AA$2:$AA$1001,B84)</f>
        <v>0.751243781094527</v>
      </c>
      <c r="G84" s="29" t="n">
        <f aca="false">F84*C84*D84</f>
        <v>3849.53720597015</v>
      </c>
      <c r="H84" s="29" t="n">
        <f aca="false">G84*Model!$B$4</f>
        <v>3849.53720597015</v>
      </c>
      <c r="I84" s="0" t="str">
        <f aca="false">IF(E84&lt;Model!$B$5*H84,"Expedite","Standard")</f>
        <v>Standard</v>
      </c>
      <c r="J84" s="29" t="n">
        <f aca="false">H84</f>
        <v>3849.53720597015</v>
      </c>
      <c r="K84" s="29" t="n">
        <f aca="false">E84+(1-Model!$B$5)*H84</f>
        <v>4084.99</v>
      </c>
      <c r="L84" s="29" t="n">
        <f aca="false">IF(I84="Expedite",K84,J84)</f>
        <v>3849.53720597015</v>
      </c>
      <c r="M84" s="29" t="n">
        <f aca="false">J84-L84</f>
        <v>0</v>
      </c>
      <c r="N84" s="29" t="n">
        <f aca="false">IFERROR(E84/(F84*C84*Model!$B$5),"")</f>
        <v>927.924180096286</v>
      </c>
    </row>
    <row r="85" customFormat="false" ht="15" hidden="false" customHeight="false" outlineLevel="0" collapsed="false">
      <c r="A85" s="0" t="str">
        <f aca="false">Clean!A85</f>
        <v>SHP0084</v>
      </c>
      <c r="B85" s="0" t="str">
        <f aca="false">Clean!AA85</f>
        <v>GATI Logistics</v>
      </c>
      <c r="C85" s="28" t="n">
        <f aca="false">Clean!J85</f>
        <v>2.31</v>
      </c>
      <c r="D85" s="29" t="n">
        <f aca="false">Clean!AF85</f>
        <v>665.52</v>
      </c>
      <c r="E85" s="29" t="n">
        <f aca="false">Clean!AE85</f>
        <v>1943.62</v>
      </c>
      <c r="F85" s="22" t="n">
        <f aca="false">AVERAGEIFS(Clean!$V$2:$V$1001,Clean!$AA$2:$AA$1001,B85)</f>
        <v>0.751243781094527</v>
      </c>
      <c r="G85" s="29" t="n">
        <f aca="false">F85*C85*D85</f>
        <v>1154.92552835821</v>
      </c>
      <c r="H85" s="29" t="n">
        <f aca="false">G85*Model!$B$4</f>
        <v>1154.92552835821</v>
      </c>
      <c r="I85" s="0" t="str">
        <f aca="false">IF(E85&lt;Model!$B$5*H85,"Expedite","Standard")</f>
        <v>Standard</v>
      </c>
      <c r="J85" s="29" t="n">
        <f aca="false">H85</f>
        <v>1154.92552835821</v>
      </c>
      <c r="K85" s="29" t="n">
        <f aca="false">E85+(1-Model!$B$5)*H85</f>
        <v>1943.62</v>
      </c>
      <c r="L85" s="29" t="n">
        <f aca="false">IF(I85="Expedite",K85,J85)</f>
        <v>1154.92552835821</v>
      </c>
      <c r="M85" s="29" t="n">
        <f aca="false">J85-L85</f>
        <v>0</v>
      </c>
      <c r="N85" s="29" t="n">
        <f aca="false">IFERROR(E85/(F85*C85*Model!$B$5),"")</f>
        <v>1120.00120409392</v>
      </c>
    </row>
    <row r="86" customFormat="false" ht="15" hidden="false" customHeight="false" outlineLevel="0" collapsed="false">
      <c r="A86" s="0" t="str">
        <f aca="false">Clean!A86</f>
        <v>SHP0085</v>
      </c>
      <c r="B86" s="0" t="str">
        <f aca="false">Clean!AA86</f>
        <v>Delhivery</v>
      </c>
      <c r="C86" s="28" t="n">
        <f aca="false">Clean!J86</f>
        <v>4.54</v>
      </c>
      <c r="D86" s="29" t="n">
        <f aca="false">Clean!AF86</f>
        <v>1103.72</v>
      </c>
      <c r="E86" s="29" t="n">
        <f aca="false">Clean!AE86</f>
        <v>4151.16</v>
      </c>
      <c r="F86" s="22" t="n">
        <f aca="false">AVERAGEIFS(Clean!$V$2:$V$1001,Clean!$AA$2:$AA$1001,B86)</f>
        <v>0.72538860103627</v>
      </c>
      <c r="G86" s="29" t="n">
        <f aca="false">F86*C86*D86</f>
        <v>3634.84161658031</v>
      </c>
      <c r="H86" s="29" t="n">
        <f aca="false">G86*Model!$B$4</f>
        <v>3634.84161658031</v>
      </c>
      <c r="I86" s="0" t="str">
        <f aca="false">IF(E86&lt;Model!$B$5*H86,"Expedite","Standard")</f>
        <v>Standard</v>
      </c>
      <c r="J86" s="29" t="n">
        <f aca="false">H86</f>
        <v>3634.84161658031</v>
      </c>
      <c r="K86" s="29" t="n">
        <f aca="false">E86+(1-Model!$B$5)*H86</f>
        <v>4151.16</v>
      </c>
      <c r="L86" s="29" t="n">
        <f aca="false">IF(I86="Expedite",K86,J86)</f>
        <v>3634.84161658031</v>
      </c>
      <c r="M86" s="29" t="n">
        <f aca="false">J86-L86</f>
        <v>0</v>
      </c>
      <c r="N86" s="29" t="n">
        <f aca="false">IFERROR(E86/(F86*C86*Model!$B$5),"")</f>
        <v>1260.50012586532</v>
      </c>
    </row>
    <row r="87" customFormat="false" ht="15" hidden="false" customHeight="false" outlineLevel="0" collapsed="false">
      <c r="A87" s="0" t="str">
        <f aca="false">Clean!A87</f>
        <v>SHP0086</v>
      </c>
      <c r="B87" s="0" t="str">
        <f aca="false">Clean!AA87</f>
        <v>Delhivery</v>
      </c>
      <c r="C87" s="28" t="n">
        <f aca="false">Clean!J87</f>
        <v>3.17</v>
      </c>
      <c r="D87" s="29" t="n">
        <f aca="false">Clean!AF87</f>
        <v>724.6</v>
      </c>
      <c r="E87" s="29" t="n">
        <f aca="false">Clean!AE87</f>
        <v>2808.87</v>
      </c>
      <c r="F87" s="22" t="n">
        <f aca="false">AVERAGEIFS(Clean!$V$2:$V$1001,Clean!$AA$2:$AA$1001,B87)</f>
        <v>0.72538860103627</v>
      </c>
      <c r="G87" s="29" t="n">
        <f aca="false">F87*C87*D87</f>
        <v>1666.20455958549</v>
      </c>
      <c r="H87" s="29" t="n">
        <f aca="false">G87*Model!$B$4</f>
        <v>1666.20455958549</v>
      </c>
      <c r="I87" s="0" t="str">
        <f aca="false">IF(E87&lt;Model!$B$5*H87,"Expedite","Standard")</f>
        <v>Standard</v>
      </c>
      <c r="J87" s="29" t="n">
        <f aca="false">H87</f>
        <v>1666.20455958549</v>
      </c>
      <c r="K87" s="29" t="n">
        <f aca="false">E87+(1-Model!$B$5)*H87</f>
        <v>2808.87</v>
      </c>
      <c r="L87" s="29" t="n">
        <f aca="false">IF(I87="Expedite",K87,J87)</f>
        <v>1666.20455958549</v>
      </c>
      <c r="M87" s="29" t="n">
        <f aca="false">J87-L87</f>
        <v>0</v>
      </c>
      <c r="N87" s="29" t="n">
        <f aca="false">IFERROR(E87/(F87*C87*Model!$B$5),"")</f>
        <v>1221.52300585849</v>
      </c>
    </row>
    <row r="88" customFormat="false" ht="15" hidden="false" customHeight="false" outlineLevel="0" collapsed="false">
      <c r="A88" s="0" t="str">
        <f aca="false">Clean!A88</f>
        <v>SHP0087</v>
      </c>
      <c r="B88" s="0" t="str">
        <f aca="false">Clean!AA88</f>
        <v>BlueDart</v>
      </c>
      <c r="C88" s="28" t="n">
        <f aca="false">Clean!J88</f>
        <v>9.6</v>
      </c>
      <c r="D88" s="29" t="n">
        <f aca="false">Clean!AF88</f>
        <v>712.68</v>
      </c>
      <c r="E88" s="29" t="n">
        <f aca="false">Clean!AE88</f>
        <v>1880.39</v>
      </c>
      <c r="F88" s="22" t="n">
        <f aca="false">AVERAGEIFS(Clean!$V$2:$V$1001,Clean!$AA$2:$AA$1001,B88)</f>
        <v>0.773869346733668</v>
      </c>
      <c r="G88" s="29" t="n">
        <f aca="false">F88*C88*D88</f>
        <v>5294.60357788945</v>
      </c>
      <c r="H88" s="29" t="n">
        <f aca="false">G88*Model!$B$4</f>
        <v>5294.60357788945</v>
      </c>
      <c r="I88" s="0" t="str">
        <f aca="false">IF(E88&lt;Model!$B$5*H88,"Expedite","Standard")</f>
        <v>Expedite</v>
      </c>
      <c r="J88" s="29" t="n">
        <f aca="false">H88</f>
        <v>5294.60357788945</v>
      </c>
      <c r="K88" s="29" t="n">
        <f aca="false">E88+(1-Model!$B$5)*H88</f>
        <v>1880.39</v>
      </c>
      <c r="L88" s="29" t="n">
        <f aca="false">IF(I88="Expedite",K88,J88)</f>
        <v>1880.39</v>
      </c>
      <c r="M88" s="29" t="n">
        <f aca="false">J88-L88</f>
        <v>3414.21357788945</v>
      </c>
      <c r="N88" s="29" t="n">
        <f aca="false">IFERROR(E88/(F88*C88*Model!$B$5),"")</f>
        <v>253.109855248918</v>
      </c>
    </row>
    <row r="89" customFormat="false" ht="15" hidden="false" customHeight="false" outlineLevel="0" collapsed="false">
      <c r="A89" s="0" t="str">
        <f aca="false">Clean!A89</f>
        <v>SHP0088</v>
      </c>
      <c r="B89" s="0" t="str">
        <f aca="false">Clean!AA89</f>
        <v>VRL Cargo</v>
      </c>
      <c r="C89" s="28" t="n">
        <f aca="false">Clean!J89</f>
        <v>10.79</v>
      </c>
      <c r="D89" s="29" t="n">
        <f aca="false">Clean!AF89</f>
        <v>799.6</v>
      </c>
      <c r="E89" s="29" t="n">
        <f aca="false">Clean!AE89</f>
        <v>1737.85</v>
      </c>
      <c r="F89" s="22" t="n">
        <f aca="false">AVERAGEIFS(Clean!$V$2:$V$1001,Clean!$AA$2:$AA$1001,B89)</f>
        <v>0.72020725388601</v>
      </c>
      <c r="G89" s="29" t="n">
        <f aca="false">F89*C89*D89</f>
        <v>6213.72060103627</v>
      </c>
      <c r="H89" s="29" t="n">
        <f aca="false">G89*Model!$B$4</f>
        <v>6213.72060103627</v>
      </c>
      <c r="I89" s="0" t="str">
        <f aca="false">IF(E89&lt;Model!$B$5*H89,"Expedite","Standard")</f>
        <v>Expedite</v>
      </c>
      <c r="J89" s="29" t="n">
        <f aca="false">H89</f>
        <v>6213.72060103627</v>
      </c>
      <c r="K89" s="29" t="n">
        <f aca="false">E89+(1-Model!$B$5)*H89</f>
        <v>1737.85</v>
      </c>
      <c r="L89" s="29" t="n">
        <f aca="false">IF(I89="Expedite",K89,J89)</f>
        <v>1737.85</v>
      </c>
      <c r="M89" s="29" t="n">
        <f aca="false">J89-L89</f>
        <v>4475.87060103627</v>
      </c>
      <c r="N89" s="29" t="n">
        <f aca="false">IFERROR(E89/(F89*C89*Model!$B$5),"")</f>
        <v>223.631693347824</v>
      </c>
    </row>
    <row r="90" customFormat="false" ht="15" hidden="false" customHeight="false" outlineLevel="0" collapsed="false">
      <c r="A90" s="0" t="str">
        <f aca="false">Clean!A90</f>
        <v>SHP0089</v>
      </c>
      <c r="B90" s="0" t="str">
        <f aca="false">Clean!AA90</f>
        <v>BlueDart</v>
      </c>
      <c r="C90" s="28" t="n">
        <f aca="false">Clean!J90</f>
        <v>6.89</v>
      </c>
      <c r="D90" s="29" t="n">
        <f aca="false">Clean!AF90</f>
        <v>565.71</v>
      </c>
      <c r="E90" s="29" t="n">
        <f aca="false">Clean!AE90</f>
        <v>3259.36</v>
      </c>
      <c r="F90" s="22" t="n">
        <f aca="false">AVERAGEIFS(Clean!$V$2:$V$1001,Clean!$AA$2:$AA$1001,B90)</f>
        <v>0.773869346733668</v>
      </c>
      <c r="G90" s="29" t="n">
        <f aca="false">F90*C90*D90</f>
        <v>3016.34297788945</v>
      </c>
      <c r="H90" s="29" t="n">
        <f aca="false">G90*Model!$B$4</f>
        <v>3016.34297788945</v>
      </c>
      <c r="I90" s="0" t="str">
        <f aca="false">IF(E90&lt;Model!$B$5*H90,"Expedite","Standard")</f>
        <v>Standard</v>
      </c>
      <c r="J90" s="29" t="n">
        <f aca="false">H90</f>
        <v>3016.34297788945</v>
      </c>
      <c r="K90" s="29" t="n">
        <f aca="false">E90+(1-Model!$B$5)*H90</f>
        <v>3259.36</v>
      </c>
      <c r="L90" s="29" t="n">
        <f aca="false">IF(I90="Expedite",K90,J90)</f>
        <v>3016.34297788945</v>
      </c>
      <c r="M90" s="29" t="n">
        <f aca="false">J90-L90</f>
        <v>0</v>
      </c>
      <c r="N90" s="29" t="n">
        <f aca="false">IFERROR(E90/(F90*C90*Model!$B$5),"")</f>
        <v>611.287429551581</v>
      </c>
    </row>
    <row r="91" customFormat="false" ht="15" hidden="false" customHeight="false" outlineLevel="0" collapsed="false">
      <c r="A91" s="0" t="str">
        <f aca="false">Clean!A91</f>
        <v>SHP0090</v>
      </c>
      <c r="B91" s="0" t="str">
        <f aca="false">Clean!AA91</f>
        <v>VRL Cargo</v>
      </c>
      <c r="C91" s="28" t="n">
        <f aca="false">Clean!J91</f>
        <v>15.74</v>
      </c>
      <c r="D91" s="29" t="n">
        <f aca="false">Clean!AF91</f>
        <v>681.93</v>
      </c>
      <c r="E91" s="29" t="n">
        <f aca="false">Clean!AE91</f>
        <v>1620.96</v>
      </c>
      <c r="F91" s="22" t="n">
        <f aca="false">AVERAGEIFS(Clean!$V$2:$V$1001,Clean!$AA$2:$AA$1001,B91)</f>
        <v>0.72020725388601</v>
      </c>
      <c r="G91" s="29" t="n">
        <f aca="false">F91*C91*D91</f>
        <v>7730.40087979275</v>
      </c>
      <c r="H91" s="29" t="n">
        <f aca="false">G91*Model!$B$4</f>
        <v>7730.40087979275</v>
      </c>
      <c r="I91" s="0" t="str">
        <f aca="false">IF(E91&lt;Model!$B$5*H91,"Expedite","Standard")</f>
        <v>Expedite</v>
      </c>
      <c r="J91" s="29" t="n">
        <f aca="false">H91</f>
        <v>7730.40087979275</v>
      </c>
      <c r="K91" s="29" t="n">
        <f aca="false">E91+(1-Model!$B$5)*H91</f>
        <v>1620.96</v>
      </c>
      <c r="L91" s="29" t="n">
        <f aca="false">IF(I91="Expedite",K91,J91)</f>
        <v>1620.96</v>
      </c>
      <c r="M91" s="29" t="n">
        <f aca="false">J91-L91</f>
        <v>6109.44087979275</v>
      </c>
      <c r="N91" s="29" t="n">
        <f aca="false">IFERROR(E91/(F91*C91*Model!$B$5),"")</f>
        <v>142.991452835191</v>
      </c>
    </row>
    <row r="92" customFormat="false" ht="15" hidden="false" customHeight="false" outlineLevel="0" collapsed="false">
      <c r="A92" s="0" t="str">
        <f aca="false">Clean!A92</f>
        <v>SHP0091</v>
      </c>
      <c r="B92" s="0" t="str">
        <f aca="false">Clean!AA92</f>
        <v>TCI Express</v>
      </c>
      <c r="C92" s="28" t="n">
        <f aca="false">Clean!J92</f>
        <v>17.37</v>
      </c>
      <c r="D92" s="29" t="n">
        <f aca="false">Clean!AF92</f>
        <v>1158.92</v>
      </c>
      <c r="E92" s="29" t="n">
        <f aca="false">Clean!AE92</f>
        <v>3863.89</v>
      </c>
      <c r="F92" s="22" t="n">
        <f aca="false">AVERAGEIFS(Clean!$V$2:$V$1001,Clean!$AA$2:$AA$1001,B92)</f>
        <v>0.752336448598131</v>
      </c>
      <c r="G92" s="29" t="n">
        <f aca="false">F92*C92*D92</f>
        <v>15144.8640392523</v>
      </c>
      <c r="H92" s="29" t="n">
        <f aca="false">G92*Model!$B$4</f>
        <v>15144.8640392523</v>
      </c>
      <c r="I92" s="0" t="str">
        <f aca="false">IF(E92&lt;Model!$B$5*H92,"Expedite","Standard")</f>
        <v>Expedite</v>
      </c>
      <c r="J92" s="29" t="n">
        <f aca="false">H92</f>
        <v>15144.8640392523</v>
      </c>
      <c r="K92" s="29" t="n">
        <f aca="false">E92+(1-Model!$B$5)*H92</f>
        <v>3863.89</v>
      </c>
      <c r="L92" s="29" t="n">
        <f aca="false">IF(I92="Expedite",K92,J92)</f>
        <v>3863.89</v>
      </c>
      <c r="M92" s="29" t="n">
        <f aca="false">J92-L92</f>
        <v>11280.9740392523</v>
      </c>
      <c r="N92" s="29" t="n">
        <f aca="false">IFERROR(E92/(F92*C92*Model!$B$5),"")</f>
        <v>295.673793253879</v>
      </c>
    </row>
    <row r="93" customFormat="false" ht="15" hidden="false" customHeight="false" outlineLevel="0" collapsed="false">
      <c r="A93" s="0" t="str">
        <f aca="false">Clean!A93</f>
        <v>SHP0092</v>
      </c>
      <c r="B93" s="0" t="str">
        <f aca="false">Clean!AA93</f>
        <v>VRL Cargo</v>
      </c>
      <c r="C93" s="28" t="n">
        <f aca="false">Clean!J93</f>
        <v>1.51</v>
      </c>
      <c r="D93" s="29" t="n">
        <f aca="false">Clean!AF93</f>
        <v>678.54</v>
      </c>
      <c r="E93" s="29" t="n">
        <f aca="false">Clean!AE93</f>
        <v>4199.66</v>
      </c>
      <c r="F93" s="22" t="n">
        <f aca="false">AVERAGEIFS(Clean!$V$2:$V$1001,Clean!$AA$2:$AA$1001,B93)</f>
        <v>0.72020725388601</v>
      </c>
      <c r="G93" s="29" t="n">
        <f aca="false">F93*C93*D93</f>
        <v>737.921039378238</v>
      </c>
      <c r="H93" s="29" t="n">
        <f aca="false">G93*Model!$B$4</f>
        <v>737.921039378238</v>
      </c>
      <c r="I93" s="0" t="str">
        <f aca="false">IF(E93&lt;Model!$B$5*H93,"Expedite","Standard")</f>
        <v>Standard</v>
      </c>
      <c r="J93" s="29" t="n">
        <f aca="false">H93</f>
        <v>737.921039378238</v>
      </c>
      <c r="K93" s="29" t="n">
        <f aca="false">E93+(1-Model!$B$5)*H93</f>
        <v>4199.66</v>
      </c>
      <c r="L93" s="29" t="n">
        <f aca="false">IF(I93="Expedite",K93,J93)</f>
        <v>737.921039378238</v>
      </c>
      <c r="M93" s="29" t="n">
        <f aca="false">J93-L93</f>
        <v>0</v>
      </c>
      <c r="N93" s="29" t="n">
        <f aca="false">IFERROR(E93/(F93*C93*Model!$B$5),"")</f>
        <v>3861.71032445567</v>
      </c>
    </row>
    <row r="94" customFormat="false" ht="15" hidden="false" customHeight="false" outlineLevel="0" collapsed="false">
      <c r="A94" s="0" t="str">
        <f aca="false">Clean!A94</f>
        <v>SHP0093</v>
      </c>
      <c r="B94" s="0" t="str">
        <f aca="false">Clean!AA94</f>
        <v>TCI Express</v>
      </c>
      <c r="C94" s="28" t="n">
        <f aca="false">Clean!J94</f>
        <v>13.4</v>
      </c>
      <c r="D94" s="29" t="n">
        <f aca="false">Clean!AF94</f>
        <v>707.89</v>
      </c>
      <c r="E94" s="29" t="n">
        <f aca="false">Clean!AE94</f>
        <v>1342.03</v>
      </c>
      <c r="F94" s="22" t="n">
        <f aca="false">AVERAGEIFS(Clean!$V$2:$V$1001,Clean!$AA$2:$AA$1001,B94)</f>
        <v>0.752336448598131</v>
      </c>
      <c r="G94" s="29" t="n">
        <f aca="false">F94*C94*D94</f>
        <v>7136.45741121495</v>
      </c>
      <c r="H94" s="29" t="n">
        <f aca="false">G94*Model!$B$4</f>
        <v>7136.45741121495</v>
      </c>
      <c r="I94" s="0" t="str">
        <f aca="false">IF(E94&lt;Model!$B$5*H94,"Expedite","Standard")</f>
        <v>Expedite</v>
      </c>
      <c r="J94" s="29" t="n">
        <f aca="false">H94</f>
        <v>7136.45741121495</v>
      </c>
      <c r="K94" s="29" t="n">
        <f aca="false">E94+(1-Model!$B$5)*H94</f>
        <v>1342.03</v>
      </c>
      <c r="L94" s="29" t="n">
        <f aca="false">IF(I94="Expedite",K94,J94)</f>
        <v>1342.03</v>
      </c>
      <c r="M94" s="29" t="n">
        <f aca="false">J94-L94</f>
        <v>5794.42741121495</v>
      </c>
      <c r="N94" s="29" t="n">
        <f aca="false">IFERROR(E94/(F94*C94*Model!$B$5),"")</f>
        <v>133.120617409845</v>
      </c>
    </row>
    <row r="95" customFormat="false" ht="15" hidden="false" customHeight="false" outlineLevel="0" collapsed="false">
      <c r="A95" s="0" t="str">
        <f aca="false">Clean!A95</f>
        <v>SHP0094</v>
      </c>
      <c r="B95" s="0" t="str">
        <f aca="false">Clean!AA95</f>
        <v>TCI Express</v>
      </c>
      <c r="C95" s="28" t="n">
        <f aca="false">Clean!J95</f>
        <v>1.5</v>
      </c>
      <c r="D95" s="29" t="n">
        <f aca="false">Clean!AF95</f>
        <v>759.42</v>
      </c>
      <c r="E95" s="29" t="n">
        <f aca="false">Clean!AE95</f>
        <v>2367.27</v>
      </c>
      <c r="F95" s="22" t="n">
        <f aca="false">AVERAGEIFS(Clean!$V$2:$V$1001,Clean!$AA$2:$AA$1001,B95)</f>
        <v>0.752336448598131</v>
      </c>
      <c r="G95" s="29" t="n">
        <f aca="false">F95*C95*D95</f>
        <v>857.009018691589</v>
      </c>
      <c r="H95" s="29" t="n">
        <f aca="false">G95*Model!$B$4</f>
        <v>857.009018691589</v>
      </c>
      <c r="I95" s="0" t="str">
        <f aca="false">IF(E95&lt;Model!$B$5*H95,"Expedite","Standard")</f>
        <v>Standard</v>
      </c>
      <c r="J95" s="29" t="n">
        <f aca="false">H95</f>
        <v>857.009018691589</v>
      </c>
      <c r="K95" s="29" t="n">
        <f aca="false">E95+(1-Model!$B$5)*H95</f>
        <v>2367.27</v>
      </c>
      <c r="L95" s="29" t="n">
        <f aca="false">IF(I95="Expedite",K95,J95)</f>
        <v>857.009018691589</v>
      </c>
      <c r="M95" s="29" t="n">
        <f aca="false">J95-L95</f>
        <v>0</v>
      </c>
      <c r="N95" s="29" t="n">
        <f aca="false">IFERROR(E95/(F95*C95*Model!$B$5),"")</f>
        <v>2097.7050931677</v>
      </c>
    </row>
    <row r="96" customFormat="false" ht="15" hidden="false" customHeight="false" outlineLevel="0" collapsed="false">
      <c r="A96" s="0" t="str">
        <f aca="false">Clean!A96</f>
        <v>SHP0095</v>
      </c>
      <c r="B96" s="0" t="str">
        <f aca="false">Clean!AA96</f>
        <v>GATI Logistics</v>
      </c>
      <c r="C96" s="28" t="n">
        <f aca="false">Clean!J96</f>
        <v>8.21</v>
      </c>
      <c r="D96" s="29" t="n">
        <f aca="false">Clean!AF96</f>
        <v>1263.61</v>
      </c>
      <c r="E96" s="29" t="n">
        <f aca="false">Clean!AE96</f>
        <v>4793.81</v>
      </c>
      <c r="F96" s="22" t="n">
        <f aca="false">AVERAGEIFS(Clean!$V$2:$V$1001,Clean!$AA$2:$AA$1001,B96)</f>
        <v>0.751243781094527</v>
      </c>
      <c r="G96" s="29" t="n">
        <f aca="false">F96*C96*D96</f>
        <v>7793.58185621891</v>
      </c>
      <c r="H96" s="29" t="n">
        <f aca="false">G96*Model!$B$4</f>
        <v>7793.58185621891</v>
      </c>
      <c r="I96" s="0" t="str">
        <f aca="false">IF(E96&lt;Model!$B$5*H96,"Expedite","Standard")</f>
        <v>Expedite</v>
      </c>
      <c r="J96" s="29" t="n">
        <f aca="false">H96</f>
        <v>7793.58185621891</v>
      </c>
      <c r="K96" s="29" t="n">
        <f aca="false">E96+(1-Model!$B$5)*H96</f>
        <v>4793.81</v>
      </c>
      <c r="L96" s="29" t="n">
        <f aca="false">IF(I96="Expedite",K96,J96)</f>
        <v>4793.81</v>
      </c>
      <c r="M96" s="29" t="n">
        <f aca="false">J96-L96</f>
        <v>2999.77185621891</v>
      </c>
      <c r="N96" s="29" t="n">
        <f aca="false">IFERROR(E96/(F96*C96*Model!$B$5),"")</f>
        <v>777.242911648692</v>
      </c>
    </row>
    <row r="97" customFormat="false" ht="15" hidden="false" customHeight="false" outlineLevel="0" collapsed="false">
      <c r="A97" s="0" t="str">
        <f aca="false">Clean!A97</f>
        <v>SHP0096</v>
      </c>
      <c r="B97" s="0" t="str">
        <f aca="false">Clean!AA97</f>
        <v>VRL Cargo</v>
      </c>
      <c r="C97" s="28" t="n">
        <f aca="false">Clean!J97</f>
        <v>3.66</v>
      </c>
      <c r="D97" s="29" t="n">
        <f aca="false">Clean!AF97</f>
        <v>1133.48</v>
      </c>
      <c r="E97" s="29" t="n">
        <f aca="false">Clean!AE97</f>
        <v>3166.54</v>
      </c>
      <c r="F97" s="22" t="n">
        <f aca="false">AVERAGEIFS(Clean!$V$2:$V$1001,Clean!$AA$2:$AA$1001,B97)</f>
        <v>0.72020725388601</v>
      </c>
      <c r="G97" s="29" t="n">
        <f aca="false">F97*C97*D97</f>
        <v>2987.80629637306</v>
      </c>
      <c r="H97" s="29" t="n">
        <f aca="false">G97*Model!$B$4</f>
        <v>2987.80629637306</v>
      </c>
      <c r="I97" s="0" t="str">
        <f aca="false">IF(E97&lt;Model!$B$5*H97,"Expedite","Standard")</f>
        <v>Standard</v>
      </c>
      <c r="J97" s="29" t="n">
        <f aca="false">H97</f>
        <v>2987.80629637306</v>
      </c>
      <c r="K97" s="29" t="n">
        <f aca="false">E97+(1-Model!$B$5)*H97</f>
        <v>3166.54</v>
      </c>
      <c r="L97" s="29" t="n">
        <f aca="false">IF(I97="Expedite",K97,J97)</f>
        <v>2987.80629637306</v>
      </c>
      <c r="M97" s="29" t="n">
        <f aca="false">J97-L97</f>
        <v>0</v>
      </c>
      <c r="N97" s="29" t="n">
        <f aca="false">IFERROR(E97/(F97*C97*Model!$B$5),"")</f>
        <v>1201.28596139482</v>
      </c>
    </row>
    <row r="98" customFormat="false" ht="15" hidden="false" customHeight="false" outlineLevel="0" collapsed="false">
      <c r="A98" s="0" t="str">
        <f aca="false">Clean!A98</f>
        <v>SHP0097</v>
      </c>
      <c r="B98" s="0" t="str">
        <f aca="false">Clean!AA98</f>
        <v>TCI Express</v>
      </c>
      <c r="C98" s="28" t="n">
        <f aca="false">Clean!J98</f>
        <v>5.9</v>
      </c>
      <c r="D98" s="29" t="n">
        <f aca="false">Clean!AF98</f>
        <v>774.06</v>
      </c>
      <c r="E98" s="29" t="n">
        <f aca="false">Clean!AE98</f>
        <v>3306.07</v>
      </c>
      <c r="F98" s="22" t="n">
        <f aca="false">AVERAGEIFS(Clean!$V$2:$V$1001,Clean!$AA$2:$AA$1001,B98)</f>
        <v>0.752336448598131</v>
      </c>
      <c r="G98" s="29" t="n">
        <f aca="false">F98*C98*D98</f>
        <v>3435.88595327103</v>
      </c>
      <c r="H98" s="29" t="n">
        <f aca="false">G98*Model!$B$4</f>
        <v>3435.88595327103</v>
      </c>
      <c r="I98" s="0" t="str">
        <f aca="false">IF(E98&lt;Model!$B$5*H98,"Expedite","Standard")</f>
        <v>Expedite</v>
      </c>
      <c r="J98" s="29" t="n">
        <f aca="false">H98</f>
        <v>3435.88595327103</v>
      </c>
      <c r="K98" s="29" t="n">
        <f aca="false">E98+(1-Model!$B$5)*H98</f>
        <v>3306.07</v>
      </c>
      <c r="L98" s="29" t="n">
        <f aca="false">IF(I98="Expedite",K98,J98)</f>
        <v>3306.07</v>
      </c>
      <c r="M98" s="29" t="n">
        <f aca="false">J98-L98</f>
        <v>129.815953271028</v>
      </c>
      <c r="N98" s="29" t="n">
        <f aca="false">IFERROR(E98/(F98*C98*Model!$B$5),"")</f>
        <v>744.814169912622</v>
      </c>
    </row>
    <row r="99" customFormat="false" ht="15" hidden="false" customHeight="false" outlineLevel="0" collapsed="false">
      <c r="A99" s="0" t="str">
        <f aca="false">Clean!A99</f>
        <v>SHP0098</v>
      </c>
      <c r="B99" s="0" t="str">
        <f aca="false">Clean!AA99</f>
        <v>VRL Cargo</v>
      </c>
      <c r="C99" s="28" t="n">
        <f aca="false">Clean!J99</f>
        <v>11.53</v>
      </c>
      <c r="D99" s="29" t="n">
        <f aca="false">Clean!AF99</f>
        <v>1232.18</v>
      </c>
      <c r="E99" s="29" t="n">
        <f aca="false">Clean!AE99</f>
        <v>2065.99</v>
      </c>
      <c r="F99" s="22" t="n">
        <f aca="false">AVERAGEIFS(Clean!$V$2:$V$1001,Clean!$AA$2:$AA$1001,B99)</f>
        <v>0.72020725388601</v>
      </c>
      <c r="G99" s="29" t="n">
        <f aca="false">F99*C99*D99</f>
        <v>10232.0099512953</v>
      </c>
      <c r="H99" s="29" t="n">
        <f aca="false">G99*Model!$B$4</f>
        <v>10232.0099512953</v>
      </c>
      <c r="I99" s="0" t="str">
        <f aca="false">IF(E99&lt;Model!$B$5*H99,"Expedite","Standard")</f>
        <v>Expedite</v>
      </c>
      <c r="J99" s="29" t="n">
        <f aca="false">H99</f>
        <v>10232.0099512953</v>
      </c>
      <c r="K99" s="29" t="n">
        <f aca="false">E99+(1-Model!$B$5)*H99</f>
        <v>2065.99</v>
      </c>
      <c r="L99" s="29" t="n">
        <f aca="false">IF(I99="Expedite",K99,J99)</f>
        <v>2065.99</v>
      </c>
      <c r="M99" s="29" t="n">
        <f aca="false">J99-L99</f>
        <v>8166.01995129534</v>
      </c>
      <c r="N99" s="29" t="n">
        <f aca="false">IFERROR(E99/(F99*C99*Model!$B$5),"")</f>
        <v>248.794867315168</v>
      </c>
    </row>
    <row r="100" customFormat="false" ht="15" hidden="false" customHeight="false" outlineLevel="0" collapsed="false">
      <c r="A100" s="0" t="str">
        <f aca="false">Clean!A100</f>
        <v>SHP0099</v>
      </c>
      <c r="B100" s="0" t="str">
        <f aca="false">Clean!AA100</f>
        <v>BlueDart</v>
      </c>
      <c r="C100" s="28" t="n">
        <f aca="false">Clean!J100</f>
        <v>5.76</v>
      </c>
      <c r="D100" s="29" t="n">
        <f aca="false">Clean!AF100</f>
        <v>1458.63</v>
      </c>
      <c r="E100" s="29" t="n">
        <f aca="false">Clean!AE100</f>
        <v>2415.49</v>
      </c>
      <c r="F100" s="22" t="n">
        <f aca="false">AVERAGEIFS(Clean!$V$2:$V$1001,Clean!$AA$2:$AA$1001,B100)</f>
        <v>0.773869346733668</v>
      </c>
      <c r="G100" s="29" t="n">
        <f aca="false">F100*C100*D100</f>
        <v>6501.82490050251</v>
      </c>
      <c r="H100" s="29" t="n">
        <f aca="false">G100*Model!$B$4</f>
        <v>6501.82490050251</v>
      </c>
      <c r="I100" s="0" t="str">
        <f aca="false">IF(E100&lt;Model!$B$5*H100,"Expedite","Standard")</f>
        <v>Expedite</v>
      </c>
      <c r="J100" s="29" t="n">
        <f aca="false">H100</f>
        <v>6501.82490050251</v>
      </c>
      <c r="K100" s="29" t="n">
        <f aca="false">E100+(1-Model!$B$5)*H100</f>
        <v>2415.49</v>
      </c>
      <c r="L100" s="29" t="n">
        <f aca="false">IF(I100="Expedite",K100,J100)</f>
        <v>2415.49</v>
      </c>
      <c r="M100" s="29" t="n">
        <f aca="false">J100-L100</f>
        <v>4086.33490050251</v>
      </c>
      <c r="N100" s="29" t="n">
        <f aca="false">IFERROR(E100/(F100*C100*Model!$B$5),"")</f>
        <v>541.894965277778</v>
      </c>
    </row>
    <row r="101" customFormat="false" ht="15" hidden="false" customHeight="false" outlineLevel="0" collapsed="false">
      <c r="A101" s="0" t="str">
        <f aca="false">Clean!A101</f>
        <v>SHP0100</v>
      </c>
      <c r="B101" s="0" t="str">
        <f aca="false">Clean!AA101</f>
        <v>GATI Logistics</v>
      </c>
      <c r="C101" s="28" t="n">
        <f aca="false">Clean!J101</f>
        <v>4.5</v>
      </c>
      <c r="D101" s="29" t="n">
        <f aca="false">Clean!AF101</f>
        <v>1221.53</v>
      </c>
      <c r="E101" s="29" t="n">
        <f aca="false">Clean!AE101</f>
        <v>4662.05</v>
      </c>
      <c r="F101" s="22" t="n">
        <f aca="false">AVERAGEIFS(Clean!$V$2:$V$1001,Clean!$AA$2:$AA$1001,B101)</f>
        <v>0.751243781094527</v>
      </c>
      <c r="G101" s="29" t="n">
        <f aca="false">F101*C101*D101</f>
        <v>4129.50067164179</v>
      </c>
      <c r="H101" s="29" t="n">
        <f aca="false">G101*Model!$B$4</f>
        <v>4129.50067164179</v>
      </c>
      <c r="I101" s="0" t="str">
        <f aca="false">IF(E101&lt;Model!$B$5*H101,"Expedite","Standard")</f>
        <v>Standard</v>
      </c>
      <c r="J101" s="29" t="n">
        <f aca="false">H101</f>
        <v>4129.50067164179</v>
      </c>
      <c r="K101" s="29" t="n">
        <f aca="false">E101+(1-Model!$B$5)*H101</f>
        <v>4662.05</v>
      </c>
      <c r="L101" s="29" t="n">
        <f aca="false">IF(I101="Expedite",K101,J101)</f>
        <v>4129.50067164179</v>
      </c>
      <c r="M101" s="29" t="n">
        <f aca="false">J101-L101</f>
        <v>0</v>
      </c>
      <c r="N101" s="29" t="n">
        <f aca="false">IFERROR(E101/(F101*C101*Model!$B$5),"")</f>
        <v>1379.06114790287</v>
      </c>
    </row>
    <row r="102" customFormat="false" ht="15" hidden="false" customHeight="false" outlineLevel="0" collapsed="false">
      <c r="A102" s="0" t="str">
        <f aca="false">Clean!A102</f>
        <v>SHP0101</v>
      </c>
      <c r="B102" s="0" t="str">
        <f aca="false">Clean!AA102</f>
        <v>VRL Cargo</v>
      </c>
      <c r="C102" s="28" t="n">
        <f aca="false">Clean!J102</f>
        <v>12.6</v>
      </c>
      <c r="D102" s="29" t="n">
        <f aca="false">Clean!AF102</f>
        <v>996.37</v>
      </c>
      <c r="E102" s="29" t="n">
        <f aca="false">Clean!AE102</f>
        <v>1205.7</v>
      </c>
      <c r="F102" s="22" t="n">
        <f aca="false">AVERAGEIFS(Clean!$V$2:$V$1001,Clean!$AA$2:$AA$1001,B102)</f>
        <v>0.72020725388601</v>
      </c>
      <c r="G102" s="29" t="n">
        <f aca="false">F102*C102*D102</f>
        <v>9041.67055958549</v>
      </c>
      <c r="H102" s="29" t="n">
        <f aca="false">G102*Model!$B$4</f>
        <v>9041.67055958549</v>
      </c>
      <c r="I102" s="0" t="str">
        <f aca="false">IF(E102&lt;Model!$B$5*H102,"Expedite","Standard")</f>
        <v>Expedite</v>
      </c>
      <c r="J102" s="29" t="n">
        <f aca="false">H102</f>
        <v>9041.67055958549</v>
      </c>
      <c r="K102" s="29" t="n">
        <f aca="false">E102+(1-Model!$B$5)*H102</f>
        <v>1205.7</v>
      </c>
      <c r="L102" s="29" t="n">
        <f aca="false">IF(I102="Expedite",K102,J102)</f>
        <v>1205.7</v>
      </c>
      <c r="M102" s="29" t="n">
        <f aca="false">J102-L102</f>
        <v>7835.97055958549</v>
      </c>
      <c r="N102" s="29" t="n">
        <f aca="false">IFERROR(E102/(F102*C102*Model!$B$5),"")</f>
        <v>132.865193559438</v>
      </c>
    </row>
    <row r="103" customFormat="false" ht="15" hidden="false" customHeight="false" outlineLevel="0" collapsed="false">
      <c r="A103" s="0" t="str">
        <f aca="false">Clean!A103</f>
        <v>SHP0102</v>
      </c>
      <c r="B103" s="0" t="str">
        <f aca="false">Clean!AA103</f>
        <v>GATI Logistics</v>
      </c>
      <c r="C103" s="28" t="n">
        <f aca="false">Clean!J103</f>
        <v>12.34</v>
      </c>
      <c r="D103" s="29" t="n">
        <f aca="false">Clean!AF103</f>
        <v>1188.4</v>
      </c>
      <c r="E103" s="29" t="n">
        <f aca="false">Clean!AE103</f>
        <v>2981.97</v>
      </c>
      <c r="F103" s="22" t="n">
        <f aca="false">AVERAGEIFS(Clean!$V$2:$V$1001,Clean!$AA$2:$AA$1001,B103)</f>
        <v>0.751243781094527</v>
      </c>
      <c r="G103" s="29" t="n">
        <f aca="false">F103*C103*D103</f>
        <v>11016.8818706468</v>
      </c>
      <c r="H103" s="29" t="n">
        <f aca="false">G103*Model!$B$4</f>
        <v>11016.8818706468</v>
      </c>
      <c r="I103" s="0" t="str">
        <f aca="false">IF(E103&lt;Model!$B$5*H103,"Expedite","Standard")</f>
        <v>Expedite</v>
      </c>
      <c r="J103" s="29" t="n">
        <f aca="false">H103</f>
        <v>11016.8818706468</v>
      </c>
      <c r="K103" s="29" t="n">
        <f aca="false">E103+(1-Model!$B$5)*H103</f>
        <v>2981.97</v>
      </c>
      <c r="L103" s="29" t="n">
        <f aca="false">IF(I103="Expedite",K103,J103)</f>
        <v>2981.97</v>
      </c>
      <c r="M103" s="29" t="n">
        <f aca="false">J103-L103</f>
        <v>8034.91187064677</v>
      </c>
      <c r="N103" s="29" t="n">
        <f aca="false">IFERROR(E103/(F103*C103*Model!$B$5),"")</f>
        <v>321.667527128704</v>
      </c>
    </row>
    <row r="104" customFormat="false" ht="15" hidden="false" customHeight="false" outlineLevel="0" collapsed="false">
      <c r="A104" s="0" t="str">
        <f aca="false">Clean!A104</f>
        <v>SHP0103</v>
      </c>
      <c r="B104" s="0" t="str">
        <f aca="false">Clean!AA104</f>
        <v>VRL Cargo</v>
      </c>
      <c r="C104" s="28" t="n">
        <f aca="false">Clean!J104</f>
        <v>9.26</v>
      </c>
      <c r="D104" s="29" t="n">
        <f aca="false">Clean!AF104</f>
        <v>685.13</v>
      </c>
      <c r="E104" s="29" t="n">
        <f aca="false">Clean!AE104</f>
        <v>2784.02</v>
      </c>
      <c r="F104" s="22" t="n">
        <f aca="false">AVERAGEIFS(Clean!$V$2:$V$1001,Clean!$AA$2:$AA$1001,B104)</f>
        <v>0.72020725388601</v>
      </c>
      <c r="G104" s="29" t="n">
        <f aca="false">F104*C104*D104</f>
        <v>4569.21361761658</v>
      </c>
      <c r="H104" s="29" t="n">
        <f aca="false">G104*Model!$B$4</f>
        <v>4569.21361761658</v>
      </c>
      <c r="I104" s="0" t="str">
        <f aca="false">IF(E104&lt;Model!$B$5*H104,"Expedite","Standard")</f>
        <v>Expedite</v>
      </c>
      <c r="J104" s="29" t="n">
        <f aca="false">H104</f>
        <v>4569.21361761658</v>
      </c>
      <c r="K104" s="29" t="n">
        <f aca="false">E104+(1-Model!$B$5)*H104</f>
        <v>2784.02</v>
      </c>
      <c r="L104" s="29" t="n">
        <f aca="false">IF(I104="Expedite",K104,J104)</f>
        <v>2784.02</v>
      </c>
      <c r="M104" s="29" t="n">
        <f aca="false">J104-L104</f>
        <v>1785.19361761658</v>
      </c>
      <c r="N104" s="29" t="n">
        <f aca="false">IFERROR(E104/(F104*C104*Model!$B$5),"")</f>
        <v>417.449430520379</v>
      </c>
    </row>
    <row r="105" customFormat="false" ht="15" hidden="false" customHeight="false" outlineLevel="0" collapsed="false">
      <c r="A105" s="0" t="str">
        <f aca="false">Clean!A105</f>
        <v>SHP0104</v>
      </c>
      <c r="B105" s="0" t="str">
        <f aca="false">Clean!AA105</f>
        <v>Delhivery</v>
      </c>
      <c r="C105" s="28" t="n">
        <f aca="false">Clean!J105</f>
        <v>11.3</v>
      </c>
      <c r="D105" s="29" t="n">
        <f aca="false">Clean!AF105</f>
        <v>749.67</v>
      </c>
      <c r="E105" s="29" t="n">
        <f aca="false">Clean!AE105</f>
        <v>4396.78</v>
      </c>
      <c r="F105" s="22" t="n">
        <f aca="false">AVERAGEIFS(Clean!$V$2:$V$1001,Clean!$AA$2:$AA$1001,B105)</f>
        <v>0.72538860103627</v>
      </c>
      <c r="G105" s="29" t="n">
        <f aca="false">F105*C105*D105</f>
        <v>6144.96341968912</v>
      </c>
      <c r="H105" s="29" t="n">
        <f aca="false">G105*Model!$B$4</f>
        <v>6144.96341968912</v>
      </c>
      <c r="I105" s="0" t="str">
        <f aca="false">IF(E105&lt;Model!$B$5*H105,"Expedite","Standard")</f>
        <v>Expedite</v>
      </c>
      <c r="J105" s="29" t="n">
        <f aca="false">H105</f>
        <v>6144.96341968912</v>
      </c>
      <c r="K105" s="29" t="n">
        <f aca="false">E105+(1-Model!$B$5)*H105</f>
        <v>4396.78</v>
      </c>
      <c r="L105" s="29" t="n">
        <f aca="false">IF(I105="Expedite",K105,J105)</f>
        <v>4396.78</v>
      </c>
      <c r="M105" s="29" t="n">
        <f aca="false">J105-L105</f>
        <v>1748.18341968912</v>
      </c>
      <c r="N105" s="29" t="n">
        <f aca="false">IFERROR(E105/(F105*C105*Model!$B$5),"")</f>
        <v>536.396042983565</v>
      </c>
    </row>
    <row r="106" customFormat="false" ht="15" hidden="false" customHeight="false" outlineLevel="0" collapsed="false">
      <c r="A106" s="0" t="str">
        <f aca="false">Clean!A106</f>
        <v>SHP0105</v>
      </c>
      <c r="B106" s="0" t="str">
        <f aca="false">Clean!AA106</f>
        <v>GATI Logistics</v>
      </c>
      <c r="C106" s="28" t="n">
        <f aca="false">Clean!J106</f>
        <v>10.3</v>
      </c>
      <c r="D106" s="29" t="n">
        <f aca="false">Clean!AF106</f>
        <v>812.85</v>
      </c>
      <c r="E106" s="29" t="n">
        <f aca="false">Clean!AE106</f>
        <v>2892.84</v>
      </c>
      <c r="F106" s="22" t="n">
        <f aca="false">AVERAGEIFS(Clean!$V$2:$V$1001,Clean!$AA$2:$AA$1001,B106)</f>
        <v>0.751243781094527</v>
      </c>
      <c r="G106" s="29" t="n">
        <f aca="false">F106*C106*D106</f>
        <v>6289.67962686567</v>
      </c>
      <c r="H106" s="29" t="n">
        <f aca="false">G106*Model!$B$4</f>
        <v>6289.67962686567</v>
      </c>
      <c r="I106" s="0" t="str">
        <f aca="false">IF(E106&lt;Model!$B$5*H106,"Expedite","Standard")</f>
        <v>Expedite</v>
      </c>
      <c r="J106" s="29" t="n">
        <f aca="false">H106</f>
        <v>6289.67962686567</v>
      </c>
      <c r="K106" s="29" t="n">
        <f aca="false">E106+(1-Model!$B$5)*H106</f>
        <v>2892.84</v>
      </c>
      <c r="L106" s="29" t="n">
        <f aca="false">IF(I106="Expedite",K106,J106)</f>
        <v>2892.84</v>
      </c>
      <c r="M106" s="29" t="n">
        <f aca="false">J106-L106</f>
        <v>3396.83962686567</v>
      </c>
      <c r="N106" s="29" t="n">
        <f aca="false">IFERROR(E106/(F106*C106*Model!$B$5),"")</f>
        <v>373.857673760689</v>
      </c>
    </row>
    <row r="107" customFormat="false" ht="15" hidden="false" customHeight="false" outlineLevel="0" collapsed="false">
      <c r="A107" s="0" t="str">
        <f aca="false">Clean!A107</f>
        <v>SHP0106</v>
      </c>
      <c r="B107" s="0" t="str">
        <f aca="false">Clean!AA107</f>
        <v>VRL Cargo</v>
      </c>
      <c r="C107" s="28" t="n">
        <f aca="false">Clean!J107</f>
        <v>3.29</v>
      </c>
      <c r="D107" s="29" t="n">
        <f aca="false">Clean!AF107</f>
        <v>1344.55</v>
      </c>
      <c r="E107" s="29" t="n">
        <f aca="false">Clean!AE107</f>
        <v>4448.17</v>
      </c>
      <c r="F107" s="22" t="n">
        <f aca="false">AVERAGEIFS(Clean!$V$2:$V$1001,Clean!$AA$2:$AA$1001,B107)</f>
        <v>0.72020725388601</v>
      </c>
      <c r="G107" s="29" t="n">
        <f aca="false">F107*C107*D107</f>
        <v>3185.88684196891</v>
      </c>
      <c r="H107" s="29" t="n">
        <f aca="false">G107*Model!$B$4</f>
        <v>3185.88684196891</v>
      </c>
      <c r="I107" s="0" t="str">
        <f aca="false">IF(E107&lt;Model!$B$5*H107,"Expedite","Standard")</f>
        <v>Standard</v>
      </c>
      <c r="J107" s="29" t="n">
        <f aca="false">H107</f>
        <v>3185.88684196891</v>
      </c>
      <c r="K107" s="29" t="n">
        <f aca="false">E107+(1-Model!$B$5)*H107</f>
        <v>4448.17</v>
      </c>
      <c r="L107" s="29" t="n">
        <f aca="false">IF(I107="Expedite",K107,J107)</f>
        <v>3185.88684196891</v>
      </c>
      <c r="M107" s="29" t="n">
        <f aca="false">J107-L107</f>
        <v>0</v>
      </c>
      <c r="N107" s="29" t="n">
        <f aca="false">IFERROR(E107/(F107*C107*Model!$B$5),"")</f>
        <v>1877.27539305941</v>
      </c>
    </row>
    <row r="108" customFormat="false" ht="15" hidden="false" customHeight="false" outlineLevel="0" collapsed="false">
      <c r="A108" s="0" t="str">
        <f aca="false">Clean!A108</f>
        <v>SHP0107</v>
      </c>
      <c r="B108" s="0" t="str">
        <f aca="false">Clean!AA108</f>
        <v>BlueDart</v>
      </c>
      <c r="C108" s="28" t="n">
        <f aca="false">Clean!J108</f>
        <v>7.06</v>
      </c>
      <c r="D108" s="29" t="n">
        <f aca="false">Clean!AF108</f>
        <v>565.36</v>
      </c>
      <c r="E108" s="29" t="n">
        <f aca="false">Clean!AE108</f>
        <v>3899.07</v>
      </c>
      <c r="F108" s="22" t="n">
        <f aca="false">AVERAGEIFS(Clean!$V$2:$V$1001,Clean!$AA$2:$AA$1001,B108)</f>
        <v>0.773869346733668</v>
      </c>
      <c r="G108" s="29" t="n">
        <f aca="false">F108*C108*D108</f>
        <v>3088.85430351759</v>
      </c>
      <c r="H108" s="29" t="n">
        <f aca="false">G108*Model!$B$4</f>
        <v>3088.85430351759</v>
      </c>
      <c r="I108" s="0" t="str">
        <f aca="false">IF(E108&lt;Model!$B$5*H108,"Expedite","Standard")</f>
        <v>Standard</v>
      </c>
      <c r="J108" s="29" t="n">
        <f aca="false">H108</f>
        <v>3088.85430351759</v>
      </c>
      <c r="K108" s="29" t="n">
        <f aca="false">E108+(1-Model!$B$5)*H108</f>
        <v>3899.07</v>
      </c>
      <c r="L108" s="29" t="n">
        <f aca="false">IF(I108="Expedite",K108,J108)</f>
        <v>3088.85430351759</v>
      </c>
      <c r="M108" s="29" t="n">
        <f aca="false">J108-L108</f>
        <v>0</v>
      </c>
      <c r="N108" s="29" t="n">
        <f aca="false">IFERROR(E108/(F108*C108*Model!$B$5),"")</f>
        <v>713.655614215813</v>
      </c>
    </row>
    <row r="109" customFormat="false" ht="15" hidden="false" customHeight="false" outlineLevel="0" collapsed="false">
      <c r="A109" s="0" t="str">
        <f aca="false">Clean!A109</f>
        <v>SHP0108</v>
      </c>
      <c r="B109" s="0" t="str">
        <f aca="false">Clean!AA109</f>
        <v>TCI Express</v>
      </c>
      <c r="C109" s="28" t="n">
        <f aca="false">Clean!J109</f>
        <v>6.99</v>
      </c>
      <c r="D109" s="29" t="n">
        <f aca="false">Clean!AF109</f>
        <v>732.96</v>
      </c>
      <c r="E109" s="29" t="n">
        <f aca="false">Clean!AE109</f>
        <v>3463.45</v>
      </c>
      <c r="F109" s="22" t="n">
        <f aca="false">AVERAGEIFS(Clean!$V$2:$V$1001,Clean!$AA$2:$AA$1001,B109)</f>
        <v>0.752336448598131</v>
      </c>
      <c r="G109" s="29" t="n">
        <f aca="false">F109*C109*D109</f>
        <v>3854.51333831776</v>
      </c>
      <c r="H109" s="29" t="n">
        <f aca="false">G109*Model!$B$4</f>
        <v>3854.51333831776</v>
      </c>
      <c r="I109" s="0" t="str">
        <f aca="false">IF(E109&lt;Model!$B$5*H109,"Expedite","Standard")</f>
        <v>Expedite</v>
      </c>
      <c r="J109" s="29" t="n">
        <f aca="false">H109</f>
        <v>3854.51333831776</v>
      </c>
      <c r="K109" s="29" t="n">
        <f aca="false">E109+(1-Model!$B$5)*H109</f>
        <v>3463.45</v>
      </c>
      <c r="L109" s="29" t="n">
        <f aca="false">IF(I109="Expedite",K109,J109)</f>
        <v>3463.45</v>
      </c>
      <c r="M109" s="29" t="n">
        <f aca="false">J109-L109</f>
        <v>391.063338317758</v>
      </c>
      <c r="N109" s="29" t="n">
        <f aca="false">IFERROR(E109/(F109*C109*Model!$B$5),"")</f>
        <v>658.596841983668</v>
      </c>
    </row>
    <row r="110" customFormat="false" ht="15" hidden="false" customHeight="false" outlineLevel="0" collapsed="false">
      <c r="A110" s="0" t="str">
        <f aca="false">Clean!A110</f>
        <v>SHP0109</v>
      </c>
      <c r="B110" s="0" t="str">
        <f aca="false">Clean!AA110</f>
        <v>TCI Express</v>
      </c>
      <c r="C110" s="28" t="n">
        <f aca="false">Clean!J110</f>
        <v>1.46</v>
      </c>
      <c r="D110" s="29" t="n">
        <f aca="false">Clean!AF110</f>
        <v>588.54</v>
      </c>
      <c r="E110" s="29" t="n">
        <f aca="false">Clean!AE110</f>
        <v>1210.74</v>
      </c>
      <c r="F110" s="22" t="n">
        <f aca="false">AVERAGEIFS(Clean!$V$2:$V$1001,Clean!$AA$2:$AA$1001,B110)</f>
        <v>0.752336448598131</v>
      </c>
      <c r="G110" s="29" t="n">
        <f aca="false">F110*C110*D110</f>
        <v>646.458936448598</v>
      </c>
      <c r="H110" s="29" t="n">
        <f aca="false">G110*Model!$B$4</f>
        <v>646.458936448598</v>
      </c>
      <c r="I110" s="0" t="str">
        <f aca="false">IF(E110&lt;Model!$B$5*H110,"Expedite","Standard")</f>
        <v>Standard</v>
      </c>
      <c r="J110" s="29" t="n">
        <f aca="false">H110</f>
        <v>646.458936448598</v>
      </c>
      <c r="K110" s="29" t="n">
        <f aca="false">E110+(1-Model!$B$5)*H110</f>
        <v>1210.74</v>
      </c>
      <c r="L110" s="29" t="n">
        <f aca="false">IF(I110="Expedite",K110,J110)</f>
        <v>646.458936448598</v>
      </c>
      <c r="M110" s="29" t="n">
        <f aca="false">J110-L110</f>
        <v>0</v>
      </c>
      <c r="N110" s="29" t="n">
        <f aca="false">IFERROR(E110/(F110*C110*Model!$B$5),"")</f>
        <v>1102.26478345954</v>
      </c>
    </row>
    <row r="111" customFormat="false" ht="15" hidden="false" customHeight="false" outlineLevel="0" collapsed="false">
      <c r="A111" s="0" t="str">
        <f aca="false">Clean!A111</f>
        <v>SHP0110</v>
      </c>
      <c r="B111" s="0" t="str">
        <f aca="false">Clean!AA111</f>
        <v>TCI Express</v>
      </c>
      <c r="C111" s="28" t="n">
        <f aca="false">Clean!J111</f>
        <v>1.71</v>
      </c>
      <c r="D111" s="29" t="n">
        <f aca="false">Clean!AF111</f>
        <v>1022.52</v>
      </c>
      <c r="E111" s="29" t="n">
        <f aca="false">Clean!AE111</f>
        <v>2345.48</v>
      </c>
      <c r="F111" s="22" t="n">
        <f aca="false">AVERAGEIFS(Clean!$V$2:$V$1001,Clean!$AA$2:$AA$1001,B111)</f>
        <v>0.752336448598131</v>
      </c>
      <c r="G111" s="29" t="n">
        <f aca="false">F111*C111*D111</f>
        <v>1315.46720186916</v>
      </c>
      <c r="H111" s="29" t="n">
        <f aca="false">G111*Model!$B$4</f>
        <v>1315.46720186916</v>
      </c>
      <c r="I111" s="0" t="str">
        <f aca="false">IF(E111&lt;Model!$B$5*H111,"Expedite","Standard")</f>
        <v>Standard</v>
      </c>
      <c r="J111" s="29" t="n">
        <f aca="false">H111</f>
        <v>1315.46720186916</v>
      </c>
      <c r="K111" s="29" t="n">
        <f aca="false">E111+(1-Model!$B$5)*H111</f>
        <v>2345.48</v>
      </c>
      <c r="L111" s="29" t="n">
        <f aca="false">IF(I111="Expedite",K111,J111)</f>
        <v>1315.46720186916</v>
      </c>
      <c r="M111" s="29" t="n">
        <f aca="false">J111-L111</f>
        <v>0</v>
      </c>
      <c r="N111" s="29" t="n">
        <f aca="false">IFERROR(E111/(F111*C111*Model!$B$5),"")</f>
        <v>1823.15469834005</v>
      </c>
    </row>
    <row r="112" customFormat="false" ht="15" hidden="false" customHeight="false" outlineLevel="0" collapsed="false">
      <c r="A112" s="0" t="str">
        <f aca="false">Clean!A112</f>
        <v>SHP0111</v>
      </c>
      <c r="B112" s="0" t="str">
        <f aca="false">Clean!AA112</f>
        <v>BlueDart</v>
      </c>
      <c r="C112" s="28" t="n">
        <f aca="false">Clean!J112</f>
        <v>14.91</v>
      </c>
      <c r="D112" s="29" t="n">
        <f aca="false">Clean!AF112</f>
        <v>609.47</v>
      </c>
      <c r="E112" s="29" t="n">
        <f aca="false">Clean!AE112</f>
        <v>1180.4</v>
      </c>
      <c r="F112" s="22" t="n">
        <f aca="false">AVERAGEIFS(Clean!$V$2:$V$1001,Clean!$AA$2:$AA$1001,B112)</f>
        <v>0.773869346733668</v>
      </c>
      <c r="G112" s="29" t="n">
        <f aca="false">F112*C112*D112</f>
        <v>7032.30374773869</v>
      </c>
      <c r="H112" s="29" t="n">
        <f aca="false">G112*Model!$B$4</f>
        <v>7032.30374773869</v>
      </c>
      <c r="I112" s="0" t="str">
        <f aca="false">IF(E112&lt;Model!$B$5*H112,"Expedite","Standard")</f>
        <v>Expedite</v>
      </c>
      <c r="J112" s="29" t="n">
        <f aca="false">H112</f>
        <v>7032.30374773869</v>
      </c>
      <c r="K112" s="29" t="n">
        <f aca="false">E112+(1-Model!$B$5)*H112</f>
        <v>1180.4</v>
      </c>
      <c r="L112" s="29" t="n">
        <f aca="false">IF(I112="Expedite",K112,J112)</f>
        <v>1180.4</v>
      </c>
      <c r="M112" s="29" t="n">
        <f aca="false">J112-L112</f>
        <v>5851.90374773869</v>
      </c>
      <c r="N112" s="29" t="n">
        <f aca="false">IFERROR(E112/(F112*C112*Model!$B$5),"")</f>
        <v>102.301950229516</v>
      </c>
    </row>
    <row r="113" customFormat="false" ht="15" hidden="false" customHeight="false" outlineLevel="0" collapsed="false">
      <c r="A113" s="0" t="str">
        <f aca="false">Clean!A113</f>
        <v>SHP0112</v>
      </c>
      <c r="B113" s="0" t="str">
        <f aca="false">Clean!AA113</f>
        <v>BlueDart</v>
      </c>
      <c r="C113" s="28" t="n">
        <f aca="false">Clean!J113</f>
        <v>8.44</v>
      </c>
      <c r="D113" s="29" t="n">
        <f aca="false">Clean!AF113</f>
        <v>1384.2</v>
      </c>
      <c r="E113" s="29" t="n">
        <f aca="false">Clean!AE113</f>
        <v>4929.32</v>
      </c>
      <c r="F113" s="22" t="n">
        <f aca="false">AVERAGEIFS(Clean!$V$2:$V$1001,Clean!$AA$2:$AA$1001,B113)</f>
        <v>0.773869346733668</v>
      </c>
      <c r="G113" s="29" t="n">
        <f aca="false">F113*C113*D113</f>
        <v>9040.8431758794</v>
      </c>
      <c r="H113" s="29" t="n">
        <f aca="false">G113*Model!$B$4</f>
        <v>9040.8431758794</v>
      </c>
      <c r="I113" s="0" t="str">
        <f aca="false">IF(E113&lt;Model!$B$5*H113,"Expedite","Standard")</f>
        <v>Expedite</v>
      </c>
      <c r="J113" s="29" t="n">
        <f aca="false">H113</f>
        <v>9040.8431758794</v>
      </c>
      <c r="K113" s="29" t="n">
        <f aca="false">E113+(1-Model!$B$5)*H113</f>
        <v>4929.32</v>
      </c>
      <c r="L113" s="29" t="n">
        <f aca="false">IF(I113="Expedite",K113,J113)</f>
        <v>4929.32</v>
      </c>
      <c r="M113" s="29" t="n">
        <f aca="false">J113-L113</f>
        <v>4111.5231758794</v>
      </c>
      <c r="N113" s="29" t="n">
        <f aca="false">IFERROR(E113/(F113*C113*Model!$B$5),"")</f>
        <v>754.704468517265</v>
      </c>
    </row>
    <row r="114" customFormat="false" ht="15" hidden="false" customHeight="false" outlineLevel="0" collapsed="false">
      <c r="A114" s="0" t="str">
        <f aca="false">Clean!A114</f>
        <v>SHP0113</v>
      </c>
      <c r="B114" s="0" t="str">
        <f aca="false">Clean!AA114</f>
        <v>TCI Express</v>
      </c>
      <c r="C114" s="28" t="n">
        <f aca="false">Clean!J114</f>
        <v>12.42</v>
      </c>
      <c r="D114" s="29" t="n">
        <f aca="false">Clean!AF114</f>
        <v>730.67</v>
      </c>
      <c r="E114" s="29" t="n">
        <f aca="false">Clean!AE114</f>
        <v>3050.75</v>
      </c>
      <c r="F114" s="22" t="n">
        <f aca="false">AVERAGEIFS(Clean!$V$2:$V$1001,Clean!$AA$2:$AA$1001,B114)</f>
        <v>0.752336448598131</v>
      </c>
      <c r="G114" s="29" t="n">
        <f aca="false">F114*C114*D114</f>
        <v>6827.39413738318</v>
      </c>
      <c r="H114" s="29" t="n">
        <f aca="false">G114*Model!$B$4</f>
        <v>6827.39413738318</v>
      </c>
      <c r="I114" s="0" t="str">
        <f aca="false">IF(E114&lt;Model!$B$5*H114,"Expedite","Standard")</f>
        <v>Expedite</v>
      </c>
      <c r="J114" s="29" t="n">
        <f aca="false">H114</f>
        <v>6827.39413738318</v>
      </c>
      <c r="K114" s="29" t="n">
        <f aca="false">E114+(1-Model!$B$5)*H114</f>
        <v>3050.75</v>
      </c>
      <c r="L114" s="29" t="n">
        <f aca="false">IF(I114="Expedite",K114,J114)</f>
        <v>3050.75</v>
      </c>
      <c r="M114" s="29" t="n">
        <f aca="false">J114-L114</f>
        <v>3776.64413738318</v>
      </c>
      <c r="N114" s="29" t="n">
        <f aca="false">IFERROR(E114/(F114*C114*Model!$B$5),"")</f>
        <v>326.492283533871</v>
      </c>
    </row>
    <row r="115" customFormat="false" ht="15" hidden="false" customHeight="false" outlineLevel="0" collapsed="false">
      <c r="A115" s="0" t="str">
        <f aca="false">Clean!A115</f>
        <v>SHP0114</v>
      </c>
      <c r="B115" s="0" t="str">
        <f aca="false">Clean!AA115</f>
        <v>TCI Express</v>
      </c>
      <c r="C115" s="28" t="n">
        <f aca="false">Clean!J115</f>
        <v>4.35</v>
      </c>
      <c r="D115" s="29" t="n">
        <f aca="false">Clean!AF115</f>
        <v>1383.79</v>
      </c>
      <c r="E115" s="29" t="n">
        <f aca="false">Clean!AE115</f>
        <v>4876.41</v>
      </c>
      <c r="F115" s="22" t="n">
        <f aca="false">AVERAGEIFS(Clean!$V$2:$V$1001,Clean!$AA$2:$AA$1001,B115)</f>
        <v>0.752336448598131</v>
      </c>
      <c r="G115" s="29" t="n">
        <f aca="false">F115*C115*D115</f>
        <v>4528.67909579439</v>
      </c>
      <c r="H115" s="29" t="n">
        <f aca="false">G115*Model!$B$4</f>
        <v>4528.67909579439</v>
      </c>
      <c r="I115" s="0" t="str">
        <f aca="false">IF(E115&lt;Model!$B$5*H115,"Expedite","Standard")</f>
        <v>Standard</v>
      </c>
      <c r="J115" s="29" t="n">
        <f aca="false">H115</f>
        <v>4528.67909579439</v>
      </c>
      <c r="K115" s="29" t="n">
        <f aca="false">E115+(1-Model!$B$5)*H115</f>
        <v>4876.41</v>
      </c>
      <c r="L115" s="29" t="n">
        <f aca="false">IF(I115="Expedite",K115,J115)</f>
        <v>4528.67909579439</v>
      </c>
      <c r="M115" s="29" t="n">
        <f aca="false">J115-L115</f>
        <v>0</v>
      </c>
      <c r="N115" s="29" t="n">
        <f aca="false">IFERROR(E115/(F115*C115*Model!$B$5),"")</f>
        <v>1490.04317841079</v>
      </c>
    </row>
    <row r="116" customFormat="false" ht="15" hidden="false" customHeight="false" outlineLevel="0" collapsed="false">
      <c r="A116" s="0" t="str">
        <f aca="false">Clean!A116</f>
        <v>SHP0115</v>
      </c>
      <c r="B116" s="0" t="str">
        <f aca="false">Clean!AA116</f>
        <v>Delhivery</v>
      </c>
      <c r="C116" s="28" t="n">
        <f aca="false">Clean!J116</f>
        <v>18.63</v>
      </c>
      <c r="D116" s="29" t="n">
        <f aca="false">Clean!AF116</f>
        <v>723.82</v>
      </c>
      <c r="E116" s="29" t="n">
        <f aca="false">Clean!AE116</f>
        <v>1897.76</v>
      </c>
      <c r="F116" s="22" t="n">
        <f aca="false">AVERAGEIFS(Clean!$V$2:$V$1001,Clean!$AA$2:$AA$1001,B116)</f>
        <v>0.72538860103627</v>
      </c>
      <c r="G116" s="29" t="n">
        <f aca="false">F116*C116*D116</f>
        <v>9781.69597927461</v>
      </c>
      <c r="H116" s="29" t="n">
        <f aca="false">G116*Model!$B$4</f>
        <v>9781.69597927461</v>
      </c>
      <c r="I116" s="0" t="str">
        <f aca="false">IF(E116&lt;Model!$B$5*H116,"Expedite","Standard")</f>
        <v>Expedite</v>
      </c>
      <c r="J116" s="29" t="n">
        <f aca="false">H116</f>
        <v>9781.69597927461</v>
      </c>
      <c r="K116" s="29" t="n">
        <f aca="false">E116+(1-Model!$B$5)*H116</f>
        <v>1897.76</v>
      </c>
      <c r="L116" s="29" t="n">
        <f aca="false">IF(I116="Expedite",K116,J116)</f>
        <v>1897.76</v>
      </c>
      <c r="M116" s="29" t="n">
        <f aca="false">J116-L116</f>
        <v>7883.93597927461</v>
      </c>
      <c r="N116" s="29" t="n">
        <f aca="false">IFERROR(E116/(F116*C116*Model!$B$5),"")</f>
        <v>140.429292232191</v>
      </c>
    </row>
    <row r="117" customFormat="false" ht="15" hidden="false" customHeight="false" outlineLevel="0" collapsed="false">
      <c r="A117" s="0" t="str">
        <f aca="false">Clean!A117</f>
        <v>SHP0116</v>
      </c>
      <c r="B117" s="0" t="str">
        <f aca="false">Clean!AA117</f>
        <v>VRL Cargo</v>
      </c>
      <c r="C117" s="28" t="n">
        <f aca="false">Clean!J117</f>
        <v>11.2</v>
      </c>
      <c r="D117" s="29" t="n">
        <f aca="false">Clean!AF117</f>
        <v>1388.75</v>
      </c>
      <c r="E117" s="29" t="n">
        <f aca="false">Clean!AE117</f>
        <v>1518.06</v>
      </c>
      <c r="F117" s="22" t="n">
        <f aca="false">AVERAGEIFS(Clean!$V$2:$V$1001,Clean!$AA$2:$AA$1001,B117)</f>
        <v>0.72020725388601</v>
      </c>
      <c r="G117" s="29" t="n">
        <f aca="false">F117*C117*D117</f>
        <v>11202.103626943</v>
      </c>
      <c r="H117" s="29" t="n">
        <f aca="false">G117*Model!$B$4</f>
        <v>11202.103626943</v>
      </c>
      <c r="I117" s="0" t="str">
        <f aca="false">IF(E117&lt;Model!$B$5*H117,"Expedite","Standard")</f>
        <v>Expedite</v>
      </c>
      <c r="J117" s="29" t="n">
        <f aca="false">H117</f>
        <v>11202.103626943</v>
      </c>
      <c r="K117" s="29" t="n">
        <f aca="false">E117+(1-Model!$B$5)*H117</f>
        <v>1518.06</v>
      </c>
      <c r="L117" s="29" t="n">
        <f aca="false">IF(I117="Expedite",K117,J117)</f>
        <v>1518.06</v>
      </c>
      <c r="M117" s="29" t="n">
        <f aca="false">J117-L117</f>
        <v>9684.04362694301</v>
      </c>
      <c r="N117" s="29" t="n">
        <f aca="false">IFERROR(E117/(F117*C117*Model!$B$5),"")</f>
        <v>188.197315005139</v>
      </c>
    </row>
    <row r="118" customFormat="false" ht="15" hidden="false" customHeight="false" outlineLevel="0" collapsed="false">
      <c r="A118" s="0" t="str">
        <f aca="false">Clean!A118</f>
        <v>SHP0117</v>
      </c>
      <c r="B118" s="0" t="str">
        <f aca="false">Clean!AA118</f>
        <v>TCI Express</v>
      </c>
      <c r="C118" s="28" t="n">
        <f aca="false">Clean!J118</f>
        <v>19.16</v>
      </c>
      <c r="D118" s="29" t="n">
        <f aca="false">Clean!AF118</f>
        <v>548.78</v>
      </c>
      <c r="E118" s="29" t="n">
        <f aca="false">Clean!AE118</f>
        <v>3782.86</v>
      </c>
      <c r="F118" s="22" t="n">
        <f aca="false">AVERAGEIFS(Clean!$V$2:$V$1001,Clean!$AA$2:$AA$1001,B118)</f>
        <v>0.752336448598131</v>
      </c>
      <c r="G118" s="29" t="n">
        <f aca="false">F118*C118*D118</f>
        <v>7910.53548037383</v>
      </c>
      <c r="H118" s="29" t="n">
        <f aca="false">G118*Model!$B$4</f>
        <v>7910.53548037383</v>
      </c>
      <c r="I118" s="0" t="str">
        <f aca="false">IF(E118&lt;Model!$B$5*H118,"Expedite","Standard")</f>
        <v>Expedite</v>
      </c>
      <c r="J118" s="29" t="n">
        <f aca="false">H118</f>
        <v>7910.53548037383</v>
      </c>
      <c r="K118" s="29" t="n">
        <f aca="false">E118+(1-Model!$B$5)*H118</f>
        <v>3782.86</v>
      </c>
      <c r="L118" s="29" t="n">
        <f aca="false">IF(I118="Expedite",K118,J118)</f>
        <v>3782.86</v>
      </c>
      <c r="M118" s="29" t="n">
        <f aca="false">J118-L118</f>
        <v>4127.67548037383</v>
      </c>
      <c r="N118" s="29" t="n">
        <f aca="false">IFERROR(E118/(F118*C118*Model!$B$5),"")</f>
        <v>262.429505050636</v>
      </c>
    </row>
    <row r="119" customFormat="false" ht="15" hidden="false" customHeight="false" outlineLevel="0" collapsed="false">
      <c r="A119" s="0" t="str">
        <f aca="false">Clean!A119</f>
        <v>SHP0118</v>
      </c>
      <c r="B119" s="0" t="str">
        <f aca="false">Clean!AA119</f>
        <v>VRL Cargo</v>
      </c>
      <c r="C119" s="28" t="n">
        <f aca="false">Clean!J119</f>
        <v>11.12</v>
      </c>
      <c r="D119" s="29" t="n">
        <f aca="false">Clean!AF119</f>
        <v>1016.08</v>
      </c>
      <c r="E119" s="29" t="n">
        <f aca="false">Clean!AE119</f>
        <v>4531.63</v>
      </c>
      <c r="F119" s="22" t="n">
        <f aca="false">AVERAGEIFS(Clean!$V$2:$V$1001,Clean!$AA$2:$AA$1001,B119)</f>
        <v>0.72020725388601</v>
      </c>
      <c r="G119" s="29" t="n">
        <f aca="false">F119*C119*D119</f>
        <v>8137.48463419689</v>
      </c>
      <c r="H119" s="29" t="n">
        <f aca="false">G119*Model!$B$4</f>
        <v>8137.48463419689</v>
      </c>
      <c r="I119" s="0" t="str">
        <f aca="false">IF(E119&lt;Model!$B$5*H119,"Expedite","Standard")</f>
        <v>Expedite</v>
      </c>
      <c r="J119" s="29" t="n">
        <f aca="false">H119</f>
        <v>8137.48463419689</v>
      </c>
      <c r="K119" s="29" t="n">
        <f aca="false">E119+(1-Model!$B$5)*H119</f>
        <v>4531.63</v>
      </c>
      <c r="L119" s="29" t="n">
        <f aca="false">IF(I119="Expedite",K119,J119)</f>
        <v>4531.63</v>
      </c>
      <c r="M119" s="29" t="n">
        <f aca="false">J119-L119</f>
        <v>3605.85463419689</v>
      </c>
      <c r="N119" s="29" t="n">
        <f aca="false">IFERROR(E119/(F119*C119*Model!$B$5),"")</f>
        <v>565.838071269603</v>
      </c>
    </row>
    <row r="120" customFormat="false" ht="15" hidden="false" customHeight="false" outlineLevel="0" collapsed="false">
      <c r="A120" s="0" t="str">
        <f aca="false">Clean!A120</f>
        <v>SHP0119</v>
      </c>
      <c r="B120" s="0" t="str">
        <f aca="false">Clean!AA120</f>
        <v>TCI Express</v>
      </c>
      <c r="C120" s="28" t="n">
        <f aca="false">Clean!J120</f>
        <v>18.22</v>
      </c>
      <c r="D120" s="29" t="n">
        <f aca="false">Clean!AF120</f>
        <v>1367.29</v>
      </c>
      <c r="E120" s="29" t="n">
        <f aca="false">Clean!AE120</f>
        <v>4402.33</v>
      </c>
      <c r="F120" s="22" t="n">
        <f aca="false">AVERAGEIFS(Clean!$V$2:$V$1001,Clean!$AA$2:$AA$1001,B120)</f>
        <v>0.752336448598131</v>
      </c>
      <c r="G120" s="29" t="n">
        <f aca="false">F120*C120*D120</f>
        <v>18742.2235130841</v>
      </c>
      <c r="H120" s="29" t="n">
        <f aca="false">G120*Model!$B$4</f>
        <v>18742.2235130841</v>
      </c>
      <c r="I120" s="0" t="str">
        <f aca="false">IF(E120&lt;Model!$B$5*H120,"Expedite","Standard")</f>
        <v>Expedite</v>
      </c>
      <c r="J120" s="29" t="n">
        <f aca="false">H120</f>
        <v>18742.2235130841</v>
      </c>
      <c r="K120" s="29" t="n">
        <f aca="false">E120+(1-Model!$B$5)*H120</f>
        <v>4402.33</v>
      </c>
      <c r="L120" s="29" t="n">
        <f aca="false">IF(I120="Expedite",K120,J120)</f>
        <v>4402.33</v>
      </c>
      <c r="M120" s="29" t="n">
        <f aca="false">J120-L120</f>
        <v>14339.8935130841</v>
      </c>
      <c r="N120" s="29" t="n">
        <f aca="false">IFERROR(E120/(F120*C120*Model!$B$5),"")</f>
        <v>321.160495258095</v>
      </c>
    </row>
    <row r="121" customFormat="false" ht="15" hidden="false" customHeight="false" outlineLevel="0" collapsed="false">
      <c r="A121" s="0" t="str">
        <f aca="false">Clean!A121</f>
        <v>SHP0120</v>
      </c>
      <c r="B121" s="0" t="str">
        <f aca="false">Clean!AA121</f>
        <v>BlueDart</v>
      </c>
      <c r="C121" s="28" t="n">
        <f aca="false">Clean!J121</f>
        <v>14.46</v>
      </c>
      <c r="D121" s="29" t="n">
        <f aca="false">Clean!AF121</f>
        <v>1380.87</v>
      </c>
      <c r="E121" s="29" t="n">
        <f aca="false">Clean!AE121</f>
        <v>1634.42</v>
      </c>
      <c r="F121" s="22" t="n">
        <f aca="false">AVERAGEIFS(Clean!$V$2:$V$1001,Clean!$AA$2:$AA$1001,B121)</f>
        <v>0.773869346733668</v>
      </c>
      <c r="G121" s="29" t="n">
        <f aca="false">F121*C121*D121</f>
        <v>15452.1434713568</v>
      </c>
      <c r="H121" s="29" t="n">
        <f aca="false">G121*Model!$B$4</f>
        <v>15452.1434713568</v>
      </c>
      <c r="I121" s="0" t="str">
        <f aca="false">IF(E121&lt;Model!$B$5*H121,"Expedite","Standard")</f>
        <v>Expedite</v>
      </c>
      <c r="J121" s="29" t="n">
        <f aca="false">H121</f>
        <v>15452.1434713568</v>
      </c>
      <c r="K121" s="29" t="n">
        <f aca="false">E121+(1-Model!$B$5)*H121</f>
        <v>1634.42</v>
      </c>
      <c r="L121" s="29" t="n">
        <f aca="false">IF(I121="Expedite",K121,J121)</f>
        <v>1634.42</v>
      </c>
      <c r="M121" s="29" t="n">
        <f aca="false">J121-L121</f>
        <v>13817.7234713568</v>
      </c>
      <c r="N121" s="29" t="n">
        <f aca="false">IFERROR(E121/(F121*C121*Model!$B$5),"")</f>
        <v>146.058800811913</v>
      </c>
    </row>
    <row r="122" customFormat="false" ht="15" hidden="false" customHeight="false" outlineLevel="0" collapsed="false">
      <c r="A122" s="0" t="str">
        <f aca="false">Clean!A122</f>
        <v>SHP0121</v>
      </c>
      <c r="B122" s="0" t="str">
        <f aca="false">Clean!AA122</f>
        <v>VRL Cargo</v>
      </c>
      <c r="C122" s="28" t="n">
        <f aca="false">Clean!J122</f>
        <v>17.57</v>
      </c>
      <c r="D122" s="29" t="n">
        <f aca="false">Clean!AF122</f>
        <v>1007.47</v>
      </c>
      <c r="E122" s="29" t="n">
        <f aca="false">Clean!AE122</f>
        <v>4328.54</v>
      </c>
      <c r="F122" s="22" t="n">
        <f aca="false">AVERAGEIFS(Clean!$V$2:$V$1001,Clean!$AA$2:$AA$1001,B122)</f>
        <v>0.72020725388601</v>
      </c>
      <c r="G122" s="29" t="n">
        <f aca="false">F122*C122*D122</f>
        <v>12748.5671404145</v>
      </c>
      <c r="H122" s="29" t="n">
        <f aca="false">G122*Model!$B$4</f>
        <v>12748.5671404145</v>
      </c>
      <c r="I122" s="0" t="str">
        <f aca="false">IF(E122&lt;Model!$B$5*H122,"Expedite","Standard")</f>
        <v>Expedite</v>
      </c>
      <c r="J122" s="29" t="n">
        <f aca="false">H122</f>
        <v>12748.5671404145</v>
      </c>
      <c r="K122" s="29" t="n">
        <f aca="false">E122+(1-Model!$B$5)*H122</f>
        <v>4328.54</v>
      </c>
      <c r="L122" s="29" t="n">
        <f aca="false">IF(I122="Expedite",K122,J122)</f>
        <v>4328.54</v>
      </c>
      <c r="M122" s="29" t="n">
        <f aca="false">J122-L122</f>
        <v>8420.02714041451</v>
      </c>
      <c r="N122" s="29" t="n">
        <f aca="false">IFERROR(E122/(F122*C122*Model!$B$5),"")</f>
        <v>342.067790502942</v>
      </c>
    </row>
    <row r="123" customFormat="false" ht="15" hidden="false" customHeight="false" outlineLevel="0" collapsed="false">
      <c r="A123" s="0" t="str">
        <f aca="false">Clean!A123</f>
        <v>SHP0122</v>
      </c>
      <c r="B123" s="0" t="str">
        <f aca="false">Clean!AA123</f>
        <v>VRL Cargo</v>
      </c>
      <c r="C123" s="28" t="n">
        <f aca="false">Clean!J123</f>
        <v>1.12</v>
      </c>
      <c r="D123" s="29" t="n">
        <f aca="false">Clean!AF123</f>
        <v>1039.99</v>
      </c>
      <c r="E123" s="29" t="n">
        <f aca="false">Clean!AE123</f>
        <v>3536.02</v>
      </c>
      <c r="F123" s="22" t="n">
        <f aca="false">AVERAGEIFS(Clean!$V$2:$V$1001,Clean!$AA$2:$AA$1001,B123)</f>
        <v>0.72020725388601</v>
      </c>
      <c r="G123" s="29" t="n">
        <f aca="false">F123*C123*D123</f>
        <v>838.889343005181</v>
      </c>
      <c r="H123" s="29" t="n">
        <f aca="false">G123*Model!$B$4</f>
        <v>838.889343005181</v>
      </c>
      <c r="I123" s="0" t="str">
        <f aca="false">IF(E123&lt;Model!$B$5*H123,"Expedite","Standard")</f>
        <v>Standard</v>
      </c>
      <c r="J123" s="29" t="n">
        <f aca="false">H123</f>
        <v>838.889343005181</v>
      </c>
      <c r="K123" s="29" t="n">
        <f aca="false">E123+(1-Model!$B$5)*H123</f>
        <v>3536.02</v>
      </c>
      <c r="L123" s="29" t="n">
        <f aca="false">IF(I123="Expedite",K123,J123)</f>
        <v>838.889343005181</v>
      </c>
      <c r="M123" s="29" t="n">
        <f aca="false">J123-L123</f>
        <v>0</v>
      </c>
      <c r="N123" s="29" t="n">
        <f aca="false">IFERROR(E123/(F123*C123*Model!$B$5),"")</f>
        <v>4383.68358170606</v>
      </c>
    </row>
    <row r="124" customFormat="false" ht="15" hidden="false" customHeight="false" outlineLevel="0" collapsed="false">
      <c r="A124" s="0" t="str">
        <f aca="false">Clean!A124</f>
        <v>SHP0123</v>
      </c>
      <c r="B124" s="0" t="str">
        <f aca="false">Clean!AA124</f>
        <v>BlueDart</v>
      </c>
      <c r="C124" s="28" t="n">
        <f aca="false">Clean!J124</f>
        <v>15.82</v>
      </c>
      <c r="D124" s="29" t="n">
        <f aca="false">Clean!AF124</f>
        <v>1437.23</v>
      </c>
      <c r="E124" s="29" t="n">
        <f aca="false">Clean!AE124</f>
        <v>1410.04</v>
      </c>
      <c r="F124" s="22" t="n">
        <f aca="false">AVERAGEIFS(Clean!$V$2:$V$1001,Clean!$AA$2:$AA$1001,B124)</f>
        <v>0.773869346733668</v>
      </c>
      <c r="G124" s="29" t="n">
        <f aca="false">F124*C124*D124</f>
        <v>17595.4507758794</v>
      </c>
      <c r="H124" s="29" t="n">
        <f aca="false">G124*Model!$B$4</f>
        <v>17595.4507758794</v>
      </c>
      <c r="I124" s="0" t="str">
        <f aca="false">IF(E124&lt;Model!$B$5*H124,"Expedite","Standard")</f>
        <v>Expedite</v>
      </c>
      <c r="J124" s="29" t="n">
        <f aca="false">H124</f>
        <v>17595.4507758794</v>
      </c>
      <c r="K124" s="29" t="n">
        <f aca="false">E124+(1-Model!$B$5)*H124</f>
        <v>1410.04</v>
      </c>
      <c r="L124" s="29" t="n">
        <f aca="false">IF(I124="Expedite",K124,J124)</f>
        <v>1410.04</v>
      </c>
      <c r="M124" s="29" t="n">
        <f aca="false">J124-L124</f>
        <v>16185.4107758794</v>
      </c>
      <c r="N124" s="29" t="n">
        <f aca="false">IFERROR(E124/(F124*C124*Model!$B$5),"")</f>
        <v>115.174758237969</v>
      </c>
    </row>
    <row r="125" customFormat="false" ht="15" hidden="false" customHeight="false" outlineLevel="0" collapsed="false">
      <c r="A125" s="0" t="str">
        <f aca="false">Clean!A125</f>
        <v>SHP0124</v>
      </c>
      <c r="B125" s="0" t="str">
        <f aca="false">Clean!AA125</f>
        <v>BlueDart</v>
      </c>
      <c r="C125" s="28" t="n">
        <f aca="false">Clean!J125</f>
        <v>14.07</v>
      </c>
      <c r="D125" s="29" t="n">
        <f aca="false">Clean!AF125</f>
        <v>1120.92</v>
      </c>
      <c r="E125" s="29" t="n">
        <f aca="false">Clean!AE125</f>
        <v>2383.53</v>
      </c>
      <c r="F125" s="22" t="n">
        <f aca="false">AVERAGEIFS(Clean!$V$2:$V$1001,Clean!$AA$2:$AA$1001,B125)</f>
        <v>0.773869346733668</v>
      </c>
      <c r="G125" s="29" t="n">
        <f aca="false">F125*C125*D125</f>
        <v>12204.9599879397</v>
      </c>
      <c r="H125" s="29" t="n">
        <f aca="false">G125*Model!$B$4</f>
        <v>12204.9599879397</v>
      </c>
      <c r="I125" s="0" t="str">
        <f aca="false">IF(E125&lt;Model!$B$5*H125,"Expedite","Standard")</f>
        <v>Expedite</v>
      </c>
      <c r="J125" s="29" t="n">
        <f aca="false">H125</f>
        <v>12204.9599879397</v>
      </c>
      <c r="K125" s="29" t="n">
        <f aca="false">E125+(1-Model!$B$5)*H125</f>
        <v>2383.53</v>
      </c>
      <c r="L125" s="29" t="n">
        <f aca="false">IF(I125="Expedite",K125,J125)</f>
        <v>2383.53</v>
      </c>
      <c r="M125" s="29" t="n">
        <f aca="false">J125-L125</f>
        <v>9821.4299879397</v>
      </c>
      <c r="N125" s="29" t="n">
        <f aca="false">IFERROR(E125/(F125*C125*Model!$B$5),"")</f>
        <v>218.906612577188</v>
      </c>
    </row>
    <row r="126" customFormat="false" ht="15" hidden="false" customHeight="false" outlineLevel="0" collapsed="false">
      <c r="A126" s="0" t="str">
        <f aca="false">Clean!A126</f>
        <v>SHP0125</v>
      </c>
      <c r="B126" s="0" t="str">
        <f aca="false">Clean!AA126</f>
        <v>Delhivery</v>
      </c>
      <c r="C126" s="28" t="n">
        <f aca="false">Clean!J126</f>
        <v>1.87</v>
      </c>
      <c r="D126" s="29" t="n">
        <f aca="false">Clean!AF126</f>
        <v>823.61</v>
      </c>
      <c r="E126" s="29" t="n">
        <f aca="false">Clean!AE126</f>
        <v>1088.49</v>
      </c>
      <c r="F126" s="22" t="n">
        <f aca="false">AVERAGEIFS(Clean!$V$2:$V$1001,Clean!$AA$2:$AA$1001,B126)</f>
        <v>0.72538860103627</v>
      </c>
      <c r="G126" s="29" t="n">
        <f aca="false">F126*C126*D126</f>
        <v>1117.20776165803</v>
      </c>
      <c r="H126" s="29" t="n">
        <f aca="false">G126*Model!$B$4</f>
        <v>1117.20776165803</v>
      </c>
      <c r="I126" s="0" t="str">
        <f aca="false">IF(E126&lt;Model!$B$5*H126,"Expedite","Standard")</f>
        <v>Expedite</v>
      </c>
      <c r="J126" s="29" t="n">
        <f aca="false">H126</f>
        <v>1117.20776165803</v>
      </c>
      <c r="K126" s="29" t="n">
        <f aca="false">E126+(1-Model!$B$5)*H126</f>
        <v>1088.49</v>
      </c>
      <c r="L126" s="29" t="n">
        <f aca="false">IF(I126="Expedite",K126,J126)</f>
        <v>1088.49</v>
      </c>
      <c r="M126" s="29" t="n">
        <f aca="false">J126-L126</f>
        <v>28.7177616580311</v>
      </c>
      <c r="N126" s="29" t="n">
        <f aca="false">IFERROR(E126/(F126*C126*Model!$B$5),"")</f>
        <v>802.439152024446</v>
      </c>
    </row>
    <row r="127" customFormat="false" ht="15" hidden="false" customHeight="false" outlineLevel="0" collapsed="false">
      <c r="A127" s="0" t="str">
        <f aca="false">Clean!A127</f>
        <v>SHP0126</v>
      </c>
      <c r="B127" s="0" t="str">
        <f aca="false">Clean!AA127</f>
        <v>GATI Logistics</v>
      </c>
      <c r="C127" s="28" t="n">
        <f aca="false">Clean!J127</f>
        <v>10.28</v>
      </c>
      <c r="D127" s="29" t="n">
        <f aca="false">Clean!AF127</f>
        <v>951.39</v>
      </c>
      <c r="E127" s="29" t="n">
        <f aca="false">Clean!AE127</f>
        <v>2704.73</v>
      </c>
      <c r="F127" s="22" t="n">
        <f aca="false">AVERAGEIFS(Clean!$V$2:$V$1001,Clean!$AA$2:$AA$1001,B127)</f>
        <v>0.751243781094527</v>
      </c>
      <c r="G127" s="29" t="n">
        <f aca="false">F127*C127*D127</f>
        <v>7347.38143880597</v>
      </c>
      <c r="H127" s="29" t="n">
        <f aca="false">G127*Model!$B$4</f>
        <v>7347.38143880597</v>
      </c>
      <c r="I127" s="0" t="str">
        <f aca="false">IF(E127&lt;Model!$B$5*H127,"Expedite","Standard")</f>
        <v>Expedite</v>
      </c>
      <c r="J127" s="29" t="n">
        <f aca="false">H127</f>
        <v>7347.38143880597</v>
      </c>
      <c r="K127" s="29" t="n">
        <f aca="false">E127+(1-Model!$B$5)*H127</f>
        <v>2704.73</v>
      </c>
      <c r="L127" s="29" t="n">
        <f aca="false">IF(I127="Expedite",K127,J127)</f>
        <v>2704.73</v>
      </c>
      <c r="M127" s="29" t="n">
        <f aca="false">J127-L127</f>
        <v>4642.65143880597</v>
      </c>
      <c r="N127" s="29" t="n">
        <f aca="false">IFERROR(E127/(F127*C127*Model!$B$5),"")</f>
        <v>350.227233488804</v>
      </c>
    </row>
    <row r="128" customFormat="false" ht="15" hidden="false" customHeight="false" outlineLevel="0" collapsed="false">
      <c r="A128" s="0" t="str">
        <f aca="false">Clean!A128</f>
        <v>SHP0127</v>
      </c>
      <c r="B128" s="0" t="str">
        <f aca="false">Clean!AA128</f>
        <v>GATI Logistics</v>
      </c>
      <c r="C128" s="28" t="n">
        <f aca="false">Clean!J128</f>
        <v>4.11</v>
      </c>
      <c r="D128" s="29" t="n">
        <f aca="false">Clean!AF128</f>
        <v>651.06</v>
      </c>
      <c r="E128" s="29" t="n">
        <f aca="false">Clean!AE128</f>
        <v>4803.45</v>
      </c>
      <c r="F128" s="22" t="n">
        <f aca="false">AVERAGEIFS(Clean!$V$2:$V$1001,Clean!$AA$2:$AA$1001,B128)</f>
        <v>0.751243781094527</v>
      </c>
      <c r="G128" s="29" t="n">
        <f aca="false">F128*C128*D128</f>
        <v>2010.22062985075</v>
      </c>
      <c r="H128" s="29" t="n">
        <f aca="false">G128*Model!$B$4</f>
        <v>2010.22062985075</v>
      </c>
      <c r="I128" s="0" t="str">
        <f aca="false">IF(E128&lt;Model!$B$5*H128,"Expedite","Standard")</f>
        <v>Standard</v>
      </c>
      <c r="J128" s="29" t="n">
        <f aca="false">H128</f>
        <v>2010.22062985075</v>
      </c>
      <c r="K128" s="29" t="n">
        <f aca="false">E128+(1-Model!$B$5)*H128</f>
        <v>4803.45</v>
      </c>
      <c r="L128" s="29" t="n">
        <f aca="false">IF(I128="Expedite",K128,J128)</f>
        <v>2010.22062985075</v>
      </c>
      <c r="M128" s="29" t="n">
        <f aca="false">J128-L128</f>
        <v>0</v>
      </c>
      <c r="N128" s="29" t="n">
        <f aca="false">IFERROR(E128/(F128*C128*Model!$B$5),"")</f>
        <v>1555.71687533233</v>
      </c>
    </row>
    <row r="129" customFormat="false" ht="15" hidden="false" customHeight="false" outlineLevel="0" collapsed="false">
      <c r="A129" s="0" t="str">
        <f aca="false">Clean!A129</f>
        <v>SHP0128</v>
      </c>
      <c r="B129" s="0" t="str">
        <f aca="false">Clean!AA129</f>
        <v>TCI Express</v>
      </c>
      <c r="C129" s="28" t="n">
        <f aca="false">Clean!J129</f>
        <v>9.21</v>
      </c>
      <c r="D129" s="29" t="n">
        <f aca="false">Clean!AF129</f>
        <v>909.33</v>
      </c>
      <c r="E129" s="29" t="n">
        <f aca="false">Clean!AE129</f>
        <v>4935.91</v>
      </c>
      <c r="F129" s="22" t="n">
        <f aca="false">AVERAGEIFS(Clean!$V$2:$V$1001,Clean!$AA$2:$AA$1001,B129)</f>
        <v>0.752336448598131</v>
      </c>
      <c r="G129" s="29" t="n">
        <f aca="false">F129*C129*D129</f>
        <v>6300.76456682243</v>
      </c>
      <c r="H129" s="29" t="n">
        <f aca="false">G129*Model!$B$4</f>
        <v>6300.76456682243</v>
      </c>
      <c r="I129" s="0" t="str">
        <f aca="false">IF(E129&lt;Model!$B$5*H129,"Expedite","Standard")</f>
        <v>Expedite</v>
      </c>
      <c r="J129" s="29" t="n">
        <f aca="false">H129</f>
        <v>6300.76456682243</v>
      </c>
      <c r="K129" s="29" t="n">
        <f aca="false">E129+(1-Model!$B$5)*H129</f>
        <v>4935.91</v>
      </c>
      <c r="L129" s="29" t="n">
        <f aca="false">IF(I129="Expedite",K129,J129)</f>
        <v>4935.91</v>
      </c>
      <c r="M129" s="29" t="n">
        <f aca="false">J129-L129</f>
        <v>1364.85456682243</v>
      </c>
      <c r="N129" s="29" t="n">
        <f aca="false">IFERROR(E129/(F129*C129*Model!$B$5),"")</f>
        <v>712.353396591606</v>
      </c>
    </row>
    <row r="130" customFormat="false" ht="15" hidden="false" customHeight="false" outlineLevel="0" collapsed="false">
      <c r="A130" s="0" t="str">
        <f aca="false">Clean!A130</f>
        <v>SHP0129</v>
      </c>
      <c r="B130" s="0" t="str">
        <f aca="false">Clean!AA130</f>
        <v>VRL Cargo</v>
      </c>
      <c r="C130" s="28" t="n">
        <f aca="false">Clean!J130</f>
        <v>17.99</v>
      </c>
      <c r="D130" s="29" t="n">
        <f aca="false">Clean!AF130</f>
        <v>703.7</v>
      </c>
      <c r="E130" s="29" t="n">
        <f aca="false">Clean!AE130</f>
        <v>1636.98</v>
      </c>
      <c r="F130" s="22" t="n">
        <f aca="false">AVERAGEIFS(Clean!$V$2:$V$1001,Clean!$AA$2:$AA$1001,B130)</f>
        <v>0.72020725388601</v>
      </c>
      <c r="G130" s="29" t="n">
        <f aca="false">F130*C130*D130</f>
        <v>9117.50910362694</v>
      </c>
      <c r="H130" s="29" t="n">
        <f aca="false">G130*Model!$B$4</f>
        <v>9117.50910362694</v>
      </c>
      <c r="I130" s="0" t="str">
        <f aca="false">IF(E130&lt;Model!$B$5*H130,"Expedite","Standard")</f>
        <v>Expedite</v>
      </c>
      <c r="J130" s="29" t="n">
        <f aca="false">H130</f>
        <v>9117.50910362694</v>
      </c>
      <c r="K130" s="29" t="n">
        <f aca="false">E130+(1-Model!$B$5)*H130</f>
        <v>1636.98</v>
      </c>
      <c r="L130" s="29" t="n">
        <f aca="false">IF(I130="Expedite",K130,J130)</f>
        <v>1636.98</v>
      </c>
      <c r="M130" s="29" t="n">
        <f aca="false">J130-L130</f>
        <v>7480.52910362694</v>
      </c>
      <c r="N130" s="29" t="n">
        <f aca="false">IFERROR(E130/(F130*C130*Model!$B$5),"")</f>
        <v>126.344028057154</v>
      </c>
    </row>
    <row r="131" customFormat="false" ht="15" hidden="false" customHeight="false" outlineLevel="0" collapsed="false">
      <c r="A131" s="0" t="str">
        <f aca="false">Clean!A131</f>
        <v>SHP0130</v>
      </c>
      <c r="B131" s="0" t="str">
        <f aca="false">Clean!AA131</f>
        <v>TCI Express</v>
      </c>
      <c r="C131" s="28" t="n">
        <f aca="false">Clean!J131</f>
        <v>2.73</v>
      </c>
      <c r="D131" s="29" t="n">
        <f aca="false">Clean!AF131</f>
        <v>1411.84</v>
      </c>
      <c r="E131" s="29" t="n">
        <f aca="false">Clean!AE131</f>
        <v>2176.67</v>
      </c>
      <c r="F131" s="22" t="n">
        <f aca="false">AVERAGEIFS(Clean!$V$2:$V$1001,Clean!$AA$2:$AA$1001,B131)</f>
        <v>0.752336448598131</v>
      </c>
      <c r="G131" s="29" t="n">
        <f aca="false">F131*C131*D131</f>
        <v>2899.74782803738</v>
      </c>
      <c r="H131" s="29" t="n">
        <f aca="false">G131*Model!$B$4</f>
        <v>2899.74782803738</v>
      </c>
      <c r="I131" s="0" t="str">
        <f aca="false">IF(E131&lt;Model!$B$5*H131,"Expedite","Standard")</f>
        <v>Expedite</v>
      </c>
      <c r="J131" s="29" t="n">
        <f aca="false">H131</f>
        <v>2899.74782803738</v>
      </c>
      <c r="K131" s="29" t="n">
        <f aca="false">E131+(1-Model!$B$5)*H131</f>
        <v>2176.67</v>
      </c>
      <c r="L131" s="29" t="n">
        <f aca="false">IF(I131="Expedite",K131,J131)</f>
        <v>2176.67</v>
      </c>
      <c r="M131" s="29" t="n">
        <f aca="false">J131-L131</f>
        <v>723.077828037383</v>
      </c>
      <c r="N131" s="29" t="n">
        <f aca="false">IFERROR(E131/(F131*C131*Model!$B$5),"")</f>
        <v>1059.78517962369</v>
      </c>
    </row>
    <row r="132" customFormat="false" ht="15" hidden="false" customHeight="false" outlineLevel="0" collapsed="false">
      <c r="A132" s="0" t="str">
        <f aca="false">Clean!A132</f>
        <v>SHP0131</v>
      </c>
      <c r="B132" s="0" t="str">
        <f aca="false">Clean!AA132</f>
        <v>Delhivery</v>
      </c>
      <c r="C132" s="28" t="n">
        <f aca="false">Clean!J132</f>
        <v>19.38</v>
      </c>
      <c r="D132" s="29" t="n">
        <f aca="false">Clean!AF132</f>
        <v>1081.97</v>
      </c>
      <c r="E132" s="29" t="n">
        <f aca="false">Clean!AE132</f>
        <v>1256.84</v>
      </c>
      <c r="F132" s="22" t="n">
        <f aca="false">AVERAGEIFS(Clean!$V$2:$V$1001,Clean!$AA$2:$AA$1001,B132)</f>
        <v>0.72538860103627</v>
      </c>
      <c r="G132" s="29" t="n">
        <f aca="false">F132*C132*D132</f>
        <v>15210.3678963731</v>
      </c>
      <c r="H132" s="29" t="n">
        <f aca="false">G132*Model!$B$4</f>
        <v>15210.3678963731</v>
      </c>
      <c r="I132" s="0" t="str">
        <f aca="false">IF(E132&lt;Model!$B$5*H132,"Expedite","Standard")</f>
        <v>Expedite</v>
      </c>
      <c r="J132" s="29" t="n">
        <f aca="false">H132</f>
        <v>15210.3678963731</v>
      </c>
      <c r="K132" s="29" t="n">
        <f aca="false">E132+(1-Model!$B$5)*H132</f>
        <v>1256.84</v>
      </c>
      <c r="L132" s="29" t="n">
        <f aca="false">IF(I132="Expedite",K132,J132)</f>
        <v>1256.84</v>
      </c>
      <c r="M132" s="29" t="n">
        <f aca="false">J132-L132</f>
        <v>13953.5278963731</v>
      </c>
      <c r="N132" s="29" t="n">
        <f aca="false">IFERROR(E132/(F132*C132*Model!$B$5),"")</f>
        <v>89.4037004275394</v>
      </c>
    </row>
    <row r="133" customFormat="false" ht="15" hidden="false" customHeight="false" outlineLevel="0" collapsed="false">
      <c r="A133" s="0" t="str">
        <f aca="false">Clean!A133</f>
        <v>SHP0132</v>
      </c>
      <c r="B133" s="0" t="str">
        <f aca="false">Clean!AA133</f>
        <v>GATI Logistics</v>
      </c>
      <c r="C133" s="28" t="n">
        <f aca="false">Clean!J133</f>
        <v>6.11</v>
      </c>
      <c r="D133" s="29" t="n">
        <f aca="false">Clean!AF133</f>
        <v>979.94</v>
      </c>
      <c r="E133" s="29" t="n">
        <f aca="false">Clean!AE133</f>
        <v>2569.97</v>
      </c>
      <c r="F133" s="22" t="n">
        <f aca="false">AVERAGEIFS(Clean!$V$2:$V$1001,Clean!$AA$2:$AA$1001,B133)</f>
        <v>0.751243781094527</v>
      </c>
      <c r="G133" s="29" t="n">
        <f aca="false">F133*C133*D133</f>
        <v>4498.02210646766</v>
      </c>
      <c r="H133" s="29" t="n">
        <f aca="false">G133*Model!$B$4</f>
        <v>4498.02210646766</v>
      </c>
      <c r="I133" s="0" t="str">
        <f aca="false">IF(E133&lt;Model!$B$5*H133,"Expedite","Standard")</f>
        <v>Expedite</v>
      </c>
      <c r="J133" s="29" t="n">
        <f aca="false">H133</f>
        <v>4498.02210646766</v>
      </c>
      <c r="K133" s="29" t="n">
        <f aca="false">E133+(1-Model!$B$5)*H133</f>
        <v>2569.97</v>
      </c>
      <c r="L133" s="29" t="n">
        <f aca="false">IF(I133="Expedite",K133,J133)</f>
        <v>2569.97</v>
      </c>
      <c r="M133" s="29" t="n">
        <f aca="false">J133-L133</f>
        <v>1928.05210646766</v>
      </c>
      <c r="N133" s="29" t="n">
        <f aca="false">IFERROR(E133/(F133*C133*Model!$B$5),"")</f>
        <v>559.894180639707</v>
      </c>
    </row>
    <row r="134" customFormat="false" ht="15" hidden="false" customHeight="false" outlineLevel="0" collapsed="false">
      <c r="A134" s="0" t="str">
        <f aca="false">Clean!A134</f>
        <v>SHP0133</v>
      </c>
      <c r="B134" s="0" t="str">
        <f aca="false">Clean!AA134</f>
        <v>VRL Cargo</v>
      </c>
      <c r="C134" s="28" t="n">
        <f aca="false">Clean!J134</f>
        <v>12.4</v>
      </c>
      <c r="D134" s="29" t="n">
        <f aca="false">Clean!AF134</f>
        <v>998.89</v>
      </c>
      <c r="E134" s="29" t="n">
        <f aca="false">Clean!AE134</f>
        <v>1569.98</v>
      </c>
      <c r="F134" s="22" t="n">
        <f aca="false">AVERAGEIFS(Clean!$V$2:$V$1001,Clean!$AA$2:$AA$1001,B134)</f>
        <v>0.72020725388601</v>
      </c>
      <c r="G134" s="29" t="n">
        <f aca="false">F134*C134*D134</f>
        <v>8920.65701554404</v>
      </c>
      <c r="H134" s="29" t="n">
        <f aca="false">G134*Model!$B$4</f>
        <v>8920.65701554404</v>
      </c>
      <c r="I134" s="0" t="str">
        <f aca="false">IF(E134&lt;Model!$B$5*H134,"Expedite","Standard")</f>
        <v>Expedite</v>
      </c>
      <c r="J134" s="29" t="n">
        <f aca="false">H134</f>
        <v>8920.65701554404</v>
      </c>
      <c r="K134" s="29" t="n">
        <f aca="false">E134+(1-Model!$B$5)*H134</f>
        <v>1569.98</v>
      </c>
      <c r="L134" s="29" t="n">
        <f aca="false">IF(I134="Expedite",K134,J134)</f>
        <v>1569.98</v>
      </c>
      <c r="M134" s="29" t="n">
        <f aca="false">J134-L134</f>
        <v>7350.67701554404</v>
      </c>
      <c r="N134" s="29" t="n">
        <f aca="false">IFERROR(E134/(F134*C134*Model!$B$5),"")</f>
        <v>175.798410304015</v>
      </c>
    </row>
    <row r="135" customFormat="false" ht="15" hidden="false" customHeight="false" outlineLevel="0" collapsed="false">
      <c r="A135" s="0" t="str">
        <f aca="false">Clean!A135</f>
        <v>SHP0134</v>
      </c>
      <c r="B135" s="0" t="str">
        <f aca="false">Clean!AA135</f>
        <v>TCI Express</v>
      </c>
      <c r="C135" s="28" t="n">
        <f aca="false">Clean!J135</f>
        <v>12.74</v>
      </c>
      <c r="D135" s="29" t="n">
        <f aca="false">Clean!AF135</f>
        <v>582.51</v>
      </c>
      <c r="E135" s="29" t="n">
        <f aca="false">Clean!AE135</f>
        <v>4530.13</v>
      </c>
      <c r="F135" s="22" t="n">
        <f aca="false">AVERAGEIFS(Clean!$V$2:$V$1001,Clean!$AA$2:$AA$1001,B135)</f>
        <v>0.752336448598131</v>
      </c>
      <c r="G135" s="29" t="n">
        <f aca="false">F135*C135*D135</f>
        <v>5583.22224953271</v>
      </c>
      <c r="H135" s="29" t="n">
        <f aca="false">G135*Model!$B$4</f>
        <v>5583.22224953271</v>
      </c>
      <c r="I135" s="0" t="str">
        <f aca="false">IF(E135&lt;Model!$B$5*H135,"Expedite","Standard")</f>
        <v>Expedite</v>
      </c>
      <c r="J135" s="29" t="n">
        <f aca="false">H135</f>
        <v>5583.22224953271</v>
      </c>
      <c r="K135" s="29" t="n">
        <f aca="false">E135+(1-Model!$B$5)*H135</f>
        <v>4530.13</v>
      </c>
      <c r="L135" s="29" t="n">
        <f aca="false">IF(I135="Expedite",K135,J135)</f>
        <v>4530.13</v>
      </c>
      <c r="M135" s="29" t="n">
        <f aca="false">J135-L135</f>
        <v>1053.09224953271</v>
      </c>
      <c r="N135" s="29" t="n">
        <f aca="false">IFERROR(E135/(F135*C135*Model!$B$5),"")</f>
        <v>472.638542469066</v>
      </c>
    </row>
    <row r="136" customFormat="false" ht="15" hidden="false" customHeight="false" outlineLevel="0" collapsed="false">
      <c r="A136" s="0" t="str">
        <f aca="false">Clean!A136</f>
        <v>SHP0135</v>
      </c>
      <c r="B136" s="0" t="str">
        <f aca="false">Clean!AA136</f>
        <v>BlueDart</v>
      </c>
      <c r="C136" s="28" t="n">
        <f aca="false">Clean!J136</f>
        <v>16.67</v>
      </c>
      <c r="D136" s="29" t="n">
        <f aca="false">Clean!AF136</f>
        <v>624.22</v>
      </c>
      <c r="E136" s="29" t="n">
        <f aca="false">Clean!AE136</f>
        <v>4806.2</v>
      </c>
      <c r="F136" s="22" t="n">
        <f aca="false">AVERAGEIFS(Clean!$V$2:$V$1001,Clean!$AA$2:$AA$1001,B136)</f>
        <v>0.773869346733668</v>
      </c>
      <c r="G136" s="29" t="n">
        <f aca="false">F136*C136*D136</f>
        <v>8052.68894271357</v>
      </c>
      <c r="H136" s="29" t="n">
        <f aca="false">G136*Model!$B$4</f>
        <v>8052.68894271357</v>
      </c>
      <c r="I136" s="0" t="str">
        <f aca="false">IF(E136&lt;Model!$B$5*H136,"Expedite","Standard")</f>
        <v>Expedite</v>
      </c>
      <c r="J136" s="29" t="n">
        <f aca="false">H136</f>
        <v>8052.68894271357</v>
      </c>
      <c r="K136" s="29" t="n">
        <f aca="false">E136+(1-Model!$B$5)*H136</f>
        <v>4806.2</v>
      </c>
      <c r="L136" s="29" t="n">
        <f aca="false">IF(I136="Expedite",K136,J136)</f>
        <v>4806.2</v>
      </c>
      <c r="M136" s="29" t="n">
        <f aca="false">J136-L136</f>
        <v>3246.48894271357</v>
      </c>
      <c r="N136" s="29" t="n">
        <f aca="false">IFERROR(E136/(F136*C136*Model!$B$5),"")</f>
        <v>372.562033047936</v>
      </c>
    </row>
    <row r="137" customFormat="false" ht="15" hidden="false" customHeight="false" outlineLevel="0" collapsed="false">
      <c r="A137" s="0" t="str">
        <f aca="false">Clean!A137</f>
        <v>SHP0136</v>
      </c>
      <c r="B137" s="0" t="str">
        <f aca="false">Clean!AA137</f>
        <v>Delhivery</v>
      </c>
      <c r="C137" s="28" t="n">
        <f aca="false">Clean!J137</f>
        <v>18.03</v>
      </c>
      <c r="D137" s="29" t="n">
        <f aca="false">Clean!AF137</f>
        <v>1283.42</v>
      </c>
      <c r="E137" s="29" t="n">
        <f aca="false">Clean!AE137</f>
        <v>3501.22</v>
      </c>
      <c r="F137" s="22" t="n">
        <f aca="false">AVERAGEIFS(Clean!$V$2:$V$1001,Clean!$AA$2:$AA$1001,B137)</f>
        <v>0.72538860103627</v>
      </c>
      <c r="G137" s="29" t="n">
        <f aca="false">F137*C137*D137</f>
        <v>16785.5376373057</v>
      </c>
      <c r="H137" s="29" t="n">
        <f aca="false">G137*Model!$B$4</f>
        <v>16785.5376373057</v>
      </c>
      <c r="I137" s="0" t="str">
        <f aca="false">IF(E137&lt;Model!$B$5*H137,"Expedite","Standard")</f>
        <v>Expedite</v>
      </c>
      <c r="J137" s="29" t="n">
        <f aca="false">H137</f>
        <v>16785.5376373057</v>
      </c>
      <c r="K137" s="29" t="n">
        <f aca="false">E137+(1-Model!$B$5)*H137</f>
        <v>3501.22</v>
      </c>
      <c r="L137" s="29" t="n">
        <f aca="false">IF(I137="Expedite",K137,J137)</f>
        <v>3501.22</v>
      </c>
      <c r="M137" s="29" t="n">
        <f aca="false">J137-L137</f>
        <v>13284.3176373057</v>
      </c>
      <c r="N137" s="29" t="n">
        <f aca="false">IFERROR(E137/(F137*C137*Model!$B$5),"")</f>
        <v>267.702820695666</v>
      </c>
    </row>
    <row r="138" customFormat="false" ht="15" hidden="false" customHeight="false" outlineLevel="0" collapsed="false">
      <c r="A138" s="0" t="str">
        <f aca="false">Clean!A138</f>
        <v>SHP0137</v>
      </c>
      <c r="B138" s="0" t="str">
        <f aca="false">Clean!AA138</f>
        <v>VRL Cargo</v>
      </c>
      <c r="C138" s="28" t="n">
        <f aca="false">Clean!J138</f>
        <v>12.63</v>
      </c>
      <c r="D138" s="29" t="n">
        <f aca="false">Clean!AF138</f>
        <v>581.63</v>
      </c>
      <c r="E138" s="29" t="n">
        <f aca="false">Clean!AE138</f>
        <v>3926.36</v>
      </c>
      <c r="F138" s="22" t="n">
        <f aca="false">AVERAGEIFS(Clean!$V$2:$V$1001,Clean!$AA$2:$AA$1001,B138)</f>
        <v>0.72020725388601</v>
      </c>
      <c r="G138" s="29" t="n">
        <f aca="false">F138*C138*D138</f>
        <v>5290.63305233161</v>
      </c>
      <c r="H138" s="29" t="n">
        <f aca="false">G138*Model!$B$4</f>
        <v>5290.63305233161</v>
      </c>
      <c r="I138" s="0" t="str">
        <f aca="false">IF(E138&lt;Model!$B$5*H138,"Expedite","Standard")</f>
        <v>Expedite</v>
      </c>
      <c r="J138" s="29" t="n">
        <f aca="false">H138</f>
        <v>5290.63305233161</v>
      </c>
      <c r="K138" s="29" t="n">
        <f aca="false">E138+(1-Model!$B$5)*H138</f>
        <v>3926.36</v>
      </c>
      <c r="L138" s="29" t="n">
        <f aca="false">IF(I138="Expedite",K138,J138)</f>
        <v>3926.36</v>
      </c>
      <c r="M138" s="29" t="n">
        <f aca="false">J138-L138</f>
        <v>1364.27305233161</v>
      </c>
      <c r="N138" s="29" t="n">
        <f aca="false">IFERROR(E138/(F138*C138*Model!$B$5),"")</f>
        <v>431.647544672101</v>
      </c>
    </row>
    <row r="139" customFormat="false" ht="15" hidden="false" customHeight="false" outlineLevel="0" collapsed="false">
      <c r="A139" s="0" t="str">
        <f aca="false">Clean!A139</f>
        <v>SHP0138</v>
      </c>
      <c r="B139" s="0" t="str">
        <f aca="false">Clean!AA139</f>
        <v>Delhivery</v>
      </c>
      <c r="C139" s="28" t="n">
        <f aca="false">Clean!J139</f>
        <v>2.15</v>
      </c>
      <c r="D139" s="29" t="n">
        <f aca="false">Clean!AF139</f>
        <v>682.12</v>
      </c>
      <c r="E139" s="29" t="n">
        <f aca="false">Clean!AE139</f>
        <v>2347.58</v>
      </c>
      <c r="F139" s="22" t="n">
        <f aca="false">AVERAGEIFS(Clean!$V$2:$V$1001,Clean!$AA$2:$AA$1001,B139)</f>
        <v>0.72538860103627</v>
      </c>
      <c r="G139" s="29" t="n">
        <f aca="false">F139*C139*D139</f>
        <v>1063.82445595855</v>
      </c>
      <c r="H139" s="29" t="n">
        <f aca="false">G139*Model!$B$4</f>
        <v>1063.82445595855</v>
      </c>
      <c r="I139" s="0" t="str">
        <f aca="false">IF(E139&lt;Model!$B$5*H139,"Expedite","Standard")</f>
        <v>Standard</v>
      </c>
      <c r="J139" s="29" t="n">
        <f aca="false">H139</f>
        <v>1063.82445595855</v>
      </c>
      <c r="K139" s="29" t="n">
        <f aca="false">E139+(1-Model!$B$5)*H139</f>
        <v>2347.58</v>
      </c>
      <c r="L139" s="29" t="n">
        <f aca="false">IF(I139="Expedite",K139,J139)</f>
        <v>1063.82445595855</v>
      </c>
      <c r="M139" s="29" t="n">
        <f aca="false">J139-L139</f>
        <v>0</v>
      </c>
      <c r="N139" s="29" t="n">
        <f aca="false">IFERROR(E139/(F139*C139*Model!$B$5),"")</f>
        <v>1505.25893687708</v>
      </c>
    </row>
    <row r="140" customFormat="false" ht="15" hidden="false" customHeight="false" outlineLevel="0" collapsed="false">
      <c r="A140" s="0" t="str">
        <f aca="false">Clean!A140</f>
        <v>SHP0139</v>
      </c>
      <c r="B140" s="0" t="str">
        <f aca="false">Clean!AA140</f>
        <v>TCI Express</v>
      </c>
      <c r="C140" s="28" t="n">
        <f aca="false">Clean!J140</f>
        <v>16</v>
      </c>
      <c r="D140" s="29" t="n">
        <f aca="false">Clean!AF140</f>
        <v>572.2</v>
      </c>
      <c r="E140" s="29" t="n">
        <f aca="false">Clean!AE140</f>
        <v>3720.91</v>
      </c>
      <c r="F140" s="22" t="n">
        <f aca="false">AVERAGEIFS(Clean!$V$2:$V$1001,Clean!$AA$2:$AA$1001,B140)</f>
        <v>0.752336448598131</v>
      </c>
      <c r="G140" s="29" t="n">
        <f aca="false">F140*C140*D140</f>
        <v>6887.79065420561</v>
      </c>
      <c r="H140" s="29" t="n">
        <f aca="false">G140*Model!$B$4</f>
        <v>6887.79065420561</v>
      </c>
      <c r="I140" s="0" t="str">
        <f aca="false">IF(E140&lt;Model!$B$5*H140,"Expedite","Standard")</f>
        <v>Expedite</v>
      </c>
      <c r="J140" s="29" t="n">
        <f aca="false">H140</f>
        <v>6887.79065420561</v>
      </c>
      <c r="K140" s="29" t="n">
        <f aca="false">E140+(1-Model!$B$5)*H140</f>
        <v>3720.91</v>
      </c>
      <c r="L140" s="29" t="n">
        <f aca="false">IF(I140="Expedite",K140,J140)</f>
        <v>3720.91</v>
      </c>
      <c r="M140" s="29" t="n">
        <f aca="false">J140-L140</f>
        <v>3166.88065420561</v>
      </c>
      <c r="N140" s="29" t="n">
        <f aca="false">IFERROR(E140/(F140*C140*Model!$B$5),"")</f>
        <v>309.112864906832</v>
      </c>
    </row>
    <row r="141" customFormat="false" ht="15" hidden="false" customHeight="false" outlineLevel="0" collapsed="false">
      <c r="A141" s="0" t="str">
        <f aca="false">Clean!A141</f>
        <v>SHP0140</v>
      </c>
      <c r="B141" s="0" t="str">
        <f aca="false">Clean!AA141</f>
        <v>Delhivery</v>
      </c>
      <c r="C141" s="28" t="n">
        <f aca="false">Clean!J141</f>
        <v>1.58</v>
      </c>
      <c r="D141" s="29" t="n">
        <f aca="false">Clean!AF141</f>
        <v>1235.35</v>
      </c>
      <c r="E141" s="29" t="n">
        <f aca="false">Clean!AE141</f>
        <v>3515.06</v>
      </c>
      <c r="F141" s="22" t="n">
        <f aca="false">AVERAGEIFS(Clean!$V$2:$V$1001,Clean!$AA$2:$AA$1001,B141)</f>
        <v>0.72538860103627</v>
      </c>
      <c r="G141" s="29" t="n">
        <f aca="false">F141*C141*D141</f>
        <v>1415.85191709845</v>
      </c>
      <c r="H141" s="29" t="n">
        <f aca="false">G141*Model!$B$4</f>
        <v>1415.85191709845</v>
      </c>
      <c r="I141" s="0" t="str">
        <f aca="false">IF(E141&lt;Model!$B$5*H141,"Expedite","Standard")</f>
        <v>Standard</v>
      </c>
      <c r="J141" s="29" t="n">
        <f aca="false">H141</f>
        <v>1415.85191709845</v>
      </c>
      <c r="K141" s="29" t="n">
        <f aca="false">E141+(1-Model!$B$5)*H141</f>
        <v>3515.06</v>
      </c>
      <c r="L141" s="29" t="n">
        <f aca="false">IF(I141="Expedite",K141,J141)</f>
        <v>1415.85191709845</v>
      </c>
      <c r="M141" s="29" t="n">
        <f aca="false">J141-L141</f>
        <v>0</v>
      </c>
      <c r="N141" s="29" t="n">
        <f aca="false">IFERROR(E141/(F141*C141*Model!$B$5),"")</f>
        <v>3066.93752260398</v>
      </c>
    </row>
    <row r="142" customFormat="false" ht="15" hidden="false" customHeight="false" outlineLevel="0" collapsed="false">
      <c r="A142" s="0" t="str">
        <f aca="false">Clean!A142</f>
        <v>SHP0141</v>
      </c>
      <c r="B142" s="0" t="str">
        <f aca="false">Clean!AA142</f>
        <v>GATI Logistics</v>
      </c>
      <c r="C142" s="28" t="n">
        <f aca="false">Clean!J142</f>
        <v>15.59</v>
      </c>
      <c r="D142" s="29" t="n">
        <f aca="false">Clean!AF142</f>
        <v>1292.96</v>
      </c>
      <c r="E142" s="29" t="n">
        <f aca="false">Clean!AE142</f>
        <v>3390.89</v>
      </c>
      <c r="F142" s="22" t="n">
        <f aca="false">AVERAGEIFS(Clean!$V$2:$V$1001,Clean!$AA$2:$AA$1001,B142)</f>
        <v>0.751243781094527</v>
      </c>
      <c r="G142" s="29" t="n">
        <f aca="false">F142*C142*D142</f>
        <v>15143.0060019901</v>
      </c>
      <c r="H142" s="29" t="n">
        <f aca="false">G142*Model!$B$4</f>
        <v>15143.0060019901</v>
      </c>
      <c r="I142" s="0" t="str">
        <f aca="false">IF(E142&lt;Model!$B$5*H142,"Expedite","Standard")</f>
        <v>Expedite</v>
      </c>
      <c r="J142" s="29" t="n">
        <f aca="false">H142</f>
        <v>15143.0060019901</v>
      </c>
      <c r="K142" s="29" t="n">
        <f aca="false">E142+(1-Model!$B$5)*H142</f>
        <v>3390.89</v>
      </c>
      <c r="L142" s="29" t="n">
        <f aca="false">IF(I142="Expedite",K142,J142)</f>
        <v>3390.89</v>
      </c>
      <c r="M142" s="29" t="n">
        <f aca="false">J142-L142</f>
        <v>11752.1160019901</v>
      </c>
      <c r="N142" s="29" t="n">
        <f aca="false">IFERROR(E142/(F142*C142*Model!$B$5),"")</f>
        <v>289.525417464923</v>
      </c>
    </row>
    <row r="143" customFormat="false" ht="15" hidden="false" customHeight="false" outlineLevel="0" collapsed="false">
      <c r="A143" s="0" t="str">
        <f aca="false">Clean!A143</f>
        <v>SHP0142</v>
      </c>
      <c r="B143" s="0" t="str">
        <f aca="false">Clean!AA143</f>
        <v>BlueDart</v>
      </c>
      <c r="C143" s="28" t="n">
        <f aca="false">Clean!J143</f>
        <v>13.45</v>
      </c>
      <c r="D143" s="29" t="n">
        <f aca="false">Clean!AF143</f>
        <v>735.79</v>
      </c>
      <c r="E143" s="29" t="n">
        <f aca="false">Clean!AE143</f>
        <v>4343.99</v>
      </c>
      <c r="F143" s="22" t="n">
        <f aca="false">AVERAGEIFS(Clean!$V$2:$V$1001,Clean!$AA$2:$AA$1001,B143)</f>
        <v>0.773869346733668</v>
      </c>
      <c r="G143" s="29" t="n">
        <f aca="false">F143*C143*D143</f>
        <v>7658.50164321608</v>
      </c>
      <c r="H143" s="29" t="n">
        <f aca="false">G143*Model!$B$4</f>
        <v>7658.50164321608</v>
      </c>
      <c r="I143" s="0" t="str">
        <f aca="false">IF(E143&lt;Model!$B$5*H143,"Expedite","Standard")</f>
        <v>Expedite</v>
      </c>
      <c r="J143" s="29" t="n">
        <f aca="false">H143</f>
        <v>7658.50164321608</v>
      </c>
      <c r="K143" s="29" t="n">
        <f aca="false">E143+(1-Model!$B$5)*H143</f>
        <v>4343.99</v>
      </c>
      <c r="L143" s="29" t="n">
        <f aca="false">IF(I143="Expedite",K143,J143)</f>
        <v>4343.99</v>
      </c>
      <c r="M143" s="29" t="n">
        <f aca="false">J143-L143</f>
        <v>3314.51164321608</v>
      </c>
      <c r="N143" s="29" t="n">
        <f aca="false">IFERROR(E143/(F143*C143*Model!$B$5),"")</f>
        <v>417.348529908753</v>
      </c>
    </row>
    <row r="144" customFormat="false" ht="15" hidden="false" customHeight="false" outlineLevel="0" collapsed="false">
      <c r="A144" s="0" t="str">
        <f aca="false">Clean!A144</f>
        <v>SHP0143</v>
      </c>
      <c r="B144" s="0" t="str">
        <f aca="false">Clean!AA144</f>
        <v>VRL Cargo</v>
      </c>
      <c r="C144" s="28" t="n">
        <f aca="false">Clean!J144</f>
        <v>15.74</v>
      </c>
      <c r="D144" s="29" t="n">
        <f aca="false">Clean!AF144</f>
        <v>1092.92</v>
      </c>
      <c r="E144" s="29" t="n">
        <f aca="false">Clean!AE144</f>
        <v>2620.08</v>
      </c>
      <c r="F144" s="22" t="n">
        <f aca="false">AVERAGEIFS(Clean!$V$2:$V$1001,Clean!$AA$2:$AA$1001,B144)</f>
        <v>0.72020725388601</v>
      </c>
      <c r="G144" s="29" t="n">
        <f aca="false">F144*C144*D144</f>
        <v>12389.4090735751</v>
      </c>
      <c r="H144" s="29" t="n">
        <f aca="false">G144*Model!$B$4</f>
        <v>12389.4090735751</v>
      </c>
      <c r="I144" s="0" t="str">
        <f aca="false">IF(E144&lt;Model!$B$5*H144,"Expedite","Standard")</f>
        <v>Expedite</v>
      </c>
      <c r="J144" s="29" t="n">
        <f aca="false">H144</f>
        <v>12389.4090735751</v>
      </c>
      <c r="K144" s="29" t="n">
        <f aca="false">E144+(1-Model!$B$5)*H144</f>
        <v>2620.08</v>
      </c>
      <c r="L144" s="29" t="n">
        <f aca="false">IF(I144="Expedite",K144,J144)</f>
        <v>2620.08</v>
      </c>
      <c r="M144" s="29" t="n">
        <f aca="false">J144-L144</f>
        <v>9769.32907357513</v>
      </c>
      <c r="N144" s="29" t="n">
        <f aca="false">IFERROR(E144/(F144*C144*Model!$B$5),"")</f>
        <v>231.127878383443</v>
      </c>
    </row>
    <row r="145" customFormat="false" ht="15" hidden="false" customHeight="false" outlineLevel="0" collapsed="false">
      <c r="A145" s="0" t="str">
        <f aca="false">Clean!A145</f>
        <v>SHP0144</v>
      </c>
      <c r="B145" s="0" t="str">
        <f aca="false">Clean!AA145</f>
        <v>TCI Express</v>
      </c>
      <c r="C145" s="28" t="n">
        <f aca="false">Clean!J145</f>
        <v>12.01</v>
      </c>
      <c r="D145" s="29" t="n">
        <f aca="false">Clean!AF145</f>
        <v>509.03</v>
      </c>
      <c r="E145" s="29" t="n">
        <f aca="false">Clean!AE145</f>
        <v>4431.95</v>
      </c>
      <c r="F145" s="22" t="n">
        <f aca="false">AVERAGEIFS(Clean!$V$2:$V$1001,Clean!$AA$2:$AA$1001,B145)</f>
        <v>0.752336448598131</v>
      </c>
      <c r="G145" s="29" t="n">
        <f aca="false">F145*C145*D145</f>
        <v>4599.37148738318</v>
      </c>
      <c r="H145" s="29" t="n">
        <f aca="false">G145*Model!$B$4</f>
        <v>4599.37148738318</v>
      </c>
      <c r="I145" s="0" t="str">
        <f aca="false">IF(E145&lt;Model!$B$5*H145,"Expedite","Standard")</f>
        <v>Expedite</v>
      </c>
      <c r="J145" s="29" t="n">
        <f aca="false">H145</f>
        <v>4599.37148738318</v>
      </c>
      <c r="K145" s="29" t="n">
        <f aca="false">E145+(1-Model!$B$5)*H145</f>
        <v>4431.95</v>
      </c>
      <c r="L145" s="29" t="n">
        <f aca="false">IF(I145="Expedite",K145,J145)</f>
        <v>4431.95</v>
      </c>
      <c r="M145" s="29" t="n">
        <f aca="false">J145-L145</f>
        <v>167.421487383177</v>
      </c>
      <c r="N145" s="29" t="n">
        <f aca="false">IFERROR(E145/(F145*C145*Model!$B$5),"")</f>
        <v>490.500824881957</v>
      </c>
    </row>
    <row r="146" customFormat="false" ht="15" hidden="false" customHeight="false" outlineLevel="0" collapsed="false">
      <c r="A146" s="0" t="str">
        <f aca="false">Clean!A146</f>
        <v>SHP0145</v>
      </c>
      <c r="B146" s="0" t="str">
        <f aca="false">Clean!AA146</f>
        <v>TCI Express</v>
      </c>
      <c r="C146" s="28" t="n">
        <f aca="false">Clean!J146</f>
        <v>12.18</v>
      </c>
      <c r="D146" s="29" t="n">
        <f aca="false">Clean!AF146</f>
        <v>949.43</v>
      </c>
      <c r="E146" s="29" t="n">
        <f aca="false">Clean!AE146</f>
        <v>1583.03</v>
      </c>
      <c r="F146" s="22" t="n">
        <f aca="false">AVERAGEIFS(Clean!$V$2:$V$1001,Clean!$AA$2:$AA$1001,B146)</f>
        <v>0.752336448598131</v>
      </c>
      <c r="G146" s="29" t="n">
        <f aca="false">F146*C146*D146</f>
        <v>8700.06187570093</v>
      </c>
      <c r="H146" s="29" t="n">
        <f aca="false">G146*Model!$B$4</f>
        <v>8700.06187570093</v>
      </c>
      <c r="I146" s="0" t="str">
        <f aca="false">IF(E146&lt;Model!$B$5*H146,"Expedite","Standard")</f>
        <v>Expedite</v>
      </c>
      <c r="J146" s="29" t="n">
        <f aca="false">H146</f>
        <v>8700.06187570093</v>
      </c>
      <c r="K146" s="29" t="n">
        <f aca="false">E146+(1-Model!$B$5)*H146</f>
        <v>1583.03</v>
      </c>
      <c r="L146" s="29" t="n">
        <f aca="false">IF(I146="Expedite",K146,J146)</f>
        <v>1583.03</v>
      </c>
      <c r="M146" s="29" t="n">
        <f aca="false">J146-L146</f>
        <v>7117.03187570093</v>
      </c>
      <c r="N146" s="29" t="n">
        <f aca="false">IFERROR(E146/(F146*C146*Model!$B$5),"")</f>
        <v>172.754653285602</v>
      </c>
    </row>
    <row r="147" customFormat="false" ht="15" hidden="false" customHeight="false" outlineLevel="0" collapsed="false">
      <c r="A147" s="0" t="str">
        <f aca="false">Clean!A147</f>
        <v>SHP0146</v>
      </c>
      <c r="B147" s="0" t="str">
        <f aca="false">Clean!AA147</f>
        <v>GATI Logistics</v>
      </c>
      <c r="C147" s="28" t="n">
        <f aca="false">Clean!J147</f>
        <v>12.17</v>
      </c>
      <c r="D147" s="29" t="n">
        <f aca="false">Clean!AF147</f>
        <v>974.63</v>
      </c>
      <c r="E147" s="29" t="n">
        <f aca="false">Clean!AE147</f>
        <v>3655.22</v>
      </c>
      <c r="F147" s="22" t="n">
        <f aca="false">AVERAGEIFS(Clean!$V$2:$V$1001,Clean!$AA$2:$AA$1001,B147)</f>
        <v>0.751243781094527</v>
      </c>
      <c r="G147" s="29" t="n">
        <f aca="false">F147*C147*D147</f>
        <v>8910.6881199005</v>
      </c>
      <c r="H147" s="29" t="n">
        <f aca="false">G147*Model!$B$4</f>
        <v>8910.6881199005</v>
      </c>
      <c r="I147" s="0" t="str">
        <f aca="false">IF(E147&lt;Model!$B$5*H147,"Expedite","Standard")</f>
        <v>Expedite</v>
      </c>
      <c r="J147" s="29" t="n">
        <f aca="false">H147</f>
        <v>8910.6881199005</v>
      </c>
      <c r="K147" s="29" t="n">
        <f aca="false">E147+(1-Model!$B$5)*H147</f>
        <v>3655.22</v>
      </c>
      <c r="L147" s="29" t="n">
        <f aca="false">IF(I147="Expedite",K147,J147)</f>
        <v>3655.22</v>
      </c>
      <c r="M147" s="29" t="n">
        <f aca="false">J147-L147</f>
        <v>5255.4681199005</v>
      </c>
      <c r="N147" s="29" t="n">
        <f aca="false">IFERROR(E147/(F147*C147*Model!$B$5),"")</f>
        <v>399.799321967491</v>
      </c>
    </row>
    <row r="148" customFormat="false" ht="15" hidden="false" customHeight="false" outlineLevel="0" collapsed="false">
      <c r="A148" s="0" t="str">
        <f aca="false">Clean!A148</f>
        <v>SHP0147</v>
      </c>
      <c r="B148" s="0" t="str">
        <f aca="false">Clean!AA148</f>
        <v>TCI Express</v>
      </c>
      <c r="C148" s="28" t="n">
        <f aca="false">Clean!J148</f>
        <v>17.04</v>
      </c>
      <c r="D148" s="29" t="n">
        <f aca="false">Clean!AF148</f>
        <v>539.34</v>
      </c>
      <c r="E148" s="29" t="n">
        <f aca="false">Clean!AE148</f>
        <v>4746.42</v>
      </c>
      <c r="F148" s="22" t="n">
        <f aca="false">AVERAGEIFS(Clean!$V$2:$V$1001,Clean!$AA$2:$AA$1001,B148)</f>
        <v>0.752336448598131</v>
      </c>
      <c r="G148" s="29" t="n">
        <f aca="false">F148*C148*D148</f>
        <v>6914.23798878505</v>
      </c>
      <c r="H148" s="29" t="n">
        <f aca="false">G148*Model!$B$4</f>
        <v>6914.23798878505</v>
      </c>
      <c r="I148" s="0" t="str">
        <f aca="false">IF(E148&lt;Model!$B$5*H148,"Expedite","Standard")</f>
        <v>Expedite</v>
      </c>
      <c r="J148" s="29" t="n">
        <f aca="false">H148</f>
        <v>6914.23798878505</v>
      </c>
      <c r="K148" s="29" t="n">
        <f aca="false">E148+(1-Model!$B$5)*H148</f>
        <v>4746.42</v>
      </c>
      <c r="L148" s="29" t="n">
        <f aca="false">IF(I148="Expedite",K148,J148)</f>
        <v>4746.42</v>
      </c>
      <c r="M148" s="29" t="n">
        <f aca="false">J148-L148</f>
        <v>2167.81798878505</v>
      </c>
      <c r="N148" s="29" t="n">
        <f aca="false">IFERROR(E148/(F148*C148*Model!$B$5),"")</f>
        <v>370.240967544397</v>
      </c>
    </row>
    <row r="149" customFormat="false" ht="15" hidden="false" customHeight="false" outlineLevel="0" collapsed="false">
      <c r="A149" s="0" t="str">
        <f aca="false">Clean!A149</f>
        <v>SHP0148</v>
      </c>
      <c r="B149" s="0" t="str">
        <f aca="false">Clean!AA149</f>
        <v>Delhivery</v>
      </c>
      <c r="C149" s="28" t="n">
        <f aca="false">Clean!J149</f>
        <v>3.32</v>
      </c>
      <c r="D149" s="29" t="n">
        <f aca="false">Clean!AF149</f>
        <v>1486.63</v>
      </c>
      <c r="E149" s="29" t="n">
        <f aca="false">Clean!AE149</f>
        <v>1593.37</v>
      </c>
      <c r="F149" s="22" t="n">
        <f aca="false">AVERAGEIFS(Clean!$V$2:$V$1001,Clean!$AA$2:$AA$1001,B149)</f>
        <v>0.72538860103627</v>
      </c>
      <c r="G149" s="29" t="n">
        <f aca="false">F149*C149*D149</f>
        <v>3580.23639378238</v>
      </c>
      <c r="H149" s="29" t="n">
        <f aca="false">G149*Model!$B$4</f>
        <v>3580.23639378238</v>
      </c>
      <c r="I149" s="0" t="str">
        <f aca="false">IF(E149&lt;Model!$B$5*H149,"Expedite","Standard")</f>
        <v>Expedite</v>
      </c>
      <c r="J149" s="29" t="n">
        <f aca="false">H149</f>
        <v>3580.23639378238</v>
      </c>
      <c r="K149" s="29" t="n">
        <f aca="false">E149+(1-Model!$B$5)*H149</f>
        <v>1593.37</v>
      </c>
      <c r="L149" s="29" t="n">
        <f aca="false">IF(I149="Expedite",K149,J149)</f>
        <v>1593.37</v>
      </c>
      <c r="M149" s="29" t="n">
        <f aca="false">J149-L149</f>
        <v>1986.86639378238</v>
      </c>
      <c r="N149" s="29" t="n">
        <f aca="false">IFERROR(E149/(F149*C149*Model!$B$5),"")</f>
        <v>661.618782271945</v>
      </c>
    </row>
    <row r="150" customFormat="false" ht="15" hidden="false" customHeight="false" outlineLevel="0" collapsed="false">
      <c r="A150" s="0" t="str">
        <f aca="false">Clean!A150</f>
        <v>SHP0149</v>
      </c>
      <c r="B150" s="0" t="str">
        <f aca="false">Clean!AA150</f>
        <v>VRL Cargo</v>
      </c>
      <c r="C150" s="28" t="n">
        <f aca="false">Clean!J150</f>
        <v>19.34</v>
      </c>
      <c r="D150" s="29" t="n">
        <f aca="false">Clean!AF150</f>
        <v>639.65</v>
      </c>
      <c r="E150" s="29" t="n">
        <f aca="false">Clean!AE150</f>
        <v>3667.46</v>
      </c>
      <c r="F150" s="22" t="n">
        <f aca="false">AVERAGEIFS(Clean!$V$2:$V$1001,Clean!$AA$2:$AA$1001,B150)</f>
        <v>0.72020725388601</v>
      </c>
      <c r="G150" s="29" t="n">
        <f aca="false">F150*C150*D150</f>
        <v>8909.56222279793</v>
      </c>
      <c r="H150" s="29" t="n">
        <f aca="false">G150*Model!$B$4</f>
        <v>8909.56222279793</v>
      </c>
      <c r="I150" s="0" t="str">
        <f aca="false">IF(E150&lt;Model!$B$5*H150,"Expedite","Standard")</f>
        <v>Expedite</v>
      </c>
      <c r="J150" s="29" t="n">
        <f aca="false">H150</f>
        <v>8909.56222279793</v>
      </c>
      <c r="K150" s="29" t="n">
        <f aca="false">E150+(1-Model!$B$5)*H150</f>
        <v>3667.46</v>
      </c>
      <c r="L150" s="29" t="n">
        <f aca="false">IF(I150="Expedite",K150,J150)</f>
        <v>3667.46</v>
      </c>
      <c r="M150" s="29" t="n">
        <f aca="false">J150-L150</f>
        <v>5242.10222279793</v>
      </c>
      <c r="N150" s="29" t="n">
        <f aca="false">IFERROR(E150/(F150*C150*Model!$B$5),"")</f>
        <v>263.300342972778</v>
      </c>
    </row>
    <row r="151" customFormat="false" ht="15" hidden="false" customHeight="false" outlineLevel="0" collapsed="false">
      <c r="A151" s="0" t="str">
        <f aca="false">Clean!A151</f>
        <v>SHP0150</v>
      </c>
      <c r="B151" s="0" t="str">
        <f aca="false">Clean!AA151</f>
        <v>TCI Express</v>
      </c>
      <c r="C151" s="28" t="n">
        <f aca="false">Clean!J151</f>
        <v>1.57</v>
      </c>
      <c r="D151" s="29" t="n">
        <f aca="false">Clean!AF151</f>
        <v>1172.6</v>
      </c>
      <c r="E151" s="29" t="n">
        <f aca="false">Clean!AE151</f>
        <v>1375.6</v>
      </c>
      <c r="F151" s="22" t="n">
        <f aca="false">AVERAGEIFS(Clean!$V$2:$V$1001,Clean!$AA$2:$AA$1001,B151)</f>
        <v>0.752336448598131</v>
      </c>
      <c r="G151" s="29" t="n">
        <f aca="false">F151*C151*D151</f>
        <v>1385.03785981308</v>
      </c>
      <c r="H151" s="29" t="n">
        <f aca="false">G151*Model!$B$4</f>
        <v>1385.03785981308</v>
      </c>
      <c r="I151" s="0" t="str">
        <f aca="false">IF(E151&lt;Model!$B$5*H151,"Expedite","Standard")</f>
        <v>Expedite</v>
      </c>
      <c r="J151" s="29" t="n">
        <f aca="false">H151</f>
        <v>1385.03785981308</v>
      </c>
      <c r="K151" s="29" t="n">
        <f aca="false">E151+(1-Model!$B$5)*H151</f>
        <v>1375.6</v>
      </c>
      <c r="L151" s="29" t="n">
        <f aca="false">IF(I151="Expedite",K151,J151)</f>
        <v>1375.6</v>
      </c>
      <c r="M151" s="29" t="n">
        <f aca="false">J151-L151</f>
        <v>9.43785981308429</v>
      </c>
      <c r="N151" s="29" t="n">
        <f aca="false">IFERROR(E151/(F151*C151*Model!$B$5),"")</f>
        <v>1164.60972425525</v>
      </c>
    </row>
    <row r="152" customFormat="false" ht="15" hidden="false" customHeight="false" outlineLevel="0" collapsed="false">
      <c r="A152" s="0" t="str">
        <f aca="false">Clean!A152</f>
        <v>SHP0151</v>
      </c>
      <c r="B152" s="0" t="str">
        <f aca="false">Clean!AA152</f>
        <v>VRL Cargo</v>
      </c>
      <c r="C152" s="28" t="n">
        <f aca="false">Clean!J152</f>
        <v>9.43</v>
      </c>
      <c r="D152" s="29" t="n">
        <f aca="false">Clean!AF152</f>
        <v>530.39</v>
      </c>
      <c r="E152" s="29" t="n">
        <f aca="false">Clean!AE152</f>
        <v>3282.44</v>
      </c>
      <c r="F152" s="22" t="n">
        <f aca="false">AVERAGEIFS(Clean!$V$2:$V$1001,Clean!$AA$2:$AA$1001,B152)</f>
        <v>0.72020725388601</v>
      </c>
      <c r="G152" s="29" t="n">
        <f aca="false">F152*C152*D152</f>
        <v>3602.17254041451</v>
      </c>
      <c r="H152" s="29" t="n">
        <f aca="false">G152*Model!$B$4</f>
        <v>3602.17254041451</v>
      </c>
      <c r="I152" s="0" t="str">
        <f aca="false">IF(E152&lt;Model!$B$5*H152,"Expedite","Standard")</f>
        <v>Expedite</v>
      </c>
      <c r="J152" s="29" t="n">
        <f aca="false">H152</f>
        <v>3602.17254041451</v>
      </c>
      <c r="K152" s="29" t="n">
        <f aca="false">E152+(1-Model!$B$5)*H152</f>
        <v>3282.44</v>
      </c>
      <c r="L152" s="29" t="n">
        <f aca="false">IF(I152="Expedite",K152,J152)</f>
        <v>3282.44</v>
      </c>
      <c r="M152" s="29" t="n">
        <f aca="false">J152-L152</f>
        <v>319.732540414508</v>
      </c>
      <c r="N152" s="29" t="n">
        <f aca="false">IFERROR(E152/(F152*C152*Model!$B$5),"")</f>
        <v>483.312037962419</v>
      </c>
    </row>
    <row r="153" customFormat="false" ht="15" hidden="false" customHeight="false" outlineLevel="0" collapsed="false">
      <c r="A153" s="0" t="str">
        <f aca="false">Clean!A153</f>
        <v>SHP0152</v>
      </c>
      <c r="B153" s="0" t="str">
        <f aca="false">Clean!AA153</f>
        <v>VRL Cargo</v>
      </c>
      <c r="C153" s="28" t="n">
        <f aca="false">Clean!J153</f>
        <v>18.69</v>
      </c>
      <c r="D153" s="29" t="n">
        <f aca="false">Clean!AF153</f>
        <v>606.59</v>
      </c>
      <c r="E153" s="29" t="n">
        <f aca="false">Clean!AE153</f>
        <v>3604.93</v>
      </c>
      <c r="F153" s="22" t="n">
        <f aca="false">AVERAGEIFS(Clean!$V$2:$V$1001,Clean!$AA$2:$AA$1001,B153)</f>
        <v>0.72020725388601</v>
      </c>
      <c r="G153" s="29" t="n">
        <f aca="false">F153*C153*D153</f>
        <v>8165.10998393783</v>
      </c>
      <c r="H153" s="29" t="n">
        <f aca="false">G153*Model!$B$4</f>
        <v>8165.10998393783</v>
      </c>
      <c r="I153" s="0" t="str">
        <f aca="false">IF(E153&lt;Model!$B$5*H153,"Expedite","Standard")</f>
        <v>Expedite</v>
      </c>
      <c r="J153" s="29" t="n">
        <f aca="false">H153</f>
        <v>8165.10998393783</v>
      </c>
      <c r="K153" s="29" t="n">
        <f aca="false">E153+(1-Model!$B$5)*H153</f>
        <v>3604.93</v>
      </c>
      <c r="L153" s="29" t="n">
        <f aca="false">IF(I153="Expedite",K153,J153)</f>
        <v>3604.93</v>
      </c>
      <c r="M153" s="29" t="n">
        <f aca="false">J153-L153</f>
        <v>4560.17998393783</v>
      </c>
      <c r="N153" s="29" t="n">
        <f aca="false">IFERROR(E153/(F153*C153*Model!$B$5),"")</f>
        <v>267.812006574516</v>
      </c>
    </row>
    <row r="154" customFormat="false" ht="15" hidden="false" customHeight="false" outlineLevel="0" collapsed="false">
      <c r="A154" s="0" t="str">
        <f aca="false">Clean!A154</f>
        <v>SHP0153</v>
      </c>
      <c r="B154" s="0" t="str">
        <f aca="false">Clean!AA154</f>
        <v>BlueDart</v>
      </c>
      <c r="C154" s="28" t="n">
        <f aca="false">Clean!J154</f>
        <v>13.5</v>
      </c>
      <c r="D154" s="29" t="n">
        <f aca="false">Clean!AF154</f>
        <v>827.03</v>
      </c>
      <c r="E154" s="29" t="n">
        <f aca="false">Clean!AE154</f>
        <v>2616.56</v>
      </c>
      <c r="F154" s="22" t="n">
        <f aca="false">AVERAGEIFS(Clean!$V$2:$V$1001,Clean!$AA$2:$AA$1001,B154)</f>
        <v>0.773869346733668</v>
      </c>
      <c r="G154" s="29" t="n">
        <f aca="false">F154*C154*D154</f>
        <v>8640.17773869347</v>
      </c>
      <c r="H154" s="29" t="n">
        <f aca="false">G154*Model!$B$4</f>
        <v>8640.17773869347</v>
      </c>
      <c r="I154" s="0" t="str">
        <f aca="false">IF(E154&lt;Model!$B$5*H154,"Expedite","Standard")</f>
        <v>Expedite</v>
      </c>
      <c r="J154" s="29" t="n">
        <f aca="false">H154</f>
        <v>8640.17773869347</v>
      </c>
      <c r="K154" s="29" t="n">
        <f aca="false">E154+(1-Model!$B$5)*H154</f>
        <v>2616.56</v>
      </c>
      <c r="L154" s="29" t="n">
        <f aca="false">IF(I154="Expedite",K154,J154)</f>
        <v>2616.56</v>
      </c>
      <c r="M154" s="29" t="n">
        <f aca="false">J154-L154</f>
        <v>6023.61773869347</v>
      </c>
      <c r="N154" s="29" t="n">
        <f aca="false">IFERROR(E154/(F154*C154*Model!$B$5),"")</f>
        <v>250.454757094757</v>
      </c>
    </row>
    <row r="155" customFormat="false" ht="15" hidden="false" customHeight="false" outlineLevel="0" collapsed="false">
      <c r="A155" s="0" t="str">
        <f aca="false">Clean!A155</f>
        <v>SHP0154</v>
      </c>
      <c r="B155" s="0" t="str">
        <f aca="false">Clean!AA155</f>
        <v>TCI Express</v>
      </c>
      <c r="C155" s="28" t="n">
        <f aca="false">Clean!J155</f>
        <v>13.68</v>
      </c>
      <c r="D155" s="29" t="n">
        <f aca="false">Clean!AF155</f>
        <v>1044.49</v>
      </c>
      <c r="E155" s="29" t="n">
        <f aca="false">Clean!AE155</f>
        <v>1480.84</v>
      </c>
      <c r="F155" s="22" t="n">
        <f aca="false">AVERAGEIFS(Clean!$V$2:$V$1001,Clean!$AA$2:$AA$1001,B155)</f>
        <v>0.752336448598131</v>
      </c>
      <c r="G155" s="29" t="n">
        <f aca="false">F155*C155*D155</f>
        <v>10749.8520336449</v>
      </c>
      <c r="H155" s="29" t="n">
        <f aca="false">G155*Model!$B$4</f>
        <v>10749.8520336449</v>
      </c>
      <c r="I155" s="0" t="str">
        <f aca="false">IF(E155&lt;Model!$B$5*H155,"Expedite","Standard")</f>
        <v>Expedite</v>
      </c>
      <c r="J155" s="29" t="n">
        <f aca="false">H155</f>
        <v>10749.8520336449</v>
      </c>
      <c r="K155" s="29" t="n">
        <f aca="false">E155+(1-Model!$B$5)*H155</f>
        <v>1480.84</v>
      </c>
      <c r="L155" s="29" t="n">
        <f aca="false">IF(I155="Expedite",K155,J155)</f>
        <v>1480.84</v>
      </c>
      <c r="M155" s="29" t="n">
        <f aca="false">J155-L155</f>
        <v>9269.01203364486</v>
      </c>
      <c r="N155" s="29" t="n">
        <f aca="false">IFERROR(E155/(F155*C155*Model!$B$5),"")</f>
        <v>143.883149903745</v>
      </c>
    </row>
    <row r="156" customFormat="false" ht="15" hidden="false" customHeight="false" outlineLevel="0" collapsed="false">
      <c r="A156" s="0" t="str">
        <f aca="false">Clean!A156</f>
        <v>SHP0155</v>
      </c>
      <c r="B156" s="0" t="str">
        <f aca="false">Clean!AA156</f>
        <v>VRL Cargo</v>
      </c>
      <c r="C156" s="28" t="n">
        <f aca="false">Clean!J156</f>
        <v>1.11</v>
      </c>
      <c r="D156" s="29" t="n">
        <f aca="false">Clean!AF156</f>
        <v>573.2</v>
      </c>
      <c r="E156" s="29" t="n">
        <f aca="false">Clean!AE156</f>
        <v>1909.08</v>
      </c>
      <c r="F156" s="22" t="n">
        <f aca="false">AVERAGEIFS(Clean!$V$2:$V$1001,Clean!$AA$2:$AA$1001,B156)</f>
        <v>0.72020725388601</v>
      </c>
      <c r="G156" s="29" t="n">
        <f aca="false">F156*C156*D156</f>
        <v>458.233305699482</v>
      </c>
      <c r="H156" s="29" t="n">
        <f aca="false">G156*Model!$B$4</f>
        <v>458.233305699482</v>
      </c>
      <c r="I156" s="0" t="str">
        <f aca="false">IF(E156&lt;Model!$B$5*H156,"Expedite","Standard")</f>
        <v>Standard</v>
      </c>
      <c r="J156" s="29" t="n">
        <f aca="false">H156</f>
        <v>458.233305699482</v>
      </c>
      <c r="K156" s="29" t="n">
        <f aca="false">E156+(1-Model!$B$5)*H156</f>
        <v>1909.08</v>
      </c>
      <c r="L156" s="29" t="n">
        <f aca="false">IF(I156="Expedite",K156,J156)</f>
        <v>458.233305699482</v>
      </c>
      <c r="M156" s="29" t="n">
        <f aca="false">J156-L156</f>
        <v>0</v>
      </c>
      <c r="N156" s="29" t="n">
        <f aca="false">IFERROR(E156/(F156*C156*Model!$B$5),"")</f>
        <v>2388.05133190745</v>
      </c>
    </row>
    <row r="157" customFormat="false" ht="15" hidden="false" customHeight="false" outlineLevel="0" collapsed="false">
      <c r="A157" s="0" t="str">
        <f aca="false">Clean!A157</f>
        <v>SHP0156</v>
      </c>
      <c r="B157" s="0" t="str">
        <f aca="false">Clean!AA157</f>
        <v>Delhivery</v>
      </c>
      <c r="C157" s="28" t="n">
        <f aca="false">Clean!J157</f>
        <v>12.47</v>
      </c>
      <c r="D157" s="29" t="n">
        <f aca="false">Clean!AF157</f>
        <v>1414.24</v>
      </c>
      <c r="E157" s="29" t="n">
        <f aca="false">Clean!AE157</f>
        <v>4388.67</v>
      </c>
      <c r="F157" s="22" t="n">
        <f aca="false">AVERAGEIFS(Clean!$V$2:$V$1001,Clean!$AA$2:$AA$1001,B157)</f>
        <v>0.72538860103627</v>
      </c>
      <c r="G157" s="29" t="n">
        <f aca="false">F157*C157*D157</f>
        <v>12792.6434818653</v>
      </c>
      <c r="H157" s="29" t="n">
        <f aca="false">G157*Model!$B$4</f>
        <v>12792.6434818653</v>
      </c>
      <c r="I157" s="0" t="str">
        <f aca="false">IF(E157&lt;Model!$B$5*H157,"Expedite","Standard")</f>
        <v>Expedite</v>
      </c>
      <c r="J157" s="29" t="n">
        <f aca="false">H157</f>
        <v>12792.6434818653</v>
      </c>
      <c r="K157" s="29" t="n">
        <f aca="false">E157+(1-Model!$B$5)*H157</f>
        <v>4388.67</v>
      </c>
      <c r="L157" s="29" t="n">
        <f aca="false">IF(I157="Expedite",K157,J157)</f>
        <v>4388.67</v>
      </c>
      <c r="M157" s="29" t="n">
        <f aca="false">J157-L157</f>
        <v>8403.97348186529</v>
      </c>
      <c r="N157" s="29" t="n">
        <f aca="false">IFERROR(E157/(F157*C157*Model!$B$5),"")</f>
        <v>485.172018558827</v>
      </c>
    </row>
    <row r="158" customFormat="false" ht="15" hidden="false" customHeight="false" outlineLevel="0" collapsed="false">
      <c r="A158" s="0" t="str">
        <f aca="false">Clean!A158</f>
        <v>SHP0157</v>
      </c>
      <c r="B158" s="0" t="str">
        <f aca="false">Clean!AA158</f>
        <v>Delhivery</v>
      </c>
      <c r="C158" s="28" t="n">
        <f aca="false">Clean!J158</f>
        <v>16.46</v>
      </c>
      <c r="D158" s="29" t="n">
        <f aca="false">Clean!AF158</f>
        <v>1455.52</v>
      </c>
      <c r="E158" s="29" t="n">
        <f aca="false">Clean!AE158</f>
        <v>3872.49</v>
      </c>
      <c r="F158" s="22" t="n">
        <f aca="false">AVERAGEIFS(Clean!$V$2:$V$1001,Clean!$AA$2:$AA$1001,B158)</f>
        <v>0.72538860103627</v>
      </c>
      <c r="G158" s="29" t="n">
        <f aca="false">F158*C158*D158</f>
        <v>17378.7579689119</v>
      </c>
      <c r="H158" s="29" t="n">
        <f aca="false">G158*Model!$B$4</f>
        <v>17378.7579689119</v>
      </c>
      <c r="I158" s="0" t="str">
        <f aca="false">IF(E158&lt;Model!$B$5*H158,"Expedite","Standard")</f>
        <v>Expedite</v>
      </c>
      <c r="J158" s="29" t="n">
        <f aca="false">H158</f>
        <v>17378.7579689119</v>
      </c>
      <c r="K158" s="29" t="n">
        <f aca="false">E158+(1-Model!$B$5)*H158</f>
        <v>3872.49</v>
      </c>
      <c r="L158" s="29" t="n">
        <f aca="false">IF(I158="Expedite",K158,J158)</f>
        <v>3872.49</v>
      </c>
      <c r="M158" s="29" t="n">
        <f aca="false">J158-L158</f>
        <v>13506.2679689119</v>
      </c>
      <c r="N158" s="29" t="n">
        <f aca="false">IFERROR(E158/(F158*C158*Model!$B$5),"")</f>
        <v>324.331960597119</v>
      </c>
    </row>
    <row r="159" customFormat="false" ht="15" hidden="false" customHeight="false" outlineLevel="0" collapsed="false">
      <c r="A159" s="0" t="str">
        <f aca="false">Clean!A159</f>
        <v>SHP0158</v>
      </c>
      <c r="B159" s="0" t="str">
        <f aca="false">Clean!AA159</f>
        <v>BlueDart</v>
      </c>
      <c r="C159" s="28" t="n">
        <f aca="false">Clean!J159</f>
        <v>1.35</v>
      </c>
      <c r="D159" s="29" t="n">
        <f aca="false">Clean!AF159</f>
        <v>697.15</v>
      </c>
      <c r="E159" s="29" t="n">
        <f aca="false">Clean!AE159</f>
        <v>2520.3</v>
      </c>
      <c r="F159" s="22" t="n">
        <f aca="false">AVERAGEIFS(Clean!$V$2:$V$1001,Clean!$AA$2:$AA$1001,B159)</f>
        <v>0.773869346733668</v>
      </c>
      <c r="G159" s="29" t="n">
        <f aca="false">F159*C159*D159</f>
        <v>728.329070351759</v>
      </c>
      <c r="H159" s="29" t="n">
        <f aca="false">G159*Model!$B$4</f>
        <v>728.329070351759</v>
      </c>
      <c r="I159" s="0" t="str">
        <f aca="false">IF(E159&lt;Model!$B$5*H159,"Expedite","Standard")</f>
        <v>Standard</v>
      </c>
      <c r="J159" s="29" t="n">
        <f aca="false">H159</f>
        <v>728.329070351759</v>
      </c>
      <c r="K159" s="29" t="n">
        <f aca="false">E159+(1-Model!$B$5)*H159</f>
        <v>2520.3</v>
      </c>
      <c r="L159" s="29" t="n">
        <f aca="false">IF(I159="Expedite",K159,J159)</f>
        <v>728.329070351759</v>
      </c>
      <c r="M159" s="29" t="n">
        <f aca="false">J159-L159</f>
        <v>0</v>
      </c>
      <c r="N159" s="29" t="n">
        <f aca="false">IFERROR(E159/(F159*C159*Model!$B$5),"")</f>
        <v>2412.40836940837</v>
      </c>
    </row>
    <row r="160" customFormat="false" ht="15" hidden="false" customHeight="false" outlineLevel="0" collapsed="false">
      <c r="A160" s="0" t="str">
        <f aca="false">Clean!A160</f>
        <v>SHP0159</v>
      </c>
      <c r="B160" s="0" t="str">
        <f aca="false">Clean!AA160</f>
        <v>VRL Cargo</v>
      </c>
      <c r="C160" s="28" t="n">
        <f aca="false">Clean!J160</f>
        <v>10.1</v>
      </c>
      <c r="D160" s="29" t="n">
        <f aca="false">Clean!AF160</f>
        <v>589.63</v>
      </c>
      <c r="E160" s="29" t="n">
        <f aca="false">Clean!AE160</f>
        <v>3323.73</v>
      </c>
      <c r="F160" s="22" t="n">
        <f aca="false">AVERAGEIFS(Clean!$V$2:$V$1001,Clean!$AA$2:$AA$1001,B160)</f>
        <v>0.72020725388601</v>
      </c>
      <c r="G160" s="29" t="n">
        <f aca="false">F160*C160*D160</f>
        <v>4289.02361139896</v>
      </c>
      <c r="H160" s="29" t="n">
        <f aca="false">G160*Model!$B$4</f>
        <v>4289.02361139896</v>
      </c>
      <c r="I160" s="0" t="str">
        <f aca="false">IF(E160&lt;Model!$B$5*H160,"Expedite","Standard")</f>
        <v>Expedite</v>
      </c>
      <c r="J160" s="29" t="n">
        <f aca="false">H160</f>
        <v>4289.02361139896</v>
      </c>
      <c r="K160" s="29" t="n">
        <f aca="false">E160+(1-Model!$B$5)*H160</f>
        <v>3323.73</v>
      </c>
      <c r="L160" s="29" t="n">
        <f aca="false">IF(I160="Expedite",K160,J160)</f>
        <v>3323.73</v>
      </c>
      <c r="M160" s="29" t="n">
        <f aca="false">J160-L160</f>
        <v>965.293611398963</v>
      </c>
      <c r="N160" s="29" t="n">
        <f aca="false">IFERROR(E160/(F160*C160*Model!$B$5),"")</f>
        <v>456.927053208918</v>
      </c>
    </row>
    <row r="161" customFormat="false" ht="15" hidden="false" customHeight="false" outlineLevel="0" collapsed="false">
      <c r="A161" s="0" t="str">
        <f aca="false">Clean!A161</f>
        <v>SHP0160</v>
      </c>
      <c r="B161" s="0" t="str">
        <f aca="false">Clean!AA161</f>
        <v>BlueDart</v>
      </c>
      <c r="C161" s="28" t="n">
        <f aca="false">Clean!J161</f>
        <v>14.64</v>
      </c>
      <c r="D161" s="29" t="n">
        <f aca="false">Clean!AF161</f>
        <v>1299.78</v>
      </c>
      <c r="E161" s="29" t="n">
        <f aca="false">Clean!AE161</f>
        <v>4437.66</v>
      </c>
      <c r="F161" s="22" t="n">
        <f aca="false">AVERAGEIFS(Clean!$V$2:$V$1001,Clean!$AA$2:$AA$1001,B161)</f>
        <v>0.773869346733668</v>
      </c>
      <c r="G161" s="29" t="n">
        <f aca="false">F161*C161*D161</f>
        <v>14725.7889286432</v>
      </c>
      <c r="H161" s="29" t="n">
        <f aca="false">G161*Model!$B$4</f>
        <v>14725.7889286432</v>
      </c>
      <c r="I161" s="0" t="str">
        <f aca="false">IF(E161&lt;Model!$B$5*H161,"Expedite","Standard")</f>
        <v>Expedite</v>
      </c>
      <c r="J161" s="29" t="n">
        <f aca="false">H161</f>
        <v>14725.7889286432</v>
      </c>
      <c r="K161" s="29" t="n">
        <f aca="false">E161+(1-Model!$B$5)*H161</f>
        <v>4437.66</v>
      </c>
      <c r="L161" s="29" t="n">
        <f aca="false">IF(I161="Expedite",K161,J161)</f>
        <v>4437.66</v>
      </c>
      <c r="M161" s="29" t="n">
        <f aca="false">J161-L161</f>
        <v>10288.1289286432</v>
      </c>
      <c r="N161" s="29" t="n">
        <f aca="false">IFERROR(E161/(F161*C161*Model!$B$5),"")</f>
        <v>391.692543112625</v>
      </c>
    </row>
    <row r="162" customFormat="false" ht="15" hidden="false" customHeight="false" outlineLevel="0" collapsed="false">
      <c r="A162" s="0" t="str">
        <f aca="false">Clean!A162</f>
        <v>SHP0161</v>
      </c>
      <c r="B162" s="0" t="str">
        <f aca="false">Clean!AA162</f>
        <v>GATI Logistics</v>
      </c>
      <c r="C162" s="28" t="n">
        <f aca="false">Clean!J162</f>
        <v>4.51</v>
      </c>
      <c r="D162" s="29" t="n">
        <f aca="false">Clean!AF162</f>
        <v>502.58</v>
      </c>
      <c r="E162" s="29" t="n">
        <f aca="false">Clean!AE162</f>
        <v>1449.22</v>
      </c>
      <c r="F162" s="22" t="n">
        <f aca="false">AVERAGEIFS(Clean!$V$2:$V$1001,Clean!$AA$2:$AA$1001,B162)</f>
        <v>0.751243781094527</v>
      </c>
      <c r="G162" s="29" t="n">
        <f aca="false">F162*C162*D162</f>
        <v>1702.79604875622</v>
      </c>
      <c r="H162" s="29" t="n">
        <f aca="false">G162*Model!$B$4</f>
        <v>1702.79604875622</v>
      </c>
      <c r="I162" s="0" t="str">
        <f aca="false">IF(E162&lt;Model!$B$5*H162,"Expedite","Standard")</f>
        <v>Expedite</v>
      </c>
      <c r="J162" s="29" t="n">
        <f aca="false">H162</f>
        <v>1702.79604875622</v>
      </c>
      <c r="K162" s="29" t="n">
        <f aca="false">E162+(1-Model!$B$5)*H162</f>
        <v>1449.22</v>
      </c>
      <c r="L162" s="29" t="n">
        <f aca="false">IF(I162="Expedite",K162,J162)</f>
        <v>1449.22</v>
      </c>
      <c r="M162" s="29" t="n">
        <f aca="false">J162-L162</f>
        <v>253.576048756219</v>
      </c>
      <c r="N162" s="29" t="n">
        <f aca="false">IFERROR(E162/(F162*C162*Model!$B$5),"")</f>
        <v>427.737067003421</v>
      </c>
    </row>
    <row r="163" customFormat="false" ht="15" hidden="false" customHeight="false" outlineLevel="0" collapsed="false">
      <c r="A163" s="0" t="str">
        <f aca="false">Clean!A163</f>
        <v>SHP0162</v>
      </c>
      <c r="B163" s="0" t="str">
        <f aca="false">Clean!AA163</f>
        <v>TCI Express</v>
      </c>
      <c r="C163" s="28" t="n">
        <f aca="false">Clean!J163</f>
        <v>13.12</v>
      </c>
      <c r="D163" s="29" t="n">
        <f aca="false">Clean!AF163</f>
        <v>1405.89</v>
      </c>
      <c r="E163" s="29" t="n">
        <f aca="false">Clean!AE163</f>
        <v>2443.09</v>
      </c>
      <c r="F163" s="22" t="n">
        <f aca="false">AVERAGEIFS(Clean!$V$2:$V$1001,Clean!$AA$2:$AA$1001,B163)</f>
        <v>0.752336448598131</v>
      </c>
      <c r="G163" s="29" t="n">
        <f aca="false">F163*C163*D163</f>
        <v>13877.0540411215</v>
      </c>
      <c r="H163" s="29" t="n">
        <f aca="false">G163*Model!$B$4</f>
        <v>13877.0540411215</v>
      </c>
      <c r="I163" s="0" t="str">
        <f aca="false">IF(E163&lt;Model!$B$5*H163,"Expedite","Standard")</f>
        <v>Expedite</v>
      </c>
      <c r="J163" s="29" t="n">
        <f aca="false">H163</f>
        <v>13877.0540411215</v>
      </c>
      <c r="K163" s="29" t="n">
        <f aca="false">E163+(1-Model!$B$5)*H163</f>
        <v>2443.09</v>
      </c>
      <c r="L163" s="29" t="n">
        <f aca="false">IF(I163="Expedite",K163,J163)</f>
        <v>2443.09</v>
      </c>
      <c r="M163" s="29" t="n">
        <f aca="false">J163-L163</f>
        <v>11433.9640411215</v>
      </c>
      <c r="N163" s="29" t="n">
        <f aca="false">IFERROR(E163/(F163*C163*Model!$B$5),"")</f>
        <v>247.51044349341</v>
      </c>
    </row>
    <row r="164" customFormat="false" ht="15" hidden="false" customHeight="false" outlineLevel="0" collapsed="false">
      <c r="A164" s="0" t="str">
        <f aca="false">Clean!A164</f>
        <v>SHP0163</v>
      </c>
      <c r="B164" s="0" t="str">
        <f aca="false">Clean!AA164</f>
        <v>VRL Cargo</v>
      </c>
      <c r="C164" s="28" t="n">
        <f aca="false">Clean!J164</f>
        <v>15.63</v>
      </c>
      <c r="D164" s="29" t="n">
        <f aca="false">Clean!AF164</f>
        <v>649.7</v>
      </c>
      <c r="E164" s="29" t="n">
        <f aca="false">Clean!AE164</f>
        <v>4066.62</v>
      </c>
      <c r="F164" s="22" t="n">
        <f aca="false">AVERAGEIFS(Clean!$V$2:$V$1001,Clean!$AA$2:$AA$1001,B164)</f>
        <v>0.72020725388601</v>
      </c>
      <c r="G164" s="29" t="n">
        <f aca="false">F164*C164*D164</f>
        <v>7313.56854404145</v>
      </c>
      <c r="H164" s="29" t="n">
        <f aca="false">G164*Model!$B$4</f>
        <v>7313.56854404145</v>
      </c>
      <c r="I164" s="0" t="str">
        <f aca="false">IF(E164&lt;Model!$B$5*H164,"Expedite","Standard")</f>
        <v>Expedite</v>
      </c>
      <c r="J164" s="29" t="n">
        <f aca="false">H164</f>
        <v>7313.56854404145</v>
      </c>
      <c r="K164" s="29" t="n">
        <f aca="false">E164+(1-Model!$B$5)*H164</f>
        <v>4066.62</v>
      </c>
      <c r="L164" s="29" t="n">
        <f aca="false">IF(I164="Expedite",K164,J164)</f>
        <v>4066.62</v>
      </c>
      <c r="M164" s="29" t="n">
        <f aca="false">J164-L164</f>
        <v>3246.94854404145</v>
      </c>
      <c r="N164" s="29" t="n">
        <f aca="false">IFERROR(E164/(F164*C164*Model!$B$5),"")</f>
        <v>361.257708612381</v>
      </c>
    </row>
    <row r="165" customFormat="false" ht="15" hidden="false" customHeight="false" outlineLevel="0" collapsed="false">
      <c r="A165" s="0" t="str">
        <f aca="false">Clean!A165</f>
        <v>SHP0164</v>
      </c>
      <c r="B165" s="0" t="str">
        <f aca="false">Clean!AA165</f>
        <v>Delhivery</v>
      </c>
      <c r="C165" s="28" t="n">
        <f aca="false">Clean!J165</f>
        <v>9.05</v>
      </c>
      <c r="D165" s="29" t="n">
        <f aca="false">Clean!AF165</f>
        <v>812.27</v>
      </c>
      <c r="E165" s="29" t="n">
        <f aca="false">Clean!AE165</f>
        <v>1713.78</v>
      </c>
      <c r="F165" s="22" t="n">
        <f aca="false">AVERAGEIFS(Clean!$V$2:$V$1001,Clean!$AA$2:$AA$1001,B165)</f>
        <v>0.72538860103627</v>
      </c>
      <c r="G165" s="29" t="n">
        <f aca="false">F165*C165*D165</f>
        <v>5332.36316062176</v>
      </c>
      <c r="H165" s="29" t="n">
        <f aca="false">G165*Model!$B$4</f>
        <v>5332.36316062176</v>
      </c>
      <c r="I165" s="0" t="str">
        <f aca="false">IF(E165&lt;Model!$B$5*H165,"Expedite","Standard")</f>
        <v>Expedite</v>
      </c>
      <c r="J165" s="29" t="n">
        <f aca="false">H165</f>
        <v>5332.36316062176</v>
      </c>
      <c r="K165" s="29" t="n">
        <f aca="false">E165+(1-Model!$B$5)*H165</f>
        <v>1713.78</v>
      </c>
      <c r="L165" s="29" t="n">
        <f aca="false">IF(I165="Expedite",K165,J165)</f>
        <v>1713.78</v>
      </c>
      <c r="M165" s="29" t="n">
        <f aca="false">J165-L165</f>
        <v>3618.58316062176</v>
      </c>
      <c r="N165" s="29" t="n">
        <f aca="false">IFERROR(E165/(F165*C165*Model!$B$5),"")</f>
        <v>261.05725335438</v>
      </c>
    </row>
    <row r="166" customFormat="false" ht="15" hidden="false" customHeight="false" outlineLevel="0" collapsed="false">
      <c r="A166" s="0" t="str">
        <f aca="false">Clean!A166</f>
        <v>SHP0165</v>
      </c>
      <c r="B166" s="0" t="str">
        <f aca="false">Clean!AA166</f>
        <v>BlueDart</v>
      </c>
      <c r="C166" s="28" t="n">
        <f aca="false">Clean!J166</f>
        <v>5.37</v>
      </c>
      <c r="D166" s="29" t="n">
        <f aca="false">Clean!AF166</f>
        <v>1175.84</v>
      </c>
      <c r="E166" s="29" t="n">
        <f aca="false">Clean!AE166</f>
        <v>3388.19</v>
      </c>
      <c r="F166" s="22" t="n">
        <f aca="false">AVERAGEIFS(Clean!$V$2:$V$1001,Clean!$AA$2:$AA$1001,B166)</f>
        <v>0.773869346733668</v>
      </c>
      <c r="G166" s="29" t="n">
        <f aca="false">F166*C166*D166</f>
        <v>4886.41288040201</v>
      </c>
      <c r="H166" s="29" t="n">
        <f aca="false">G166*Model!$B$4</f>
        <v>4886.41288040201</v>
      </c>
      <c r="I166" s="0" t="str">
        <f aca="false">IF(E166&lt;Model!$B$5*H166,"Expedite","Standard")</f>
        <v>Expedite</v>
      </c>
      <c r="J166" s="29" t="n">
        <f aca="false">H166</f>
        <v>4886.41288040201</v>
      </c>
      <c r="K166" s="29" t="n">
        <f aca="false">E166+(1-Model!$B$5)*H166</f>
        <v>3388.19</v>
      </c>
      <c r="L166" s="29" t="n">
        <f aca="false">IF(I166="Expedite",K166,J166)</f>
        <v>3388.19</v>
      </c>
      <c r="M166" s="29" t="n">
        <f aca="false">J166-L166</f>
        <v>1498.22288040201</v>
      </c>
      <c r="N166" s="29" t="n">
        <f aca="false">IFERROR(E166/(F166*C166*Model!$B$5),"")</f>
        <v>815.315739195628</v>
      </c>
    </row>
    <row r="167" customFormat="false" ht="15" hidden="false" customHeight="false" outlineLevel="0" collapsed="false">
      <c r="A167" s="0" t="str">
        <f aca="false">Clean!A167</f>
        <v>SHP0166</v>
      </c>
      <c r="B167" s="0" t="str">
        <f aca="false">Clean!AA167</f>
        <v>BlueDart</v>
      </c>
      <c r="C167" s="28" t="n">
        <f aca="false">Clean!J167</f>
        <v>9.41</v>
      </c>
      <c r="D167" s="29" t="n">
        <f aca="false">Clean!AF167</f>
        <v>837.23</v>
      </c>
      <c r="E167" s="29" t="n">
        <f aca="false">Clean!AE167</f>
        <v>3412.88</v>
      </c>
      <c r="F167" s="22" t="n">
        <f aca="false">AVERAGEIFS(Clean!$V$2:$V$1001,Clean!$AA$2:$AA$1001,B167)</f>
        <v>0.773869346733668</v>
      </c>
      <c r="G167" s="29" t="n">
        <f aca="false">F167*C167*D167</f>
        <v>6096.80141809045</v>
      </c>
      <c r="H167" s="29" t="n">
        <f aca="false">G167*Model!$B$4</f>
        <v>6096.80141809045</v>
      </c>
      <c r="I167" s="0" t="str">
        <f aca="false">IF(E167&lt;Model!$B$5*H167,"Expedite","Standard")</f>
        <v>Expedite</v>
      </c>
      <c r="J167" s="29" t="n">
        <f aca="false">H167</f>
        <v>6096.80141809045</v>
      </c>
      <c r="K167" s="29" t="n">
        <f aca="false">E167+(1-Model!$B$5)*H167</f>
        <v>3412.88</v>
      </c>
      <c r="L167" s="29" t="n">
        <f aca="false">IF(I167="Expedite",K167,J167)</f>
        <v>3412.88</v>
      </c>
      <c r="M167" s="29" t="n">
        <f aca="false">J167-L167</f>
        <v>2683.92141809045</v>
      </c>
      <c r="N167" s="29" t="n">
        <f aca="false">IFERROR(E167/(F167*C167*Model!$B$5),"")</f>
        <v>468.66632623487</v>
      </c>
    </row>
    <row r="168" customFormat="false" ht="15" hidden="false" customHeight="false" outlineLevel="0" collapsed="false">
      <c r="A168" s="0" t="str">
        <f aca="false">Clean!A168</f>
        <v>SHP0167</v>
      </c>
      <c r="B168" s="0" t="str">
        <f aca="false">Clean!AA168</f>
        <v>GATI Logistics</v>
      </c>
      <c r="C168" s="28" t="n">
        <f aca="false">Clean!J168</f>
        <v>18.2</v>
      </c>
      <c r="D168" s="29" t="n">
        <f aca="false">Clean!AF168</f>
        <v>1169.6</v>
      </c>
      <c r="E168" s="29" t="n">
        <f aca="false">Clean!AE168</f>
        <v>4327.45</v>
      </c>
      <c r="F168" s="22" t="n">
        <f aca="false">AVERAGEIFS(Clean!$V$2:$V$1001,Clean!$AA$2:$AA$1001,B168)</f>
        <v>0.751243781094527</v>
      </c>
      <c r="G168" s="29" t="n">
        <f aca="false">F168*C168*D168</f>
        <v>15991.5160199005</v>
      </c>
      <c r="H168" s="29" t="n">
        <f aca="false">G168*Model!$B$4</f>
        <v>15991.5160199005</v>
      </c>
      <c r="I168" s="0" t="str">
        <f aca="false">IF(E168&lt;Model!$B$5*H168,"Expedite","Standard")</f>
        <v>Expedite</v>
      </c>
      <c r="J168" s="29" t="n">
        <f aca="false">H168</f>
        <v>15991.5160199005</v>
      </c>
      <c r="K168" s="29" t="n">
        <f aca="false">E168+(1-Model!$B$5)*H168</f>
        <v>4327.45</v>
      </c>
      <c r="L168" s="29" t="n">
        <f aca="false">IF(I168="Expedite",K168,J168)</f>
        <v>4327.45</v>
      </c>
      <c r="M168" s="29" t="n">
        <f aca="false">J168-L168</f>
        <v>11664.0660199005</v>
      </c>
      <c r="N168" s="29" t="n">
        <f aca="false">IFERROR(E168/(F168*C168*Model!$B$5),"")</f>
        <v>316.504421075613</v>
      </c>
    </row>
    <row r="169" customFormat="false" ht="15" hidden="false" customHeight="false" outlineLevel="0" collapsed="false">
      <c r="A169" s="0" t="str">
        <f aca="false">Clean!A169</f>
        <v>SHP0168</v>
      </c>
      <c r="B169" s="0" t="str">
        <f aca="false">Clean!AA169</f>
        <v>BlueDart</v>
      </c>
      <c r="C169" s="28" t="n">
        <f aca="false">Clean!J169</f>
        <v>2.33</v>
      </c>
      <c r="D169" s="29" t="n">
        <f aca="false">Clean!AF169</f>
        <v>1169.49</v>
      </c>
      <c r="E169" s="29" t="n">
        <f aca="false">Clean!AE169</f>
        <v>2332.01</v>
      </c>
      <c r="F169" s="22" t="n">
        <f aca="false">AVERAGEIFS(Clean!$V$2:$V$1001,Clean!$AA$2:$AA$1001,B169)</f>
        <v>0.773869346733668</v>
      </c>
      <c r="G169" s="29" t="n">
        <f aca="false">F169*C169*D169</f>
        <v>2108.72563718593</v>
      </c>
      <c r="H169" s="29" t="n">
        <f aca="false">G169*Model!$B$4</f>
        <v>2108.72563718593</v>
      </c>
      <c r="I169" s="0" t="str">
        <f aca="false">IF(E169&lt;Model!$B$5*H169,"Expedite","Standard")</f>
        <v>Standard</v>
      </c>
      <c r="J169" s="29" t="n">
        <f aca="false">H169</f>
        <v>2108.72563718593</v>
      </c>
      <c r="K169" s="29" t="n">
        <f aca="false">E169+(1-Model!$B$5)*H169</f>
        <v>2332.01</v>
      </c>
      <c r="L169" s="29" t="n">
        <f aca="false">IF(I169="Expedite",K169,J169)</f>
        <v>2108.72563718593</v>
      </c>
      <c r="M169" s="29" t="n">
        <f aca="false">J169-L169</f>
        <v>0</v>
      </c>
      <c r="N169" s="29" t="n">
        <f aca="false">IFERROR(E169/(F169*C169*Model!$B$5),"")</f>
        <v>1293.32252940193</v>
      </c>
    </row>
    <row r="170" customFormat="false" ht="15" hidden="false" customHeight="false" outlineLevel="0" collapsed="false">
      <c r="A170" s="0" t="str">
        <f aca="false">Clean!A170</f>
        <v>SHP0169</v>
      </c>
      <c r="B170" s="0" t="str">
        <f aca="false">Clean!AA170</f>
        <v>VRL Cargo</v>
      </c>
      <c r="C170" s="28" t="n">
        <f aca="false">Clean!J170</f>
        <v>19.89</v>
      </c>
      <c r="D170" s="29" t="n">
        <f aca="false">Clean!AF170</f>
        <v>1190</v>
      </c>
      <c r="E170" s="29" t="n">
        <f aca="false">Clean!AE170</f>
        <v>1701.21</v>
      </c>
      <c r="F170" s="22" t="n">
        <f aca="false">AVERAGEIFS(Clean!$V$2:$V$1001,Clean!$AA$2:$AA$1001,B170)</f>
        <v>0.72020725388601</v>
      </c>
      <c r="G170" s="29" t="n">
        <f aca="false">F170*C170*D170</f>
        <v>17046.6575129534</v>
      </c>
      <c r="H170" s="29" t="n">
        <f aca="false">G170*Model!$B$4</f>
        <v>17046.6575129534</v>
      </c>
      <c r="I170" s="0" t="str">
        <f aca="false">IF(E170&lt;Model!$B$5*H170,"Expedite","Standard")</f>
        <v>Expedite</v>
      </c>
      <c r="J170" s="29" t="n">
        <f aca="false">H170</f>
        <v>17046.6575129534</v>
      </c>
      <c r="K170" s="29" t="n">
        <f aca="false">E170+(1-Model!$B$5)*H170</f>
        <v>1701.21</v>
      </c>
      <c r="L170" s="29" t="n">
        <f aca="false">IF(I170="Expedite",K170,J170)</f>
        <v>1701.21</v>
      </c>
      <c r="M170" s="29" t="n">
        <f aca="false">J170-L170</f>
        <v>15345.4475129534</v>
      </c>
      <c r="N170" s="29" t="n">
        <f aca="false">IFERROR(E170/(F170*C170*Model!$B$5),"")</f>
        <v>118.758759508231</v>
      </c>
    </row>
    <row r="171" customFormat="false" ht="15" hidden="false" customHeight="false" outlineLevel="0" collapsed="false">
      <c r="A171" s="0" t="str">
        <f aca="false">Clean!A171</f>
        <v>SHP0170</v>
      </c>
      <c r="B171" s="0" t="str">
        <f aca="false">Clean!AA171</f>
        <v>VRL Cargo</v>
      </c>
      <c r="C171" s="28" t="n">
        <f aca="false">Clean!J171</f>
        <v>4.82</v>
      </c>
      <c r="D171" s="29" t="n">
        <f aca="false">Clean!AF171</f>
        <v>1295.45</v>
      </c>
      <c r="E171" s="29" t="n">
        <f aca="false">Clean!AE171</f>
        <v>3659.65</v>
      </c>
      <c r="F171" s="22" t="n">
        <f aca="false">AVERAGEIFS(Clean!$V$2:$V$1001,Clean!$AA$2:$AA$1001,B171)</f>
        <v>0.72020725388601</v>
      </c>
      <c r="G171" s="29" t="n">
        <f aca="false">F171*C171*D171</f>
        <v>4497.02378756477</v>
      </c>
      <c r="H171" s="29" t="n">
        <f aca="false">G171*Model!$B$4</f>
        <v>4497.02378756477</v>
      </c>
      <c r="I171" s="0" t="str">
        <f aca="false">IF(E171&lt;Model!$B$5*H171,"Expedite","Standard")</f>
        <v>Expedite</v>
      </c>
      <c r="J171" s="29" t="n">
        <f aca="false">H171</f>
        <v>4497.02378756477</v>
      </c>
      <c r="K171" s="29" t="n">
        <f aca="false">E171+(1-Model!$B$5)*H171</f>
        <v>3659.65</v>
      </c>
      <c r="L171" s="29" t="n">
        <f aca="false">IF(I171="Expedite",K171,J171)</f>
        <v>3659.65</v>
      </c>
      <c r="M171" s="29" t="n">
        <f aca="false">J171-L171</f>
        <v>837.373787564767</v>
      </c>
      <c r="N171" s="29" t="n">
        <f aca="false">IFERROR(E171/(F171*C171*Model!$B$5),"")</f>
        <v>1054.22915609421</v>
      </c>
    </row>
    <row r="172" customFormat="false" ht="15" hidden="false" customHeight="false" outlineLevel="0" collapsed="false">
      <c r="A172" s="0" t="str">
        <f aca="false">Clean!A172</f>
        <v>SHP0171</v>
      </c>
      <c r="B172" s="0" t="str">
        <f aca="false">Clean!AA172</f>
        <v>Delhivery</v>
      </c>
      <c r="C172" s="28" t="n">
        <f aca="false">Clean!J172</f>
        <v>18.62</v>
      </c>
      <c r="D172" s="29" t="n">
        <f aca="false">Clean!AF172</f>
        <v>589.12</v>
      </c>
      <c r="E172" s="29" t="n">
        <f aca="false">Clean!AE172</f>
        <v>3494.34</v>
      </c>
      <c r="F172" s="22" t="n">
        <f aca="false">AVERAGEIFS(Clean!$V$2:$V$1001,Clean!$AA$2:$AA$1001,B172)</f>
        <v>0.72538860103627</v>
      </c>
      <c r="G172" s="29" t="n">
        <f aca="false">F172*C172*D172</f>
        <v>7957.08816580311</v>
      </c>
      <c r="H172" s="29" t="n">
        <f aca="false">G172*Model!$B$4</f>
        <v>7957.08816580311</v>
      </c>
      <c r="I172" s="0" t="str">
        <f aca="false">IF(E172&lt;Model!$B$5*H172,"Expedite","Standard")</f>
        <v>Expedite</v>
      </c>
      <c r="J172" s="29" t="n">
        <f aca="false">H172</f>
        <v>7957.08816580311</v>
      </c>
      <c r="K172" s="29" t="n">
        <f aca="false">E172+(1-Model!$B$5)*H172</f>
        <v>3494.34</v>
      </c>
      <c r="L172" s="29" t="n">
        <f aca="false">IF(I172="Expedite",K172,J172)</f>
        <v>3494.34</v>
      </c>
      <c r="M172" s="29" t="n">
        <f aca="false">J172-L172</f>
        <v>4462.74816580311</v>
      </c>
      <c r="N172" s="29" t="n">
        <f aca="false">IFERROR(E172/(F172*C172*Model!$B$5),"")</f>
        <v>258.710917600123</v>
      </c>
    </row>
    <row r="173" customFormat="false" ht="15" hidden="false" customHeight="false" outlineLevel="0" collapsed="false">
      <c r="A173" s="0" t="str">
        <f aca="false">Clean!A173</f>
        <v>SHP0172</v>
      </c>
      <c r="B173" s="0" t="str">
        <f aca="false">Clean!AA173</f>
        <v>BlueDart</v>
      </c>
      <c r="C173" s="28" t="n">
        <f aca="false">Clean!J173</f>
        <v>15.35</v>
      </c>
      <c r="D173" s="29" t="n">
        <f aca="false">Clean!AF173</f>
        <v>841.67</v>
      </c>
      <c r="E173" s="29" t="n">
        <f aca="false">Clean!AE173</f>
        <v>1909.43</v>
      </c>
      <c r="F173" s="22" t="n">
        <f aca="false">AVERAGEIFS(Clean!$V$2:$V$1001,Clean!$AA$2:$AA$1001,B173)</f>
        <v>0.773869346733668</v>
      </c>
      <c r="G173" s="29" t="n">
        <f aca="false">F173*C173*D173</f>
        <v>9998.10911055276</v>
      </c>
      <c r="H173" s="29" t="n">
        <f aca="false">G173*Model!$B$4</f>
        <v>9998.10911055276</v>
      </c>
      <c r="I173" s="0" t="str">
        <f aca="false">IF(E173&lt;Model!$B$5*H173,"Expedite","Standard")</f>
        <v>Expedite</v>
      </c>
      <c r="J173" s="29" t="n">
        <f aca="false">H173</f>
        <v>9998.10911055276</v>
      </c>
      <c r="K173" s="29" t="n">
        <f aca="false">E173+(1-Model!$B$5)*H173</f>
        <v>1909.43</v>
      </c>
      <c r="L173" s="29" t="n">
        <f aca="false">IF(I173="Expedite",K173,J173)</f>
        <v>1909.43</v>
      </c>
      <c r="M173" s="29" t="n">
        <f aca="false">J173-L173</f>
        <v>8088.67911055276</v>
      </c>
      <c r="N173" s="29" t="n">
        <f aca="false">IFERROR(E173/(F173*C173*Model!$B$5),"")</f>
        <v>160.741389229663</v>
      </c>
    </row>
    <row r="174" customFormat="false" ht="15" hidden="false" customHeight="false" outlineLevel="0" collapsed="false">
      <c r="A174" s="0" t="str">
        <f aca="false">Clean!A174</f>
        <v>SHP0173</v>
      </c>
      <c r="B174" s="0" t="str">
        <f aca="false">Clean!AA174</f>
        <v>GATI Logistics</v>
      </c>
      <c r="C174" s="28" t="n">
        <f aca="false">Clean!J174</f>
        <v>8.24</v>
      </c>
      <c r="D174" s="29" t="n">
        <f aca="false">Clean!AF174</f>
        <v>1286.28</v>
      </c>
      <c r="E174" s="29" t="n">
        <f aca="false">Clean!AE174</f>
        <v>1647.06</v>
      </c>
      <c r="F174" s="22" t="n">
        <f aca="false">AVERAGEIFS(Clean!$V$2:$V$1001,Clean!$AA$2:$AA$1001,B174)</f>
        <v>0.751243781094527</v>
      </c>
      <c r="G174" s="29" t="n">
        <f aca="false">F174*C174*D174</f>
        <v>7962.39317014925</v>
      </c>
      <c r="H174" s="29" t="n">
        <f aca="false">G174*Model!$B$4</f>
        <v>7962.39317014925</v>
      </c>
      <c r="I174" s="0" t="str">
        <f aca="false">IF(E174&lt;Model!$B$5*H174,"Expedite","Standard")</f>
        <v>Expedite</v>
      </c>
      <c r="J174" s="29" t="n">
        <f aca="false">H174</f>
        <v>7962.39317014925</v>
      </c>
      <c r="K174" s="29" t="n">
        <f aca="false">E174+(1-Model!$B$5)*H174</f>
        <v>1647.06</v>
      </c>
      <c r="L174" s="29" t="n">
        <f aca="false">IF(I174="Expedite",K174,J174)</f>
        <v>1647.06</v>
      </c>
      <c r="M174" s="29" t="n">
        <f aca="false">J174-L174</f>
        <v>6315.33317014925</v>
      </c>
      <c r="N174" s="29" t="n">
        <f aca="false">IFERROR(E174/(F174*C174*Model!$B$5),"")</f>
        <v>266.073313830129</v>
      </c>
    </row>
    <row r="175" customFormat="false" ht="15" hidden="false" customHeight="false" outlineLevel="0" collapsed="false">
      <c r="A175" s="0" t="str">
        <f aca="false">Clean!A175</f>
        <v>SHP0174</v>
      </c>
      <c r="B175" s="0" t="str">
        <f aca="false">Clean!AA175</f>
        <v>TCI Express</v>
      </c>
      <c r="C175" s="28" t="n">
        <f aca="false">Clean!J175</f>
        <v>11.92</v>
      </c>
      <c r="D175" s="29" t="n">
        <f aca="false">Clean!AF175</f>
        <v>1174.3</v>
      </c>
      <c r="E175" s="29" t="n">
        <f aca="false">Clean!AE175</f>
        <v>3511.8</v>
      </c>
      <c r="F175" s="22" t="n">
        <f aca="false">AVERAGEIFS(Clean!$V$2:$V$1001,Clean!$AA$2:$AA$1001,B175)</f>
        <v>0.752336448598131</v>
      </c>
      <c r="G175" s="29" t="n">
        <f aca="false">F175*C175*D175</f>
        <v>10530.9468037383</v>
      </c>
      <c r="H175" s="29" t="n">
        <f aca="false">G175*Model!$B$4</f>
        <v>10530.9468037383</v>
      </c>
      <c r="I175" s="0" t="str">
        <f aca="false">IF(E175&lt;Model!$B$5*H175,"Expedite","Standard")</f>
        <v>Expedite</v>
      </c>
      <c r="J175" s="29" t="n">
        <f aca="false">H175</f>
        <v>10530.9468037383</v>
      </c>
      <c r="K175" s="29" t="n">
        <f aca="false">E175+(1-Model!$B$5)*H175</f>
        <v>3511.8</v>
      </c>
      <c r="L175" s="29" t="n">
        <f aca="false">IF(I175="Expedite",K175,J175)</f>
        <v>3511.8</v>
      </c>
      <c r="M175" s="29" t="n">
        <f aca="false">J175-L175</f>
        <v>7019.14680373832</v>
      </c>
      <c r="N175" s="29" t="n">
        <f aca="false">IFERROR(E175/(F175*C175*Model!$B$5),"")</f>
        <v>391.59885780983</v>
      </c>
    </row>
    <row r="176" customFormat="false" ht="15" hidden="false" customHeight="false" outlineLevel="0" collapsed="false">
      <c r="A176" s="0" t="str">
        <f aca="false">Clean!A176</f>
        <v>SHP0175</v>
      </c>
      <c r="B176" s="0" t="str">
        <f aca="false">Clean!AA176</f>
        <v>TCI Express</v>
      </c>
      <c r="C176" s="28" t="n">
        <f aca="false">Clean!J176</f>
        <v>11.12</v>
      </c>
      <c r="D176" s="29" t="n">
        <f aca="false">Clean!AF176</f>
        <v>1475.61</v>
      </c>
      <c r="E176" s="29" t="n">
        <f aca="false">Clean!AE176</f>
        <v>2384.4</v>
      </c>
      <c r="F176" s="22" t="n">
        <f aca="false">AVERAGEIFS(Clean!$V$2:$V$1001,Clean!$AA$2:$AA$1001,B176)</f>
        <v>0.752336448598131</v>
      </c>
      <c r="G176" s="29" t="n">
        <f aca="false">F176*C176*D176</f>
        <v>12344.9256785047</v>
      </c>
      <c r="H176" s="29" t="n">
        <f aca="false">G176*Model!$B$4</f>
        <v>12344.9256785047</v>
      </c>
      <c r="I176" s="0" t="str">
        <f aca="false">IF(E176&lt;Model!$B$5*H176,"Expedite","Standard")</f>
        <v>Expedite</v>
      </c>
      <c r="J176" s="29" t="n">
        <f aca="false">H176</f>
        <v>12344.9256785047</v>
      </c>
      <c r="K176" s="29" t="n">
        <f aca="false">E176+(1-Model!$B$5)*H176</f>
        <v>2384.4</v>
      </c>
      <c r="L176" s="29" t="n">
        <f aca="false">IF(I176="Expedite",K176,J176)</f>
        <v>2384.4</v>
      </c>
      <c r="M176" s="29" t="n">
        <f aca="false">J176-L176</f>
        <v>9960.52567850467</v>
      </c>
      <c r="N176" s="29" t="n">
        <f aca="false">IFERROR(E176/(F176*C176*Model!$B$5),"")</f>
        <v>285.011394611019</v>
      </c>
    </row>
    <row r="177" customFormat="false" ht="15" hidden="false" customHeight="false" outlineLevel="0" collapsed="false">
      <c r="A177" s="0" t="str">
        <f aca="false">Clean!A177</f>
        <v>SHP0176</v>
      </c>
      <c r="B177" s="0" t="str">
        <f aca="false">Clean!AA177</f>
        <v>BlueDart</v>
      </c>
      <c r="C177" s="28" t="n">
        <f aca="false">Clean!J177</f>
        <v>13.18</v>
      </c>
      <c r="D177" s="29" t="n">
        <f aca="false">Clean!AF177</f>
        <v>1329.33</v>
      </c>
      <c r="E177" s="29" t="n">
        <f aca="false">Clean!AE177</f>
        <v>4593.05</v>
      </c>
      <c r="F177" s="22" t="n">
        <f aca="false">AVERAGEIFS(Clean!$V$2:$V$1001,Clean!$AA$2:$AA$1001,B177)</f>
        <v>0.773869346733668</v>
      </c>
      <c r="G177" s="29" t="n">
        <f aca="false">F177*C177*D177</f>
        <v>13558.6315959799</v>
      </c>
      <c r="H177" s="29" t="n">
        <f aca="false">G177*Model!$B$4</f>
        <v>13558.6315959799</v>
      </c>
      <c r="I177" s="0" t="str">
        <f aca="false">IF(E177&lt;Model!$B$5*H177,"Expedite","Standard")</f>
        <v>Expedite</v>
      </c>
      <c r="J177" s="29" t="n">
        <f aca="false">H177</f>
        <v>13558.6315959799</v>
      </c>
      <c r="K177" s="29" t="n">
        <f aca="false">E177+(1-Model!$B$5)*H177</f>
        <v>4593.05</v>
      </c>
      <c r="L177" s="29" t="n">
        <f aca="false">IF(I177="Expedite",K177,J177)</f>
        <v>4593.05</v>
      </c>
      <c r="M177" s="29" t="n">
        <f aca="false">J177-L177</f>
        <v>8965.5815959799</v>
      </c>
      <c r="N177" s="29" t="n">
        <f aca="false">IFERROR(E177/(F177*C177*Model!$B$5),"")</f>
        <v>450.316767830046</v>
      </c>
    </row>
    <row r="178" customFormat="false" ht="15" hidden="false" customHeight="false" outlineLevel="0" collapsed="false">
      <c r="A178" s="0" t="str">
        <f aca="false">Clean!A178</f>
        <v>SHP0177</v>
      </c>
      <c r="B178" s="0" t="str">
        <f aca="false">Clean!AA178</f>
        <v>GATI Logistics</v>
      </c>
      <c r="C178" s="28" t="n">
        <f aca="false">Clean!J178</f>
        <v>7.03</v>
      </c>
      <c r="D178" s="29" t="n">
        <f aca="false">Clean!AF178</f>
        <v>1276.72</v>
      </c>
      <c r="E178" s="29" t="n">
        <f aca="false">Clean!AE178</f>
        <v>1319.86</v>
      </c>
      <c r="F178" s="22" t="n">
        <f aca="false">AVERAGEIFS(Clean!$V$2:$V$1001,Clean!$AA$2:$AA$1001,B178)</f>
        <v>0.751243781094527</v>
      </c>
      <c r="G178" s="29" t="n">
        <f aca="false">F178*C178*D178</f>
        <v>6742.66956019901</v>
      </c>
      <c r="H178" s="29" t="n">
        <f aca="false">G178*Model!$B$4</f>
        <v>6742.66956019901</v>
      </c>
      <c r="I178" s="0" t="str">
        <f aca="false">IF(E178&lt;Model!$B$5*H178,"Expedite","Standard")</f>
        <v>Expedite</v>
      </c>
      <c r="J178" s="29" t="n">
        <f aca="false">H178</f>
        <v>6742.66956019901</v>
      </c>
      <c r="K178" s="29" t="n">
        <f aca="false">E178+(1-Model!$B$5)*H178</f>
        <v>1319.86</v>
      </c>
      <c r="L178" s="29" t="n">
        <f aca="false">IF(I178="Expedite",K178,J178)</f>
        <v>1319.86</v>
      </c>
      <c r="M178" s="29" t="n">
        <f aca="false">J178-L178</f>
        <v>5422.80956019901</v>
      </c>
      <c r="N178" s="29" t="n">
        <f aca="false">IFERROR(E178/(F178*C178*Model!$B$5),"")</f>
        <v>249.914613812139</v>
      </c>
    </row>
    <row r="179" customFormat="false" ht="15" hidden="false" customHeight="false" outlineLevel="0" collapsed="false">
      <c r="A179" s="0" t="str">
        <f aca="false">Clean!A179</f>
        <v>SHP0178</v>
      </c>
      <c r="B179" s="0" t="str">
        <f aca="false">Clean!AA179</f>
        <v>Delhivery</v>
      </c>
      <c r="C179" s="28" t="n">
        <f aca="false">Clean!J179</f>
        <v>3.32</v>
      </c>
      <c r="D179" s="29" t="n">
        <f aca="false">Clean!AF179</f>
        <v>517.69</v>
      </c>
      <c r="E179" s="29" t="n">
        <f aca="false">Clean!AE179</f>
        <v>1001.33</v>
      </c>
      <c r="F179" s="22" t="n">
        <f aca="false">AVERAGEIFS(Clean!$V$2:$V$1001,Clean!$AA$2:$AA$1001,B179)</f>
        <v>0.72538860103627</v>
      </c>
      <c r="G179" s="29" t="n">
        <f aca="false">F179*C179*D179</f>
        <v>1246.74773056995</v>
      </c>
      <c r="H179" s="29" t="n">
        <f aca="false">G179*Model!$B$4</f>
        <v>1246.74773056995</v>
      </c>
      <c r="I179" s="0" t="str">
        <f aca="false">IF(E179&lt;Model!$B$5*H179,"Expedite","Standard")</f>
        <v>Expedite</v>
      </c>
      <c r="J179" s="29" t="n">
        <f aca="false">H179</f>
        <v>1246.74773056995</v>
      </c>
      <c r="K179" s="29" t="n">
        <f aca="false">E179+(1-Model!$B$5)*H179</f>
        <v>1001.33</v>
      </c>
      <c r="L179" s="29" t="n">
        <f aca="false">IF(I179="Expedite",K179,J179)</f>
        <v>1001.33</v>
      </c>
      <c r="M179" s="29" t="n">
        <f aca="false">J179-L179</f>
        <v>245.417730569948</v>
      </c>
      <c r="N179" s="29" t="n">
        <f aca="false">IFERROR(E179/(F179*C179*Model!$B$5),"")</f>
        <v>415.784617039587</v>
      </c>
    </row>
    <row r="180" customFormat="false" ht="15" hidden="false" customHeight="false" outlineLevel="0" collapsed="false">
      <c r="A180" s="0" t="str">
        <f aca="false">Clean!A180</f>
        <v>SHP0179</v>
      </c>
      <c r="B180" s="0" t="str">
        <f aca="false">Clean!AA180</f>
        <v>VRL Cargo</v>
      </c>
      <c r="C180" s="28" t="n">
        <f aca="false">Clean!J180</f>
        <v>12.45</v>
      </c>
      <c r="D180" s="29" t="n">
        <f aca="false">Clean!AF180</f>
        <v>797.36</v>
      </c>
      <c r="E180" s="29" t="n">
        <f aca="false">Clean!AE180</f>
        <v>3477.99</v>
      </c>
      <c r="F180" s="22" t="n">
        <f aca="false">AVERAGEIFS(Clean!$V$2:$V$1001,Clean!$AA$2:$AA$1001,B180)</f>
        <v>0.72020725388601</v>
      </c>
      <c r="G180" s="29" t="n">
        <f aca="false">F180*C180*D180</f>
        <v>7149.59247668394</v>
      </c>
      <c r="H180" s="29" t="n">
        <f aca="false">G180*Model!$B$4</f>
        <v>7149.59247668394</v>
      </c>
      <c r="I180" s="0" t="str">
        <f aca="false">IF(E180&lt;Model!$B$5*H180,"Expedite","Standard")</f>
        <v>Expedite</v>
      </c>
      <c r="J180" s="29" t="n">
        <f aca="false">H180</f>
        <v>7149.59247668394</v>
      </c>
      <c r="K180" s="29" t="n">
        <f aca="false">E180+(1-Model!$B$5)*H180</f>
        <v>3477.99</v>
      </c>
      <c r="L180" s="29" t="n">
        <f aca="false">IF(I180="Expedite",K180,J180)</f>
        <v>3477.99</v>
      </c>
      <c r="M180" s="29" t="n">
        <f aca="false">J180-L180</f>
        <v>3671.60247668394</v>
      </c>
      <c r="N180" s="29" t="n">
        <f aca="false">IFERROR(E180/(F180*C180*Model!$B$5),"")</f>
        <v>387.88366126376</v>
      </c>
    </row>
    <row r="181" customFormat="false" ht="15" hidden="false" customHeight="false" outlineLevel="0" collapsed="false">
      <c r="A181" s="0" t="str">
        <f aca="false">Clean!A181</f>
        <v>SHP0180</v>
      </c>
      <c r="B181" s="0" t="str">
        <f aca="false">Clean!AA181</f>
        <v>Delhivery</v>
      </c>
      <c r="C181" s="28" t="n">
        <f aca="false">Clean!J181</f>
        <v>9.18</v>
      </c>
      <c r="D181" s="29" t="n">
        <f aca="false">Clean!AF181</f>
        <v>1118.05</v>
      </c>
      <c r="E181" s="29" t="n">
        <f aca="false">Clean!AE181</f>
        <v>3766.47</v>
      </c>
      <c r="F181" s="22" t="n">
        <f aca="false">AVERAGEIFS(Clean!$V$2:$V$1001,Clean!$AA$2:$AA$1001,B181)</f>
        <v>0.72538860103627</v>
      </c>
      <c r="G181" s="29" t="n">
        <f aca="false">F181*C181*D181</f>
        <v>7445.17025906736</v>
      </c>
      <c r="H181" s="29" t="n">
        <f aca="false">G181*Model!$B$4</f>
        <v>7445.17025906736</v>
      </c>
      <c r="I181" s="0" t="str">
        <f aca="false">IF(E181&lt;Model!$B$5*H181,"Expedite","Standard")</f>
        <v>Expedite</v>
      </c>
      <c r="J181" s="29" t="n">
        <f aca="false">H181</f>
        <v>7445.17025906736</v>
      </c>
      <c r="K181" s="29" t="n">
        <f aca="false">E181+(1-Model!$B$5)*H181</f>
        <v>3766.47</v>
      </c>
      <c r="L181" s="29" t="n">
        <f aca="false">IF(I181="Expedite",K181,J181)</f>
        <v>3766.47</v>
      </c>
      <c r="M181" s="29" t="n">
        <f aca="false">J181-L181</f>
        <v>3678.70025906736</v>
      </c>
      <c r="N181" s="29" t="n">
        <f aca="false">IFERROR(E181/(F181*C181*Model!$B$5),"")</f>
        <v>565.615242763772</v>
      </c>
    </row>
    <row r="182" customFormat="false" ht="15" hidden="false" customHeight="false" outlineLevel="0" collapsed="false">
      <c r="A182" s="0" t="str">
        <f aca="false">Clean!A182</f>
        <v>SHP0181</v>
      </c>
      <c r="B182" s="0" t="str">
        <f aca="false">Clean!AA182</f>
        <v>TCI Express</v>
      </c>
      <c r="C182" s="28" t="n">
        <f aca="false">Clean!J182</f>
        <v>13.03</v>
      </c>
      <c r="D182" s="29" t="n">
        <f aca="false">Clean!AF182</f>
        <v>904.8</v>
      </c>
      <c r="E182" s="29" t="n">
        <f aca="false">Clean!AE182</f>
        <v>4168.37</v>
      </c>
      <c r="F182" s="22" t="n">
        <f aca="false">AVERAGEIFS(Clean!$V$2:$V$1001,Clean!$AA$2:$AA$1001,B182)</f>
        <v>0.752336448598131</v>
      </c>
      <c r="G182" s="29" t="n">
        <f aca="false">F182*C182*D182</f>
        <v>8869.7036635514</v>
      </c>
      <c r="H182" s="29" t="n">
        <f aca="false">G182*Model!$B$4</f>
        <v>8869.7036635514</v>
      </c>
      <c r="I182" s="0" t="str">
        <f aca="false">IF(E182&lt;Model!$B$5*H182,"Expedite","Standard")</f>
        <v>Expedite</v>
      </c>
      <c r="J182" s="29" t="n">
        <f aca="false">H182</f>
        <v>8869.7036635514</v>
      </c>
      <c r="K182" s="29" t="n">
        <f aca="false">E182+(1-Model!$B$5)*H182</f>
        <v>4168.37</v>
      </c>
      <c r="L182" s="29" t="n">
        <f aca="false">IF(I182="Expedite",K182,J182)</f>
        <v>4168.37</v>
      </c>
      <c r="M182" s="29" t="n">
        <f aca="false">J182-L182</f>
        <v>4701.3336635514</v>
      </c>
      <c r="N182" s="29" t="n">
        <f aca="false">IFERROR(E182/(F182*C182*Model!$B$5),"")</f>
        <v>425.21614239476</v>
      </c>
    </row>
    <row r="183" customFormat="false" ht="15" hidden="false" customHeight="false" outlineLevel="0" collapsed="false">
      <c r="A183" s="0" t="str">
        <f aca="false">Clean!A183</f>
        <v>SHP0182</v>
      </c>
      <c r="B183" s="0" t="str">
        <f aca="false">Clean!AA183</f>
        <v>Delhivery</v>
      </c>
      <c r="C183" s="28" t="n">
        <f aca="false">Clean!J183</f>
        <v>13.43</v>
      </c>
      <c r="D183" s="29" t="n">
        <f aca="false">Clean!AF183</f>
        <v>981.34</v>
      </c>
      <c r="E183" s="29" t="n">
        <f aca="false">Clean!AE183</f>
        <v>2664.62</v>
      </c>
      <c r="F183" s="22" t="n">
        <f aca="false">AVERAGEIFS(Clean!$V$2:$V$1001,Clean!$AA$2:$AA$1001,B183)</f>
        <v>0.72538860103627</v>
      </c>
      <c r="G183" s="29" t="n">
        <f aca="false">F183*C183*D183</f>
        <v>9560.18377202073</v>
      </c>
      <c r="H183" s="29" t="n">
        <f aca="false">G183*Model!$B$4</f>
        <v>9560.18377202073</v>
      </c>
      <c r="I183" s="0" t="str">
        <f aca="false">IF(E183&lt;Model!$B$5*H183,"Expedite","Standard")</f>
        <v>Expedite</v>
      </c>
      <c r="J183" s="29" t="n">
        <f aca="false">H183</f>
        <v>9560.18377202073</v>
      </c>
      <c r="K183" s="29" t="n">
        <f aca="false">E183+(1-Model!$B$5)*H183</f>
        <v>2664.62</v>
      </c>
      <c r="L183" s="29" t="n">
        <f aca="false">IF(I183="Expedite",K183,J183)</f>
        <v>2664.62</v>
      </c>
      <c r="M183" s="29" t="n">
        <f aca="false">J183-L183</f>
        <v>6895.56377202073</v>
      </c>
      <c r="N183" s="29" t="n">
        <f aca="false">IFERROR(E183/(F183*C183*Model!$B$5),"")</f>
        <v>273.519657483247</v>
      </c>
    </row>
    <row r="184" customFormat="false" ht="15" hidden="false" customHeight="false" outlineLevel="0" collapsed="false">
      <c r="A184" s="0" t="str">
        <f aca="false">Clean!A184</f>
        <v>SHP0183</v>
      </c>
      <c r="B184" s="0" t="str">
        <f aca="false">Clean!AA184</f>
        <v>BlueDart</v>
      </c>
      <c r="C184" s="28" t="n">
        <f aca="false">Clean!J184</f>
        <v>1.36</v>
      </c>
      <c r="D184" s="29" t="n">
        <f aca="false">Clean!AF184</f>
        <v>1301.54</v>
      </c>
      <c r="E184" s="29" t="n">
        <f aca="false">Clean!AE184</f>
        <v>4903.5</v>
      </c>
      <c r="F184" s="22" t="n">
        <f aca="false">AVERAGEIFS(Clean!$V$2:$V$1001,Clean!$AA$2:$AA$1001,B184)</f>
        <v>0.773869346733668</v>
      </c>
      <c r="G184" s="29" t="n">
        <f aca="false">F184*C184*D184</f>
        <v>1369.82179698492</v>
      </c>
      <c r="H184" s="29" t="n">
        <f aca="false">G184*Model!$B$4</f>
        <v>1369.82179698492</v>
      </c>
      <c r="I184" s="0" t="str">
        <f aca="false">IF(E184&lt;Model!$B$5*H184,"Expedite","Standard")</f>
        <v>Standard</v>
      </c>
      <c r="J184" s="29" t="n">
        <f aca="false">H184</f>
        <v>1369.82179698492</v>
      </c>
      <c r="K184" s="29" t="n">
        <f aca="false">E184+(1-Model!$B$5)*H184</f>
        <v>4903.5</v>
      </c>
      <c r="L184" s="29" t="n">
        <f aca="false">IF(I184="Expedite",K184,J184)</f>
        <v>1369.82179698492</v>
      </c>
      <c r="M184" s="29" t="n">
        <f aca="false">J184-L184</f>
        <v>0</v>
      </c>
      <c r="N184" s="29" t="n">
        <f aca="false">IFERROR(E184/(F184*C184*Model!$B$5),"")</f>
        <v>4659.07419786096</v>
      </c>
    </row>
    <row r="185" customFormat="false" ht="15" hidden="false" customHeight="false" outlineLevel="0" collapsed="false">
      <c r="A185" s="0" t="str">
        <f aca="false">Clean!A185</f>
        <v>SHP0184</v>
      </c>
      <c r="B185" s="0" t="str">
        <f aca="false">Clean!AA185</f>
        <v>TCI Express</v>
      </c>
      <c r="C185" s="28" t="n">
        <f aca="false">Clean!J185</f>
        <v>19.23</v>
      </c>
      <c r="D185" s="29" t="n">
        <f aca="false">Clean!AF185</f>
        <v>988.24</v>
      </c>
      <c r="E185" s="29" t="n">
        <f aca="false">Clean!AE185</f>
        <v>1392.33</v>
      </c>
      <c r="F185" s="22" t="n">
        <f aca="false">AVERAGEIFS(Clean!$V$2:$V$1001,Clean!$AA$2:$AA$1001,B185)</f>
        <v>0.752336448598131</v>
      </c>
      <c r="G185" s="29" t="n">
        <f aca="false">F185*C185*D185</f>
        <v>14297.2929308411</v>
      </c>
      <c r="H185" s="29" t="n">
        <f aca="false">G185*Model!$B$4</f>
        <v>14297.2929308411</v>
      </c>
      <c r="I185" s="0" t="str">
        <f aca="false">IF(E185&lt;Model!$B$5*H185,"Expedite","Standard")</f>
        <v>Expedite</v>
      </c>
      <c r="J185" s="29" t="n">
        <f aca="false">H185</f>
        <v>14297.2929308411</v>
      </c>
      <c r="K185" s="29" t="n">
        <f aca="false">E185+(1-Model!$B$5)*H185</f>
        <v>1392.33</v>
      </c>
      <c r="L185" s="29" t="n">
        <f aca="false">IF(I185="Expedite",K185,J185)</f>
        <v>1392.33</v>
      </c>
      <c r="M185" s="29" t="n">
        <f aca="false">J185-L185</f>
        <v>12904.9629308411</v>
      </c>
      <c r="N185" s="29" t="n">
        <f aca="false">IFERROR(E185/(F185*C185*Model!$B$5),"")</f>
        <v>96.2389317932966</v>
      </c>
    </row>
    <row r="186" customFormat="false" ht="15" hidden="false" customHeight="false" outlineLevel="0" collapsed="false">
      <c r="A186" s="0" t="str">
        <f aca="false">Clean!A186</f>
        <v>SHP0185</v>
      </c>
      <c r="B186" s="0" t="str">
        <f aca="false">Clean!AA186</f>
        <v>Delhivery</v>
      </c>
      <c r="C186" s="28" t="n">
        <f aca="false">Clean!J186</f>
        <v>3.85</v>
      </c>
      <c r="D186" s="29" t="n">
        <f aca="false">Clean!AF186</f>
        <v>602.15</v>
      </c>
      <c r="E186" s="29" t="n">
        <f aca="false">Clean!AE186</f>
        <v>1532.58</v>
      </c>
      <c r="F186" s="22" t="n">
        <f aca="false">AVERAGEIFS(Clean!$V$2:$V$1001,Clean!$AA$2:$AA$1001,B186)</f>
        <v>0.72538860103627</v>
      </c>
      <c r="G186" s="29" t="n">
        <f aca="false">F186*C186*D186</f>
        <v>1681.65207253886</v>
      </c>
      <c r="H186" s="29" t="n">
        <f aca="false">G186*Model!$B$4</f>
        <v>1681.65207253886</v>
      </c>
      <c r="I186" s="0" t="str">
        <f aca="false">IF(E186&lt;Model!$B$5*H186,"Expedite","Standard")</f>
        <v>Expedite</v>
      </c>
      <c r="J186" s="29" t="n">
        <f aca="false">H186</f>
        <v>1681.65207253886</v>
      </c>
      <c r="K186" s="29" t="n">
        <f aca="false">E186+(1-Model!$B$5)*H186</f>
        <v>1532.58</v>
      </c>
      <c r="L186" s="29" t="n">
        <f aca="false">IF(I186="Expedite",K186,J186)</f>
        <v>1532.58</v>
      </c>
      <c r="M186" s="29" t="n">
        <f aca="false">J186-L186</f>
        <v>149.07207253886</v>
      </c>
      <c r="N186" s="29" t="n">
        <f aca="false">IFERROR(E186/(F186*C186*Model!$B$5),"")</f>
        <v>548.771688311688</v>
      </c>
    </row>
    <row r="187" customFormat="false" ht="15" hidden="false" customHeight="false" outlineLevel="0" collapsed="false">
      <c r="A187" s="0" t="str">
        <f aca="false">Clean!A187</f>
        <v>SHP0186</v>
      </c>
      <c r="B187" s="0" t="str">
        <f aca="false">Clean!AA187</f>
        <v>TCI Express</v>
      </c>
      <c r="C187" s="28" t="n">
        <f aca="false">Clean!J187</f>
        <v>13.52</v>
      </c>
      <c r="D187" s="29" t="n">
        <f aca="false">Clean!AF187</f>
        <v>961.48</v>
      </c>
      <c r="E187" s="29" t="n">
        <f aca="false">Clean!AE187</f>
        <v>4607.05</v>
      </c>
      <c r="F187" s="22" t="n">
        <f aca="false">AVERAGEIFS(Clean!$V$2:$V$1001,Clean!$AA$2:$AA$1001,B187)</f>
        <v>0.752336448598131</v>
      </c>
      <c r="G187" s="29" t="n">
        <f aca="false">F187*C187*D187</f>
        <v>9779.77918504673</v>
      </c>
      <c r="H187" s="29" t="n">
        <f aca="false">G187*Model!$B$4</f>
        <v>9779.77918504673</v>
      </c>
      <c r="I187" s="0" t="str">
        <f aca="false">IF(E187&lt;Model!$B$5*H187,"Expedite","Standard")</f>
        <v>Expedite</v>
      </c>
      <c r="J187" s="29" t="n">
        <f aca="false">H187</f>
        <v>9779.77918504673</v>
      </c>
      <c r="K187" s="29" t="n">
        <f aca="false">E187+(1-Model!$B$5)*H187</f>
        <v>4607.05</v>
      </c>
      <c r="L187" s="29" t="n">
        <f aca="false">IF(I187="Expedite",K187,J187)</f>
        <v>4607.05</v>
      </c>
      <c r="M187" s="29" t="n">
        <f aca="false">J187-L187</f>
        <v>5172.72918504673</v>
      </c>
      <c r="N187" s="29" t="n">
        <f aca="false">IFERROR(E187/(F187*C187*Model!$B$5),"")</f>
        <v>452.933174684847</v>
      </c>
    </row>
    <row r="188" customFormat="false" ht="15" hidden="false" customHeight="false" outlineLevel="0" collapsed="false">
      <c r="A188" s="0" t="str">
        <f aca="false">Clean!A188</f>
        <v>SHP0187</v>
      </c>
      <c r="B188" s="0" t="str">
        <f aca="false">Clean!AA188</f>
        <v>Delhivery</v>
      </c>
      <c r="C188" s="28" t="n">
        <f aca="false">Clean!J188</f>
        <v>13.11</v>
      </c>
      <c r="D188" s="29" t="n">
        <f aca="false">Clean!AF188</f>
        <v>943.27</v>
      </c>
      <c r="E188" s="29" t="n">
        <f aca="false">Clean!AE188</f>
        <v>4953.1</v>
      </c>
      <c r="F188" s="22" t="n">
        <f aca="false">AVERAGEIFS(Clean!$V$2:$V$1001,Clean!$AA$2:$AA$1001,B188)</f>
        <v>0.72538860103627</v>
      </c>
      <c r="G188" s="29" t="n">
        <f aca="false">F188*C188*D188</f>
        <v>8970.35107772021</v>
      </c>
      <c r="H188" s="29" t="n">
        <f aca="false">G188*Model!$B$4</f>
        <v>8970.35107772021</v>
      </c>
      <c r="I188" s="0" t="str">
        <f aca="false">IF(E188&lt;Model!$B$5*H188,"Expedite","Standard")</f>
        <v>Expedite</v>
      </c>
      <c r="J188" s="29" t="n">
        <f aca="false">H188</f>
        <v>8970.35107772021</v>
      </c>
      <c r="K188" s="29" t="n">
        <f aca="false">E188+(1-Model!$B$5)*H188</f>
        <v>4953.1</v>
      </c>
      <c r="L188" s="29" t="n">
        <f aca="false">IF(I188="Expedite",K188,J188)</f>
        <v>4953.1</v>
      </c>
      <c r="M188" s="29" t="n">
        <f aca="false">J188-L188</f>
        <v>4017.25107772021</v>
      </c>
      <c r="N188" s="29" t="n">
        <f aca="false">IFERROR(E188/(F188*C188*Model!$B$5),"")</f>
        <v>520.839217609241</v>
      </c>
    </row>
    <row r="189" customFormat="false" ht="15" hidden="false" customHeight="false" outlineLevel="0" collapsed="false">
      <c r="A189" s="0" t="str">
        <f aca="false">Clean!A189</f>
        <v>SHP0188</v>
      </c>
      <c r="B189" s="0" t="str">
        <f aca="false">Clean!AA189</f>
        <v>TCI Express</v>
      </c>
      <c r="C189" s="28" t="n">
        <f aca="false">Clean!J189</f>
        <v>1.91</v>
      </c>
      <c r="D189" s="29" t="n">
        <f aca="false">Clean!AF189</f>
        <v>1008.58</v>
      </c>
      <c r="E189" s="29" t="n">
        <f aca="false">Clean!AE189</f>
        <v>1142.28</v>
      </c>
      <c r="F189" s="22" t="n">
        <f aca="false">AVERAGEIFS(Clean!$V$2:$V$1001,Clean!$AA$2:$AA$1001,B189)</f>
        <v>0.752336448598131</v>
      </c>
      <c r="G189" s="29" t="n">
        <f aca="false">F189*C189*D189</f>
        <v>1449.29175607477</v>
      </c>
      <c r="H189" s="29" t="n">
        <f aca="false">G189*Model!$B$4</f>
        <v>1449.29175607477</v>
      </c>
      <c r="I189" s="0" t="str">
        <f aca="false">IF(E189&lt;Model!$B$5*H189,"Expedite","Standard")</f>
        <v>Expedite</v>
      </c>
      <c r="J189" s="29" t="n">
        <f aca="false">H189</f>
        <v>1449.29175607477</v>
      </c>
      <c r="K189" s="29" t="n">
        <f aca="false">E189+(1-Model!$B$5)*H189</f>
        <v>1142.28</v>
      </c>
      <c r="L189" s="29" t="n">
        <f aca="false">IF(I189="Expedite",K189,J189)</f>
        <v>1142.28</v>
      </c>
      <c r="M189" s="29" t="n">
        <f aca="false">J189-L189</f>
        <v>307.011756074767</v>
      </c>
      <c r="N189" s="29" t="n">
        <f aca="false">IFERROR(E189/(F189*C189*Model!$B$5),"")</f>
        <v>794.926734089948</v>
      </c>
    </row>
    <row r="190" customFormat="false" ht="15" hidden="false" customHeight="false" outlineLevel="0" collapsed="false">
      <c r="A190" s="0" t="str">
        <f aca="false">Clean!A190</f>
        <v>SHP0189</v>
      </c>
      <c r="B190" s="0" t="str">
        <f aca="false">Clean!AA190</f>
        <v>BlueDart</v>
      </c>
      <c r="C190" s="28" t="n">
        <f aca="false">Clean!J190</f>
        <v>8.36</v>
      </c>
      <c r="D190" s="29" t="n">
        <f aca="false">Clean!AF190</f>
        <v>1330.53</v>
      </c>
      <c r="E190" s="29" t="n">
        <f aca="false">Clean!AE190</f>
        <v>3198.46</v>
      </c>
      <c r="F190" s="22" t="n">
        <f aca="false">AVERAGEIFS(Clean!$V$2:$V$1001,Clean!$AA$2:$AA$1001,B190)</f>
        <v>0.773869346733668</v>
      </c>
      <c r="G190" s="29" t="n">
        <f aca="false">F190*C190*D190</f>
        <v>8607.92735276382</v>
      </c>
      <c r="H190" s="29" t="n">
        <f aca="false">G190*Model!$B$4</f>
        <v>8607.92735276382</v>
      </c>
      <c r="I190" s="0" t="str">
        <f aca="false">IF(E190&lt;Model!$B$5*H190,"Expedite","Standard")</f>
        <v>Expedite</v>
      </c>
      <c r="J190" s="29" t="n">
        <f aca="false">H190</f>
        <v>8607.92735276382</v>
      </c>
      <c r="K190" s="29" t="n">
        <f aca="false">E190+(1-Model!$B$5)*H190</f>
        <v>3198.46</v>
      </c>
      <c r="L190" s="29" t="n">
        <f aca="false">IF(I190="Expedite",K190,J190)</f>
        <v>3198.46</v>
      </c>
      <c r="M190" s="29" t="n">
        <f aca="false">J190-L190</f>
        <v>5409.46735276382</v>
      </c>
      <c r="N190" s="29" t="n">
        <f aca="false">IFERROR(E190/(F190*C190*Model!$B$5),"")</f>
        <v>494.386953955136</v>
      </c>
    </row>
    <row r="191" customFormat="false" ht="15" hidden="false" customHeight="false" outlineLevel="0" collapsed="false">
      <c r="A191" s="0" t="str">
        <f aca="false">Clean!A191</f>
        <v>SHP0190</v>
      </c>
      <c r="B191" s="0" t="str">
        <f aca="false">Clean!AA191</f>
        <v>TCI Express</v>
      </c>
      <c r="C191" s="28" t="n">
        <f aca="false">Clean!J191</f>
        <v>2.31</v>
      </c>
      <c r="D191" s="29" t="n">
        <f aca="false">Clean!AF191</f>
        <v>881.94</v>
      </c>
      <c r="E191" s="29" t="n">
        <f aca="false">Clean!AE191</f>
        <v>3498.65</v>
      </c>
      <c r="F191" s="22" t="n">
        <f aca="false">AVERAGEIFS(Clean!$V$2:$V$1001,Clean!$AA$2:$AA$1001,B191)</f>
        <v>0.752336448598131</v>
      </c>
      <c r="G191" s="29" t="n">
        <f aca="false">F191*C191*D191</f>
        <v>1532.72105327103</v>
      </c>
      <c r="H191" s="29" t="n">
        <f aca="false">G191*Model!$B$4</f>
        <v>1532.72105327103</v>
      </c>
      <c r="I191" s="0" t="str">
        <f aca="false">IF(E191&lt;Model!$B$5*H191,"Expedite","Standard")</f>
        <v>Standard</v>
      </c>
      <c r="J191" s="29" t="n">
        <f aca="false">H191</f>
        <v>1532.72105327103</v>
      </c>
      <c r="K191" s="29" t="n">
        <f aca="false">E191+(1-Model!$B$5)*H191</f>
        <v>3498.65</v>
      </c>
      <c r="L191" s="29" t="n">
        <f aca="false">IF(I191="Expedite",K191,J191)</f>
        <v>1532.72105327103</v>
      </c>
      <c r="M191" s="29" t="n">
        <f aca="false">J191-L191</f>
        <v>0</v>
      </c>
      <c r="N191" s="29" t="n">
        <f aca="false">IFERROR(E191/(F191*C191*Model!$B$5),"")</f>
        <v>2013.15130004571</v>
      </c>
    </row>
    <row r="192" customFormat="false" ht="15" hidden="false" customHeight="false" outlineLevel="0" collapsed="false">
      <c r="A192" s="0" t="str">
        <f aca="false">Clean!A192</f>
        <v>SHP0191</v>
      </c>
      <c r="B192" s="0" t="str">
        <f aca="false">Clean!AA192</f>
        <v>Delhivery</v>
      </c>
      <c r="C192" s="28" t="n">
        <f aca="false">Clean!J192</f>
        <v>4.91</v>
      </c>
      <c r="D192" s="29" t="n">
        <f aca="false">Clean!AF192</f>
        <v>974.34</v>
      </c>
      <c r="E192" s="29" t="n">
        <f aca="false">Clean!AE192</f>
        <v>1500.93</v>
      </c>
      <c r="F192" s="22" t="n">
        <f aca="false">AVERAGEIFS(Clean!$V$2:$V$1001,Clean!$AA$2:$AA$1001,B192)</f>
        <v>0.72538860103627</v>
      </c>
      <c r="G192" s="29" t="n">
        <f aca="false">F192*C192*D192</f>
        <v>3470.26588601036</v>
      </c>
      <c r="H192" s="29" t="n">
        <f aca="false">G192*Model!$B$4</f>
        <v>3470.26588601036</v>
      </c>
      <c r="I192" s="0" t="str">
        <f aca="false">IF(E192&lt;Model!$B$5*H192,"Expedite","Standard")</f>
        <v>Expedite</v>
      </c>
      <c r="J192" s="29" t="n">
        <f aca="false">H192</f>
        <v>3470.26588601036</v>
      </c>
      <c r="K192" s="29" t="n">
        <f aca="false">E192+(1-Model!$B$5)*H192</f>
        <v>1500.93</v>
      </c>
      <c r="L192" s="29" t="n">
        <f aca="false">IF(I192="Expedite",K192,J192)</f>
        <v>1500.93</v>
      </c>
      <c r="M192" s="29" t="n">
        <f aca="false">J192-L192</f>
        <v>1969.33588601036</v>
      </c>
      <c r="N192" s="29" t="n">
        <f aca="false">IFERROR(E192/(F192*C192*Model!$B$5),"")</f>
        <v>421.413281931917</v>
      </c>
    </row>
    <row r="193" customFormat="false" ht="15" hidden="false" customHeight="false" outlineLevel="0" collapsed="false">
      <c r="A193" s="0" t="str">
        <f aca="false">Clean!A193</f>
        <v>SHP0192</v>
      </c>
      <c r="B193" s="0" t="str">
        <f aca="false">Clean!AA193</f>
        <v>TCI Express</v>
      </c>
      <c r="C193" s="28" t="n">
        <f aca="false">Clean!J193</f>
        <v>3.17</v>
      </c>
      <c r="D193" s="29" t="n">
        <f aca="false">Clean!AF193</f>
        <v>724.62</v>
      </c>
      <c r="E193" s="29" t="n">
        <f aca="false">Clean!AE193</f>
        <v>4712.33</v>
      </c>
      <c r="F193" s="22" t="n">
        <f aca="false">AVERAGEIFS(Clean!$V$2:$V$1001,Clean!$AA$2:$AA$1001,B193)</f>
        <v>0.752336448598131</v>
      </c>
      <c r="G193" s="29" t="n">
        <f aca="false">F193*C193*D193</f>
        <v>1728.15097850467</v>
      </c>
      <c r="H193" s="29" t="n">
        <f aca="false">G193*Model!$B$4</f>
        <v>1728.15097850467</v>
      </c>
      <c r="I193" s="0" t="str">
        <f aca="false">IF(E193&lt;Model!$B$5*H193,"Expedite","Standard")</f>
        <v>Standard</v>
      </c>
      <c r="J193" s="29" t="n">
        <f aca="false">H193</f>
        <v>1728.15097850467</v>
      </c>
      <c r="K193" s="29" t="n">
        <f aca="false">E193+(1-Model!$B$5)*H193</f>
        <v>4712.33</v>
      </c>
      <c r="L193" s="29" t="n">
        <f aca="false">IF(I193="Expedite",K193,J193)</f>
        <v>1728.15097850467</v>
      </c>
      <c r="M193" s="29" t="n">
        <f aca="false">J193-L193</f>
        <v>0</v>
      </c>
      <c r="N193" s="29" t="n">
        <f aca="false">IFERROR(E193/(F193*C193*Model!$B$5),"")</f>
        <v>1975.8971334522</v>
      </c>
    </row>
    <row r="194" customFormat="false" ht="15" hidden="false" customHeight="false" outlineLevel="0" collapsed="false">
      <c r="A194" s="0" t="str">
        <f aca="false">Clean!A194</f>
        <v>SHP0193</v>
      </c>
      <c r="B194" s="0" t="str">
        <f aca="false">Clean!AA194</f>
        <v>TCI Express</v>
      </c>
      <c r="C194" s="28" t="n">
        <f aca="false">Clean!J194</f>
        <v>8.07</v>
      </c>
      <c r="D194" s="29" t="n">
        <f aca="false">Clean!AF194</f>
        <v>1145.81</v>
      </c>
      <c r="E194" s="29" t="n">
        <f aca="false">Clean!AE194</f>
        <v>4547.7</v>
      </c>
      <c r="F194" s="22" t="n">
        <f aca="false">AVERAGEIFS(Clean!$V$2:$V$1001,Clean!$AA$2:$AA$1001,B194)</f>
        <v>0.752336448598131</v>
      </c>
      <c r="G194" s="29" t="n">
        <f aca="false">F194*C194*D194</f>
        <v>6956.61943317757</v>
      </c>
      <c r="H194" s="29" t="n">
        <f aca="false">G194*Model!$B$4</f>
        <v>6956.61943317757</v>
      </c>
      <c r="I194" s="0" t="str">
        <f aca="false">IF(E194&lt;Model!$B$5*H194,"Expedite","Standard")</f>
        <v>Expedite</v>
      </c>
      <c r="J194" s="29" t="n">
        <f aca="false">H194</f>
        <v>6956.61943317757</v>
      </c>
      <c r="K194" s="29" t="n">
        <f aca="false">E194+(1-Model!$B$5)*H194</f>
        <v>4547.7</v>
      </c>
      <c r="L194" s="29" t="n">
        <f aca="false">IF(I194="Expedite",K194,J194)</f>
        <v>4547.7</v>
      </c>
      <c r="M194" s="29" t="n">
        <f aca="false">J194-L194</f>
        <v>2408.91943317757</v>
      </c>
      <c r="N194" s="29" t="n">
        <f aca="false">IFERROR(E194/(F194*C194*Model!$B$5),"")</f>
        <v>749.042000507978</v>
      </c>
    </row>
    <row r="195" customFormat="false" ht="15" hidden="false" customHeight="false" outlineLevel="0" collapsed="false">
      <c r="A195" s="0" t="str">
        <f aca="false">Clean!A195</f>
        <v>SHP0194</v>
      </c>
      <c r="B195" s="0" t="str">
        <f aca="false">Clean!AA195</f>
        <v>BlueDart</v>
      </c>
      <c r="C195" s="28" t="n">
        <f aca="false">Clean!J195</f>
        <v>6.43</v>
      </c>
      <c r="D195" s="29" t="n">
        <f aca="false">Clean!AF195</f>
        <v>960.54</v>
      </c>
      <c r="E195" s="29" t="n">
        <f aca="false">Clean!AE195</f>
        <v>4020.17</v>
      </c>
      <c r="F195" s="22" t="n">
        <f aca="false">AVERAGEIFS(Clean!$V$2:$V$1001,Clean!$AA$2:$AA$1001,B195)</f>
        <v>0.773869346733668</v>
      </c>
      <c r="G195" s="29" t="n">
        <f aca="false">F195*C195*D195</f>
        <v>4779.62773266332</v>
      </c>
      <c r="H195" s="29" t="n">
        <f aca="false">G195*Model!$B$4</f>
        <v>4779.62773266332</v>
      </c>
      <c r="I195" s="0" t="str">
        <f aca="false">IF(E195&lt;Model!$B$5*H195,"Expedite","Standard")</f>
        <v>Expedite</v>
      </c>
      <c r="J195" s="29" t="n">
        <f aca="false">H195</f>
        <v>4779.62773266332</v>
      </c>
      <c r="K195" s="29" t="n">
        <f aca="false">E195+(1-Model!$B$5)*H195</f>
        <v>4020.17</v>
      </c>
      <c r="L195" s="29" t="n">
        <f aca="false">IF(I195="Expedite",K195,J195)</f>
        <v>4020.17</v>
      </c>
      <c r="M195" s="29" t="n">
        <f aca="false">J195-L195</f>
        <v>759.457732663317</v>
      </c>
      <c r="N195" s="29" t="n">
        <f aca="false">IFERROR(E195/(F195*C195*Model!$B$5),"")</f>
        <v>807.915241057543</v>
      </c>
    </row>
    <row r="196" customFormat="false" ht="15" hidden="false" customHeight="false" outlineLevel="0" collapsed="false">
      <c r="A196" s="0" t="str">
        <f aca="false">Clean!A196</f>
        <v>SHP0195</v>
      </c>
      <c r="B196" s="0" t="str">
        <f aca="false">Clean!AA196</f>
        <v>GATI Logistics</v>
      </c>
      <c r="C196" s="28" t="n">
        <f aca="false">Clean!J196</f>
        <v>17</v>
      </c>
      <c r="D196" s="29" t="n">
        <f aca="false">Clean!AF196</f>
        <v>664.81</v>
      </c>
      <c r="E196" s="29" t="n">
        <f aca="false">Clean!AE196</f>
        <v>1172.69</v>
      </c>
      <c r="F196" s="22" t="n">
        <f aca="false">AVERAGEIFS(Clean!$V$2:$V$1001,Clean!$AA$2:$AA$1001,B196)</f>
        <v>0.751243781094527</v>
      </c>
      <c r="G196" s="29" t="n">
        <f aca="false">F196*C196*D196</f>
        <v>8490.3844278607</v>
      </c>
      <c r="H196" s="29" t="n">
        <f aca="false">G196*Model!$B$4</f>
        <v>8490.3844278607</v>
      </c>
      <c r="I196" s="0" t="str">
        <f aca="false">IF(E196&lt;Model!$B$5*H196,"Expedite","Standard")</f>
        <v>Expedite</v>
      </c>
      <c r="J196" s="29" t="n">
        <f aca="false">H196</f>
        <v>8490.3844278607</v>
      </c>
      <c r="K196" s="29" t="n">
        <f aca="false">E196+(1-Model!$B$5)*H196</f>
        <v>1172.69</v>
      </c>
      <c r="L196" s="29" t="n">
        <f aca="false">IF(I196="Expedite",K196,J196)</f>
        <v>1172.69</v>
      </c>
      <c r="M196" s="29" t="n">
        <f aca="false">J196-L196</f>
        <v>7317.6944278607</v>
      </c>
      <c r="N196" s="29" t="n">
        <f aca="false">IFERROR(E196/(F196*C196*Model!$B$5),"")</f>
        <v>91.8234086482275</v>
      </c>
    </row>
    <row r="197" customFormat="false" ht="15" hidden="false" customHeight="false" outlineLevel="0" collapsed="false">
      <c r="A197" s="0" t="str">
        <f aca="false">Clean!A197</f>
        <v>SHP0196</v>
      </c>
      <c r="B197" s="0" t="str">
        <f aca="false">Clean!AA197</f>
        <v>VRL Cargo</v>
      </c>
      <c r="C197" s="28" t="n">
        <f aca="false">Clean!J197</f>
        <v>3.5</v>
      </c>
      <c r="D197" s="29" t="n">
        <f aca="false">Clean!AF197</f>
        <v>1090.35</v>
      </c>
      <c r="E197" s="29" t="n">
        <f aca="false">Clean!AE197</f>
        <v>3168.95</v>
      </c>
      <c r="F197" s="22" t="n">
        <f aca="false">AVERAGEIFS(Clean!$V$2:$V$1001,Clean!$AA$2:$AA$1001,B197)</f>
        <v>0.72020725388601</v>
      </c>
      <c r="G197" s="29" t="n">
        <f aca="false">F197*C197*D197</f>
        <v>2748.47292746114</v>
      </c>
      <c r="H197" s="29" t="n">
        <f aca="false">G197*Model!$B$4</f>
        <v>2748.47292746114</v>
      </c>
      <c r="I197" s="0" t="str">
        <f aca="false">IF(E197&lt;Model!$B$5*H197,"Expedite","Standard")</f>
        <v>Standard</v>
      </c>
      <c r="J197" s="29" t="n">
        <f aca="false">H197</f>
        <v>2748.47292746114</v>
      </c>
      <c r="K197" s="29" t="n">
        <f aca="false">E197+(1-Model!$B$5)*H197</f>
        <v>3168.95</v>
      </c>
      <c r="L197" s="29" t="n">
        <f aca="false">IF(I197="Expedite",K197,J197)</f>
        <v>2748.47292746114</v>
      </c>
      <c r="M197" s="29" t="n">
        <f aca="false">J197-L197</f>
        <v>0</v>
      </c>
      <c r="N197" s="29" t="n">
        <f aca="false">IFERROR(E197/(F197*C197*Model!$B$5),"")</f>
        <v>1257.15796505653</v>
      </c>
    </row>
    <row r="198" customFormat="false" ht="15" hidden="false" customHeight="false" outlineLevel="0" collapsed="false">
      <c r="A198" s="0" t="str">
        <f aca="false">Clean!A198</f>
        <v>SHP0197</v>
      </c>
      <c r="B198" s="0" t="str">
        <f aca="false">Clean!AA198</f>
        <v>Delhivery</v>
      </c>
      <c r="C198" s="28" t="n">
        <f aca="false">Clean!J198</f>
        <v>10.66</v>
      </c>
      <c r="D198" s="29" t="n">
        <f aca="false">Clean!AF198</f>
        <v>509.33</v>
      </c>
      <c r="E198" s="29" t="n">
        <f aca="false">Clean!AE198</f>
        <v>2846.23</v>
      </c>
      <c r="F198" s="22" t="n">
        <f aca="false">AVERAGEIFS(Clean!$V$2:$V$1001,Clean!$AA$2:$AA$1001,B198)</f>
        <v>0.72538860103627</v>
      </c>
      <c r="G198" s="29" t="n">
        <f aca="false">F198*C198*D198</f>
        <v>3938.46679792746</v>
      </c>
      <c r="H198" s="29" t="n">
        <f aca="false">G198*Model!$B$4</f>
        <v>3938.46679792746</v>
      </c>
      <c r="I198" s="0" t="str">
        <f aca="false">IF(E198&lt;Model!$B$5*H198,"Expedite","Standard")</f>
        <v>Expedite</v>
      </c>
      <c r="J198" s="29" t="n">
        <f aca="false">H198</f>
        <v>3938.46679792746</v>
      </c>
      <c r="K198" s="29" t="n">
        <f aca="false">E198+(1-Model!$B$5)*H198</f>
        <v>2846.23</v>
      </c>
      <c r="L198" s="29" t="n">
        <f aca="false">IF(I198="Expedite",K198,J198)</f>
        <v>2846.23</v>
      </c>
      <c r="M198" s="29" t="n">
        <f aca="false">J198-L198</f>
        <v>1092.23679792746</v>
      </c>
      <c r="N198" s="29" t="n">
        <f aca="false">IFERROR(E198/(F198*C198*Model!$B$5),"")</f>
        <v>368.079864647548</v>
      </c>
    </row>
    <row r="199" customFormat="false" ht="15" hidden="false" customHeight="false" outlineLevel="0" collapsed="false">
      <c r="A199" s="0" t="str">
        <f aca="false">Clean!A199</f>
        <v>SHP0198</v>
      </c>
      <c r="B199" s="0" t="str">
        <f aca="false">Clean!AA199</f>
        <v>GATI Logistics</v>
      </c>
      <c r="C199" s="28" t="n">
        <f aca="false">Clean!J199</f>
        <v>5.69</v>
      </c>
      <c r="D199" s="29" t="n">
        <f aca="false">Clean!AF199</f>
        <v>1315.12</v>
      </c>
      <c r="E199" s="29" t="n">
        <f aca="false">Clean!AE199</f>
        <v>3969.39</v>
      </c>
      <c r="F199" s="22" t="n">
        <f aca="false">AVERAGEIFS(Clean!$V$2:$V$1001,Clean!$AA$2:$AA$1001,B199)</f>
        <v>0.751243781094527</v>
      </c>
      <c r="G199" s="29" t="n">
        <f aca="false">F199*C199*D199</f>
        <v>5621.58185472637</v>
      </c>
      <c r="H199" s="29" t="n">
        <f aca="false">G199*Model!$B$4</f>
        <v>5621.58185472637</v>
      </c>
      <c r="I199" s="0" t="str">
        <f aca="false">IF(E199&lt;Model!$B$5*H199,"Expedite","Standard")</f>
        <v>Expedite</v>
      </c>
      <c r="J199" s="29" t="n">
        <f aca="false">H199</f>
        <v>5621.58185472637</v>
      </c>
      <c r="K199" s="29" t="n">
        <f aca="false">E199+(1-Model!$B$5)*H199</f>
        <v>3969.39</v>
      </c>
      <c r="L199" s="29" t="n">
        <f aca="false">IF(I199="Expedite",K199,J199)</f>
        <v>3969.39</v>
      </c>
      <c r="M199" s="29" t="n">
        <f aca="false">J199-L199</f>
        <v>1652.19185472637</v>
      </c>
      <c r="N199" s="29" t="n">
        <f aca="false">IFERROR(E199/(F199*C199*Model!$B$5),"")</f>
        <v>928.604138781876</v>
      </c>
    </row>
    <row r="200" customFormat="false" ht="15" hidden="false" customHeight="false" outlineLevel="0" collapsed="false">
      <c r="A200" s="0" t="str">
        <f aca="false">Clean!A200</f>
        <v>SHP0199</v>
      </c>
      <c r="B200" s="0" t="str">
        <f aca="false">Clean!AA200</f>
        <v>VRL Cargo</v>
      </c>
      <c r="C200" s="28" t="n">
        <f aca="false">Clean!J200</f>
        <v>12.68</v>
      </c>
      <c r="D200" s="29" t="n">
        <f aca="false">Clean!AF200</f>
        <v>1249.55</v>
      </c>
      <c r="E200" s="29" t="n">
        <f aca="false">Clean!AE200</f>
        <v>1044.13</v>
      </c>
      <c r="F200" s="22" t="n">
        <f aca="false">AVERAGEIFS(Clean!$V$2:$V$1001,Clean!$AA$2:$AA$1001,B200)</f>
        <v>0.72020725388601</v>
      </c>
      <c r="G200" s="29" t="n">
        <f aca="false">F200*C200*D200</f>
        <v>11411.1754715026</v>
      </c>
      <c r="H200" s="29" t="n">
        <f aca="false">G200*Model!$B$4</f>
        <v>11411.1754715026</v>
      </c>
      <c r="I200" s="0" t="str">
        <f aca="false">IF(E200&lt;Model!$B$5*H200,"Expedite","Standard")</f>
        <v>Expedite</v>
      </c>
      <c r="J200" s="29" t="n">
        <f aca="false">H200</f>
        <v>11411.1754715026</v>
      </c>
      <c r="K200" s="29" t="n">
        <f aca="false">E200+(1-Model!$B$5)*H200</f>
        <v>1044.13</v>
      </c>
      <c r="L200" s="29" t="n">
        <f aca="false">IF(I200="Expedite",K200,J200)</f>
        <v>1044.13</v>
      </c>
      <c r="M200" s="29" t="n">
        <f aca="false">J200-L200</f>
        <v>10367.0454715026</v>
      </c>
      <c r="N200" s="29" t="n">
        <f aca="false">IFERROR(E200/(F200*C200*Model!$B$5),"")</f>
        <v>114.334640174296</v>
      </c>
    </row>
    <row r="201" customFormat="false" ht="15" hidden="false" customHeight="false" outlineLevel="0" collapsed="false">
      <c r="A201" s="0" t="str">
        <f aca="false">Clean!A201</f>
        <v>SHP0200</v>
      </c>
      <c r="B201" s="0" t="str">
        <f aca="false">Clean!AA201</f>
        <v>Delhivery</v>
      </c>
      <c r="C201" s="28" t="n">
        <f aca="false">Clean!J201</f>
        <v>15.41</v>
      </c>
      <c r="D201" s="29" t="n">
        <f aca="false">Clean!AF201</f>
        <v>1280.4</v>
      </c>
      <c r="E201" s="29" t="n">
        <f aca="false">Clean!AE201</f>
        <v>3573.46</v>
      </c>
      <c r="F201" s="22" t="n">
        <f aca="false">AVERAGEIFS(Clean!$V$2:$V$1001,Clean!$AA$2:$AA$1001,B201)</f>
        <v>0.72538860103627</v>
      </c>
      <c r="G201" s="29" t="n">
        <f aca="false">F201*C201*D201</f>
        <v>14312.616373057</v>
      </c>
      <c r="H201" s="29" t="n">
        <f aca="false">G201*Model!$B$4</f>
        <v>14312.616373057</v>
      </c>
      <c r="I201" s="0" t="str">
        <f aca="false">IF(E201&lt;Model!$B$5*H201,"Expedite","Standard")</f>
        <v>Expedite</v>
      </c>
      <c r="J201" s="29" t="n">
        <f aca="false">H201</f>
        <v>14312.616373057</v>
      </c>
      <c r="K201" s="29" t="n">
        <f aca="false">E201+(1-Model!$B$5)*H201</f>
        <v>3573.46</v>
      </c>
      <c r="L201" s="29" t="n">
        <f aca="false">IF(I201="Expedite",K201,J201)</f>
        <v>3573.46</v>
      </c>
      <c r="M201" s="29" t="n">
        <f aca="false">J201-L201</f>
        <v>10739.156373057</v>
      </c>
      <c r="N201" s="29" t="n">
        <f aca="false">IFERROR(E201/(F201*C201*Model!$B$5),"")</f>
        <v>319.680068601094</v>
      </c>
    </row>
    <row r="202" customFormat="false" ht="15" hidden="false" customHeight="false" outlineLevel="0" collapsed="false">
      <c r="A202" s="0" t="str">
        <f aca="false">Clean!A202</f>
        <v>SHP0201</v>
      </c>
      <c r="B202" s="0" t="str">
        <f aca="false">Clean!AA202</f>
        <v>TCI Express</v>
      </c>
      <c r="C202" s="28" t="n">
        <f aca="false">Clean!J202</f>
        <v>5.13</v>
      </c>
      <c r="D202" s="29" t="n">
        <f aca="false">Clean!AF202</f>
        <v>564.85</v>
      </c>
      <c r="E202" s="29" t="n">
        <f aca="false">Clean!AE202</f>
        <v>3569.3</v>
      </c>
      <c r="F202" s="22" t="n">
        <f aca="false">AVERAGEIFS(Clean!$V$2:$V$1001,Clean!$AA$2:$AA$1001,B202)</f>
        <v>0.752336448598131</v>
      </c>
      <c r="G202" s="29" t="n">
        <f aca="false">F202*C202*D202</f>
        <v>2180.03065654206</v>
      </c>
      <c r="H202" s="29" t="n">
        <f aca="false">G202*Model!$B$4</f>
        <v>2180.03065654206</v>
      </c>
      <c r="I202" s="0" t="str">
        <f aca="false">IF(E202&lt;Model!$B$5*H202,"Expedite","Standard")</f>
        <v>Standard</v>
      </c>
      <c r="J202" s="29" t="n">
        <f aca="false">H202</f>
        <v>2180.03065654206</v>
      </c>
      <c r="K202" s="29" t="n">
        <f aca="false">E202+(1-Model!$B$5)*H202</f>
        <v>3569.3</v>
      </c>
      <c r="L202" s="29" t="n">
        <f aca="false">IF(I202="Expedite",K202,J202)</f>
        <v>2180.03065654206</v>
      </c>
      <c r="M202" s="29" t="n">
        <f aca="false">J202-L202</f>
        <v>0</v>
      </c>
      <c r="N202" s="29" t="n">
        <f aca="false">IFERROR(E202/(F202*C202*Model!$B$5),"")</f>
        <v>924.81227222646</v>
      </c>
    </row>
    <row r="203" customFormat="false" ht="15" hidden="false" customHeight="false" outlineLevel="0" collapsed="false">
      <c r="A203" s="0" t="str">
        <f aca="false">Clean!A203</f>
        <v>SHP0202</v>
      </c>
      <c r="B203" s="0" t="str">
        <f aca="false">Clean!AA203</f>
        <v>Delhivery</v>
      </c>
      <c r="C203" s="28" t="n">
        <f aca="false">Clean!J203</f>
        <v>12.02</v>
      </c>
      <c r="D203" s="29" t="n">
        <f aca="false">Clean!AF203</f>
        <v>998.26</v>
      </c>
      <c r="E203" s="29" t="n">
        <f aca="false">Clean!AE203</f>
        <v>4300.2</v>
      </c>
      <c r="F203" s="22" t="n">
        <f aca="false">AVERAGEIFS(Clean!$V$2:$V$1001,Clean!$AA$2:$AA$1001,B203)</f>
        <v>0.72538860103627</v>
      </c>
      <c r="G203" s="29" t="n">
        <f aca="false">F203*C203*D203</f>
        <v>8703.99962694301</v>
      </c>
      <c r="H203" s="29" t="n">
        <f aca="false">G203*Model!$B$4</f>
        <v>8703.99962694301</v>
      </c>
      <c r="I203" s="0" t="str">
        <f aca="false">IF(E203&lt;Model!$B$5*H203,"Expedite","Standard")</f>
        <v>Expedite</v>
      </c>
      <c r="J203" s="29" t="n">
        <f aca="false">H203</f>
        <v>8703.99962694301</v>
      </c>
      <c r="K203" s="29" t="n">
        <f aca="false">E203+(1-Model!$B$5)*H203</f>
        <v>4300.2</v>
      </c>
      <c r="L203" s="29" t="n">
        <f aca="false">IF(I203="Expedite",K203,J203)</f>
        <v>4300.2</v>
      </c>
      <c r="M203" s="29" t="n">
        <f aca="false">J203-L203</f>
        <v>4403.79962694301</v>
      </c>
      <c r="N203" s="29" t="n">
        <f aca="false">IFERROR(E203/(F203*C203*Model!$B$5),"")</f>
        <v>493.189089612551</v>
      </c>
    </row>
    <row r="204" customFormat="false" ht="15" hidden="false" customHeight="false" outlineLevel="0" collapsed="false">
      <c r="A204" s="0" t="str">
        <f aca="false">Clean!A204</f>
        <v>SHP0203</v>
      </c>
      <c r="B204" s="0" t="str">
        <f aca="false">Clean!AA204</f>
        <v>Delhivery</v>
      </c>
      <c r="C204" s="28" t="n">
        <f aca="false">Clean!J204</f>
        <v>2.46</v>
      </c>
      <c r="D204" s="29" t="n">
        <f aca="false">Clean!AF204</f>
        <v>934.02</v>
      </c>
      <c r="E204" s="29" t="n">
        <f aca="false">Clean!AE204</f>
        <v>2312.77</v>
      </c>
      <c r="F204" s="22" t="n">
        <f aca="false">AVERAGEIFS(Clean!$V$2:$V$1001,Clean!$AA$2:$AA$1001,B204)</f>
        <v>0.72538860103627</v>
      </c>
      <c r="G204" s="29" t="n">
        <f aca="false">F204*C204*D204</f>
        <v>1666.71755440415</v>
      </c>
      <c r="H204" s="29" t="n">
        <f aca="false">G204*Model!$B$4</f>
        <v>1666.71755440415</v>
      </c>
      <c r="I204" s="0" t="str">
        <f aca="false">IF(E204&lt;Model!$B$5*H204,"Expedite","Standard")</f>
        <v>Standard</v>
      </c>
      <c r="J204" s="29" t="n">
        <f aca="false">H204</f>
        <v>1666.71755440415</v>
      </c>
      <c r="K204" s="29" t="n">
        <f aca="false">E204+(1-Model!$B$5)*H204</f>
        <v>2312.77</v>
      </c>
      <c r="L204" s="29" t="n">
        <f aca="false">IF(I204="Expedite",K204,J204)</f>
        <v>1666.71755440415</v>
      </c>
      <c r="M204" s="29" t="n">
        <f aca="false">J204-L204</f>
        <v>0</v>
      </c>
      <c r="N204" s="29" t="n">
        <f aca="false">IFERROR(E204/(F204*C204*Model!$B$5),"")</f>
        <v>1296.06448896632</v>
      </c>
    </row>
    <row r="205" customFormat="false" ht="15" hidden="false" customHeight="false" outlineLevel="0" collapsed="false">
      <c r="A205" s="0" t="str">
        <f aca="false">Clean!A205</f>
        <v>SHP0204</v>
      </c>
      <c r="B205" s="0" t="str">
        <f aca="false">Clean!AA205</f>
        <v>TCI Express</v>
      </c>
      <c r="C205" s="28" t="n">
        <f aca="false">Clean!J205</f>
        <v>2.68</v>
      </c>
      <c r="D205" s="29" t="n">
        <f aca="false">Clean!AF205</f>
        <v>921.25</v>
      </c>
      <c r="E205" s="29" t="n">
        <f aca="false">Clean!AE205</f>
        <v>3570.26</v>
      </c>
      <c r="F205" s="22" t="n">
        <f aca="false">AVERAGEIFS(Clean!$V$2:$V$1001,Clean!$AA$2:$AA$1001,B205)</f>
        <v>0.752336448598131</v>
      </c>
      <c r="G205" s="29" t="n">
        <f aca="false">F205*C205*D205</f>
        <v>1857.48107476636</v>
      </c>
      <c r="H205" s="29" t="n">
        <f aca="false">G205*Model!$B$4</f>
        <v>1857.48107476636</v>
      </c>
      <c r="I205" s="0" t="str">
        <f aca="false">IF(E205&lt;Model!$B$5*H205,"Expedite","Standard")</f>
        <v>Standard</v>
      </c>
      <c r="J205" s="29" t="n">
        <f aca="false">H205</f>
        <v>1857.48107476636</v>
      </c>
      <c r="K205" s="29" t="n">
        <f aca="false">E205+(1-Model!$B$5)*H205</f>
        <v>3570.26</v>
      </c>
      <c r="L205" s="29" t="n">
        <f aca="false">IF(I205="Expedite",K205,J205)</f>
        <v>1857.48107476636</v>
      </c>
      <c r="M205" s="29" t="n">
        <f aca="false">J205-L205</f>
        <v>0</v>
      </c>
      <c r="N205" s="29" t="n">
        <f aca="false">IFERROR(E205/(F205*C205*Model!$B$5),"")</f>
        <v>1770.73245573375</v>
      </c>
    </row>
    <row r="206" customFormat="false" ht="15" hidden="false" customHeight="false" outlineLevel="0" collapsed="false">
      <c r="A206" s="0" t="str">
        <f aca="false">Clean!A206</f>
        <v>SHP0205</v>
      </c>
      <c r="B206" s="0" t="str">
        <f aca="false">Clean!AA206</f>
        <v>TCI Express</v>
      </c>
      <c r="C206" s="28" t="n">
        <f aca="false">Clean!J206</f>
        <v>13.09</v>
      </c>
      <c r="D206" s="29" t="n">
        <f aca="false">Clean!AF206</f>
        <v>526.2</v>
      </c>
      <c r="E206" s="29" t="n">
        <f aca="false">Clean!AE206</f>
        <v>2338.05</v>
      </c>
      <c r="F206" s="22" t="n">
        <f aca="false">AVERAGEIFS(Clean!$V$2:$V$1001,Clean!$AA$2:$AA$1001,B206)</f>
        <v>0.752336448598131</v>
      </c>
      <c r="G206" s="29" t="n">
        <f aca="false">F206*C206*D206</f>
        <v>5182.06185981308</v>
      </c>
      <c r="H206" s="29" t="n">
        <f aca="false">G206*Model!$B$4</f>
        <v>5182.06185981308</v>
      </c>
      <c r="I206" s="0" t="str">
        <f aca="false">IF(E206&lt;Model!$B$5*H206,"Expedite","Standard")</f>
        <v>Expedite</v>
      </c>
      <c r="J206" s="29" t="n">
        <f aca="false">H206</f>
        <v>5182.06185981308</v>
      </c>
      <c r="K206" s="29" t="n">
        <f aca="false">E206+(1-Model!$B$5)*H206</f>
        <v>2338.05</v>
      </c>
      <c r="L206" s="29" t="n">
        <f aca="false">IF(I206="Expedite",K206,J206)</f>
        <v>2338.05</v>
      </c>
      <c r="M206" s="29" t="n">
        <f aca="false">J206-L206</f>
        <v>2844.01185981308</v>
      </c>
      <c r="N206" s="29" t="n">
        <f aca="false">IFERROR(E206/(F206*C206*Model!$B$5),"")</f>
        <v>237.4116603163</v>
      </c>
    </row>
    <row r="207" customFormat="false" ht="15" hidden="false" customHeight="false" outlineLevel="0" collapsed="false">
      <c r="A207" s="0" t="str">
        <f aca="false">Clean!A207</f>
        <v>SHP0206</v>
      </c>
      <c r="B207" s="0" t="str">
        <f aca="false">Clean!AA207</f>
        <v>VRL Cargo</v>
      </c>
      <c r="C207" s="28" t="n">
        <f aca="false">Clean!J207</f>
        <v>1.46</v>
      </c>
      <c r="D207" s="29" t="n">
        <f aca="false">Clean!AF207</f>
        <v>929.66</v>
      </c>
      <c r="E207" s="29" t="n">
        <f aca="false">Clean!AE207</f>
        <v>2037.19</v>
      </c>
      <c r="F207" s="22" t="n">
        <f aca="false">AVERAGEIFS(Clean!$V$2:$V$1001,Clean!$AA$2:$AA$1001,B207)</f>
        <v>0.72020725388601</v>
      </c>
      <c r="G207" s="29" t="n">
        <f aca="false">F207*C207*D207</f>
        <v>977.539898445596</v>
      </c>
      <c r="H207" s="29" t="n">
        <f aca="false">G207*Model!$B$4</f>
        <v>977.539898445596</v>
      </c>
      <c r="I207" s="0" t="str">
        <f aca="false">IF(E207&lt;Model!$B$5*H207,"Expedite","Standard")</f>
        <v>Standard</v>
      </c>
      <c r="J207" s="29" t="n">
        <f aca="false">H207</f>
        <v>977.539898445596</v>
      </c>
      <c r="K207" s="29" t="n">
        <f aca="false">E207+(1-Model!$B$5)*H207</f>
        <v>2037.19</v>
      </c>
      <c r="L207" s="29" t="n">
        <f aca="false">IF(I207="Expedite",K207,J207)</f>
        <v>977.539898445596</v>
      </c>
      <c r="M207" s="29" t="n">
        <f aca="false">J207-L207</f>
        <v>0</v>
      </c>
      <c r="N207" s="29" t="n">
        <f aca="false">IFERROR(E207/(F207*C207*Model!$B$5),"")</f>
        <v>1937.40844584606</v>
      </c>
    </row>
    <row r="208" customFormat="false" ht="15" hidden="false" customHeight="false" outlineLevel="0" collapsed="false">
      <c r="A208" s="0" t="str">
        <f aca="false">Clean!A208</f>
        <v>SHP0207</v>
      </c>
      <c r="B208" s="0" t="str">
        <f aca="false">Clean!AA208</f>
        <v>BlueDart</v>
      </c>
      <c r="C208" s="28" t="n">
        <f aca="false">Clean!J208</f>
        <v>17.58</v>
      </c>
      <c r="D208" s="29" t="n">
        <f aca="false">Clean!AF208</f>
        <v>996.46</v>
      </c>
      <c r="E208" s="29" t="n">
        <f aca="false">Clean!AE208</f>
        <v>3911.76</v>
      </c>
      <c r="F208" s="22" t="n">
        <f aca="false">AVERAGEIFS(Clean!$V$2:$V$1001,Clean!$AA$2:$AA$1001,B208)</f>
        <v>0.773869346733668</v>
      </c>
      <c r="G208" s="29" t="n">
        <f aca="false">F208*C208*D208</f>
        <v>13556.4627497487</v>
      </c>
      <c r="H208" s="29" t="n">
        <f aca="false">G208*Model!$B$4</f>
        <v>13556.4627497487</v>
      </c>
      <c r="I208" s="0" t="str">
        <f aca="false">IF(E208&lt;Model!$B$5*H208,"Expedite","Standard")</f>
        <v>Expedite</v>
      </c>
      <c r="J208" s="29" t="n">
        <f aca="false">H208</f>
        <v>13556.4627497487</v>
      </c>
      <c r="K208" s="29" t="n">
        <f aca="false">E208+(1-Model!$B$5)*H208</f>
        <v>3911.76</v>
      </c>
      <c r="L208" s="29" t="n">
        <f aca="false">IF(I208="Expedite",K208,J208)</f>
        <v>3911.76</v>
      </c>
      <c r="M208" s="29" t="n">
        <f aca="false">J208-L208</f>
        <v>9644.70274974874</v>
      </c>
      <c r="N208" s="29" t="n">
        <f aca="false">IFERROR(E208/(F208*C208*Model!$B$5),"")</f>
        <v>287.531669695492</v>
      </c>
    </row>
    <row r="209" customFormat="false" ht="15" hidden="false" customHeight="false" outlineLevel="0" collapsed="false">
      <c r="A209" s="0" t="str">
        <f aca="false">Clean!A209</f>
        <v>SHP0208</v>
      </c>
      <c r="B209" s="0" t="str">
        <f aca="false">Clean!AA209</f>
        <v>Delhivery</v>
      </c>
      <c r="C209" s="28" t="n">
        <f aca="false">Clean!J209</f>
        <v>9.3</v>
      </c>
      <c r="D209" s="29" t="n">
        <f aca="false">Clean!AF209</f>
        <v>1456.61</v>
      </c>
      <c r="E209" s="29" t="n">
        <f aca="false">Clean!AE209</f>
        <v>3627.82</v>
      </c>
      <c r="F209" s="22" t="n">
        <f aca="false">AVERAGEIFS(Clean!$V$2:$V$1001,Clean!$AA$2:$AA$1001,B209)</f>
        <v>0.72538860103627</v>
      </c>
      <c r="G209" s="29" t="n">
        <f aca="false">F209*C209*D209</f>
        <v>9826.4570984456</v>
      </c>
      <c r="H209" s="29" t="n">
        <f aca="false">G209*Model!$B$4</f>
        <v>9826.4570984456</v>
      </c>
      <c r="I209" s="0" t="str">
        <f aca="false">IF(E209&lt;Model!$B$5*H209,"Expedite","Standard")</f>
        <v>Expedite</v>
      </c>
      <c r="J209" s="29" t="n">
        <f aca="false">H209</f>
        <v>9826.4570984456</v>
      </c>
      <c r="K209" s="29" t="n">
        <f aca="false">E209+(1-Model!$B$5)*H209</f>
        <v>3627.82</v>
      </c>
      <c r="L209" s="29" t="n">
        <f aca="false">IF(I209="Expedite",K209,J209)</f>
        <v>3627.82</v>
      </c>
      <c r="M209" s="29" t="n">
        <f aca="false">J209-L209</f>
        <v>6198.6370984456</v>
      </c>
      <c r="N209" s="29" t="n">
        <f aca="false">IFERROR(E209/(F209*C209*Model!$B$5),"")</f>
        <v>537.764408602151</v>
      </c>
    </row>
    <row r="210" customFormat="false" ht="15" hidden="false" customHeight="false" outlineLevel="0" collapsed="false">
      <c r="A210" s="0" t="str">
        <f aca="false">Clean!A210</f>
        <v>SHP0209</v>
      </c>
      <c r="B210" s="0" t="str">
        <f aca="false">Clean!AA210</f>
        <v>Delhivery</v>
      </c>
      <c r="C210" s="28" t="n">
        <f aca="false">Clean!J210</f>
        <v>2.31</v>
      </c>
      <c r="D210" s="29" t="n">
        <f aca="false">Clean!AF210</f>
        <v>949.74</v>
      </c>
      <c r="E210" s="29" t="n">
        <f aca="false">Clean!AE210</f>
        <v>4037.59</v>
      </c>
      <c r="F210" s="22" t="n">
        <f aca="false">AVERAGEIFS(Clean!$V$2:$V$1001,Clean!$AA$2:$AA$1001,B210)</f>
        <v>0.72538860103627</v>
      </c>
      <c r="G210" s="29" t="n">
        <f aca="false">F210*C210*D210</f>
        <v>1591.42961658031</v>
      </c>
      <c r="H210" s="29" t="n">
        <f aca="false">G210*Model!$B$4</f>
        <v>1591.42961658031</v>
      </c>
      <c r="I210" s="0" t="str">
        <f aca="false">IF(E210&lt;Model!$B$5*H210,"Expedite","Standard")</f>
        <v>Standard</v>
      </c>
      <c r="J210" s="29" t="n">
        <f aca="false">H210</f>
        <v>1591.42961658031</v>
      </c>
      <c r="K210" s="29" t="n">
        <f aca="false">E210+(1-Model!$B$5)*H210</f>
        <v>4037.59</v>
      </c>
      <c r="L210" s="29" t="n">
        <f aca="false">IF(I210="Expedite",K210,J210)</f>
        <v>1591.42961658031</v>
      </c>
      <c r="M210" s="29" t="n">
        <f aca="false">J210-L210</f>
        <v>0</v>
      </c>
      <c r="N210" s="29" t="n">
        <f aca="false">IFERROR(E210/(F210*C210*Model!$B$5),"")</f>
        <v>2409.56978973408</v>
      </c>
    </row>
    <row r="211" customFormat="false" ht="15" hidden="false" customHeight="false" outlineLevel="0" collapsed="false">
      <c r="A211" s="0" t="str">
        <f aca="false">Clean!A211</f>
        <v>SHP0210</v>
      </c>
      <c r="B211" s="0" t="str">
        <f aca="false">Clean!AA211</f>
        <v>BlueDart</v>
      </c>
      <c r="C211" s="28" t="n">
        <f aca="false">Clean!J211</f>
        <v>15.76</v>
      </c>
      <c r="D211" s="29" t="n">
        <f aca="false">Clean!AF211</f>
        <v>815.19</v>
      </c>
      <c r="E211" s="29" t="n">
        <f aca="false">Clean!AE211</f>
        <v>2383.68</v>
      </c>
      <c r="F211" s="22" t="n">
        <f aca="false">AVERAGEIFS(Clean!$V$2:$V$1001,Clean!$AA$2:$AA$1001,B211)</f>
        <v>0.773869346733668</v>
      </c>
      <c r="G211" s="29" t="n">
        <f aca="false">F211*C211*D211</f>
        <v>9942.20471155779</v>
      </c>
      <c r="H211" s="29" t="n">
        <f aca="false">G211*Model!$B$4</f>
        <v>9942.20471155779</v>
      </c>
      <c r="I211" s="0" t="str">
        <f aca="false">IF(E211&lt;Model!$B$5*H211,"Expedite","Standard")</f>
        <v>Expedite</v>
      </c>
      <c r="J211" s="29" t="n">
        <f aca="false">H211</f>
        <v>9942.20471155779</v>
      </c>
      <c r="K211" s="29" t="n">
        <f aca="false">E211+(1-Model!$B$5)*H211</f>
        <v>2383.68</v>
      </c>
      <c r="L211" s="29" t="n">
        <f aca="false">IF(I211="Expedite",K211,J211)</f>
        <v>2383.68</v>
      </c>
      <c r="M211" s="29" t="n">
        <f aca="false">J211-L211</f>
        <v>7558.52471155779</v>
      </c>
      <c r="N211" s="29" t="n">
        <f aca="false">IFERROR(E211/(F211*C211*Model!$B$5),"")</f>
        <v>195.444788713824</v>
      </c>
    </row>
    <row r="212" customFormat="false" ht="15" hidden="false" customHeight="false" outlineLevel="0" collapsed="false">
      <c r="A212" s="0" t="str">
        <f aca="false">Clean!A212</f>
        <v>SHP0211</v>
      </c>
      <c r="B212" s="0" t="str">
        <f aca="false">Clean!AA212</f>
        <v>TCI Express</v>
      </c>
      <c r="C212" s="28" t="n">
        <f aca="false">Clean!J212</f>
        <v>15.67</v>
      </c>
      <c r="D212" s="29" t="n">
        <f aca="false">Clean!AF212</f>
        <v>1124.43</v>
      </c>
      <c r="E212" s="29" t="n">
        <f aca="false">Clean!AE212</f>
        <v>4150.85</v>
      </c>
      <c r="F212" s="22" t="n">
        <f aca="false">AVERAGEIFS(Clean!$V$2:$V$1001,Clean!$AA$2:$AA$1001,B212)</f>
        <v>0.752336448598131</v>
      </c>
      <c r="G212" s="29" t="n">
        <f aca="false">F212*C212*D212</f>
        <v>13256.0313742991</v>
      </c>
      <c r="H212" s="29" t="n">
        <f aca="false">G212*Model!$B$4</f>
        <v>13256.0313742991</v>
      </c>
      <c r="I212" s="0" t="str">
        <f aca="false">IF(E212&lt;Model!$B$5*H212,"Expedite","Standard")</f>
        <v>Expedite</v>
      </c>
      <c r="J212" s="29" t="n">
        <f aca="false">H212</f>
        <v>13256.0313742991</v>
      </c>
      <c r="K212" s="29" t="n">
        <f aca="false">E212+(1-Model!$B$5)*H212</f>
        <v>4150.85</v>
      </c>
      <c r="L212" s="29" t="n">
        <f aca="false">IF(I212="Expedite",K212,J212)</f>
        <v>4150.85</v>
      </c>
      <c r="M212" s="29" t="n">
        <f aca="false">J212-L212</f>
        <v>9105.18137429907</v>
      </c>
      <c r="N212" s="29" t="n">
        <f aca="false">IFERROR(E212/(F212*C212*Model!$B$5),"")</f>
        <v>352.091823994102</v>
      </c>
    </row>
    <row r="213" customFormat="false" ht="15" hidden="false" customHeight="false" outlineLevel="0" collapsed="false">
      <c r="A213" s="0" t="str">
        <f aca="false">Clean!A213</f>
        <v>SHP0212</v>
      </c>
      <c r="B213" s="0" t="str">
        <f aca="false">Clean!AA213</f>
        <v>TCI Express</v>
      </c>
      <c r="C213" s="28" t="n">
        <f aca="false">Clean!J213</f>
        <v>10.4</v>
      </c>
      <c r="D213" s="29" t="n">
        <f aca="false">Clean!AF213</f>
        <v>1108.53</v>
      </c>
      <c r="E213" s="29" t="n">
        <f aca="false">Clean!AE213</f>
        <v>4888.02</v>
      </c>
      <c r="F213" s="22" t="n">
        <f aca="false">AVERAGEIFS(Clean!$V$2:$V$1001,Clean!$AA$2:$AA$1001,B213)</f>
        <v>0.752336448598131</v>
      </c>
      <c r="G213" s="29" t="n">
        <f aca="false">F213*C213*D213</f>
        <v>8673.47024299065</v>
      </c>
      <c r="H213" s="29" t="n">
        <f aca="false">G213*Model!$B$4</f>
        <v>8673.47024299065</v>
      </c>
      <c r="I213" s="0" t="str">
        <f aca="false">IF(E213&lt;Model!$B$5*H213,"Expedite","Standard")</f>
        <v>Expedite</v>
      </c>
      <c r="J213" s="29" t="n">
        <f aca="false">H213</f>
        <v>8673.47024299065</v>
      </c>
      <c r="K213" s="29" t="n">
        <f aca="false">E213+(1-Model!$B$5)*H213</f>
        <v>4888.02</v>
      </c>
      <c r="L213" s="29" t="n">
        <f aca="false">IF(I213="Expedite",K213,J213)</f>
        <v>4888.02</v>
      </c>
      <c r="M213" s="29" t="n">
        <f aca="false">J213-L213</f>
        <v>3785.45024299065</v>
      </c>
      <c r="N213" s="29" t="n">
        <f aca="false">IFERROR(E213/(F213*C213*Model!$B$5),"")</f>
        <v>624.723053033923</v>
      </c>
    </row>
    <row r="214" customFormat="false" ht="15" hidden="false" customHeight="false" outlineLevel="0" collapsed="false">
      <c r="A214" s="0" t="str">
        <f aca="false">Clean!A214</f>
        <v>SHP0213</v>
      </c>
      <c r="B214" s="0" t="str">
        <f aca="false">Clean!AA214</f>
        <v>GATI Logistics</v>
      </c>
      <c r="C214" s="28" t="n">
        <f aca="false">Clean!J214</f>
        <v>7.64</v>
      </c>
      <c r="D214" s="29" t="n">
        <f aca="false">Clean!AF214</f>
        <v>1360.14</v>
      </c>
      <c r="E214" s="29" t="n">
        <f aca="false">Clean!AE214</f>
        <v>1459.08</v>
      </c>
      <c r="F214" s="22" t="n">
        <f aca="false">AVERAGEIFS(Clean!$V$2:$V$1001,Clean!$AA$2:$AA$1001,B214)</f>
        <v>0.751243781094527</v>
      </c>
      <c r="G214" s="29" t="n">
        <f aca="false">F214*C214*D214</f>
        <v>7806.52691343284</v>
      </c>
      <c r="H214" s="29" t="n">
        <f aca="false">G214*Model!$B$4</f>
        <v>7806.52691343284</v>
      </c>
      <c r="I214" s="0" t="str">
        <f aca="false">IF(E214&lt;Model!$B$5*H214,"Expedite","Standard")</f>
        <v>Expedite</v>
      </c>
      <c r="J214" s="29" t="n">
        <f aca="false">H214</f>
        <v>7806.52691343284</v>
      </c>
      <c r="K214" s="29" t="n">
        <f aca="false">E214+(1-Model!$B$5)*H214</f>
        <v>1459.08</v>
      </c>
      <c r="L214" s="29" t="n">
        <f aca="false">IF(I214="Expedite",K214,J214)</f>
        <v>1459.08</v>
      </c>
      <c r="M214" s="29" t="n">
        <f aca="false">J214-L214</f>
        <v>6347.44691343284</v>
      </c>
      <c r="N214" s="29" t="n">
        <f aca="false">IFERROR(E214/(F214*C214*Model!$B$5),"")</f>
        <v>254.217156131896</v>
      </c>
    </row>
    <row r="215" customFormat="false" ht="15" hidden="false" customHeight="false" outlineLevel="0" collapsed="false">
      <c r="A215" s="0" t="str">
        <f aca="false">Clean!A215</f>
        <v>SHP0214</v>
      </c>
      <c r="B215" s="0" t="str">
        <f aca="false">Clean!AA215</f>
        <v>Delhivery</v>
      </c>
      <c r="C215" s="28" t="n">
        <f aca="false">Clean!J215</f>
        <v>14.73</v>
      </c>
      <c r="D215" s="29" t="n">
        <f aca="false">Clean!AF215</f>
        <v>665.77</v>
      </c>
      <c r="E215" s="29" t="n">
        <f aca="false">Clean!AE215</f>
        <v>2938.79</v>
      </c>
      <c r="F215" s="22" t="n">
        <f aca="false">AVERAGEIFS(Clean!$V$2:$V$1001,Clean!$AA$2:$AA$1001,B215)</f>
        <v>0.72538860103627</v>
      </c>
      <c r="G215" s="29" t="n">
        <f aca="false">F215*C215*D215</f>
        <v>7113.73520207254</v>
      </c>
      <c r="H215" s="29" t="n">
        <f aca="false">G215*Model!$B$4</f>
        <v>7113.73520207254</v>
      </c>
      <c r="I215" s="0" t="str">
        <f aca="false">IF(E215&lt;Model!$B$5*H215,"Expedite","Standard")</f>
        <v>Expedite</v>
      </c>
      <c r="J215" s="29" t="n">
        <f aca="false">H215</f>
        <v>7113.73520207254</v>
      </c>
      <c r="K215" s="29" t="n">
        <f aca="false">E215+(1-Model!$B$5)*H215</f>
        <v>2938.79</v>
      </c>
      <c r="L215" s="29" t="n">
        <f aca="false">IF(I215="Expedite",K215,J215)</f>
        <v>2938.79</v>
      </c>
      <c r="M215" s="29" t="n">
        <f aca="false">J215-L215</f>
        <v>4174.94520207254</v>
      </c>
      <c r="N215" s="29" t="n">
        <f aca="false">IFERROR(E215/(F215*C215*Model!$B$5),"")</f>
        <v>275.039506352439</v>
      </c>
    </row>
    <row r="216" customFormat="false" ht="15" hidden="false" customHeight="false" outlineLevel="0" collapsed="false">
      <c r="A216" s="0" t="str">
        <f aca="false">Clean!A216</f>
        <v>SHP0215</v>
      </c>
      <c r="B216" s="0" t="str">
        <f aca="false">Clean!AA216</f>
        <v>GATI Logistics</v>
      </c>
      <c r="C216" s="28" t="n">
        <f aca="false">Clean!J216</f>
        <v>18.97</v>
      </c>
      <c r="D216" s="29" t="n">
        <f aca="false">Clean!AF216</f>
        <v>1306.4</v>
      </c>
      <c r="E216" s="29" t="n">
        <f aca="false">Clean!AE216</f>
        <v>3050.01</v>
      </c>
      <c r="F216" s="22" t="n">
        <f aca="false">AVERAGEIFS(Clean!$V$2:$V$1001,Clean!$AA$2:$AA$1001,B216)</f>
        <v>0.751243781094527</v>
      </c>
      <c r="G216" s="29" t="n">
        <f aca="false">F216*C216*D216</f>
        <v>18617.6298905473</v>
      </c>
      <c r="H216" s="29" t="n">
        <f aca="false">G216*Model!$B$4</f>
        <v>18617.6298905473</v>
      </c>
      <c r="I216" s="0" t="str">
        <f aca="false">IF(E216&lt;Model!$B$5*H216,"Expedite","Standard")</f>
        <v>Expedite</v>
      </c>
      <c r="J216" s="29" t="n">
        <f aca="false">H216</f>
        <v>18617.6298905473</v>
      </c>
      <c r="K216" s="29" t="n">
        <f aca="false">E216+(1-Model!$B$5)*H216</f>
        <v>3050.01</v>
      </c>
      <c r="L216" s="29" t="n">
        <f aca="false">IF(I216="Expedite",K216,J216)</f>
        <v>3050.01</v>
      </c>
      <c r="M216" s="29" t="n">
        <f aca="false">J216-L216</f>
        <v>15567.6198905473</v>
      </c>
      <c r="N216" s="29" t="n">
        <f aca="false">IFERROR(E216/(F216*C216*Model!$B$5),"")</f>
        <v>214.019350874682</v>
      </c>
    </row>
    <row r="217" customFormat="false" ht="15" hidden="false" customHeight="false" outlineLevel="0" collapsed="false">
      <c r="A217" s="0" t="str">
        <f aca="false">Clean!A217</f>
        <v>SHP0216</v>
      </c>
      <c r="B217" s="0" t="str">
        <f aca="false">Clean!AA217</f>
        <v>Delhivery</v>
      </c>
      <c r="C217" s="28" t="n">
        <f aca="false">Clean!J217</f>
        <v>9.73</v>
      </c>
      <c r="D217" s="29" t="n">
        <f aca="false">Clean!AF217</f>
        <v>517.95</v>
      </c>
      <c r="E217" s="29" t="n">
        <f aca="false">Clean!AE217</f>
        <v>4016.43</v>
      </c>
      <c r="F217" s="22" t="n">
        <f aca="false">AVERAGEIFS(Clean!$V$2:$V$1001,Clean!$AA$2:$AA$1001,B217)</f>
        <v>0.72538860103627</v>
      </c>
      <c r="G217" s="29" t="n">
        <f aca="false">F217*C217*D217</f>
        <v>3655.70720207254</v>
      </c>
      <c r="H217" s="29" t="n">
        <f aca="false">G217*Model!$B$4</f>
        <v>3655.70720207254</v>
      </c>
      <c r="I217" s="0" t="str">
        <f aca="false">IF(E217&lt;Model!$B$5*H217,"Expedite","Standard")</f>
        <v>Standard</v>
      </c>
      <c r="J217" s="29" t="n">
        <f aca="false">H217</f>
        <v>3655.70720207254</v>
      </c>
      <c r="K217" s="29" t="n">
        <f aca="false">E217+(1-Model!$B$5)*H217</f>
        <v>4016.43</v>
      </c>
      <c r="L217" s="29" t="n">
        <f aca="false">IF(I217="Expedite",K217,J217)</f>
        <v>3655.70720207254</v>
      </c>
      <c r="M217" s="29" t="n">
        <f aca="false">J217-L217</f>
        <v>0</v>
      </c>
      <c r="N217" s="29" t="n">
        <f aca="false">IFERROR(E217/(F217*C217*Model!$B$5),"")</f>
        <v>569.058133901042</v>
      </c>
    </row>
    <row r="218" customFormat="false" ht="15" hidden="false" customHeight="false" outlineLevel="0" collapsed="false">
      <c r="A218" s="0" t="str">
        <f aca="false">Clean!A218</f>
        <v>SHP0217</v>
      </c>
      <c r="B218" s="0" t="str">
        <f aca="false">Clean!AA218</f>
        <v>BlueDart</v>
      </c>
      <c r="C218" s="28" t="n">
        <f aca="false">Clean!J218</f>
        <v>3.4</v>
      </c>
      <c r="D218" s="29" t="n">
        <f aca="false">Clean!AF218</f>
        <v>963.93</v>
      </c>
      <c r="E218" s="29" t="n">
        <f aca="false">Clean!AE218</f>
        <v>1260.82</v>
      </c>
      <c r="F218" s="22" t="n">
        <f aca="false">AVERAGEIFS(Clean!$V$2:$V$1001,Clean!$AA$2:$AA$1001,B218)</f>
        <v>0.773869346733668</v>
      </c>
      <c r="G218" s="29" t="n">
        <f aca="false">F218*C218*D218</f>
        <v>2536.24998994975</v>
      </c>
      <c r="H218" s="29" t="n">
        <f aca="false">G218*Model!$B$4</f>
        <v>2536.24998994975</v>
      </c>
      <c r="I218" s="0" t="str">
        <f aca="false">IF(E218&lt;Model!$B$5*H218,"Expedite","Standard")</f>
        <v>Expedite</v>
      </c>
      <c r="J218" s="29" t="n">
        <f aca="false">H218</f>
        <v>2536.24998994975</v>
      </c>
      <c r="K218" s="29" t="n">
        <f aca="false">E218+(1-Model!$B$5)*H218</f>
        <v>1260.82</v>
      </c>
      <c r="L218" s="29" t="n">
        <f aca="false">IF(I218="Expedite",K218,J218)</f>
        <v>1260.82</v>
      </c>
      <c r="M218" s="29" t="n">
        <f aca="false">J218-L218</f>
        <v>1275.42998994975</v>
      </c>
      <c r="N218" s="29" t="n">
        <f aca="false">IFERROR(E218/(F218*C218*Model!$B$5),"")</f>
        <v>479.188655462185</v>
      </c>
    </row>
    <row r="219" customFormat="false" ht="15" hidden="false" customHeight="false" outlineLevel="0" collapsed="false">
      <c r="A219" s="0" t="str">
        <f aca="false">Clean!A219</f>
        <v>SHP0218</v>
      </c>
      <c r="B219" s="0" t="str">
        <f aca="false">Clean!AA219</f>
        <v>Delhivery</v>
      </c>
      <c r="C219" s="28" t="n">
        <f aca="false">Clean!J219</f>
        <v>18.28</v>
      </c>
      <c r="D219" s="29" t="n">
        <f aca="false">Clean!AF219</f>
        <v>1464.48</v>
      </c>
      <c r="E219" s="29" t="n">
        <f aca="false">Clean!AE219</f>
        <v>4102.45</v>
      </c>
      <c r="F219" s="22" t="n">
        <f aca="false">AVERAGEIFS(Clean!$V$2:$V$1001,Clean!$AA$2:$AA$1001,B219)</f>
        <v>0.72538860103627</v>
      </c>
      <c r="G219" s="29" t="n">
        <f aca="false">F219*C219*D219</f>
        <v>19419.1565595855</v>
      </c>
      <c r="H219" s="29" t="n">
        <f aca="false">G219*Model!$B$4</f>
        <v>19419.1565595855</v>
      </c>
      <c r="I219" s="0" t="str">
        <f aca="false">IF(E219&lt;Model!$B$5*H219,"Expedite","Standard")</f>
        <v>Expedite</v>
      </c>
      <c r="J219" s="29" t="n">
        <f aca="false">H219</f>
        <v>19419.1565595855</v>
      </c>
      <c r="K219" s="29" t="n">
        <f aca="false">E219+(1-Model!$B$5)*H219</f>
        <v>4102.45</v>
      </c>
      <c r="L219" s="29" t="n">
        <f aca="false">IF(I219="Expedite",K219,J219)</f>
        <v>4102.45</v>
      </c>
      <c r="M219" s="29" t="n">
        <f aca="false">J219-L219</f>
        <v>15316.7065595855</v>
      </c>
      <c r="N219" s="29" t="n">
        <f aca="false">IFERROR(E219/(F219*C219*Model!$B$5),"")</f>
        <v>309.382951703657</v>
      </c>
    </row>
    <row r="220" customFormat="false" ht="15" hidden="false" customHeight="false" outlineLevel="0" collapsed="false">
      <c r="A220" s="0" t="str">
        <f aca="false">Clean!A220</f>
        <v>SHP0219</v>
      </c>
      <c r="B220" s="0" t="str">
        <f aca="false">Clean!AA220</f>
        <v>VRL Cargo</v>
      </c>
      <c r="C220" s="28" t="n">
        <f aca="false">Clean!J220</f>
        <v>4.87</v>
      </c>
      <c r="D220" s="29" t="n">
        <f aca="false">Clean!AF220</f>
        <v>1033.03</v>
      </c>
      <c r="E220" s="29" t="n">
        <f aca="false">Clean!AE220</f>
        <v>4660.36</v>
      </c>
      <c r="F220" s="22" t="n">
        <f aca="false">AVERAGEIFS(Clean!$V$2:$V$1001,Clean!$AA$2:$AA$1001,B220)</f>
        <v>0.72020725388601</v>
      </c>
      <c r="G220" s="29" t="n">
        <f aca="false">F220*C220*D220</f>
        <v>3623.25905647668</v>
      </c>
      <c r="H220" s="29" t="n">
        <f aca="false">G220*Model!$B$4</f>
        <v>3623.25905647668</v>
      </c>
      <c r="I220" s="0" t="str">
        <f aca="false">IF(E220&lt;Model!$B$5*H220,"Expedite","Standard")</f>
        <v>Standard</v>
      </c>
      <c r="J220" s="29" t="n">
        <f aca="false">H220</f>
        <v>3623.25905647668</v>
      </c>
      <c r="K220" s="29" t="n">
        <f aca="false">E220+(1-Model!$B$5)*H220</f>
        <v>4660.36</v>
      </c>
      <c r="L220" s="29" t="n">
        <f aca="false">IF(I220="Expedite",K220,J220)</f>
        <v>3623.25905647668</v>
      </c>
      <c r="M220" s="29" t="n">
        <f aca="false">J220-L220</f>
        <v>0</v>
      </c>
      <c r="N220" s="29" t="n">
        <f aca="false">IFERROR(E220/(F220*C220*Model!$B$5),"")</f>
        <v>1328.71859719616</v>
      </c>
    </row>
    <row r="221" customFormat="false" ht="15" hidden="false" customHeight="false" outlineLevel="0" collapsed="false">
      <c r="A221" s="0" t="str">
        <f aca="false">Clean!A221</f>
        <v>SHP0220</v>
      </c>
      <c r="B221" s="0" t="str">
        <f aca="false">Clean!AA221</f>
        <v>VRL Cargo</v>
      </c>
      <c r="C221" s="28" t="n">
        <f aca="false">Clean!J221</f>
        <v>4</v>
      </c>
      <c r="D221" s="29" t="n">
        <f aca="false">Clean!AF221</f>
        <v>640.71</v>
      </c>
      <c r="E221" s="29" t="n">
        <f aca="false">Clean!AE221</f>
        <v>4934.09</v>
      </c>
      <c r="F221" s="22" t="n">
        <f aca="false">AVERAGEIFS(Clean!$V$2:$V$1001,Clean!$AA$2:$AA$1001,B221)</f>
        <v>0.72020725388601</v>
      </c>
      <c r="G221" s="29" t="n">
        <f aca="false">F221*C221*D221</f>
        <v>1845.77595854922</v>
      </c>
      <c r="H221" s="29" t="n">
        <f aca="false">G221*Model!$B$4</f>
        <v>1845.77595854922</v>
      </c>
      <c r="I221" s="0" t="str">
        <f aca="false">IF(E221&lt;Model!$B$5*H221,"Expedite","Standard")</f>
        <v>Standard</v>
      </c>
      <c r="J221" s="29" t="n">
        <f aca="false">H221</f>
        <v>1845.77595854922</v>
      </c>
      <c r="K221" s="29" t="n">
        <f aca="false">E221+(1-Model!$B$5)*H221</f>
        <v>4934.09</v>
      </c>
      <c r="L221" s="29" t="n">
        <f aca="false">IF(I221="Expedite",K221,J221)</f>
        <v>1845.77595854922</v>
      </c>
      <c r="M221" s="29" t="n">
        <f aca="false">J221-L221</f>
        <v>0</v>
      </c>
      <c r="N221" s="29" t="n">
        <f aca="false">IFERROR(E221/(F221*C221*Model!$B$5),"")</f>
        <v>1712.73267985612</v>
      </c>
    </row>
    <row r="222" customFormat="false" ht="15" hidden="false" customHeight="false" outlineLevel="0" collapsed="false">
      <c r="A222" s="0" t="str">
        <f aca="false">Clean!A222</f>
        <v>SHP0221</v>
      </c>
      <c r="B222" s="0" t="str">
        <f aca="false">Clean!AA222</f>
        <v>GATI Logistics</v>
      </c>
      <c r="C222" s="28" t="n">
        <f aca="false">Clean!J222</f>
        <v>4.84</v>
      </c>
      <c r="D222" s="29" t="n">
        <f aca="false">Clean!AF222</f>
        <v>1303.6</v>
      </c>
      <c r="E222" s="29" t="n">
        <f aca="false">Clean!AE222</f>
        <v>4529.67</v>
      </c>
      <c r="F222" s="22" t="n">
        <f aca="false">AVERAGEIFS(Clean!$V$2:$V$1001,Clean!$AA$2:$AA$1001,B222)</f>
        <v>0.751243781094527</v>
      </c>
      <c r="G222" s="29" t="n">
        <f aca="false">F222*C222*D222</f>
        <v>4739.91554228856</v>
      </c>
      <c r="H222" s="29" t="n">
        <f aca="false">G222*Model!$B$4</f>
        <v>4739.91554228856</v>
      </c>
      <c r="I222" s="0" t="str">
        <f aca="false">IF(E222&lt;Model!$B$5*H222,"Expedite","Standard")</f>
        <v>Expedite</v>
      </c>
      <c r="J222" s="29" t="n">
        <f aca="false">H222</f>
        <v>4739.91554228856</v>
      </c>
      <c r="K222" s="29" t="n">
        <f aca="false">E222+(1-Model!$B$5)*H222</f>
        <v>4529.67</v>
      </c>
      <c r="L222" s="29" t="n">
        <f aca="false">IF(I222="Expedite",K222,J222)</f>
        <v>4529.67</v>
      </c>
      <c r="M222" s="29" t="n">
        <f aca="false">J222-L222</f>
        <v>210.245542288557</v>
      </c>
      <c r="N222" s="29" t="n">
        <f aca="false">IFERROR(E222/(F222*C222*Model!$B$5),"")</f>
        <v>1245.77701001587</v>
      </c>
    </row>
    <row r="223" customFormat="false" ht="15" hidden="false" customHeight="false" outlineLevel="0" collapsed="false">
      <c r="A223" s="0" t="str">
        <f aca="false">Clean!A223</f>
        <v>SHP0222</v>
      </c>
      <c r="B223" s="0" t="str">
        <f aca="false">Clean!AA223</f>
        <v>BlueDart</v>
      </c>
      <c r="C223" s="28" t="n">
        <f aca="false">Clean!J223</f>
        <v>10.6</v>
      </c>
      <c r="D223" s="29" t="n">
        <f aca="false">Clean!AF223</f>
        <v>1479.78</v>
      </c>
      <c r="E223" s="29" t="n">
        <f aca="false">Clean!AE223</f>
        <v>4988.31</v>
      </c>
      <c r="F223" s="22" t="n">
        <f aca="false">AVERAGEIFS(Clean!$V$2:$V$1001,Clean!$AA$2:$AA$1001,B223)</f>
        <v>0.773869346733668</v>
      </c>
      <c r="G223" s="29" t="n">
        <f aca="false">F223*C223*D223</f>
        <v>12138.6576482412</v>
      </c>
      <c r="H223" s="29" t="n">
        <f aca="false">G223*Model!$B$4</f>
        <v>12138.6576482412</v>
      </c>
      <c r="I223" s="0" t="str">
        <f aca="false">IF(E223&lt;Model!$B$5*H223,"Expedite","Standard")</f>
        <v>Expedite</v>
      </c>
      <c r="J223" s="29" t="n">
        <f aca="false">H223</f>
        <v>12138.6576482412</v>
      </c>
      <c r="K223" s="29" t="n">
        <f aca="false">E223+(1-Model!$B$5)*H223</f>
        <v>4988.31</v>
      </c>
      <c r="L223" s="29" t="n">
        <f aca="false">IF(I223="Expedite",K223,J223)</f>
        <v>4988.31</v>
      </c>
      <c r="M223" s="29" t="n">
        <f aca="false">J223-L223</f>
        <v>7150.34764824121</v>
      </c>
      <c r="N223" s="29" t="n">
        <f aca="false">IFERROR(E223/(F223*C223*Model!$B$5),"")</f>
        <v>608.106891693213</v>
      </c>
    </row>
    <row r="224" customFormat="false" ht="15" hidden="false" customHeight="false" outlineLevel="0" collapsed="false">
      <c r="A224" s="0" t="str">
        <f aca="false">Clean!A224</f>
        <v>SHP0223</v>
      </c>
      <c r="B224" s="0" t="str">
        <f aca="false">Clean!AA224</f>
        <v>Delhivery</v>
      </c>
      <c r="C224" s="28" t="n">
        <f aca="false">Clean!J224</f>
        <v>13.47</v>
      </c>
      <c r="D224" s="29" t="n">
        <f aca="false">Clean!AF224</f>
        <v>836.84</v>
      </c>
      <c r="E224" s="29" t="n">
        <f aca="false">Clean!AE224</f>
        <v>4893.83</v>
      </c>
      <c r="F224" s="22" t="n">
        <f aca="false">AVERAGEIFS(Clean!$V$2:$V$1001,Clean!$AA$2:$AA$1001,B224)</f>
        <v>0.72538860103627</v>
      </c>
      <c r="G224" s="29" t="n">
        <f aca="false">F224*C224*D224</f>
        <v>8176.75063212435</v>
      </c>
      <c r="H224" s="29" t="n">
        <f aca="false">G224*Model!$B$4</f>
        <v>8176.75063212435</v>
      </c>
      <c r="I224" s="0" t="str">
        <f aca="false">IF(E224&lt;Model!$B$5*H224,"Expedite","Standard")</f>
        <v>Expedite</v>
      </c>
      <c r="J224" s="29" t="n">
        <f aca="false">H224</f>
        <v>8176.75063212435</v>
      </c>
      <c r="K224" s="29" t="n">
        <f aca="false">E224+(1-Model!$B$5)*H224</f>
        <v>4893.83</v>
      </c>
      <c r="L224" s="29" t="n">
        <f aca="false">IF(I224="Expedite",K224,J224)</f>
        <v>4893.83</v>
      </c>
      <c r="M224" s="29" t="n">
        <f aca="false">J224-L224</f>
        <v>3282.92063212435</v>
      </c>
      <c r="N224" s="29" t="n">
        <f aca="false">IFERROR(E224/(F224*C224*Model!$B$5),"")</f>
        <v>500.853319546081</v>
      </c>
    </row>
    <row r="225" customFormat="false" ht="15" hidden="false" customHeight="false" outlineLevel="0" collapsed="false">
      <c r="A225" s="0" t="str">
        <f aca="false">Clean!A225</f>
        <v>SHP0224</v>
      </c>
      <c r="B225" s="0" t="str">
        <f aca="false">Clean!AA225</f>
        <v>GATI Logistics</v>
      </c>
      <c r="C225" s="28" t="n">
        <f aca="false">Clean!J225</f>
        <v>6.63</v>
      </c>
      <c r="D225" s="29" t="n">
        <f aca="false">Clean!AF225</f>
        <v>814.06</v>
      </c>
      <c r="E225" s="29" t="n">
        <f aca="false">Clean!AE225</f>
        <v>3606.67</v>
      </c>
      <c r="F225" s="22" t="n">
        <f aca="false">AVERAGEIFS(Clean!$V$2:$V$1001,Clean!$AA$2:$AA$1001,B225)</f>
        <v>0.751243781094527</v>
      </c>
      <c r="G225" s="29" t="n">
        <f aca="false">F225*C225*D225</f>
        <v>4054.62630746269</v>
      </c>
      <c r="H225" s="29" t="n">
        <f aca="false">G225*Model!$B$4</f>
        <v>4054.62630746269</v>
      </c>
      <c r="I225" s="0" t="str">
        <f aca="false">IF(E225&lt;Model!$B$5*H225,"Expedite","Standard")</f>
        <v>Expedite</v>
      </c>
      <c r="J225" s="29" t="n">
        <f aca="false">H225</f>
        <v>4054.62630746269</v>
      </c>
      <c r="K225" s="29" t="n">
        <f aca="false">E225+(1-Model!$B$5)*H225</f>
        <v>3606.67</v>
      </c>
      <c r="L225" s="29" t="n">
        <f aca="false">IF(I225="Expedite",K225,J225)</f>
        <v>3606.67</v>
      </c>
      <c r="M225" s="29" t="n">
        <f aca="false">J225-L225</f>
        <v>447.956307462686</v>
      </c>
      <c r="N225" s="29" t="n">
        <f aca="false">IFERROR(E225/(F225*C225*Model!$B$5),"")</f>
        <v>724.122411674808</v>
      </c>
    </row>
    <row r="226" customFormat="false" ht="15" hidden="false" customHeight="false" outlineLevel="0" collapsed="false">
      <c r="A226" s="0" t="str">
        <f aca="false">Clean!A226</f>
        <v>SHP0225</v>
      </c>
      <c r="B226" s="0" t="str">
        <f aca="false">Clean!AA226</f>
        <v>TCI Express</v>
      </c>
      <c r="C226" s="28" t="n">
        <f aca="false">Clean!J226</f>
        <v>5.83</v>
      </c>
      <c r="D226" s="29" t="n">
        <f aca="false">Clean!AF226</f>
        <v>847.94</v>
      </c>
      <c r="E226" s="29" t="n">
        <f aca="false">Clean!AE226</f>
        <v>1567.89</v>
      </c>
      <c r="F226" s="22" t="n">
        <f aca="false">AVERAGEIFS(Clean!$V$2:$V$1001,Clean!$AA$2:$AA$1001,B226)</f>
        <v>0.752336448598131</v>
      </c>
      <c r="G226" s="29" t="n">
        <f aca="false">F226*C226*D226</f>
        <v>3719.16786074766</v>
      </c>
      <c r="H226" s="29" t="n">
        <f aca="false">G226*Model!$B$4</f>
        <v>3719.16786074766</v>
      </c>
      <c r="I226" s="0" t="str">
        <f aca="false">IF(E226&lt;Model!$B$5*H226,"Expedite","Standard")</f>
        <v>Expedite</v>
      </c>
      <c r="J226" s="29" t="n">
        <f aca="false">H226</f>
        <v>3719.16786074766</v>
      </c>
      <c r="K226" s="29" t="n">
        <f aca="false">E226+(1-Model!$B$5)*H226</f>
        <v>1567.89</v>
      </c>
      <c r="L226" s="29" t="n">
        <f aca="false">IF(I226="Expedite",K226,J226)</f>
        <v>1567.89</v>
      </c>
      <c r="M226" s="29" t="n">
        <f aca="false">J226-L226</f>
        <v>2151.27786074766</v>
      </c>
      <c r="N226" s="29" t="n">
        <f aca="false">IFERROR(E226/(F226*C226*Model!$B$5),"")</f>
        <v>357.466158124074</v>
      </c>
    </row>
    <row r="227" customFormat="false" ht="15" hidden="false" customHeight="false" outlineLevel="0" collapsed="false">
      <c r="A227" s="0" t="str">
        <f aca="false">Clean!A227</f>
        <v>SHP0226</v>
      </c>
      <c r="B227" s="0" t="str">
        <f aca="false">Clean!AA227</f>
        <v>BlueDart</v>
      </c>
      <c r="C227" s="28" t="n">
        <f aca="false">Clean!J227</f>
        <v>9.56</v>
      </c>
      <c r="D227" s="29" t="n">
        <f aca="false">Clean!AF227</f>
        <v>531.12</v>
      </c>
      <c r="E227" s="29" t="n">
        <f aca="false">Clean!AE227</f>
        <v>2015.9</v>
      </c>
      <c r="F227" s="22" t="n">
        <f aca="false">AVERAGEIFS(Clean!$V$2:$V$1001,Clean!$AA$2:$AA$1001,B227)</f>
        <v>0.773869346733668</v>
      </c>
      <c r="G227" s="29" t="n">
        <f aca="false">F227*C227*D227</f>
        <v>3929.3271798995</v>
      </c>
      <c r="H227" s="29" t="n">
        <f aca="false">G227*Model!$B$4</f>
        <v>3929.3271798995</v>
      </c>
      <c r="I227" s="0" t="str">
        <f aca="false">IF(E227&lt;Model!$B$5*H227,"Expedite","Standard")</f>
        <v>Expedite</v>
      </c>
      <c r="J227" s="29" t="n">
        <f aca="false">H227</f>
        <v>3929.3271798995</v>
      </c>
      <c r="K227" s="29" t="n">
        <f aca="false">E227+(1-Model!$B$5)*H227</f>
        <v>2015.9</v>
      </c>
      <c r="L227" s="29" t="n">
        <f aca="false">IF(I227="Expedite",K227,J227)</f>
        <v>2015.9</v>
      </c>
      <c r="M227" s="29" t="n">
        <f aca="false">J227-L227</f>
        <v>1913.4271798995</v>
      </c>
      <c r="N227" s="29" t="n">
        <f aca="false">IFERROR(E227/(F227*C227*Model!$B$5),"")</f>
        <v>272.485532250177</v>
      </c>
    </row>
    <row r="228" customFormat="false" ht="15" hidden="false" customHeight="false" outlineLevel="0" collapsed="false">
      <c r="A228" s="0" t="str">
        <f aca="false">Clean!A228</f>
        <v>SHP0227</v>
      </c>
      <c r="B228" s="0" t="str">
        <f aca="false">Clean!AA228</f>
        <v>Delhivery</v>
      </c>
      <c r="C228" s="28" t="n">
        <f aca="false">Clean!J228</f>
        <v>15.05</v>
      </c>
      <c r="D228" s="29" t="n">
        <f aca="false">Clean!AF228</f>
        <v>1142.88</v>
      </c>
      <c r="E228" s="29" t="n">
        <f aca="false">Clean!AE228</f>
        <v>2117.1</v>
      </c>
      <c r="F228" s="22" t="n">
        <f aca="false">AVERAGEIFS(Clean!$V$2:$V$1001,Clean!$AA$2:$AA$1001,B228)</f>
        <v>0.72538860103627</v>
      </c>
      <c r="G228" s="29" t="n">
        <f aca="false">F228*C228*D228</f>
        <v>12476.9334715026</v>
      </c>
      <c r="H228" s="29" t="n">
        <f aca="false">G228*Model!$B$4</f>
        <v>12476.9334715026</v>
      </c>
      <c r="I228" s="0" t="str">
        <f aca="false">IF(E228&lt;Model!$B$5*H228,"Expedite","Standard")</f>
        <v>Expedite</v>
      </c>
      <c r="J228" s="29" t="n">
        <f aca="false">H228</f>
        <v>12476.9334715026</v>
      </c>
      <c r="K228" s="29" t="n">
        <f aca="false">E228+(1-Model!$B$5)*H228</f>
        <v>2117.1</v>
      </c>
      <c r="L228" s="29" t="n">
        <f aca="false">IF(I228="Expedite",K228,J228)</f>
        <v>2117.1</v>
      </c>
      <c r="M228" s="29" t="n">
        <f aca="false">J228-L228</f>
        <v>10359.8334715026</v>
      </c>
      <c r="N228" s="29" t="n">
        <f aca="false">IFERROR(E228/(F228*C228*Model!$B$5),"")</f>
        <v>193.925154247746</v>
      </c>
    </row>
    <row r="229" customFormat="false" ht="15" hidden="false" customHeight="false" outlineLevel="0" collapsed="false">
      <c r="A229" s="0" t="str">
        <f aca="false">Clean!A229</f>
        <v>SHP0228</v>
      </c>
      <c r="B229" s="0" t="str">
        <f aca="false">Clean!AA229</f>
        <v>GATI Logistics</v>
      </c>
      <c r="C229" s="28" t="n">
        <f aca="false">Clean!J229</f>
        <v>14.19</v>
      </c>
      <c r="D229" s="29" t="n">
        <f aca="false">Clean!AF229</f>
        <v>1403.61</v>
      </c>
      <c r="E229" s="29" t="n">
        <f aca="false">Clean!AE229</f>
        <v>4036.99</v>
      </c>
      <c r="F229" s="22" t="n">
        <f aca="false">AVERAGEIFS(Clean!$V$2:$V$1001,Clean!$AA$2:$AA$1001,B229)</f>
        <v>0.751243781094527</v>
      </c>
      <c r="G229" s="29" t="n">
        <f aca="false">F229*C229*D229</f>
        <v>14962.6920940299</v>
      </c>
      <c r="H229" s="29" t="n">
        <f aca="false">G229*Model!$B$4</f>
        <v>14962.6920940299</v>
      </c>
      <c r="I229" s="0" t="str">
        <f aca="false">IF(E229&lt;Model!$B$5*H229,"Expedite","Standard")</f>
        <v>Expedite</v>
      </c>
      <c r="J229" s="29" t="n">
        <f aca="false">H229</f>
        <v>14962.6920940299</v>
      </c>
      <c r="K229" s="29" t="n">
        <f aca="false">E229+(1-Model!$B$5)*H229</f>
        <v>4036.99</v>
      </c>
      <c r="L229" s="29" t="n">
        <f aca="false">IF(I229="Expedite",K229,J229)</f>
        <v>4036.99</v>
      </c>
      <c r="M229" s="29" t="n">
        <f aca="false">J229-L229</f>
        <v>10925.7020940299</v>
      </c>
      <c r="N229" s="29" t="n">
        <f aca="false">IFERROR(E229/(F229*C229*Model!$B$5),"")</f>
        <v>378.699200537642</v>
      </c>
    </row>
    <row r="230" customFormat="false" ht="15" hidden="false" customHeight="false" outlineLevel="0" collapsed="false">
      <c r="A230" s="0" t="str">
        <f aca="false">Clean!A230</f>
        <v>SHP0229</v>
      </c>
      <c r="B230" s="0" t="str">
        <f aca="false">Clean!AA230</f>
        <v>BlueDart</v>
      </c>
      <c r="C230" s="28" t="n">
        <f aca="false">Clean!J230</f>
        <v>5.42</v>
      </c>
      <c r="D230" s="29" t="n">
        <f aca="false">Clean!AF230</f>
        <v>960.36</v>
      </c>
      <c r="E230" s="29" t="n">
        <f aca="false">Clean!AE230</f>
        <v>2788.22</v>
      </c>
      <c r="F230" s="22" t="n">
        <f aca="false">AVERAGEIFS(Clean!$V$2:$V$1001,Clean!$AA$2:$AA$1001,B230)</f>
        <v>0.773869346733668</v>
      </c>
      <c r="G230" s="29" t="n">
        <f aca="false">F230*C230*D230</f>
        <v>4028.10695879397</v>
      </c>
      <c r="H230" s="29" t="n">
        <f aca="false">G230*Model!$B$4</f>
        <v>4028.10695879397</v>
      </c>
      <c r="I230" s="0" t="str">
        <f aca="false">IF(E230&lt;Model!$B$5*H230,"Expedite","Standard")</f>
        <v>Expedite</v>
      </c>
      <c r="J230" s="29" t="n">
        <f aca="false">H230</f>
        <v>4028.10695879397</v>
      </c>
      <c r="K230" s="29" t="n">
        <f aca="false">E230+(1-Model!$B$5)*H230</f>
        <v>2788.22</v>
      </c>
      <c r="L230" s="29" t="n">
        <f aca="false">IF(I230="Expedite",K230,J230)</f>
        <v>2788.22</v>
      </c>
      <c r="M230" s="29" t="n">
        <f aca="false">J230-L230</f>
        <v>1239.88695879397</v>
      </c>
      <c r="N230" s="29" t="n">
        <f aca="false">IFERROR(E230/(F230*C230*Model!$B$5),"")</f>
        <v>664.75269564384</v>
      </c>
    </row>
    <row r="231" customFormat="false" ht="15" hidden="false" customHeight="false" outlineLevel="0" collapsed="false">
      <c r="A231" s="0" t="str">
        <f aca="false">Clean!A231</f>
        <v>SHP0230</v>
      </c>
      <c r="B231" s="0" t="str">
        <f aca="false">Clean!AA231</f>
        <v>VRL Cargo</v>
      </c>
      <c r="C231" s="28" t="n">
        <f aca="false">Clean!J231</f>
        <v>17.43</v>
      </c>
      <c r="D231" s="29" t="n">
        <f aca="false">Clean!AF231</f>
        <v>1466.24</v>
      </c>
      <c r="E231" s="29" t="n">
        <f aca="false">Clean!AE231</f>
        <v>1108.7</v>
      </c>
      <c r="F231" s="22" t="n">
        <f aca="false">AVERAGEIFS(Clean!$V$2:$V$1001,Clean!$AA$2:$AA$1001,B231)</f>
        <v>0.72020725388601</v>
      </c>
      <c r="G231" s="29" t="n">
        <f aca="false">F231*C231*D231</f>
        <v>18406.0222010363</v>
      </c>
      <c r="H231" s="29" t="n">
        <f aca="false">G231*Model!$B$4</f>
        <v>18406.0222010363</v>
      </c>
      <c r="I231" s="0" t="str">
        <f aca="false">IF(E231&lt;Model!$B$5*H231,"Expedite","Standard")</f>
        <v>Expedite</v>
      </c>
      <c r="J231" s="29" t="n">
        <f aca="false">H231</f>
        <v>18406.0222010363</v>
      </c>
      <c r="K231" s="29" t="n">
        <f aca="false">E231+(1-Model!$B$5)*H231</f>
        <v>1108.7</v>
      </c>
      <c r="L231" s="29" t="n">
        <f aca="false">IF(I231="Expedite",K231,J231)</f>
        <v>1108.7</v>
      </c>
      <c r="M231" s="29" t="n">
        <f aca="false">J231-L231</f>
        <v>17297.3222010363</v>
      </c>
      <c r="N231" s="29" t="n">
        <f aca="false">IFERROR(E231/(F231*C231*Model!$B$5),"")</f>
        <v>88.3200221234372</v>
      </c>
    </row>
    <row r="232" customFormat="false" ht="15" hidden="false" customHeight="false" outlineLevel="0" collapsed="false">
      <c r="A232" s="0" t="str">
        <f aca="false">Clean!A232</f>
        <v>SHP0231</v>
      </c>
      <c r="B232" s="0" t="str">
        <f aca="false">Clean!AA232</f>
        <v>BlueDart</v>
      </c>
      <c r="C232" s="28" t="n">
        <f aca="false">Clean!J232</f>
        <v>3.42</v>
      </c>
      <c r="D232" s="29" t="n">
        <f aca="false">Clean!AF232</f>
        <v>1128.24</v>
      </c>
      <c r="E232" s="29" t="n">
        <f aca="false">Clean!AE232</f>
        <v>3236.74</v>
      </c>
      <c r="F232" s="22" t="n">
        <f aca="false">AVERAGEIFS(Clean!$V$2:$V$1001,Clean!$AA$2:$AA$1001,B232)</f>
        <v>0.773869346733668</v>
      </c>
      <c r="G232" s="29" t="n">
        <f aca="false">F232*C232*D232</f>
        <v>2986.03740301508</v>
      </c>
      <c r="H232" s="29" t="n">
        <f aca="false">G232*Model!$B$4</f>
        <v>2986.03740301508</v>
      </c>
      <c r="I232" s="0" t="str">
        <f aca="false">IF(E232&lt;Model!$B$5*H232,"Expedite","Standard")</f>
        <v>Standard</v>
      </c>
      <c r="J232" s="29" t="n">
        <f aca="false">H232</f>
        <v>2986.03740301508</v>
      </c>
      <c r="K232" s="29" t="n">
        <f aca="false">E232+(1-Model!$B$5)*H232</f>
        <v>3236.74</v>
      </c>
      <c r="L232" s="29" t="n">
        <f aca="false">IF(I232="Expedite",K232,J232)</f>
        <v>2986.03740301508</v>
      </c>
      <c r="M232" s="29" t="n">
        <f aca="false">J232-L232</f>
        <v>0</v>
      </c>
      <c r="N232" s="29" t="n">
        <f aca="false">IFERROR(E232/(F232*C232*Model!$B$5),"")</f>
        <v>1222.96510214931</v>
      </c>
    </row>
    <row r="233" customFormat="false" ht="15" hidden="false" customHeight="false" outlineLevel="0" collapsed="false">
      <c r="A233" s="0" t="str">
        <f aca="false">Clean!A233</f>
        <v>SHP0232</v>
      </c>
      <c r="B233" s="0" t="str">
        <f aca="false">Clean!AA233</f>
        <v>GATI Logistics</v>
      </c>
      <c r="C233" s="28" t="n">
        <f aca="false">Clean!J233</f>
        <v>11.12</v>
      </c>
      <c r="D233" s="29" t="n">
        <f aca="false">Clean!AF233</f>
        <v>1067.17</v>
      </c>
      <c r="E233" s="29" t="n">
        <f aca="false">Clean!AE233</f>
        <v>1184.49</v>
      </c>
      <c r="F233" s="22" t="n">
        <f aca="false">AVERAGEIFS(Clean!$V$2:$V$1001,Clean!$AA$2:$AA$1001,B233)</f>
        <v>0.751243781094527</v>
      </c>
      <c r="G233" s="29" t="n">
        <f aca="false">F233*C233*D233</f>
        <v>8914.95766368159</v>
      </c>
      <c r="H233" s="29" t="n">
        <f aca="false">G233*Model!$B$4</f>
        <v>8914.95766368159</v>
      </c>
      <c r="I233" s="0" t="str">
        <f aca="false">IF(E233&lt;Model!$B$5*H233,"Expedite","Standard")</f>
        <v>Expedite</v>
      </c>
      <c r="J233" s="29" t="n">
        <f aca="false">H233</f>
        <v>8914.95766368159</v>
      </c>
      <c r="K233" s="29" t="n">
        <f aca="false">E233+(1-Model!$B$5)*H233</f>
        <v>1184.49</v>
      </c>
      <c r="L233" s="29" t="n">
        <f aca="false">IF(I233="Expedite",K233,J233)</f>
        <v>1184.49</v>
      </c>
      <c r="M233" s="29" t="n">
        <f aca="false">J233-L233</f>
        <v>7730.46766368159</v>
      </c>
      <c r="N233" s="29" t="n">
        <f aca="false">IFERROR(E233/(F233*C233*Model!$B$5),"")</f>
        <v>141.790038829863</v>
      </c>
    </row>
    <row r="234" customFormat="false" ht="15" hidden="false" customHeight="false" outlineLevel="0" collapsed="false">
      <c r="A234" s="0" t="str">
        <f aca="false">Clean!A234</f>
        <v>SHP0233</v>
      </c>
      <c r="B234" s="0" t="str">
        <f aca="false">Clean!AA234</f>
        <v>TCI Express</v>
      </c>
      <c r="C234" s="28" t="n">
        <f aca="false">Clean!J234</f>
        <v>6.39</v>
      </c>
      <c r="D234" s="29" t="n">
        <f aca="false">Clean!AF234</f>
        <v>830.41</v>
      </c>
      <c r="E234" s="29" t="n">
        <f aca="false">Clean!AE234</f>
        <v>4509.05</v>
      </c>
      <c r="F234" s="22" t="n">
        <f aca="false">AVERAGEIFS(Clean!$V$2:$V$1001,Clean!$AA$2:$AA$1001,B234)</f>
        <v>0.752336448598131</v>
      </c>
      <c r="G234" s="29" t="n">
        <f aca="false">F234*C234*D234</f>
        <v>3992.13786869159</v>
      </c>
      <c r="H234" s="29" t="n">
        <f aca="false">G234*Model!$B$4</f>
        <v>3992.13786869159</v>
      </c>
      <c r="I234" s="0" t="str">
        <f aca="false">IF(E234&lt;Model!$B$5*H234,"Expedite","Standard")</f>
        <v>Standard</v>
      </c>
      <c r="J234" s="29" t="n">
        <f aca="false">H234</f>
        <v>3992.13786869159</v>
      </c>
      <c r="K234" s="29" t="n">
        <f aca="false">E234+(1-Model!$B$5)*H234</f>
        <v>4509.05</v>
      </c>
      <c r="L234" s="29" t="n">
        <f aca="false">IF(I234="Expedite",K234,J234)</f>
        <v>3992.13786869159</v>
      </c>
      <c r="M234" s="29" t="n">
        <f aca="false">J234-L234</f>
        <v>0</v>
      </c>
      <c r="N234" s="29" t="n">
        <f aca="false">IFERROR(E234/(F234*C234*Model!$B$5),"")</f>
        <v>937.933591889501</v>
      </c>
    </row>
    <row r="235" customFormat="false" ht="15" hidden="false" customHeight="false" outlineLevel="0" collapsed="false">
      <c r="A235" s="0" t="str">
        <f aca="false">Clean!A235</f>
        <v>SHP0234</v>
      </c>
      <c r="B235" s="0" t="str">
        <f aca="false">Clean!AA235</f>
        <v>VRL Cargo</v>
      </c>
      <c r="C235" s="28" t="n">
        <f aca="false">Clean!J235</f>
        <v>7.47</v>
      </c>
      <c r="D235" s="29" t="n">
        <f aca="false">Clean!AF235</f>
        <v>1495.44</v>
      </c>
      <c r="E235" s="29" t="n">
        <f aca="false">Clean!AE235</f>
        <v>3331.23</v>
      </c>
      <c r="F235" s="22" t="n">
        <f aca="false">AVERAGEIFS(Clean!$V$2:$V$1001,Clean!$AA$2:$AA$1001,B235)</f>
        <v>0.72020725388601</v>
      </c>
      <c r="G235" s="29" t="n">
        <f aca="false">F235*C235*D235</f>
        <v>8045.38971606218</v>
      </c>
      <c r="H235" s="29" t="n">
        <f aca="false">G235*Model!$B$4</f>
        <v>8045.38971606218</v>
      </c>
      <c r="I235" s="0" t="str">
        <f aca="false">IF(E235&lt;Model!$B$5*H235,"Expedite","Standard")</f>
        <v>Expedite</v>
      </c>
      <c r="J235" s="29" t="n">
        <f aca="false">H235</f>
        <v>8045.38971606218</v>
      </c>
      <c r="K235" s="29" t="n">
        <f aca="false">E235+(1-Model!$B$5)*H235</f>
        <v>3331.23</v>
      </c>
      <c r="L235" s="29" t="n">
        <f aca="false">IF(I235="Expedite",K235,J235)</f>
        <v>3331.23</v>
      </c>
      <c r="M235" s="29" t="n">
        <f aca="false">J235-L235</f>
        <v>4714.15971606218</v>
      </c>
      <c r="N235" s="29" t="n">
        <f aca="false">IFERROR(E235/(F235*C235*Model!$B$5),"")</f>
        <v>619.193695645893</v>
      </c>
    </row>
    <row r="236" customFormat="false" ht="15" hidden="false" customHeight="false" outlineLevel="0" collapsed="false">
      <c r="A236" s="0" t="str">
        <f aca="false">Clean!A236</f>
        <v>SHP0235</v>
      </c>
      <c r="B236" s="0" t="str">
        <f aca="false">Clean!AA236</f>
        <v>TCI Express</v>
      </c>
      <c r="C236" s="28" t="n">
        <f aca="false">Clean!J236</f>
        <v>17.26</v>
      </c>
      <c r="D236" s="29" t="n">
        <f aca="false">Clean!AF236</f>
        <v>1329.29</v>
      </c>
      <c r="E236" s="29" t="n">
        <f aca="false">Clean!AE236</f>
        <v>3676.8</v>
      </c>
      <c r="F236" s="22" t="n">
        <f aca="false">AVERAGEIFS(Clean!$V$2:$V$1001,Clean!$AA$2:$AA$1001,B236)</f>
        <v>0.752336448598131</v>
      </c>
      <c r="G236" s="29" t="n">
        <f aca="false">F236*C236*D236</f>
        <v>17261.265464486</v>
      </c>
      <c r="H236" s="29" t="n">
        <f aca="false">G236*Model!$B$4</f>
        <v>17261.265464486</v>
      </c>
      <c r="I236" s="0" t="str">
        <f aca="false">IF(E236&lt;Model!$B$5*H236,"Expedite","Standard")</f>
        <v>Expedite</v>
      </c>
      <c r="J236" s="29" t="n">
        <f aca="false">H236</f>
        <v>17261.265464486</v>
      </c>
      <c r="K236" s="29" t="n">
        <f aca="false">E236+(1-Model!$B$5)*H236</f>
        <v>3676.8</v>
      </c>
      <c r="L236" s="29" t="n">
        <f aca="false">IF(I236="Expedite",K236,J236)</f>
        <v>3676.8</v>
      </c>
      <c r="M236" s="29" t="n">
        <f aca="false">J236-L236</f>
        <v>13584.465464486</v>
      </c>
      <c r="N236" s="29" t="n">
        <f aca="false">IFERROR(E236/(F236*C236*Model!$B$5),"")</f>
        <v>283.15035662106</v>
      </c>
    </row>
    <row r="237" customFormat="false" ht="15" hidden="false" customHeight="false" outlineLevel="0" collapsed="false">
      <c r="A237" s="0" t="str">
        <f aca="false">Clean!A237</f>
        <v>SHP0236</v>
      </c>
      <c r="B237" s="0" t="str">
        <f aca="false">Clean!AA237</f>
        <v>BlueDart</v>
      </c>
      <c r="C237" s="28" t="n">
        <f aca="false">Clean!J237</f>
        <v>17.7</v>
      </c>
      <c r="D237" s="29" t="n">
        <f aca="false">Clean!AF237</f>
        <v>1392.52</v>
      </c>
      <c r="E237" s="29" t="n">
        <f aca="false">Clean!AE237</f>
        <v>3407.69</v>
      </c>
      <c r="F237" s="22" t="n">
        <f aca="false">AVERAGEIFS(Clean!$V$2:$V$1001,Clean!$AA$2:$AA$1001,B237)</f>
        <v>0.773869346733668</v>
      </c>
      <c r="G237" s="29" t="n">
        <f aca="false">F237*C237*D237</f>
        <v>19074.0252060302</v>
      </c>
      <c r="H237" s="29" t="n">
        <f aca="false">G237*Model!$B$4</f>
        <v>19074.0252060302</v>
      </c>
      <c r="I237" s="0" t="str">
        <f aca="false">IF(E237&lt;Model!$B$5*H237,"Expedite","Standard")</f>
        <v>Expedite</v>
      </c>
      <c r="J237" s="29" t="n">
        <f aca="false">H237</f>
        <v>19074.0252060302</v>
      </c>
      <c r="K237" s="29" t="n">
        <f aca="false">E237+(1-Model!$B$5)*H237</f>
        <v>3407.69</v>
      </c>
      <c r="L237" s="29" t="n">
        <f aca="false">IF(I237="Expedite",K237,J237)</f>
        <v>3407.69</v>
      </c>
      <c r="M237" s="29" t="n">
        <f aca="false">J237-L237</f>
        <v>15666.3352060302</v>
      </c>
      <c r="N237" s="29" t="n">
        <f aca="false">IFERROR(E237/(F237*C237*Model!$B$5),"")</f>
        <v>248.78212267958</v>
      </c>
    </row>
    <row r="238" customFormat="false" ht="15" hidden="false" customHeight="false" outlineLevel="0" collapsed="false">
      <c r="A238" s="0" t="str">
        <f aca="false">Clean!A238</f>
        <v>SHP0237</v>
      </c>
      <c r="B238" s="0" t="str">
        <f aca="false">Clean!AA238</f>
        <v>GATI Logistics</v>
      </c>
      <c r="C238" s="28" t="n">
        <f aca="false">Clean!J238</f>
        <v>9.42</v>
      </c>
      <c r="D238" s="29" t="n">
        <f aca="false">Clean!AF238</f>
        <v>987.67</v>
      </c>
      <c r="E238" s="29" t="n">
        <f aca="false">Clean!AE238</f>
        <v>2538.05</v>
      </c>
      <c r="F238" s="22" t="n">
        <f aca="false">AVERAGEIFS(Clean!$V$2:$V$1001,Clean!$AA$2:$AA$1001,B238)</f>
        <v>0.751243781094527</v>
      </c>
      <c r="G238" s="29" t="n">
        <f aca="false">F238*C238*D238</f>
        <v>6989.46050447761</v>
      </c>
      <c r="H238" s="29" t="n">
        <f aca="false">G238*Model!$B$4</f>
        <v>6989.46050447761</v>
      </c>
      <c r="I238" s="0" t="str">
        <f aca="false">IF(E238&lt;Model!$B$5*H238,"Expedite","Standard")</f>
        <v>Expedite</v>
      </c>
      <c r="J238" s="29" t="n">
        <f aca="false">H238</f>
        <v>6989.46050447761</v>
      </c>
      <c r="K238" s="29" t="n">
        <f aca="false">E238+(1-Model!$B$5)*H238</f>
        <v>2538.05</v>
      </c>
      <c r="L238" s="29" t="n">
        <f aca="false">IF(I238="Expedite",K238,J238)</f>
        <v>2538.05</v>
      </c>
      <c r="M238" s="29" t="n">
        <f aca="false">J238-L238</f>
        <v>4451.41050447761</v>
      </c>
      <c r="N238" s="29" t="n">
        <f aca="false">IFERROR(E238/(F238*C238*Model!$B$5),"")</f>
        <v>358.647973172481</v>
      </c>
    </row>
    <row r="239" customFormat="false" ht="15" hidden="false" customHeight="false" outlineLevel="0" collapsed="false">
      <c r="A239" s="0" t="str">
        <f aca="false">Clean!A239</f>
        <v>SHP0238</v>
      </c>
      <c r="B239" s="0" t="str">
        <f aca="false">Clean!AA239</f>
        <v>GATI Logistics</v>
      </c>
      <c r="C239" s="28" t="n">
        <f aca="false">Clean!J239</f>
        <v>13.39</v>
      </c>
      <c r="D239" s="29" t="n">
        <f aca="false">Clean!AF239</f>
        <v>502.92</v>
      </c>
      <c r="E239" s="29" t="n">
        <f aca="false">Clean!AE239</f>
        <v>4565.92</v>
      </c>
      <c r="F239" s="22" t="n">
        <f aca="false">AVERAGEIFS(Clean!$V$2:$V$1001,Clean!$AA$2:$AA$1001,B239)</f>
        <v>0.751243781094527</v>
      </c>
      <c r="G239" s="29" t="n">
        <f aca="false">F239*C239*D239</f>
        <v>5058.94984477612</v>
      </c>
      <c r="H239" s="29" t="n">
        <f aca="false">G239*Model!$B$4</f>
        <v>5058.94984477612</v>
      </c>
      <c r="I239" s="0" t="str">
        <f aca="false">IF(E239&lt;Model!$B$5*H239,"Expedite","Standard")</f>
        <v>Expedite</v>
      </c>
      <c r="J239" s="29" t="n">
        <f aca="false">H239</f>
        <v>5058.94984477612</v>
      </c>
      <c r="K239" s="29" t="n">
        <f aca="false">E239+(1-Model!$B$5)*H239</f>
        <v>4565.92</v>
      </c>
      <c r="L239" s="29" t="n">
        <f aca="false">IF(I239="Expedite",K239,J239)</f>
        <v>4565.92</v>
      </c>
      <c r="M239" s="29" t="n">
        <f aca="false">J239-L239</f>
        <v>493.02984477612</v>
      </c>
      <c r="N239" s="29" t="n">
        <f aca="false">IFERROR(E239/(F239*C239*Model!$B$5),"")</f>
        <v>453.906948449223</v>
      </c>
    </row>
    <row r="240" customFormat="false" ht="15" hidden="false" customHeight="false" outlineLevel="0" collapsed="false">
      <c r="A240" s="0" t="str">
        <f aca="false">Clean!A240</f>
        <v>SHP0239</v>
      </c>
      <c r="B240" s="0" t="str">
        <f aca="false">Clean!AA240</f>
        <v>GATI Logistics</v>
      </c>
      <c r="C240" s="28" t="n">
        <f aca="false">Clean!J240</f>
        <v>1.76</v>
      </c>
      <c r="D240" s="29" t="n">
        <f aca="false">Clean!AF240</f>
        <v>1090.87</v>
      </c>
      <c r="E240" s="29" t="n">
        <f aca="false">Clean!AE240</f>
        <v>2897.15</v>
      </c>
      <c r="F240" s="22" t="n">
        <f aca="false">AVERAGEIFS(Clean!$V$2:$V$1001,Clean!$AA$2:$AA$1001,B240)</f>
        <v>0.751243781094527</v>
      </c>
      <c r="G240" s="29" t="n">
        <f aca="false">F240*C240*D240</f>
        <v>1442.33637412935</v>
      </c>
      <c r="H240" s="29" t="n">
        <f aca="false">G240*Model!$B$4</f>
        <v>1442.33637412935</v>
      </c>
      <c r="I240" s="0" t="str">
        <f aca="false">IF(E240&lt;Model!$B$5*H240,"Expedite","Standard")</f>
        <v>Standard</v>
      </c>
      <c r="J240" s="29" t="n">
        <f aca="false">H240</f>
        <v>1442.33637412935</v>
      </c>
      <c r="K240" s="29" t="n">
        <f aca="false">E240+(1-Model!$B$5)*H240</f>
        <v>2897.15</v>
      </c>
      <c r="L240" s="29" t="n">
        <f aca="false">IF(I240="Expedite",K240,J240)</f>
        <v>1442.33637412935</v>
      </c>
      <c r="M240" s="29" t="n">
        <f aca="false">J240-L240</f>
        <v>0</v>
      </c>
      <c r="N240" s="29" t="n">
        <f aca="false">IFERROR(E240/(F240*C240*Model!$B$5),"")</f>
        <v>2191.17681366647</v>
      </c>
    </row>
    <row r="241" customFormat="false" ht="15" hidden="false" customHeight="false" outlineLevel="0" collapsed="false">
      <c r="A241" s="0" t="str">
        <f aca="false">Clean!A241</f>
        <v>SHP0240</v>
      </c>
      <c r="B241" s="0" t="str">
        <f aca="false">Clean!AA241</f>
        <v>TCI Express</v>
      </c>
      <c r="C241" s="28" t="n">
        <f aca="false">Clean!J241</f>
        <v>11.2</v>
      </c>
      <c r="D241" s="29" t="n">
        <f aca="false">Clean!AF241</f>
        <v>1072.05</v>
      </c>
      <c r="E241" s="29" t="n">
        <f aca="false">Clean!AE241</f>
        <v>4210.34</v>
      </c>
      <c r="F241" s="22" t="n">
        <f aca="false">AVERAGEIFS(Clean!$V$2:$V$1001,Clean!$AA$2:$AA$1001,B241)</f>
        <v>0.752336448598131</v>
      </c>
      <c r="G241" s="29" t="n">
        <f aca="false">F241*C241*D241</f>
        <v>9033.27364485981</v>
      </c>
      <c r="H241" s="29" t="n">
        <f aca="false">G241*Model!$B$4</f>
        <v>9033.27364485981</v>
      </c>
      <c r="I241" s="0" t="str">
        <f aca="false">IF(E241&lt;Model!$B$5*H241,"Expedite","Standard")</f>
        <v>Expedite</v>
      </c>
      <c r="J241" s="29" t="n">
        <f aca="false">H241</f>
        <v>9033.27364485981</v>
      </c>
      <c r="K241" s="29" t="n">
        <f aca="false">E241+(1-Model!$B$5)*H241</f>
        <v>4210.34</v>
      </c>
      <c r="L241" s="29" t="n">
        <f aca="false">IF(I241="Expedite",K241,J241)</f>
        <v>4210.34</v>
      </c>
      <c r="M241" s="29" t="n">
        <f aca="false">J241-L241</f>
        <v>4822.93364485981</v>
      </c>
      <c r="N241" s="29" t="n">
        <f aca="false">IFERROR(E241/(F241*C241*Model!$B$5),"")</f>
        <v>499.674334516415</v>
      </c>
    </row>
    <row r="242" customFormat="false" ht="15" hidden="false" customHeight="false" outlineLevel="0" collapsed="false">
      <c r="A242" s="0" t="str">
        <f aca="false">Clean!A242</f>
        <v>SHP0241</v>
      </c>
      <c r="B242" s="0" t="str">
        <f aca="false">Clean!AA242</f>
        <v>TCI Express</v>
      </c>
      <c r="C242" s="28" t="n">
        <f aca="false">Clean!J242</f>
        <v>10.74</v>
      </c>
      <c r="D242" s="29" t="n">
        <f aca="false">Clean!AF242</f>
        <v>1374.22</v>
      </c>
      <c r="E242" s="29" t="n">
        <f aca="false">Clean!AE242</f>
        <v>3029.65</v>
      </c>
      <c r="F242" s="22" t="n">
        <f aca="false">AVERAGEIFS(Clean!$V$2:$V$1001,Clean!$AA$2:$AA$1001,B242)</f>
        <v>0.752336448598131</v>
      </c>
      <c r="G242" s="29" t="n">
        <f aca="false">F242*C242*D242</f>
        <v>11103.8260317757</v>
      </c>
      <c r="H242" s="29" t="n">
        <f aca="false">G242*Model!$B$4</f>
        <v>11103.8260317757</v>
      </c>
      <c r="I242" s="0" t="str">
        <f aca="false">IF(E242&lt;Model!$B$5*H242,"Expedite","Standard")</f>
        <v>Expedite</v>
      </c>
      <c r="J242" s="29" t="n">
        <f aca="false">H242</f>
        <v>11103.8260317757</v>
      </c>
      <c r="K242" s="29" t="n">
        <f aca="false">E242+(1-Model!$B$5)*H242</f>
        <v>3029.65</v>
      </c>
      <c r="L242" s="29" t="n">
        <f aca="false">IF(I242="Expedite",K242,J242)</f>
        <v>3029.65</v>
      </c>
      <c r="M242" s="29" t="n">
        <f aca="false">J242-L242</f>
        <v>8074.1760317757</v>
      </c>
      <c r="N242" s="29" t="n">
        <f aca="false">IFERROR(E242/(F242*C242*Model!$B$5),"")</f>
        <v>374.952346253051</v>
      </c>
    </row>
    <row r="243" customFormat="false" ht="15" hidden="false" customHeight="false" outlineLevel="0" collapsed="false">
      <c r="A243" s="0" t="str">
        <f aca="false">Clean!A243</f>
        <v>SHP0242</v>
      </c>
      <c r="B243" s="0" t="str">
        <f aca="false">Clean!AA243</f>
        <v>GATI Logistics</v>
      </c>
      <c r="C243" s="28" t="n">
        <f aca="false">Clean!J243</f>
        <v>10.38</v>
      </c>
      <c r="D243" s="29" t="n">
        <f aca="false">Clean!AF243</f>
        <v>911.02</v>
      </c>
      <c r="E243" s="29" t="n">
        <f aca="false">Clean!AE243</f>
        <v>2687.31</v>
      </c>
      <c r="F243" s="22" t="n">
        <f aca="false">AVERAGEIFS(Clean!$V$2:$V$1001,Clean!$AA$2:$AA$1001,B243)</f>
        <v>0.751243781094527</v>
      </c>
      <c r="G243" s="29" t="n">
        <f aca="false">F243*C243*D243</f>
        <v>7104.0523761194</v>
      </c>
      <c r="H243" s="29" t="n">
        <f aca="false">G243*Model!$B$4</f>
        <v>7104.0523761194</v>
      </c>
      <c r="I243" s="0" t="str">
        <f aca="false">IF(E243&lt;Model!$B$5*H243,"Expedite","Standard")</f>
        <v>Expedite</v>
      </c>
      <c r="J243" s="29" t="n">
        <f aca="false">H243</f>
        <v>7104.0523761194</v>
      </c>
      <c r="K243" s="29" t="n">
        <f aca="false">E243+(1-Model!$B$5)*H243</f>
        <v>2687.31</v>
      </c>
      <c r="L243" s="29" t="n">
        <f aca="false">IF(I243="Expedite",K243,J243)</f>
        <v>2687.31</v>
      </c>
      <c r="M243" s="29" t="n">
        <f aca="false">J243-L243</f>
        <v>4416.7423761194</v>
      </c>
      <c r="N243" s="29" t="n">
        <f aca="false">IFERROR(E243/(F243*C243*Model!$B$5),"")</f>
        <v>344.619243578456</v>
      </c>
    </row>
    <row r="244" customFormat="false" ht="15" hidden="false" customHeight="false" outlineLevel="0" collapsed="false">
      <c r="A244" s="0" t="str">
        <f aca="false">Clean!A244</f>
        <v>SHP0243</v>
      </c>
      <c r="B244" s="0" t="str">
        <f aca="false">Clean!AA244</f>
        <v>BlueDart</v>
      </c>
      <c r="C244" s="28" t="n">
        <f aca="false">Clean!J244</f>
        <v>18.24</v>
      </c>
      <c r="D244" s="29" t="n">
        <f aca="false">Clean!AF244</f>
        <v>756.69</v>
      </c>
      <c r="E244" s="29" t="n">
        <f aca="false">Clean!AE244</f>
        <v>4486.39</v>
      </c>
      <c r="F244" s="22" t="n">
        <f aca="false">AVERAGEIFS(Clean!$V$2:$V$1001,Clean!$AA$2:$AA$1001,B244)</f>
        <v>0.773869346733668</v>
      </c>
      <c r="G244" s="29" t="n">
        <f aca="false">F244*C244*D244</f>
        <v>10680.9645346734</v>
      </c>
      <c r="H244" s="29" t="n">
        <f aca="false">G244*Model!$B$4</f>
        <v>10680.9645346734</v>
      </c>
      <c r="I244" s="0" t="str">
        <f aca="false">IF(E244&lt;Model!$B$5*H244,"Expedite","Standard")</f>
        <v>Expedite</v>
      </c>
      <c r="J244" s="29" t="n">
        <f aca="false">H244</f>
        <v>10680.9645346734</v>
      </c>
      <c r="K244" s="29" t="n">
        <f aca="false">E244+(1-Model!$B$5)*H244</f>
        <v>4486.39</v>
      </c>
      <c r="L244" s="29" t="n">
        <f aca="false">IF(I244="Expedite",K244,J244)</f>
        <v>4486.39</v>
      </c>
      <c r="M244" s="29" t="n">
        <f aca="false">J244-L244</f>
        <v>6194.57453467337</v>
      </c>
      <c r="N244" s="29" t="n">
        <f aca="false">IFERROR(E244/(F244*C244*Model!$B$5),"")</f>
        <v>317.837067811574</v>
      </c>
    </row>
    <row r="245" customFormat="false" ht="15" hidden="false" customHeight="false" outlineLevel="0" collapsed="false">
      <c r="A245" s="0" t="str">
        <f aca="false">Clean!A245</f>
        <v>SHP0244</v>
      </c>
      <c r="B245" s="0" t="str">
        <f aca="false">Clean!AA245</f>
        <v>TCI Express</v>
      </c>
      <c r="C245" s="28" t="n">
        <f aca="false">Clean!J245</f>
        <v>13.64</v>
      </c>
      <c r="D245" s="29" t="n">
        <f aca="false">Clean!AF245</f>
        <v>904.24</v>
      </c>
      <c r="E245" s="29" t="n">
        <f aca="false">Clean!AE245</f>
        <v>4601.29</v>
      </c>
      <c r="F245" s="22" t="n">
        <f aca="false">AVERAGEIFS(Clean!$V$2:$V$1001,Clean!$AA$2:$AA$1001,B245)</f>
        <v>0.752336448598131</v>
      </c>
      <c r="G245" s="29" t="n">
        <f aca="false">F245*C245*D245</f>
        <v>9279.1925682243</v>
      </c>
      <c r="H245" s="29" t="n">
        <f aca="false">G245*Model!$B$4</f>
        <v>9279.1925682243</v>
      </c>
      <c r="I245" s="0" t="str">
        <f aca="false">IF(E245&lt;Model!$B$5*H245,"Expedite","Standard")</f>
        <v>Expedite</v>
      </c>
      <c r="J245" s="29" t="n">
        <f aca="false">H245</f>
        <v>9279.1925682243</v>
      </c>
      <c r="K245" s="29" t="n">
        <f aca="false">E245+(1-Model!$B$5)*H245</f>
        <v>4601.29</v>
      </c>
      <c r="L245" s="29" t="n">
        <f aca="false">IF(I245="Expedite",K245,J245)</f>
        <v>4601.29</v>
      </c>
      <c r="M245" s="29" t="n">
        <f aca="false">J245-L245</f>
        <v>4677.9025682243</v>
      </c>
      <c r="N245" s="29" t="n">
        <f aca="false">IFERROR(E245/(F245*C245*Model!$B$5),"")</f>
        <v>448.3871240961</v>
      </c>
    </row>
    <row r="246" customFormat="false" ht="15" hidden="false" customHeight="false" outlineLevel="0" collapsed="false">
      <c r="A246" s="0" t="str">
        <f aca="false">Clean!A246</f>
        <v>SHP0245</v>
      </c>
      <c r="B246" s="0" t="str">
        <f aca="false">Clean!AA246</f>
        <v>Delhivery</v>
      </c>
      <c r="C246" s="28" t="n">
        <f aca="false">Clean!J246</f>
        <v>7.1</v>
      </c>
      <c r="D246" s="29" t="n">
        <f aca="false">Clean!AF246</f>
        <v>615.74</v>
      </c>
      <c r="E246" s="29" t="n">
        <f aca="false">Clean!AE246</f>
        <v>1555.49</v>
      </c>
      <c r="F246" s="22" t="n">
        <f aca="false">AVERAGEIFS(Clean!$V$2:$V$1001,Clean!$AA$2:$AA$1001,B246)</f>
        <v>0.72538860103627</v>
      </c>
      <c r="G246" s="29" t="n">
        <f aca="false">F246*C246*D246</f>
        <v>3171.22051813472</v>
      </c>
      <c r="H246" s="29" t="n">
        <f aca="false">G246*Model!$B$4</f>
        <v>3171.22051813472</v>
      </c>
      <c r="I246" s="0" t="str">
        <f aca="false">IF(E246&lt;Model!$B$5*H246,"Expedite","Standard")</f>
        <v>Expedite</v>
      </c>
      <c r="J246" s="29" t="n">
        <f aca="false">H246</f>
        <v>3171.22051813472</v>
      </c>
      <c r="K246" s="29" t="n">
        <f aca="false">E246+(1-Model!$B$5)*H246</f>
        <v>1555.49</v>
      </c>
      <c r="L246" s="29" t="n">
        <f aca="false">IF(I246="Expedite",K246,J246)</f>
        <v>1555.49</v>
      </c>
      <c r="M246" s="29" t="n">
        <f aca="false">J246-L246</f>
        <v>1615.73051813471</v>
      </c>
      <c r="N246" s="29" t="n">
        <f aca="false">IFERROR(E246/(F246*C246*Model!$B$5),"")</f>
        <v>302.021700201207</v>
      </c>
    </row>
    <row r="247" customFormat="false" ht="15" hidden="false" customHeight="false" outlineLevel="0" collapsed="false">
      <c r="A247" s="0" t="str">
        <f aca="false">Clean!A247</f>
        <v>SHP0246</v>
      </c>
      <c r="B247" s="0" t="str">
        <f aca="false">Clean!AA247</f>
        <v>GATI Logistics</v>
      </c>
      <c r="C247" s="28" t="n">
        <f aca="false">Clean!J247</f>
        <v>3.93</v>
      </c>
      <c r="D247" s="29" t="n">
        <f aca="false">Clean!AF247</f>
        <v>1320.01</v>
      </c>
      <c r="E247" s="29" t="n">
        <f aca="false">Clean!AE247</f>
        <v>4965.05</v>
      </c>
      <c r="F247" s="22" t="n">
        <f aca="false">AVERAGEIFS(Clean!$V$2:$V$1001,Clean!$AA$2:$AA$1001,B247)</f>
        <v>0.751243781094527</v>
      </c>
      <c r="G247" s="29" t="n">
        <f aca="false">F247*C247*D247</f>
        <v>3897.18176268657</v>
      </c>
      <c r="H247" s="29" t="n">
        <f aca="false">G247*Model!$B$4</f>
        <v>3897.18176268657</v>
      </c>
      <c r="I247" s="0" t="str">
        <f aca="false">IF(E247&lt;Model!$B$5*H247,"Expedite","Standard")</f>
        <v>Standard</v>
      </c>
      <c r="J247" s="29" t="n">
        <f aca="false">H247</f>
        <v>3897.18176268657</v>
      </c>
      <c r="K247" s="29" t="n">
        <f aca="false">E247+(1-Model!$B$5)*H247</f>
        <v>4965.05</v>
      </c>
      <c r="L247" s="29" t="n">
        <f aca="false">IF(I247="Expedite",K247,J247)</f>
        <v>3897.18176268657</v>
      </c>
      <c r="M247" s="29" t="n">
        <f aca="false">J247-L247</f>
        <v>0</v>
      </c>
      <c r="N247" s="29" t="n">
        <f aca="false">IFERROR(E247/(F247*C247*Model!$B$5),"")</f>
        <v>1681.70643546838</v>
      </c>
    </row>
    <row r="248" customFormat="false" ht="15" hidden="false" customHeight="false" outlineLevel="0" collapsed="false">
      <c r="A248" s="0" t="str">
        <f aca="false">Clean!A248</f>
        <v>SHP0247</v>
      </c>
      <c r="B248" s="0" t="str">
        <f aca="false">Clean!AA248</f>
        <v>VRL Cargo</v>
      </c>
      <c r="C248" s="28" t="n">
        <f aca="false">Clean!J248</f>
        <v>14.2</v>
      </c>
      <c r="D248" s="29" t="n">
        <f aca="false">Clean!AF248</f>
        <v>1152.29</v>
      </c>
      <c r="E248" s="29" t="n">
        <f aca="false">Clean!AE248</f>
        <v>3916.69</v>
      </c>
      <c r="F248" s="22" t="n">
        <f aca="false">AVERAGEIFS(Clean!$V$2:$V$1001,Clean!$AA$2:$AA$1001,B248)</f>
        <v>0.72020725388601</v>
      </c>
      <c r="G248" s="29" t="n">
        <f aca="false">F248*C248*D248</f>
        <v>11784.4041554404</v>
      </c>
      <c r="H248" s="29" t="n">
        <f aca="false">G248*Model!$B$4</f>
        <v>11784.4041554404</v>
      </c>
      <c r="I248" s="0" t="str">
        <f aca="false">IF(E248&lt;Model!$B$5*H248,"Expedite","Standard")</f>
        <v>Expedite</v>
      </c>
      <c r="J248" s="29" t="n">
        <f aca="false">H248</f>
        <v>11784.4041554404</v>
      </c>
      <c r="K248" s="29" t="n">
        <f aca="false">E248+(1-Model!$B$5)*H248</f>
        <v>3916.69</v>
      </c>
      <c r="L248" s="29" t="n">
        <f aca="false">IF(I248="Expedite",K248,J248)</f>
        <v>3916.69</v>
      </c>
      <c r="M248" s="29" t="n">
        <f aca="false">J248-L248</f>
        <v>7867.71415544041</v>
      </c>
      <c r="N248" s="29" t="n">
        <f aca="false">IFERROR(E248/(F248*C248*Model!$B$5),"")</f>
        <v>382.977591447968</v>
      </c>
    </row>
    <row r="249" customFormat="false" ht="15" hidden="false" customHeight="false" outlineLevel="0" collapsed="false">
      <c r="A249" s="0" t="str">
        <f aca="false">Clean!A249</f>
        <v>SHP0248</v>
      </c>
      <c r="B249" s="0" t="str">
        <f aca="false">Clean!AA249</f>
        <v>BlueDart</v>
      </c>
      <c r="C249" s="28" t="n">
        <f aca="false">Clean!J249</f>
        <v>17.07</v>
      </c>
      <c r="D249" s="29" t="n">
        <f aca="false">Clean!AF249</f>
        <v>946.42</v>
      </c>
      <c r="E249" s="29" t="n">
        <f aca="false">Clean!AE249</f>
        <v>4155.94</v>
      </c>
      <c r="F249" s="22" t="n">
        <f aca="false">AVERAGEIFS(Clean!$V$2:$V$1001,Clean!$AA$2:$AA$1001,B249)</f>
        <v>0.773869346733668</v>
      </c>
      <c r="G249" s="29" t="n">
        <f aca="false">F249*C249*D249</f>
        <v>12502.160641206</v>
      </c>
      <c r="H249" s="29" t="n">
        <f aca="false">G249*Model!$B$4</f>
        <v>12502.160641206</v>
      </c>
      <c r="I249" s="0" t="str">
        <f aca="false">IF(E249&lt;Model!$B$5*H249,"Expedite","Standard")</f>
        <v>Expedite</v>
      </c>
      <c r="J249" s="29" t="n">
        <f aca="false">H249</f>
        <v>12502.160641206</v>
      </c>
      <c r="K249" s="29" t="n">
        <f aca="false">E249+(1-Model!$B$5)*H249</f>
        <v>4155.94</v>
      </c>
      <c r="L249" s="29" t="n">
        <f aca="false">IF(I249="Expedite",K249,J249)</f>
        <v>4155.94</v>
      </c>
      <c r="M249" s="29" t="n">
        <f aca="false">J249-L249</f>
        <v>8346.22064120603</v>
      </c>
      <c r="N249" s="29" t="n">
        <f aca="false">IFERROR(E249/(F249*C249*Model!$B$5),"")</f>
        <v>314.606798590981</v>
      </c>
    </row>
    <row r="250" customFormat="false" ht="15" hidden="false" customHeight="false" outlineLevel="0" collapsed="false">
      <c r="A250" s="0" t="str">
        <f aca="false">Clean!A250</f>
        <v>SHP0249</v>
      </c>
      <c r="B250" s="0" t="str">
        <f aca="false">Clean!AA250</f>
        <v>Delhivery</v>
      </c>
      <c r="C250" s="28" t="n">
        <f aca="false">Clean!J250</f>
        <v>16.17</v>
      </c>
      <c r="D250" s="29" t="n">
        <f aca="false">Clean!AF250</f>
        <v>1025.81</v>
      </c>
      <c r="E250" s="29" t="n">
        <f aca="false">Clean!AE250</f>
        <v>2571.9</v>
      </c>
      <c r="F250" s="22" t="n">
        <f aca="false">AVERAGEIFS(Clean!$V$2:$V$1001,Clean!$AA$2:$AA$1001,B250)</f>
        <v>0.72538860103627</v>
      </c>
      <c r="G250" s="29" t="n">
        <f aca="false">F250*C250*D250</f>
        <v>12032.2729430052</v>
      </c>
      <c r="H250" s="29" t="n">
        <f aca="false">G250*Model!$B$4</f>
        <v>12032.2729430052</v>
      </c>
      <c r="I250" s="0" t="str">
        <f aca="false">IF(E250&lt;Model!$B$5*H250,"Expedite","Standard")</f>
        <v>Expedite</v>
      </c>
      <c r="J250" s="29" t="n">
        <f aca="false">H250</f>
        <v>12032.2729430052</v>
      </c>
      <c r="K250" s="29" t="n">
        <f aca="false">E250+(1-Model!$B$5)*H250</f>
        <v>2571.9</v>
      </c>
      <c r="L250" s="29" t="n">
        <f aca="false">IF(I250="Expedite",K250,J250)</f>
        <v>2571.9</v>
      </c>
      <c r="M250" s="29" t="n">
        <f aca="false">J250-L250</f>
        <v>9460.37294300518</v>
      </c>
      <c r="N250" s="29" t="n">
        <f aca="false">IFERROR(E250/(F250*C250*Model!$B$5),"")</f>
        <v>219.267028889478</v>
      </c>
    </row>
    <row r="251" customFormat="false" ht="15" hidden="false" customHeight="false" outlineLevel="0" collapsed="false">
      <c r="A251" s="0" t="str">
        <f aca="false">Clean!A251</f>
        <v>SHP0250</v>
      </c>
      <c r="B251" s="0" t="str">
        <f aca="false">Clean!AA251</f>
        <v>TCI Express</v>
      </c>
      <c r="C251" s="28" t="n">
        <f aca="false">Clean!J251</f>
        <v>10.72</v>
      </c>
      <c r="D251" s="29" t="n">
        <f aca="false">Clean!AF251</f>
        <v>1017.24</v>
      </c>
      <c r="E251" s="29" t="n">
        <f aca="false">Clean!AE251</f>
        <v>2359.08</v>
      </c>
      <c r="F251" s="22" t="n">
        <f aca="false">AVERAGEIFS(Clean!$V$2:$V$1001,Clean!$AA$2:$AA$1001,B251)</f>
        <v>0.752336448598131</v>
      </c>
      <c r="G251" s="29" t="n">
        <f aca="false">F251*C251*D251</f>
        <v>8204.08813457944</v>
      </c>
      <c r="H251" s="29" t="n">
        <f aca="false">G251*Model!$B$4</f>
        <v>8204.08813457944</v>
      </c>
      <c r="I251" s="0" t="str">
        <f aca="false">IF(E251&lt;Model!$B$5*H251,"Expedite","Standard")</f>
        <v>Expedite</v>
      </c>
      <c r="J251" s="29" t="n">
        <f aca="false">H251</f>
        <v>8204.08813457944</v>
      </c>
      <c r="K251" s="29" t="n">
        <f aca="false">E251+(1-Model!$B$5)*H251</f>
        <v>2359.08</v>
      </c>
      <c r="L251" s="29" t="n">
        <f aca="false">IF(I251="Expedite",K251,J251)</f>
        <v>2359.08</v>
      </c>
      <c r="M251" s="29" t="n">
        <f aca="false">J251-L251</f>
        <v>5845.00813457944</v>
      </c>
      <c r="N251" s="29" t="n">
        <f aca="false">IFERROR(E251/(F251*C251*Model!$B$5),"")</f>
        <v>292.506674701029</v>
      </c>
    </row>
    <row r="252" customFormat="false" ht="15" hidden="false" customHeight="false" outlineLevel="0" collapsed="false">
      <c r="A252" s="0" t="str">
        <f aca="false">Clean!A252</f>
        <v>SHP0251</v>
      </c>
      <c r="B252" s="0" t="str">
        <f aca="false">Clean!AA252</f>
        <v>GATI Logistics</v>
      </c>
      <c r="C252" s="28" t="n">
        <f aca="false">Clean!J252</f>
        <v>8.2</v>
      </c>
      <c r="D252" s="29" t="n">
        <f aca="false">Clean!AF252</f>
        <v>1080.22</v>
      </c>
      <c r="E252" s="29" t="n">
        <f aca="false">Clean!AE252</f>
        <v>4366.89</v>
      </c>
      <c r="F252" s="22" t="n">
        <f aca="false">AVERAGEIFS(Clean!$V$2:$V$1001,Clean!$AA$2:$AA$1001,B252)</f>
        <v>0.751243781094527</v>
      </c>
      <c r="G252" s="29" t="n">
        <f aca="false">F252*C252*D252</f>
        <v>6654.37016915423</v>
      </c>
      <c r="H252" s="29" t="n">
        <f aca="false">G252*Model!$B$4</f>
        <v>6654.37016915423</v>
      </c>
      <c r="I252" s="0" t="str">
        <f aca="false">IF(E252&lt;Model!$B$5*H252,"Expedite","Standard")</f>
        <v>Expedite</v>
      </c>
      <c r="J252" s="29" t="n">
        <f aca="false">H252</f>
        <v>6654.37016915423</v>
      </c>
      <c r="K252" s="29" t="n">
        <f aca="false">E252+(1-Model!$B$5)*H252</f>
        <v>4366.89</v>
      </c>
      <c r="L252" s="29" t="n">
        <f aca="false">IF(I252="Expedite",K252,J252)</f>
        <v>4366.89</v>
      </c>
      <c r="M252" s="29" t="n">
        <f aca="false">J252-L252</f>
        <v>2287.48016915423</v>
      </c>
      <c r="N252" s="29" t="n">
        <f aca="false">IFERROR(E252/(F252*C252*Model!$B$5),"")</f>
        <v>708.887812954289</v>
      </c>
    </row>
    <row r="253" customFormat="false" ht="15" hidden="false" customHeight="false" outlineLevel="0" collapsed="false">
      <c r="A253" s="0" t="str">
        <f aca="false">Clean!A253</f>
        <v>SHP0252</v>
      </c>
      <c r="B253" s="0" t="str">
        <f aca="false">Clean!AA253</f>
        <v>Delhivery</v>
      </c>
      <c r="C253" s="28" t="n">
        <f aca="false">Clean!J253</f>
        <v>11.63</v>
      </c>
      <c r="D253" s="29" t="n">
        <f aca="false">Clean!AF253</f>
        <v>635.79</v>
      </c>
      <c r="E253" s="29" t="n">
        <f aca="false">Clean!AE253</f>
        <v>3127.65</v>
      </c>
      <c r="F253" s="22" t="n">
        <f aca="false">AVERAGEIFS(Clean!$V$2:$V$1001,Clean!$AA$2:$AA$1001,B253)</f>
        <v>0.72538860103627</v>
      </c>
      <c r="G253" s="29" t="n">
        <f aca="false">F253*C253*D253</f>
        <v>5363.69574093264</v>
      </c>
      <c r="H253" s="29" t="n">
        <f aca="false">G253*Model!$B$4</f>
        <v>5363.69574093264</v>
      </c>
      <c r="I253" s="0" t="str">
        <f aca="false">IF(E253&lt;Model!$B$5*H253,"Expedite","Standard")</f>
        <v>Expedite</v>
      </c>
      <c r="J253" s="29" t="n">
        <f aca="false">H253</f>
        <v>5363.69574093264</v>
      </c>
      <c r="K253" s="29" t="n">
        <f aca="false">E253+(1-Model!$B$5)*H253</f>
        <v>3127.65</v>
      </c>
      <c r="L253" s="29" t="n">
        <f aca="false">IF(I253="Expedite",K253,J253)</f>
        <v>3127.65</v>
      </c>
      <c r="M253" s="29" t="n">
        <f aca="false">J253-L253</f>
        <v>2236.04574093264</v>
      </c>
      <c r="N253" s="29" t="n">
        <f aca="false">IFERROR(E253/(F253*C253*Model!$B$5),"")</f>
        <v>370.738514924456</v>
      </c>
    </row>
    <row r="254" customFormat="false" ht="15" hidden="false" customHeight="false" outlineLevel="0" collapsed="false">
      <c r="A254" s="0" t="str">
        <f aca="false">Clean!A254</f>
        <v>SHP0253</v>
      </c>
      <c r="B254" s="0" t="str">
        <f aca="false">Clean!AA254</f>
        <v>Delhivery</v>
      </c>
      <c r="C254" s="28" t="n">
        <f aca="false">Clean!J254</f>
        <v>2.89</v>
      </c>
      <c r="D254" s="29" t="n">
        <f aca="false">Clean!AF254</f>
        <v>874.8</v>
      </c>
      <c r="E254" s="29" t="n">
        <f aca="false">Clean!AE254</f>
        <v>2481.59</v>
      </c>
      <c r="F254" s="22" t="n">
        <f aca="false">AVERAGEIFS(Clean!$V$2:$V$1001,Clean!$AA$2:$AA$1001,B254)</f>
        <v>0.72538860103627</v>
      </c>
      <c r="G254" s="29" t="n">
        <f aca="false">F254*C254*D254</f>
        <v>1833.90715025907</v>
      </c>
      <c r="H254" s="29" t="n">
        <f aca="false">G254*Model!$B$4</f>
        <v>1833.90715025907</v>
      </c>
      <c r="I254" s="0" t="str">
        <f aca="false">IF(E254&lt;Model!$B$5*H254,"Expedite","Standard")</f>
        <v>Standard</v>
      </c>
      <c r="J254" s="29" t="n">
        <f aca="false">H254</f>
        <v>1833.90715025907</v>
      </c>
      <c r="K254" s="29" t="n">
        <f aca="false">E254+(1-Model!$B$5)*H254</f>
        <v>2481.59</v>
      </c>
      <c r="L254" s="29" t="n">
        <f aca="false">IF(I254="Expedite",K254,J254)</f>
        <v>1833.90715025907</v>
      </c>
      <c r="M254" s="29" t="n">
        <f aca="false">J254-L254</f>
        <v>0</v>
      </c>
      <c r="N254" s="29" t="n">
        <f aca="false">IFERROR(E254/(F254*C254*Model!$B$5),"")</f>
        <v>1183.75400395452</v>
      </c>
    </row>
    <row r="255" customFormat="false" ht="15" hidden="false" customHeight="false" outlineLevel="0" collapsed="false">
      <c r="A255" s="0" t="str">
        <f aca="false">Clean!A255</f>
        <v>SHP0254</v>
      </c>
      <c r="B255" s="0" t="str">
        <f aca="false">Clean!AA255</f>
        <v>BlueDart</v>
      </c>
      <c r="C255" s="28" t="n">
        <f aca="false">Clean!J255</f>
        <v>10.01</v>
      </c>
      <c r="D255" s="29" t="n">
        <f aca="false">Clean!AF255</f>
        <v>530.94</v>
      </c>
      <c r="E255" s="29" t="n">
        <f aca="false">Clean!AE255</f>
        <v>1606.34</v>
      </c>
      <c r="F255" s="22" t="n">
        <f aca="false">AVERAGEIFS(Clean!$V$2:$V$1001,Clean!$AA$2:$AA$1001,B255)</f>
        <v>0.773869346733668</v>
      </c>
      <c r="G255" s="29" t="n">
        <f aca="false">F255*C255*D255</f>
        <v>4112.89069145729</v>
      </c>
      <c r="H255" s="29" t="n">
        <f aca="false">G255*Model!$B$4</f>
        <v>4112.89069145729</v>
      </c>
      <c r="I255" s="0" t="str">
        <f aca="false">IF(E255&lt;Model!$B$5*H255,"Expedite","Standard")</f>
        <v>Expedite</v>
      </c>
      <c r="J255" s="29" t="n">
        <f aca="false">H255</f>
        <v>4112.89069145729</v>
      </c>
      <c r="K255" s="29" t="n">
        <f aca="false">E255+(1-Model!$B$5)*H255</f>
        <v>1606.34</v>
      </c>
      <c r="L255" s="29" t="n">
        <f aca="false">IF(I255="Expedite",K255,J255)</f>
        <v>1606.34</v>
      </c>
      <c r="M255" s="29" t="n">
        <f aca="false">J255-L255</f>
        <v>2506.55069145729</v>
      </c>
      <c r="N255" s="29" t="n">
        <f aca="false">IFERROR(E255/(F255*C255*Model!$B$5),"")</f>
        <v>207.365141352154</v>
      </c>
    </row>
    <row r="256" customFormat="false" ht="15" hidden="false" customHeight="false" outlineLevel="0" collapsed="false">
      <c r="A256" s="0" t="str">
        <f aca="false">Clean!A256</f>
        <v>SHP0255</v>
      </c>
      <c r="B256" s="0" t="str">
        <f aca="false">Clean!AA256</f>
        <v>VRL Cargo</v>
      </c>
      <c r="C256" s="28" t="n">
        <f aca="false">Clean!J256</f>
        <v>19.44</v>
      </c>
      <c r="D256" s="29" t="n">
        <f aca="false">Clean!AF256</f>
        <v>1326.81</v>
      </c>
      <c r="E256" s="29" t="n">
        <f aca="false">Clean!AE256</f>
        <v>2424.74</v>
      </c>
      <c r="F256" s="22" t="n">
        <f aca="false">AVERAGEIFS(Clean!$V$2:$V$1001,Clean!$AA$2:$AA$1001,B256)</f>
        <v>0.72020725388601</v>
      </c>
      <c r="G256" s="29" t="n">
        <f aca="false">F256*C256*D256</f>
        <v>18576.439946114</v>
      </c>
      <c r="H256" s="29" t="n">
        <f aca="false">G256*Model!$B$4</f>
        <v>18576.439946114</v>
      </c>
      <c r="I256" s="0" t="str">
        <f aca="false">IF(E256&lt;Model!$B$5*H256,"Expedite","Standard")</f>
        <v>Expedite</v>
      </c>
      <c r="J256" s="29" t="n">
        <f aca="false">H256</f>
        <v>18576.439946114</v>
      </c>
      <c r="K256" s="29" t="n">
        <f aca="false">E256+(1-Model!$B$5)*H256</f>
        <v>2424.74</v>
      </c>
      <c r="L256" s="29" t="n">
        <f aca="false">IF(I256="Expedite",K256,J256)</f>
        <v>2424.74</v>
      </c>
      <c r="M256" s="29" t="n">
        <f aca="false">J256-L256</f>
        <v>16151.699946114</v>
      </c>
      <c r="N256" s="29" t="n">
        <f aca="false">IFERROR(E256/(F256*C256*Model!$B$5),"")</f>
        <v>173.185459040175</v>
      </c>
    </row>
    <row r="257" customFormat="false" ht="15" hidden="false" customHeight="false" outlineLevel="0" collapsed="false">
      <c r="A257" s="0" t="str">
        <f aca="false">Clean!A257</f>
        <v>SHP0256</v>
      </c>
      <c r="B257" s="0" t="str">
        <f aca="false">Clean!AA257</f>
        <v>Delhivery</v>
      </c>
      <c r="C257" s="28" t="n">
        <f aca="false">Clean!J257</f>
        <v>14.47</v>
      </c>
      <c r="D257" s="29" t="n">
        <f aca="false">Clean!AF257</f>
        <v>1080.47</v>
      </c>
      <c r="E257" s="29" t="n">
        <f aca="false">Clean!AE257</f>
        <v>2389.11</v>
      </c>
      <c r="F257" s="22" t="n">
        <f aca="false">AVERAGEIFS(Clean!$V$2:$V$1001,Clean!$AA$2:$AA$1001,B257)</f>
        <v>0.72538860103627</v>
      </c>
      <c r="G257" s="29" t="n">
        <f aca="false">F257*C257*D257</f>
        <v>11341.0161968912</v>
      </c>
      <c r="H257" s="29" t="n">
        <f aca="false">G257*Model!$B$4</f>
        <v>11341.0161968912</v>
      </c>
      <c r="I257" s="0" t="str">
        <f aca="false">IF(E257&lt;Model!$B$5*H257,"Expedite","Standard")</f>
        <v>Expedite</v>
      </c>
      <c r="J257" s="29" t="n">
        <f aca="false">H257</f>
        <v>11341.0161968912</v>
      </c>
      <c r="K257" s="29" t="n">
        <f aca="false">E257+(1-Model!$B$5)*H257</f>
        <v>2389.11</v>
      </c>
      <c r="L257" s="29" t="n">
        <f aca="false">IF(I257="Expedite",K257,J257)</f>
        <v>2389.11</v>
      </c>
      <c r="M257" s="29" t="n">
        <f aca="false">J257-L257</f>
        <v>8951.90619689119</v>
      </c>
      <c r="N257" s="29" t="n">
        <f aca="false">IFERROR(E257/(F257*C257*Model!$B$5),"")</f>
        <v>227.6129084806</v>
      </c>
    </row>
    <row r="258" customFormat="false" ht="15" hidden="false" customHeight="false" outlineLevel="0" collapsed="false">
      <c r="A258" s="0" t="str">
        <f aca="false">Clean!A258</f>
        <v>SHP0257</v>
      </c>
      <c r="B258" s="0" t="str">
        <f aca="false">Clean!AA258</f>
        <v>TCI Express</v>
      </c>
      <c r="C258" s="28" t="n">
        <f aca="false">Clean!J258</f>
        <v>3.64</v>
      </c>
      <c r="D258" s="29" t="n">
        <f aca="false">Clean!AF258</f>
        <v>1120.66</v>
      </c>
      <c r="E258" s="29" t="n">
        <f aca="false">Clean!AE258</f>
        <v>3277.51</v>
      </c>
      <c r="F258" s="22" t="n">
        <f aca="false">AVERAGEIFS(Clean!$V$2:$V$1001,Clean!$AA$2:$AA$1001,B258)</f>
        <v>0.752336448598131</v>
      </c>
      <c r="G258" s="29" t="n">
        <f aca="false">F258*C258*D258</f>
        <v>3068.93264672897</v>
      </c>
      <c r="H258" s="29" t="n">
        <f aca="false">G258*Model!$B$4</f>
        <v>3068.93264672897</v>
      </c>
      <c r="I258" s="0" t="str">
        <f aca="false">IF(E258&lt;Model!$B$5*H258,"Expedite","Standard")</f>
        <v>Standard</v>
      </c>
      <c r="J258" s="29" t="n">
        <f aca="false">H258</f>
        <v>3068.93264672897</v>
      </c>
      <c r="K258" s="29" t="n">
        <f aca="false">E258+(1-Model!$B$5)*H258</f>
        <v>3277.51</v>
      </c>
      <c r="L258" s="29" t="n">
        <f aca="false">IF(I258="Expedite",K258,J258)</f>
        <v>3068.93264672897</v>
      </c>
      <c r="M258" s="29" t="n">
        <f aca="false">J258-L258</f>
        <v>0</v>
      </c>
      <c r="N258" s="29" t="n">
        <f aca="false">IFERROR(E258/(F258*C258*Model!$B$5),"")</f>
        <v>1196.82468773463</v>
      </c>
    </row>
    <row r="259" customFormat="false" ht="15" hidden="false" customHeight="false" outlineLevel="0" collapsed="false">
      <c r="A259" s="0" t="str">
        <f aca="false">Clean!A259</f>
        <v>SHP0258</v>
      </c>
      <c r="B259" s="0" t="str">
        <f aca="false">Clean!AA259</f>
        <v>TCI Express</v>
      </c>
      <c r="C259" s="28" t="n">
        <f aca="false">Clean!J259</f>
        <v>4.82</v>
      </c>
      <c r="D259" s="29" t="n">
        <f aca="false">Clean!AF259</f>
        <v>1409.45</v>
      </c>
      <c r="E259" s="29" t="n">
        <f aca="false">Clean!AE259</f>
        <v>4856.12</v>
      </c>
      <c r="F259" s="22" t="n">
        <f aca="false">AVERAGEIFS(Clean!$V$2:$V$1001,Clean!$AA$2:$AA$1001,B259)</f>
        <v>0.752336448598131</v>
      </c>
      <c r="G259" s="29" t="n">
        <f aca="false">F259*C259*D259</f>
        <v>5111.03452803738</v>
      </c>
      <c r="H259" s="29" t="n">
        <f aca="false">G259*Model!$B$4</f>
        <v>5111.03452803738</v>
      </c>
      <c r="I259" s="0" t="str">
        <f aca="false">IF(E259&lt;Model!$B$5*H259,"Expedite","Standard")</f>
        <v>Expedite</v>
      </c>
      <c r="J259" s="29" t="n">
        <f aca="false">H259</f>
        <v>5111.03452803738</v>
      </c>
      <c r="K259" s="29" t="n">
        <f aca="false">E259+(1-Model!$B$5)*H259</f>
        <v>4856.12</v>
      </c>
      <c r="L259" s="29" t="n">
        <f aca="false">IF(I259="Expedite",K259,J259)</f>
        <v>4856.12</v>
      </c>
      <c r="M259" s="29" t="n">
        <f aca="false">J259-L259</f>
        <v>254.914528037384</v>
      </c>
      <c r="N259" s="29" t="n">
        <f aca="false">IFERROR(E259/(F259*C259*Model!$B$5),"")</f>
        <v>1339.15321770057</v>
      </c>
    </row>
    <row r="260" customFormat="false" ht="15" hidden="false" customHeight="false" outlineLevel="0" collapsed="false">
      <c r="A260" s="0" t="str">
        <f aca="false">Clean!A260</f>
        <v>SHP0259</v>
      </c>
      <c r="B260" s="0" t="str">
        <f aca="false">Clean!AA260</f>
        <v>Delhivery</v>
      </c>
      <c r="C260" s="28" t="n">
        <f aca="false">Clean!J260</f>
        <v>14.72</v>
      </c>
      <c r="D260" s="29" t="n">
        <f aca="false">Clean!AF260</f>
        <v>1444.04</v>
      </c>
      <c r="E260" s="29" t="n">
        <f aca="false">Clean!AE260</f>
        <v>4508.36</v>
      </c>
      <c r="F260" s="22" t="n">
        <f aca="false">AVERAGEIFS(Clean!$V$2:$V$1001,Clean!$AA$2:$AA$1001,B260)</f>
        <v>0.72538860103627</v>
      </c>
      <c r="G260" s="29" t="n">
        <f aca="false">F260*C260*D260</f>
        <v>15419.0550880829</v>
      </c>
      <c r="H260" s="29" t="n">
        <f aca="false">G260*Model!$B$4</f>
        <v>15419.0550880829</v>
      </c>
      <c r="I260" s="0" t="str">
        <f aca="false">IF(E260&lt;Model!$B$5*H260,"Expedite","Standard")</f>
        <v>Expedite</v>
      </c>
      <c r="J260" s="29" t="n">
        <f aca="false">H260</f>
        <v>15419.0550880829</v>
      </c>
      <c r="K260" s="29" t="n">
        <f aca="false">E260+(1-Model!$B$5)*H260</f>
        <v>4508.36</v>
      </c>
      <c r="L260" s="29" t="n">
        <f aca="false">IF(I260="Expedite",K260,J260)</f>
        <v>4508.36</v>
      </c>
      <c r="M260" s="29" t="n">
        <f aca="false">J260-L260</f>
        <v>10910.6950880829</v>
      </c>
      <c r="N260" s="29" t="n">
        <f aca="false">IFERROR(E260/(F260*C260*Model!$B$5),"")</f>
        <v>422.221215062112</v>
      </c>
    </row>
    <row r="261" customFormat="false" ht="15" hidden="false" customHeight="false" outlineLevel="0" collapsed="false">
      <c r="A261" s="0" t="str">
        <f aca="false">Clean!A261</f>
        <v>SHP0260</v>
      </c>
      <c r="B261" s="0" t="str">
        <f aca="false">Clean!AA261</f>
        <v>TCI Express</v>
      </c>
      <c r="C261" s="28" t="n">
        <f aca="false">Clean!J261</f>
        <v>3.83</v>
      </c>
      <c r="D261" s="29" t="n">
        <f aca="false">Clean!AF261</f>
        <v>785.78</v>
      </c>
      <c r="E261" s="29" t="n">
        <f aca="false">Clean!AE261</f>
        <v>2501.32</v>
      </c>
      <c r="F261" s="22" t="n">
        <f aca="false">AVERAGEIFS(Clean!$V$2:$V$1001,Clean!$AA$2:$AA$1001,B261)</f>
        <v>0.752336448598131</v>
      </c>
      <c r="G261" s="29" t="n">
        <f aca="false">F261*C261*D261</f>
        <v>2264.18467943925</v>
      </c>
      <c r="H261" s="29" t="n">
        <f aca="false">G261*Model!$B$4</f>
        <v>2264.18467943925</v>
      </c>
      <c r="I261" s="0" t="str">
        <f aca="false">IF(E261&lt;Model!$B$5*H261,"Expedite","Standard")</f>
        <v>Standard</v>
      </c>
      <c r="J261" s="29" t="n">
        <f aca="false">H261</f>
        <v>2264.18467943925</v>
      </c>
      <c r="K261" s="29" t="n">
        <f aca="false">E261+(1-Model!$B$5)*H261</f>
        <v>2501.32</v>
      </c>
      <c r="L261" s="29" t="n">
        <f aca="false">IF(I261="Expedite",K261,J261)</f>
        <v>2264.18467943925</v>
      </c>
      <c r="M261" s="29" t="n">
        <f aca="false">J261-L261</f>
        <v>0</v>
      </c>
      <c r="N261" s="29" t="n">
        <f aca="false">IFERROR(E261/(F261*C261*Model!$B$5),"")</f>
        <v>868.077258647812</v>
      </c>
    </row>
    <row r="262" customFormat="false" ht="15" hidden="false" customHeight="false" outlineLevel="0" collapsed="false">
      <c r="A262" s="0" t="str">
        <f aca="false">Clean!A262</f>
        <v>SHP0261</v>
      </c>
      <c r="B262" s="0" t="str">
        <f aca="false">Clean!AA262</f>
        <v>BlueDart</v>
      </c>
      <c r="C262" s="28" t="n">
        <f aca="false">Clean!J262</f>
        <v>4.86</v>
      </c>
      <c r="D262" s="29" t="n">
        <f aca="false">Clean!AF262</f>
        <v>1327.52</v>
      </c>
      <c r="E262" s="29" t="n">
        <f aca="false">Clean!AE262</f>
        <v>2630.34</v>
      </c>
      <c r="F262" s="22" t="n">
        <f aca="false">AVERAGEIFS(Clean!$V$2:$V$1001,Clean!$AA$2:$AA$1001,B262)</f>
        <v>0.773869346733668</v>
      </c>
      <c r="G262" s="29" t="n">
        <f aca="false">F262*C262*D262</f>
        <v>4992.80939095477</v>
      </c>
      <c r="H262" s="29" t="n">
        <f aca="false">G262*Model!$B$4</f>
        <v>4992.80939095477</v>
      </c>
      <c r="I262" s="0" t="str">
        <f aca="false">IF(E262&lt;Model!$B$5*H262,"Expedite","Standard")</f>
        <v>Expedite</v>
      </c>
      <c r="J262" s="29" t="n">
        <f aca="false">H262</f>
        <v>4992.80939095477</v>
      </c>
      <c r="K262" s="29" t="n">
        <f aca="false">E262+(1-Model!$B$5)*H262</f>
        <v>2630.34</v>
      </c>
      <c r="L262" s="29" t="n">
        <f aca="false">IF(I262="Expedite",K262,J262)</f>
        <v>2630.34</v>
      </c>
      <c r="M262" s="29" t="n">
        <f aca="false">J262-L262</f>
        <v>2362.46939095477</v>
      </c>
      <c r="N262" s="29" t="n">
        <f aca="false">IFERROR(E262/(F262*C262*Model!$B$5),"")</f>
        <v>699.371572871573</v>
      </c>
    </row>
    <row r="263" customFormat="false" ht="15" hidden="false" customHeight="false" outlineLevel="0" collapsed="false">
      <c r="A263" s="0" t="str">
        <f aca="false">Clean!A263</f>
        <v>SHP0262</v>
      </c>
      <c r="B263" s="0" t="str">
        <f aca="false">Clean!AA263</f>
        <v>Delhivery</v>
      </c>
      <c r="C263" s="28" t="n">
        <f aca="false">Clean!J263</f>
        <v>15.53</v>
      </c>
      <c r="D263" s="29" t="n">
        <f aca="false">Clean!AF263</f>
        <v>1393.09</v>
      </c>
      <c r="E263" s="29" t="n">
        <f aca="false">Clean!AE263</f>
        <v>4387.88</v>
      </c>
      <c r="F263" s="22" t="n">
        <f aca="false">AVERAGEIFS(Clean!$V$2:$V$1001,Clean!$AA$2:$AA$1001,B263)</f>
        <v>0.72538860103627</v>
      </c>
      <c r="G263" s="29" t="n">
        <f aca="false">F263*C263*D263</f>
        <v>15693.5558445596</v>
      </c>
      <c r="H263" s="29" t="n">
        <f aca="false">G263*Model!$B$4</f>
        <v>15693.5558445596</v>
      </c>
      <c r="I263" s="0" t="str">
        <f aca="false">IF(E263&lt;Model!$B$5*H263,"Expedite","Standard")</f>
        <v>Expedite</v>
      </c>
      <c r="J263" s="29" t="n">
        <f aca="false">H263</f>
        <v>15693.5558445596</v>
      </c>
      <c r="K263" s="29" t="n">
        <f aca="false">E263+(1-Model!$B$5)*H263</f>
        <v>4387.88</v>
      </c>
      <c r="L263" s="29" t="n">
        <f aca="false">IF(I263="Expedite",K263,J263)</f>
        <v>4387.88</v>
      </c>
      <c r="M263" s="29" t="n">
        <f aca="false">J263-L263</f>
        <v>11305.6758445596</v>
      </c>
      <c r="N263" s="29" t="n">
        <f aca="false">IFERROR(E263/(F263*C263*Model!$B$5),"")</f>
        <v>389.504571796523</v>
      </c>
    </row>
    <row r="264" customFormat="false" ht="15" hidden="false" customHeight="false" outlineLevel="0" collapsed="false">
      <c r="A264" s="0" t="str">
        <f aca="false">Clean!A264</f>
        <v>SHP0263</v>
      </c>
      <c r="B264" s="0" t="str">
        <f aca="false">Clean!AA264</f>
        <v>Delhivery</v>
      </c>
      <c r="C264" s="28" t="n">
        <f aca="false">Clean!J264</f>
        <v>2.19</v>
      </c>
      <c r="D264" s="29" t="n">
        <f aca="false">Clean!AF264</f>
        <v>634.44</v>
      </c>
      <c r="E264" s="29" t="n">
        <f aca="false">Clean!AE264</f>
        <v>3770.13</v>
      </c>
      <c r="F264" s="22" t="n">
        <f aca="false">AVERAGEIFS(Clean!$V$2:$V$1001,Clean!$AA$2:$AA$1001,B264)</f>
        <v>0.72538860103627</v>
      </c>
      <c r="G264" s="29" t="n">
        <f aca="false">F264*C264*D264</f>
        <v>1007.87204145078</v>
      </c>
      <c r="H264" s="29" t="n">
        <f aca="false">G264*Model!$B$4</f>
        <v>1007.87204145078</v>
      </c>
      <c r="I264" s="0" t="str">
        <f aca="false">IF(E264&lt;Model!$B$5*H264,"Expedite","Standard")</f>
        <v>Standard</v>
      </c>
      <c r="J264" s="29" t="n">
        <f aca="false">H264</f>
        <v>1007.87204145078</v>
      </c>
      <c r="K264" s="29" t="n">
        <f aca="false">E264+(1-Model!$B$5)*H264</f>
        <v>3770.13</v>
      </c>
      <c r="L264" s="29" t="n">
        <f aca="false">IF(I264="Expedite",K264,J264)</f>
        <v>1007.87204145078</v>
      </c>
      <c r="M264" s="29" t="n">
        <f aca="false">J264-L264</f>
        <v>0</v>
      </c>
      <c r="N264" s="29" t="n">
        <f aca="false">IFERROR(E264/(F264*C264*Model!$B$5),"")</f>
        <v>2373.23904109589</v>
      </c>
    </row>
    <row r="265" customFormat="false" ht="15" hidden="false" customHeight="false" outlineLevel="0" collapsed="false">
      <c r="A265" s="0" t="str">
        <f aca="false">Clean!A265</f>
        <v>SHP0264</v>
      </c>
      <c r="B265" s="0" t="str">
        <f aca="false">Clean!AA265</f>
        <v>VRL Cargo</v>
      </c>
      <c r="C265" s="28" t="n">
        <f aca="false">Clean!J265</f>
        <v>6.69</v>
      </c>
      <c r="D265" s="29" t="n">
        <f aca="false">Clean!AF265</f>
        <v>700.65</v>
      </c>
      <c r="E265" s="29" t="n">
        <f aca="false">Clean!AE265</f>
        <v>4962.18</v>
      </c>
      <c r="F265" s="22" t="n">
        <f aca="false">AVERAGEIFS(Clean!$V$2:$V$1001,Clean!$AA$2:$AA$1001,B265)</f>
        <v>0.72020725388601</v>
      </c>
      <c r="G265" s="29" t="n">
        <f aca="false">F265*C265*D265</f>
        <v>3375.86239119171</v>
      </c>
      <c r="H265" s="29" t="n">
        <f aca="false">G265*Model!$B$4</f>
        <v>3375.86239119171</v>
      </c>
      <c r="I265" s="0" t="str">
        <f aca="false">IF(E265&lt;Model!$B$5*H265,"Expedite","Standard")</f>
        <v>Standard</v>
      </c>
      <c r="J265" s="29" t="n">
        <f aca="false">H265</f>
        <v>3375.86239119171</v>
      </c>
      <c r="K265" s="29" t="n">
        <f aca="false">E265+(1-Model!$B$5)*H265</f>
        <v>4962.18</v>
      </c>
      <c r="L265" s="29" t="n">
        <f aca="false">IF(I265="Expedite",K265,J265)</f>
        <v>3375.86239119171</v>
      </c>
      <c r="M265" s="29" t="n">
        <f aca="false">J265-L265</f>
        <v>0</v>
      </c>
      <c r="N265" s="29" t="n">
        <f aca="false">IFERROR(E265/(F265*C265*Model!$B$5),"")</f>
        <v>1029.88540826532</v>
      </c>
    </row>
    <row r="266" customFormat="false" ht="15" hidden="false" customHeight="false" outlineLevel="0" collapsed="false">
      <c r="A266" s="0" t="str">
        <f aca="false">Clean!A266</f>
        <v>SHP0265</v>
      </c>
      <c r="B266" s="0" t="str">
        <f aca="false">Clean!AA266</f>
        <v>GATI Logistics</v>
      </c>
      <c r="C266" s="28" t="n">
        <f aca="false">Clean!J266</f>
        <v>19.9</v>
      </c>
      <c r="D266" s="29" t="n">
        <f aca="false">Clean!AF266</f>
        <v>1321.93</v>
      </c>
      <c r="E266" s="29" t="n">
        <f aca="false">Clean!AE266</f>
        <v>4748.36</v>
      </c>
      <c r="F266" s="22" t="n">
        <f aca="false">AVERAGEIFS(Clean!$V$2:$V$1001,Clean!$AA$2:$AA$1001,B266)</f>
        <v>0.751243781094527</v>
      </c>
      <c r="G266" s="29" t="n">
        <f aca="false">F266*C266*D266</f>
        <v>19762.5246616915</v>
      </c>
      <c r="H266" s="29" t="n">
        <f aca="false">G266*Model!$B$4</f>
        <v>19762.5246616915</v>
      </c>
      <c r="I266" s="0" t="str">
        <f aca="false">IF(E266&lt;Model!$B$5*H266,"Expedite","Standard")</f>
        <v>Expedite</v>
      </c>
      <c r="J266" s="29" t="n">
        <f aca="false">H266</f>
        <v>19762.5246616915</v>
      </c>
      <c r="K266" s="29" t="n">
        <f aca="false">E266+(1-Model!$B$5)*H266</f>
        <v>4748.36</v>
      </c>
      <c r="L266" s="29" t="n">
        <f aca="false">IF(I266="Expedite",K266,J266)</f>
        <v>4748.36</v>
      </c>
      <c r="M266" s="29" t="n">
        <f aca="false">J266-L266</f>
        <v>15014.1646616915</v>
      </c>
      <c r="N266" s="29" t="n">
        <f aca="false">IFERROR(E266/(F266*C266*Model!$B$5),"")</f>
        <v>317.621338480482</v>
      </c>
    </row>
    <row r="267" customFormat="false" ht="15" hidden="false" customHeight="false" outlineLevel="0" collapsed="false">
      <c r="A267" s="0" t="str">
        <f aca="false">Clean!A267</f>
        <v>SHP0266</v>
      </c>
      <c r="B267" s="0" t="str">
        <f aca="false">Clean!AA267</f>
        <v>GATI Logistics</v>
      </c>
      <c r="C267" s="28" t="n">
        <f aca="false">Clean!J267</f>
        <v>16.37</v>
      </c>
      <c r="D267" s="29" t="n">
        <f aca="false">Clean!AF267</f>
        <v>566.01</v>
      </c>
      <c r="E267" s="29" t="n">
        <f aca="false">Clean!AE267</f>
        <v>2628.43</v>
      </c>
      <c r="F267" s="22" t="n">
        <f aca="false">AVERAGEIFS(Clean!$V$2:$V$1001,Clean!$AA$2:$AA$1001,B267)</f>
        <v>0.751243781094527</v>
      </c>
      <c r="G267" s="29" t="n">
        <f aca="false">F267*C267*D267</f>
        <v>6960.71213283582</v>
      </c>
      <c r="H267" s="29" t="n">
        <f aca="false">G267*Model!$B$4</f>
        <v>6960.71213283582</v>
      </c>
      <c r="I267" s="0" t="str">
        <f aca="false">IF(E267&lt;Model!$B$5*H267,"Expedite","Standard")</f>
        <v>Expedite</v>
      </c>
      <c r="J267" s="29" t="n">
        <f aca="false">H267</f>
        <v>6960.71213283582</v>
      </c>
      <c r="K267" s="29" t="n">
        <f aca="false">E267+(1-Model!$B$5)*H267</f>
        <v>2628.43</v>
      </c>
      <c r="L267" s="29" t="n">
        <f aca="false">IF(I267="Expedite",K267,J267)</f>
        <v>2628.43</v>
      </c>
      <c r="M267" s="29" t="n">
        <f aca="false">J267-L267</f>
        <v>4332.28213283582</v>
      </c>
      <c r="N267" s="29" t="n">
        <f aca="false">IFERROR(E267/(F267*C267*Model!$B$5),"")</f>
        <v>213.730669493137</v>
      </c>
    </row>
    <row r="268" customFormat="false" ht="15" hidden="false" customHeight="false" outlineLevel="0" collapsed="false">
      <c r="A268" s="0" t="str">
        <f aca="false">Clean!A268</f>
        <v>SHP0267</v>
      </c>
      <c r="B268" s="0" t="str">
        <f aca="false">Clean!AA268</f>
        <v>BlueDart</v>
      </c>
      <c r="C268" s="28" t="n">
        <f aca="false">Clean!J268</f>
        <v>7.63</v>
      </c>
      <c r="D268" s="29" t="n">
        <f aca="false">Clean!AF268</f>
        <v>572.9</v>
      </c>
      <c r="E268" s="29" t="n">
        <f aca="false">Clean!AE268</f>
        <v>1200.9</v>
      </c>
      <c r="F268" s="22" t="n">
        <f aca="false">AVERAGEIFS(Clean!$V$2:$V$1001,Clean!$AA$2:$AA$1001,B268)</f>
        <v>0.773869346733668</v>
      </c>
      <c r="G268" s="29" t="n">
        <f aca="false">F268*C268*D268</f>
        <v>3382.75858291457</v>
      </c>
      <c r="H268" s="29" t="n">
        <f aca="false">G268*Model!$B$4</f>
        <v>3382.75858291457</v>
      </c>
      <c r="I268" s="0" t="str">
        <f aca="false">IF(E268&lt;Model!$B$5*H268,"Expedite","Standard")</f>
        <v>Expedite</v>
      </c>
      <c r="J268" s="29" t="n">
        <f aca="false">H268</f>
        <v>3382.75858291457</v>
      </c>
      <c r="K268" s="29" t="n">
        <f aca="false">E268+(1-Model!$B$5)*H268</f>
        <v>1200.9</v>
      </c>
      <c r="L268" s="29" t="n">
        <f aca="false">IF(I268="Expedite",K268,J268)</f>
        <v>1200.9</v>
      </c>
      <c r="M268" s="29" t="n">
        <f aca="false">J268-L268</f>
        <v>2181.85858291457</v>
      </c>
      <c r="N268" s="29" t="n">
        <f aca="false">IFERROR(E268/(F268*C268*Model!$B$5),"")</f>
        <v>203.383006246702</v>
      </c>
    </row>
    <row r="269" customFormat="false" ht="15" hidden="false" customHeight="false" outlineLevel="0" collapsed="false">
      <c r="A269" s="0" t="str">
        <f aca="false">Clean!A269</f>
        <v>SHP0268</v>
      </c>
      <c r="B269" s="0" t="str">
        <f aca="false">Clean!AA269</f>
        <v>BlueDart</v>
      </c>
      <c r="C269" s="28" t="n">
        <f aca="false">Clean!J269</f>
        <v>8.65</v>
      </c>
      <c r="D269" s="29" t="n">
        <f aca="false">Clean!AF269</f>
        <v>522.03</v>
      </c>
      <c r="E269" s="29" t="n">
        <f aca="false">Clean!AE269</f>
        <v>2064.67</v>
      </c>
      <c r="F269" s="22" t="n">
        <f aca="false">AVERAGEIFS(Clean!$V$2:$V$1001,Clean!$AA$2:$AA$1001,B269)</f>
        <v>0.773869346733668</v>
      </c>
      <c r="G269" s="29" t="n">
        <f aca="false">F269*C269*D269</f>
        <v>3494.45308040201</v>
      </c>
      <c r="H269" s="29" t="n">
        <f aca="false">G269*Model!$B$4</f>
        <v>3494.45308040201</v>
      </c>
      <c r="I269" s="0" t="str">
        <f aca="false">IF(E269&lt;Model!$B$5*H269,"Expedite","Standard")</f>
        <v>Expedite</v>
      </c>
      <c r="J269" s="29" t="n">
        <f aca="false">H269</f>
        <v>3494.45308040201</v>
      </c>
      <c r="K269" s="29" t="n">
        <f aca="false">E269+(1-Model!$B$5)*H269</f>
        <v>2064.67</v>
      </c>
      <c r="L269" s="29" t="n">
        <f aca="false">IF(I269="Expedite",K269,J269)</f>
        <v>2064.67</v>
      </c>
      <c r="M269" s="29" t="n">
        <f aca="false">J269-L269</f>
        <v>1429.78308040201</v>
      </c>
      <c r="N269" s="29" t="n">
        <f aca="false">IFERROR(E269/(F269*C269*Model!$B$5),"")</f>
        <v>308.437302004354</v>
      </c>
    </row>
    <row r="270" customFormat="false" ht="15" hidden="false" customHeight="false" outlineLevel="0" collapsed="false">
      <c r="A270" s="0" t="str">
        <f aca="false">Clean!A270</f>
        <v>SHP0269</v>
      </c>
      <c r="B270" s="0" t="str">
        <f aca="false">Clean!AA270</f>
        <v>VRL Cargo</v>
      </c>
      <c r="C270" s="28" t="n">
        <f aca="false">Clean!J270</f>
        <v>12.08</v>
      </c>
      <c r="D270" s="29" t="n">
        <f aca="false">Clean!AF270</f>
        <v>1085.86</v>
      </c>
      <c r="E270" s="29" t="n">
        <f aca="false">Clean!AE270</f>
        <v>2797.4</v>
      </c>
      <c r="F270" s="22" t="n">
        <f aca="false">AVERAGEIFS(Clean!$V$2:$V$1001,Clean!$AA$2:$AA$1001,B270)</f>
        <v>0.72020725388601</v>
      </c>
      <c r="G270" s="29" t="n">
        <f aca="false">F270*C270*D270</f>
        <v>9447.09452435233</v>
      </c>
      <c r="H270" s="29" t="n">
        <f aca="false">G270*Model!$B$4</f>
        <v>9447.09452435233</v>
      </c>
      <c r="I270" s="0" t="str">
        <f aca="false">IF(E270&lt;Model!$B$5*H270,"Expedite","Standard")</f>
        <v>Expedite</v>
      </c>
      <c r="J270" s="29" t="n">
        <f aca="false">H270</f>
        <v>9447.09452435233</v>
      </c>
      <c r="K270" s="29" t="n">
        <f aca="false">E270+(1-Model!$B$5)*H270</f>
        <v>2797.4</v>
      </c>
      <c r="L270" s="29" t="n">
        <f aca="false">IF(I270="Expedite",K270,J270)</f>
        <v>2797.4</v>
      </c>
      <c r="M270" s="29" t="n">
        <f aca="false">J270-L270</f>
        <v>6649.69452435233</v>
      </c>
      <c r="N270" s="29" t="n">
        <f aca="false">IFERROR(E270/(F270*C270*Model!$B$5),"")</f>
        <v>321.536400019058</v>
      </c>
    </row>
    <row r="271" customFormat="false" ht="15" hidden="false" customHeight="false" outlineLevel="0" collapsed="false">
      <c r="A271" s="0" t="str">
        <f aca="false">Clean!A271</f>
        <v>SHP0270</v>
      </c>
      <c r="B271" s="0" t="str">
        <f aca="false">Clean!AA271</f>
        <v>BlueDart</v>
      </c>
      <c r="C271" s="28" t="n">
        <f aca="false">Clean!J271</f>
        <v>12.87</v>
      </c>
      <c r="D271" s="29" t="n">
        <f aca="false">Clean!AF271</f>
        <v>1063.29</v>
      </c>
      <c r="E271" s="29" t="n">
        <f aca="false">Clean!AE271</f>
        <v>2159.88</v>
      </c>
      <c r="F271" s="22" t="n">
        <f aca="false">AVERAGEIFS(Clean!$V$2:$V$1001,Clean!$AA$2:$AA$1001,B271)</f>
        <v>0.773869346733668</v>
      </c>
      <c r="G271" s="29" t="n">
        <f aca="false">F271*C271*D271</f>
        <v>10590.0478100503</v>
      </c>
      <c r="H271" s="29" t="n">
        <f aca="false">G271*Model!$B$4</f>
        <v>10590.0478100503</v>
      </c>
      <c r="I271" s="0" t="str">
        <f aca="false">IF(E271&lt;Model!$B$5*H271,"Expedite","Standard")</f>
        <v>Expedite</v>
      </c>
      <c r="J271" s="29" t="n">
        <f aca="false">H271</f>
        <v>10590.0478100503</v>
      </c>
      <c r="K271" s="29" t="n">
        <f aca="false">E271+(1-Model!$B$5)*H271</f>
        <v>2159.88</v>
      </c>
      <c r="L271" s="29" t="n">
        <f aca="false">IF(I271="Expedite",K271,J271)</f>
        <v>2159.88</v>
      </c>
      <c r="M271" s="29" t="n">
        <f aca="false">J271-L271</f>
        <v>8430.16781005025</v>
      </c>
      <c r="N271" s="29" t="n">
        <f aca="false">IFERROR(E271/(F271*C271*Model!$B$5),"")</f>
        <v>216.86198649835</v>
      </c>
    </row>
    <row r="272" customFormat="false" ht="15" hidden="false" customHeight="false" outlineLevel="0" collapsed="false">
      <c r="A272" s="0" t="str">
        <f aca="false">Clean!A272</f>
        <v>SHP0271</v>
      </c>
      <c r="B272" s="0" t="str">
        <f aca="false">Clean!AA272</f>
        <v>TCI Express</v>
      </c>
      <c r="C272" s="28" t="n">
        <f aca="false">Clean!J272</f>
        <v>3.28</v>
      </c>
      <c r="D272" s="29" t="n">
        <f aca="false">Clean!AF272</f>
        <v>902.45</v>
      </c>
      <c r="E272" s="29" t="n">
        <f aca="false">Clean!AE272</f>
        <v>2086.19</v>
      </c>
      <c r="F272" s="22" t="n">
        <f aca="false">AVERAGEIFS(Clean!$V$2:$V$1001,Clean!$AA$2:$AA$1001,B272)</f>
        <v>0.752336448598131</v>
      </c>
      <c r="G272" s="29" t="n">
        <f aca="false">F272*C272*D272</f>
        <v>2226.94297196262</v>
      </c>
      <c r="H272" s="29" t="n">
        <f aca="false">G272*Model!$B$4</f>
        <v>2226.94297196262</v>
      </c>
      <c r="I272" s="0" t="str">
        <f aca="false">IF(E272&lt;Model!$B$5*H272,"Expedite","Standard")</f>
        <v>Expedite</v>
      </c>
      <c r="J272" s="29" t="n">
        <f aca="false">H272</f>
        <v>2226.94297196262</v>
      </c>
      <c r="K272" s="29" t="n">
        <f aca="false">E272+(1-Model!$B$5)*H272</f>
        <v>2086.19</v>
      </c>
      <c r="L272" s="29" t="n">
        <f aca="false">IF(I272="Expedite",K272,J272)</f>
        <v>2086.19</v>
      </c>
      <c r="M272" s="29" t="n">
        <f aca="false">J272-L272</f>
        <v>140.752971962617</v>
      </c>
      <c r="N272" s="29" t="n">
        <f aca="false">IFERROR(E272/(F272*C272*Model!$B$5),"")</f>
        <v>845.411036206636</v>
      </c>
    </row>
    <row r="273" customFormat="false" ht="15" hidden="false" customHeight="false" outlineLevel="0" collapsed="false">
      <c r="A273" s="0" t="str">
        <f aca="false">Clean!A273</f>
        <v>SHP0272</v>
      </c>
      <c r="B273" s="0" t="str">
        <f aca="false">Clean!AA273</f>
        <v>VRL Cargo</v>
      </c>
      <c r="C273" s="28" t="n">
        <f aca="false">Clean!J273</f>
        <v>2.95</v>
      </c>
      <c r="D273" s="29" t="n">
        <f aca="false">Clean!AF273</f>
        <v>503.82</v>
      </c>
      <c r="E273" s="29" t="n">
        <f aca="false">Clean!AE273</f>
        <v>4357.35</v>
      </c>
      <c r="F273" s="22" t="n">
        <f aca="false">AVERAGEIFS(Clean!$V$2:$V$1001,Clean!$AA$2:$AA$1001,B273)</f>
        <v>0.72020725388601</v>
      </c>
      <c r="G273" s="29" t="n">
        <f aca="false">F273*C273*D273</f>
        <v>1070.42171502591</v>
      </c>
      <c r="H273" s="29" t="n">
        <f aca="false">G273*Model!$B$4</f>
        <v>1070.42171502591</v>
      </c>
      <c r="I273" s="0" t="str">
        <f aca="false">IF(E273&lt;Model!$B$5*H273,"Expedite","Standard")</f>
        <v>Standard</v>
      </c>
      <c r="J273" s="29" t="n">
        <f aca="false">H273</f>
        <v>1070.42171502591</v>
      </c>
      <c r="K273" s="29" t="n">
        <f aca="false">E273+(1-Model!$B$5)*H273</f>
        <v>4357.35</v>
      </c>
      <c r="L273" s="29" t="n">
        <f aca="false">IF(I273="Expedite",K273,J273)</f>
        <v>1070.42171502591</v>
      </c>
      <c r="M273" s="29" t="n">
        <f aca="false">J273-L273</f>
        <v>0</v>
      </c>
      <c r="N273" s="29" t="n">
        <f aca="false">IFERROR(E273/(F273*C273*Model!$B$5),"")</f>
        <v>2050.89269601268</v>
      </c>
    </row>
    <row r="274" customFormat="false" ht="15" hidden="false" customHeight="false" outlineLevel="0" collapsed="false">
      <c r="A274" s="0" t="str">
        <f aca="false">Clean!A274</f>
        <v>SHP0273</v>
      </c>
      <c r="B274" s="0" t="str">
        <f aca="false">Clean!AA274</f>
        <v>Delhivery</v>
      </c>
      <c r="C274" s="28" t="n">
        <f aca="false">Clean!J274</f>
        <v>5.69</v>
      </c>
      <c r="D274" s="29" t="n">
        <f aca="false">Clean!AF274</f>
        <v>1391.87</v>
      </c>
      <c r="E274" s="29" t="n">
        <f aca="false">Clean!AE274</f>
        <v>4155.73</v>
      </c>
      <c r="F274" s="22" t="n">
        <f aca="false">AVERAGEIFS(Clean!$V$2:$V$1001,Clean!$AA$2:$AA$1001,B274)</f>
        <v>0.72538860103627</v>
      </c>
      <c r="G274" s="29" t="n">
        <f aca="false">F274*C274*D274</f>
        <v>5744.88933678757</v>
      </c>
      <c r="H274" s="29" t="n">
        <f aca="false">G274*Model!$B$4</f>
        <v>5744.88933678757</v>
      </c>
      <c r="I274" s="0" t="str">
        <f aca="false">IF(E274&lt;Model!$B$5*H274,"Expedite","Standard")</f>
        <v>Expedite</v>
      </c>
      <c r="J274" s="29" t="n">
        <f aca="false">H274</f>
        <v>5744.88933678757</v>
      </c>
      <c r="K274" s="29" t="n">
        <f aca="false">E274+(1-Model!$B$5)*H274</f>
        <v>4155.73</v>
      </c>
      <c r="L274" s="29" t="n">
        <f aca="false">IF(I274="Expedite",K274,J274)</f>
        <v>4155.73</v>
      </c>
      <c r="M274" s="29" t="n">
        <f aca="false">J274-L274</f>
        <v>1589.15933678757</v>
      </c>
      <c r="N274" s="29" t="n">
        <f aca="false">IFERROR(E274/(F274*C274*Model!$B$5),"")</f>
        <v>1006.84897062516</v>
      </c>
    </row>
    <row r="275" customFormat="false" ht="15" hidden="false" customHeight="false" outlineLevel="0" collapsed="false">
      <c r="A275" s="0" t="str">
        <f aca="false">Clean!A275</f>
        <v>SHP0274</v>
      </c>
      <c r="B275" s="0" t="str">
        <f aca="false">Clean!AA275</f>
        <v>TCI Express</v>
      </c>
      <c r="C275" s="28" t="n">
        <f aca="false">Clean!J275</f>
        <v>9.24</v>
      </c>
      <c r="D275" s="29" t="n">
        <f aca="false">Clean!AF275</f>
        <v>887.65</v>
      </c>
      <c r="E275" s="29" t="n">
        <f aca="false">Clean!AE275</f>
        <v>2975.26</v>
      </c>
      <c r="F275" s="22" t="n">
        <f aca="false">AVERAGEIFS(Clean!$V$2:$V$1001,Clean!$AA$2:$AA$1001,B275)</f>
        <v>0.752336448598131</v>
      </c>
      <c r="G275" s="29" t="n">
        <f aca="false">F275*C275*D275</f>
        <v>6170.57778504673</v>
      </c>
      <c r="H275" s="29" t="n">
        <f aca="false">G275*Model!$B$4</f>
        <v>6170.57778504673</v>
      </c>
      <c r="I275" s="0" t="str">
        <f aca="false">IF(E275&lt;Model!$B$5*H275,"Expedite","Standard")</f>
        <v>Expedite</v>
      </c>
      <c r="J275" s="29" t="n">
        <f aca="false">H275</f>
        <v>6170.57778504673</v>
      </c>
      <c r="K275" s="29" t="n">
        <f aca="false">E275+(1-Model!$B$5)*H275</f>
        <v>2975.26</v>
      </c>
      <c r="L275" s="29" t="n">
        <f aca="false">IF(I275="Expedite",K275,J275)</f>
        <v>2975.26</v>
      </c>
      <c r="M275" s="29" t="n">
        <f aca="false">J275-L275</f>
        <v>3195.31778504673</v>
      </c>
      <c r="N275" s="29" t="n">
        <f aca="false">IFERROR(E275/(F275*C275*Model!$B$5),"")</f>
        <v>427.997122959856</v>
      </c>
    </row>
    <row r="276" customFormat="false" ht="15" hidden="false" customHeight="false" outlineLevel="0" collapsed="false">
      <c r="A276" s="0" t="str">
        <f aca="false">Clean!A276</f>
        <v>SHP0275</v>
      </c>
      <c r="B276" s="0" t="str">
        <f aca="false">Clean!AA276</f>
        <v>VRL Cargo</v>
      </c>
      <c r="C276" s="28" t="n">
        <f aca="false">Clean!J276</f>
        <v>13.02</v>
      </c>
      <c r="D276" s="29" t="n">
        <f aca="false">Clean!AF276</f>
        <v>1443.98</v>
      </c>
      <c r="E276" s="29" t="n">
        <f aca="false">Clean!AE276</f>
        <v>3704.43</v>
      </c>
      <c r="F276" s="22" t="n">
        <f aca="false">AVERAGEIFS(Clean!$V$2:$V$1001,Clean!$AA$2:$AA$1001,B276)</f>
        <v>0.72020725388601</v>
      </c>
      <c r="G276" s="29" t="n">
        <f aca="false">F276*C276*D276</f>
        <v>13540.3426134715</v>
      </c>
      <c r="H276" s="29" t="n">
        <f aca="false">G276*Model!$B$4</f>
        <v>13540.3426134715</v>
      </c>
      <c r="I276" s="0" t="str">
        <f aca="false">IF(E276&lt;Model!$B$5*H276,"Expedite","Standard")</f>
        <v>Expedite</v>
      </c>
      <c r="J276" s="29" t="n">
        <f aca="false">H276</f>
        <v>13540.3426134715</v>
      </c>
      <c r="K276" s="29" t="n">
        <f aca="false">E276+(1-Model!$B$5)*H276</f>
        <v>3704.43</v>
      </c>
      <c r="L276" s="29" t="n">
        <f aca="false">IF(I276="Expedite",K276,J276)</f>
        <v>3704.43</v>
      </c>
      <c r="M276" s="29" t="n">
        <f aca="false">J276-L276</f>
        <v>9835.9126134715</v>
      </c>
      <c r="N276" s="29" t="n">
        <f aca="false">IFERROR(E276/(F276*C276*Model!$B$5),"")</f>
        <v>395.050774127242</v>
      </c>
    </row>
    <row r="277" customFormat="false" ht="15" hidden="false" customHeight="false" outlineLevel="0" collapsed="false">
      <c r="A277" s="0" t="str">
        <f aca="false">Clean!A277</f>
        <v>SHP0276</v>
      </c>
      <c r="B277" s="0" t="str">
        <f aca="false">Clean!AA277</f>
        <v>Delhivery</v>
      </c>
      <c r="C277" s="28" t="n">
        <f aca="false">Clean!J277</f>
        <v>6.11</v>
      </c>
      <c r="D277" s="29" t="n">
        <f aca="false">Clean!AF277</f>
        <v>1365.82</v>
      </c>
      <c r="E277" s="29" t="n">
        <f aca="false">Clean!AE277</f>
        <v>2540.48</v>
      </c>
      <c r="F277" s="22" t="n">
        <f aca="false">AVERAGEIFS(Clean!$V$2:$V$1001,Clean!$AA$2:$AA$1001,B277)</f>
        <v>0.72538860103627</v>
      </c>
      <c r="G277" s="29" t="n">
        <f aca="false">F277*C277*D277</f>
        <v>6053.48408290156</v>
      </c>
      <c r="H277" s="29" t="n">
        <f aca="false">G277*Model!$B$4</f>
        <v>6053.48408290156</v>
      </c>
      <c r="I277" s="0" t="str">
        <f aca="false">IF(E277&lt;Model!$B$5*H277,"Expedite","Standard")</f>
        <v>Expedite</v>
      </c>
      <c r="J277" s="29" t="n">
        <f aca="false">H277</f>
        <v>6053.48408290156</v>
      </c>
      <c r="K277" s="29" t="n">
        <f aca="false">E277+(1-Model!$B$5)*H277</f>
        <v>2540.48</v>
      </c>
      <c r="L277" s="29" t="n">
        <f aca="false">IF(I277="Expedite",K277,J277)</f>
        <v>2540.48</v>
      </c>
      <c r="M277" s="29" t="n">
        <f aca="false">J277-L277</f>
        <v>3513.00408290155</v>
      </c>
      <c r="N277" s="29" t="n">
        <f aca="false">IFERROR(E277/(F277*C277*Model!$B$5),"")</f>
        <v>573.196913724573</v>
      </c>
    </row>
    <row r="278" customFormat="false" ht="15" hidden="false" customHeight="false" outlineLevel="0" collapsed="false">
      <c r="A278" s="0" t="str">
        <f aca="false">Clean!A278</f>
        <v>SHP0277</v>
      </c>
      <c r="B278" s="0" t="str">
        <f aca="false">Clean!AA278</f>
        <v>TCI Express</v>
      </c>
      <c r="C278" s="28" t="n">
        <f aca="false">Clean!J278</f>
        <v>10.04</v>
      </c>
      <c r="D278" s="29" t="n">
        <f aca="false">Clean!AF278</f>
        <v>1219.65</v>
      </c>
      <c r="E278" s="29" t="n">
        <f aca="false">Clean!AE278</f>
        <v>2663.19</v>
      </c>
      <c r="F278" s="22" t="n">
        <f aca="false">AVERAGEIFS(Clean!$V$2:$V$1001,Clean!$AA$2:$AA$1001,B278)</f>
        <v>0.752336448598131</v>
      </c>
      <c r="G278" s="29" t="n">
        <f aca="false">F278*C278*D278</f>
        <v>9212.57498130841</v>
      </c>
      <c r="H278" s="29" t="n">
        <f aca="false">G278*Model!$B$4</f>
        <v>9212.57498130841</v>
      </c>
      <c r="I278" s="0" t="str">
        <f aca="false">IF(E278&lt;Model!$B$5*H278,"Expedite","Standard")</f>
        <v>Expedite</v>
      </c>
      <c r="J278" s="29" t="n">
        <f aca="false">H278</f>
        <v>9212.57498130841</v>
      </c>
      <c r="K278" s="29" t="n">
        <f aca="false">E278+(1-Model!$B$5)*H278</f>
        <v>2663.19</v>
      </c>
      <c r="L278" s="29" t="n">
        <f aca="false">IF(I278="Expedite",K278,J278)</f>
        <v>2663.19</v>
      </c>
      <c r="M278" s="29" t="n">
        <f aca="false">J278-L278</f>
        <v>6549.38498130841</v>
      </c>
      <c r="N278" s="29" t="n">
        <f aca="false">IFERROR(E278/(F278*C278*Model!$B$5),"")</f>
        <v>352.578914157037</v>
      </c>
    </row>
    <row r="279" customFormat="false" ht="15" hidden="false" customHeight="false" outlineLevel="0" collapsed="false">
      <c r="A279" s="0" t="str">
        <f aca="false">Clean!A279</f>
        <v>SHP0278</v>
      </c>
      <c r="B279" s="0" t="str">
        <f aca="false">Clean!AA279</f>
        <v>BlueDart</v>
      </c>
      <c r="C279" s="28" t="n">
        <f aca="false">Clean!J279</f>
        <v>8.05</v>
      </c>
      <c r="D279" s="29" t="n">
        <f aca="false">Clean!AF279</f>
        <v>636.6</v>
      </c>
      <c r="E279" s="29" t="n">
        <f aca="false">Clean!AE279</f>
        <v>2181.21</v>
      </c>
      <c r="F279" s="22" t="n">
        <f aca="false">AVERAGEIFS(Clean!$V$2:$V$1001,Clean!$AA$2:$AA$1001,B279)</f>
        <v>0.773869346733668</v>
      </c>
      <c r="G279" s="29" t="n">
        <f aca="false">F279*C279*D279</f>
        <v>3965.79407035176</v>
      </c>
      <c r="H279" s="29" t="n">
        <f aca="false">G279*Model!$B$4</f>
        <v>3965.79407035176</v>
      </c>
      <c r="I279" s="0" t="str">
        <f aca="false">IF(E279&lt;Model!$B$5*H279,"Expedite","Standard")</f>
        <v>Expedite</v>
      </c>
      <c r="J279" s="29" t="n">
        <f aca="false">H279</f>
        <v>3965.79407035176</v>
      </c>
      <c r="K279" s="29" t="n">
        <f aca="false">E279+(1-Model!$B$5)*H279</f>
        <v>2181.21</v>
      </c>
      <c r="L279" s="29" t="n">
        <f aca="false">IF(I279="Expedite",K279,J279)</f>
        <v>2181.21</v>
      </c>
      <c r="M279" s="29" t="n">
        <f aca="false">J279-L279</f>
        <v>1784.58407035176</v>
      </c>
      <c r="N279" s="29" t="n">
        <f aca="false">IFERROR(E279/(F279*C279*Model!$B$5),"")</f>
        <v>350.133733967895</v>
      </c>
    </row>
    <row r="280" customFormat="false" ht="15" hidden="false" customHeight="false" outlineLevel="0" collapsed="false">
      <c r="A280" s="0" t="str">
        <f aca="false">Clean!A280</f>
        <v>SHP0279</v>
      </c>
      <c r="B280" s="0" t="str">
        <f aca="false">Clean!AA280</f>
        <v>GATI Logistics</v>
      </c>
      <c r="C280" s="28" t="n">
        <f aca="false">Clean!J280</f>
        <v>13.38</v>
      </c>
      <c r="D280" s="29" t="n">
        <f aca="false">Clean!AF280</f>
        <v>867.79</v>
      </c>
      <c r="E280" s="29" t="n">
        <f aca="false">Clean!AE280</f>
        <v>2149.64</v>
      </c>
      <c r="F280" s="22" t="n">
        <f aca="false">AVERAGEIFS(Clean!$V$2:$V$1001,Clean!$AA$2:$AA$1001,B280)</f>
        <v>0.751243781094527</v>
      </c>
      <c r="G280" s="29" t="n">
        <f aca="false">F280*C280*D280</f>
        <v>8722.71422985075</v>
      </c>
      <c r="H280" s="29" t="n">
        <f aca="false">G280*Model!$B$4</f>
        <v>8722.71422985075</v>
      </c>
      <c r="I280" s="0" t="str">
        <f aca="false">IF(E280&lt;Model!$B$5*H280,"Expedite","Standard")</f>
        <v>Expedite</v>
      </c>
      <c r="J280" s="29" t="n">
        <f aca="false">H280</f>
        <v>8722.71422985075</v>
      </c>
      <c r="K280" s="29" t="n">
        <f aca="false">E280+(1-Model!$B$5)*H280</f>
        <v>2149.64</v>
      </c>
      <c r="L280" s="29" t="n">
        <f aca="false">IF(I280="Expedite",K280,J280)</f>
        <v>2149.64</v>
      </c>
      <c r="M280" s="29" t="n">
        <f aca="false">J280-L280</f>
        <v>6573.07422985075</v>
      </c>
      <c r="N280" s="29" t="n">
        <f aca="false">IFERROR(E280/(F280*C280*Model!$B$5),"")</f>
        <v>213.859590770053</v>
      </c>
    </row>
    <row r="281" customFormat="false" ht="15" hidden="false" customHeight="false" outlineLevel="0" collapsed="false">
      <c r="A281" s="0" t="str">
        <f aca="false">Clean!A281</f>
        <v>SHP0280</v>
      </c>
      <c r="B281" s="0" t="str">
        <f aca="false">Clean!AA281</f>
        <v>TCI Express</v>
      </c>
      <c r="C281" s="28" t="n">
        <f aca="false">Clean!J281</f>
        <v>2.1</v>
      </c>
      <c r="D281" s="29" t="n">
        <f aca="false">Clean!AF281</f>
        <v>837.35</v>
      </c>
      <c r="E281" s="29" t="n">
        <f aca="false">Clean!AE281</f>
        <v>2516.38</v>
      </c>
      <c r="F281" s="22" t="n">
        <f aca="false">AVERAGEIFS(Clean!$V$2:$V$1001,Clean!$AA$2:$AA$1001,B281)</f>
        <v>0.752336448598131</v>
      </c>
      <c r="G281" s="29" t="n">
        <f aca="false">F281*C281*D281</f>
        <v>1322.93474299065</v>
      </c>
      <c r="H281" s="29" t="n">
        <f aca="false">G281*Model!$B$4</f>
        <v>1322.93474299065</v>
      </c>
      <c r="I281" s="0" t="str">
        <f aca="false">IF(E281&lt;Model!$B$5*H281,"Expedite","Standard")</f>
        <v>Standard</v>
      </c>
      <c r="J281" s="29" t="n">
        <f aca="false">H281</f>
        <v>1322.93474299065</v>
      </c>
      <c r="K281" s="29" t="n">
        <f aca="false">E281+(1-Model!$B$5)*H281</f>
        <v>2516.38</v>
      </c>
      <c r="L281" s="29" t="n">
        <f aca="false">IF(I281="Expedite",K281,J281)</f>
        <v>1322.93474299065</v>
      </c>
      <c r="M281" s="29" t="n">
        <f aca="false">J281-L281</f>
        <v>0</v>
      </c>
      <c r="N281" s="29" t="n">
        <f aca="false">IFERROR(E281/(F281*C281*Model!$B$5),"")</f>
        <v>1592.73978112984</v>
      </c>
    </row>
    <row r="282" customFormat="false" ht="15" hidden="false" customHeight="false" outlineLevel="0" collapsed="false">
      <c r="A282" s="0" t="str">
        <f aca="false">Clean!A282</f>
        <v>SHP0281</v>
      </c>
      <c r="B282" s="0" t="str">
        <f aca="false">Clean!AA282</f>
        <v>TCI Express</v>
      </c>
      <c r="C282" s="28" t="n">
        <f aca="false">Clean!J282</f>
        <v>1.37</v>
      </c>
      <c r="D282" s="29" t="n">
        <f aca="false">Clean!AF282</f>
        <v>1463.5</v>
      </c>
      <c r="E282" s="29" t="n">
        <f aca="false">Clean!AE282</f>
        <v>2856.38</v>
      </c>
      <c r="F282" s="22" t="n">
        <f aca="false">AVERAGEIFS(Clean!$V$2:$V$1001,Clean!$AA$2:$AA$1001,B282)</f>
        <v>0.752336448598131</v>
      </c>
      <c r="G282" s="29" t="n">
        <f aca="false">F282*C282*D282</f>
        <v>1508.43081775701</v>
      </c>
      <c r="H282" s="29" t="n">
        <f aca="false">G282*Model!$B$4</f>
        <v>1508.43081775701</v>
      </c>
      <c r="I282" s="0" t="str">
        <f aca="false">IF(E282&lt;Model!$B$5*H282,"Expedite","Standard")</f>
        <v>Standard</v>
      </c>
      <c r="J282" s="29" t="n">
        <f aca="false">H282</f>
        <v>1508.43081775701</v>
      </c>
      <c r="K282" s="29" t="n">
        <f aca="false">E282+(1-Model!$B$5)*H282</f>
        <v>2856.38</v>
      </c>
      <c r="L282" s="29" t="n">
        <f aca="false">IF(I282="Expedite",K282,J282)</f>
        <v>1508.43081775701</v>
      </c>
      <c r="M282" s="29" t="n">
        <f aca="false">J282-L282</f>
        <v>0</v>
      </c>
      <c r="N282" s="29" t="n">
        <f aca="false">IFERROR(E282/(F282*C282*Model!$B$5),"")</f>
        <v>2771.29854467969</v>
      </c>
    </row>
    <row r="283" customFormat="false" ht="15" hidden="false" customHeight="false" outlineLevel="0" collapsed="false">
      <c r="A283" s="0" t="str">
        <f aca="false">Clean!A283</f>
        <v>SHP0282</v>
      </c>
      <c r="B283" s="0" t="str">
        <f aca="false">Clean!AA283</f>
        <v>BlueDart</v>
      </c>
      <c r="C283" s="28" t="n">
        <f aca="false">Clean!J283</f>
        <v>10.86</v>
      </c>
      <c r="D283" s="29" t="n">
        <f aca="false">Clean!AF283</f>
        <v>1075.36</v>
      </c>
      <c r="E283" s="29" t="n">
        <f aca="false">Clean!AE283</f>
        <v>4428.52</v>
      </c>
      <c r="F283" s="22" t="n">
        <f aca="false">AVERAGEIFS(Clean!$V$2:$V$1001,Clean!$AA$2:$AA$1001,B283)</f>
        <v>0.773869346733668</v>
      </c>
      <c r="G283" s="29" t="n">
        <f aca="false">F283*C283*D283</f>
        <v>9037.5632080402</v>
      </c>
      <c r="H283" s="29" t="n">
        <f aca="false">G283*Model!$B$4</f>
        <v>9037.5632080402</v>
      </c>
      <c r="I283" s="0" t="str">
        <f aca="false">IF(E283&lt;Model!$B$5*H283,"Expedite","Standard")</f>
        <v>Expedite</v>
      </c>
      <c r="J283" s="29" t="n">
        <f aca="false">H283</f>
        <v>9037.5632080402</v>
      </c>
      <c r="K283" s="29" t="n">
        <f aca="false">E283+(1-Model!$B$5)*H283</f>
        <v>4428.52</v>
      </c>
      <c r="L283" s="29" t="n">
        <f aca="false">IF(I283="Expedite",K283,J283)</f>
        <v>4428.52</v>
      </c>
      <c r="M283" s="29" t="n">
        <f aca="false">J283-L283</f>
        <v>4609.0432080402</v>
      </c>
      <c r="N283" s="29" t="n">
        <f aca="false">IFERROR(E283/(F283*C283*Model!$B$5),"")</f>
        <v>526.939967951018</v>
      </c>
    </row>
    <row r="284" customFormat="false" ht="15" hidden="false" customHeight="false" outlineLevel="0" collapsed="false">
      <c r="A284" s="0" t="str">
        <f aca="false">Clean!A284</f>
        <v>SHP0283</v>
      </c>
      <c r="B284" s="0" t="str">
        <f aca="false">Clean!AA284</f>
        <v>BlueDart</v>
      </c>
      <c r="C284" s="28" t="n">
        <f aca="false">Clean!J284</f>
        <v>2.45</v>
      </c>
      <c r="D284" s="29" t="n">
        <f aca="false">Clean!AF284</f>
        <v>1068.09</v>
      </c>
      <c r="E284" s="29" t="n">
        <f aca="false">Clean!AE284</f>
        <v>3282.6</v>
      </c>
      <c r="F284" s="22" t="n">
        <f aca="false">AVERAGEIFS(Clean!$V$2:$V$1001,Clean!$AA$2:$AA$1001,B284)</f>
        <v>0.773869346733668</v>
      </c>
      <c r="G284" s="29" t="n">
        <f aca="false">F284*C284*D284</f>
        <v>2025.07717085427</v>
      </c>
      <c r="H284" s="29" t="n">
        <f aca="false">G284*Model!$B$4</f>
        <v>2025.07717085427</v>
      </c>
      <c r="I284" s="0" t="str">
        <f aca="false">IF(E284&lt;Model!$B$5*H284,"Expedite","Standard")</f>
        <v>Standard</v>
      </c>
      <c r="J284" s="29" t="n">
        <f aca="false">H284</f>
        <v>2025.07717085427</v>
      </c>
      <c r="K284" s="29" t="n">
        <f aca="false">E284+(1-Model!$B$5)*H284</f>
        <v>3282.6</v>
      </c>
      <c r="L284" s="29" t="n">
        <f aca="false">IF(I284="Expedite",K284,J284)</f>
        <v>2025.07717085427</v>
      </c>
      <c r="M284" s="29" t="n">
        <f aca="false">J284-L284</f>
        <v>0</v>
      </c>
      <c r="N284" s="29" t="n">
        <f aca="false">IFERROR(E284/(F284*C284*Model!$B$5),"")</f>
        <v>1731.34746885767</v>
      </c>
    </row>
    <row r="285" customFormat="false" ht="15" hidden="false" customHeight="false" outlineLevel="0" collapsed="false">
      <c r="A285" s="0" t="str">
        <f aca="false">Clean!A285</f>
        <v>SHP0284</v>
      </c>
      <c r="B285" s="0" t="str">
        <f aca="false">Clean!AA285</f>
        <v>BlueDart</v>
      </c>
      <c r="C285" s="28" t="n">
        <f aca="false">Clean!J285</f>
        <v>13.6</v>
      </c>
      <c r="D285" s="29" t="n">
        <f aca="false">Clean!AF285</f>
        <v>791.14</v>
      </c>
      <c r="E285" s="29" t="n">
        <f aca="false">Clean!AE285</f>
        <v>3424.59</v>
      </c>
      <c r="F285" s="22" t="n">
        <f aca="false">AVERAGEIFS(Clean!$V$2:$V$1001,Clean!$AA$2:$AA$1001,B285)</f>
        <v>0.773869346733668</v>
      </c>
      <c r="G285" s="29" t="n">
        <f aca="false">F285*C285*D285</f>
        <v>8326.45033165829</v>
      </c>
      <c r="H285" s="29" t="n">
        <f aca="false">G285*Model!$B$4</f>
        <v>8326.45033165829</v>
      </c>
      <c r="I285" s="0" t="str">
        <f aca="false">IF(E285&lt;Model!$B$5*H285,"Expedite","Standard")</f>
        <v>Expedite</v>
      </c>
      <c r="J285" s="29" t="n">
        <f aca="false">H285</f>
        <v>8326.45033165829</v>
      </c>
      <c r="K285" s="29" t="n">
        <f aca="false">E285+(1-Model!$B$5)*H285</f>
        <v>3424.59</v>
      </c>
      <c r="L285" s="29" t="n">
        <f aca="false">IF(I285="Expedite",K285,J285)</f>
        <v>3424.59</v>
      </c>
      <c r="M285" s="29" t="n">
        <f aca="false">J285-L285</f>
        <v>4901.86033165829</v>
      </c>
      <c r="N285" s="29" t="n">
        <f aca="false">IFERROR(E285/(F285*C285*Model!$B$5),"")</f>
        <v>325.388373758594</v>
      </c>
    </row>
    <row r="286" customFormat="false" ht="15" hidden="false" customHeight="false" outlineLevel="0" collapsed="false">
      <c r="A286" s="0" t="str">
        <f aca="false">Clean!A286</f>
        <v>SHP0285</v>
      </c>
      <c r="B286" s="0" t="str">
        <f aca="false">Clean!AA286</f>
        <v>TCI Express</v>
      </c>
      <c r="C286" s="28" t="n">
        <f aca="false">Clean!J286</f>
        <v>4.93</v>
      </c>
      <c r="D286" s="29" t="n">
        <f aca="false">Clean!AF286</f>
        <v>1082.21</v>
      </c>
      <c r="E286" s="29" t="n">
        <f aca="false">Clean!AE286</f>
        <v>3686.57</v>
      </c>
      <c r="F286" s="22" t="n">
        <f aca="false">AVERAGEIFS(Clean!$V$2:$V$1001,Clean!$AA$2:$AA$1001,B286)</f>
        <v>0.752336448598131</v>
      </c>
      <c r="G286" s="29" t="n">
        <f aca="false">F286*C286*D286</f>
        <v>4013.9371182243</v>
      </c>
      <c r="H286" s="29" t="n">
        <f aca="false">G286*Model!$B$4</f>
        <v>4013.9371182243</v>
      </c>
      <c r="I286" s="0" t="str">
        <f aca="false">IF(E286&lt;Model!$B$5*H286,"Expedite","Standard")</f>
        <v>Expedite</v>
      </c>
      <c r="J286" s="29" t="n">
        <f aca="false">H286</f>
        <v>4013.9371182243</v>
      </c>
      <c r="K286" s="29" t="n">
        <f aca="false">E286+(1-Model!$B$5)*H286</f>
        <v>3686.57</v>
      </c>
      <c r="L286" s="29" t="n">
        <f aca="false">IF(I286="Expedite",K286,J286)</f>
        <v>3686.57</v>
      </c>
      <c r="M286" s="29" t="n">
        <f aca="false">J286-L286</f>
        <v>327.367118224299</v>
      </c>
      <c r="N286" s="29" t="n">
        <f aca="false">IFERROR(E286/(F286*C286*Model!$B$5),"")</f>
        <v>993.947538835624</v>
      </c>
    </row>
    <row r="287" customFormat="false" ht="15" hidden="false" customHeight="false" outlineLevel="0" collapsed="false">
      <c r="A287" s="0" t="str">
        <f aca="false">Clean!A287</f>
        <v>SHP0286</v>
      </c>
      <c r="B287" s="0" t="str">
        <f aca="false">Clean!AA287</f>
        <v>TCI Express</v>
      </c>
      <c r="C287" s="28" t="n">
        <f aca="false">Clean!J287</f>
        <v>19.81</v>
      </c>
      <c r="D287" s="29" t="n">
        <f aca="false">Clean!AF287</f>
        <v>704.98</v>
      </c>
      <c r="E287" s="29" t="n">
        <f aca="false">Clean!AE287</f>
        <v>4107.71</v>
      </c>
      <c r="F287" s="22" t="n">
        <f aca="false">AVERAGEIFS(Clean!$V$2:$V$1001,Clean!$AA$2:$AA$1001,B287)</f>
        <v>0.752336448598131</v>
      </c>
      <c r="G287" s="29" t="n">
        <f aca="false">F287*C287*D287</f>
        <v>10506.870382243</v>
      </c>
      <c r="H287" s="29" t="n">
        <f aca="false">G287*Model!$B$4</f>
        <v>10506.870382243</v>
      </c>
      <c r="I287" s="0" t="str">
        <f aca="false">IF(E287&lt;Model!$B$5*H287,"Expedite","Standard")</f>
        <v>Expedite</v>
      </c>
      <c r="J287" s="29" t="n">
        <f aca="false">H287</f>
        <v>10506.870382243</v>
      </c>
      <c r="K287" s="29" t="n">
        <f aca="false">E287+(1-Model!$B$5)*H287</f>
        <v>4107.71</v>
      </c>
      <c r="L287" s="29" t="n">
        <f aca="false">IF(I287="Expedite",K287,J287)</f>
        <v>4107.71</v>
      </c>
      <c r="M287" s="29" t="n">
        <f aca="false">J287-L287</f>
        <v>6399.16038224299</v>
      </c>
      <c r="N287" s="29" t="n">
        <f aca="false">IFERROR(E287/(F287*C287*Model!$B$5),"")</f>
        <v>275.615220369912</v>
      </c>
    </row>
    <row r="288" customFormat="false" ht="15" hidden="false" customHeight="false" outlineLevel="0" collapsed="false">
      <c r="A288" s="0" t="str">
        <f aca="false">Clean!A288</f>
        <v>SHP0287</v>
      </c>
      <c r="B288" s="0" t="str">
        <f aca="false">Clean!AA288</f>
        <v>TCI Express</v>
      </c>
      <c r="C288" s="28" t="n">
        <f aca="false">Clean!J288</f>
        <v>14.79</v>
      </c>
      <c r="D288" s="29" t="n">
        <f aca="false">Clean!AF288</f>
        <v>663.88</v>
      </c>
      <c r="E288" s="29" t="n">
        <f aca="false">Clean!AE288</f>
        <v>4625.68</v>
      </c>
      <c r="F288" s="22" t="n">
        <f aca="false">AVERAGEIFS(Clean!$V$2:$V$1001,Clean!$AA$2:$AA$1001,B288)</f>
        <v>0.752336448598131</v>
      </c>
      <c r="G288" s="29" t="n">
        <f aca="false">F288*C288*D288</f>
        <v>7387.02998691589</v>
      </c>
      <c r="H288" s="29" t="n">
        <f aca="false">G288*Model!$B$4</f>
        <v>7387.02998691589</v>
      </c>
      <c r="I288" s="0" t="str">
        <f aca="false">IF(E288&lt;Model!$B$5*H288,"Expedite","Standard")</f>
        <v>Expedite</v>
      </c>
      <c r="J288" s="29" t="n">
        <f aca="false">H288</f>
        <v>7387.02998691589</v>
      </c>
      <c r="K288" s="29" t="n">
        <f aca="false">E288+(1-Model!$B$5)*H288</f>
        <v>4625.68</v>
      </c>
      <c r="L288" s="29" t="n">
        <f aca="false">IF(I288="Expedite",K288,J288)</f>
        <v>4625.68</v>
      </c>
      <c r="M288" s="29" t="n">
        <f aca="false">J288-L288</f>
        <v>2761.34998691589</v>
      </c>
      <c r="N288" s="29" t="n">
        <f aca="false">IFERROR(E288/(F288*C288*Model!$B$5),"")</f>
        <v>415.714630079918</v>
      </c>
    </row>
    <row r="289" customFormat="false" ht="15" hidden="false" customHeight="false" outlineLevel="0" collapsed="false">
      <c r="A289" s="0" t="str">
        <f aca="false">Clean!A289</f>
        <v>SHP0288</v>
      </c>
      <c r="B289" s="0" t="str">
        <f aca="false">Clean!AA289</f>
        <v>BlueDart</v>
      </c>
      <c r="C289" s="28" t="n">
        <f aca="false">Clean!J289</f>
        <v>13.21</v>
      </c>
      <c r="D289" s="29" t="n">
        <f aca="false">Clean!AF289</f>
        <v>647.3</v>
      </c>
      <c r="E289" s="29" t="n">
        <f aca="false">Clean!AE289</f>
        <v>1248.81</v>
      </c>
      <c r="F289" s="22" t="n">
        <f aca="false">AVERAGEIFS(Clean!$V$2:$V$1001,Clean!$AA$2:$AA$1001,B289)</f>
        <v>0.773869346733668</v>
      </c>
      <c r="G289" s="29" t="n">
        <f aca="false">F289*C289*D289</f>
        <v>6617.22754773869</v>
      </c>
      <c r="H289" s="29" t="n">
        <f aca="false">G289*Model!$B$4</f>
        <v>6617.22754773869</v>
      </c>
      <c r="I289" s="0" t="str">
        <f aca="false">IF(E289&lt;Model!$B$5*H289,"Expedite","Standard")</f>
        <v>Expedite</v>
      </c>
      <c r="J289" s="29" t="n">
        <f aca="false">H289</f>
        <v>6617.22754773869</v>
      </c>
      <c r="K289" s="29" t="n">
        <f aca="false">E289+(1-Model!$B$5)*H289</f>
        <v>1248.81</v>
      </c>
      <c r="L289" s="29" t="n">
        <f aca="false">IF(I289="Expedite",K289,J289)</f>
        <v>1248.81</v>
      </c>
      <c r="M289" s="29" t="n">
        <f aca="false">J289-L289</f>
        <v>5368.41754773869</v>
      </c>
      <c r="N289" s="29" t="n">
        <f aca="false">IFERROR(E289/(F289*C289*Model!$B$5),"")</f>
        <v>122.159122860485</v>
      </c>
    </row>
    <row r="290" customFormat="false" ht="15" hidden="false" customHeight="false" outlineLevel="0" collapsed="false">
      <c r="A290" s="0" t="str">
        <f aca="false">Clean!A290</f>
        <v>SHP0289</v>
      </c>
      <c r="B290" s="0" t="str">
        <f aca="false">Clean!AA290</f>
        <v>TCI Express</v>
      </c>
      <c r="C290" s="28" t="n">
        <f aca="false">Clean!J290</f>
        <v>1.15</v>
      </c>
      <c r="D290" s="29" t="n">
        <f aca="false">Clean!AF290</f>
        <v>1120.91</v>
      </c>
      <c r="E290" s="29" t="n">
        <f aca="false">Clean!AE290</f>
        <v>4849.24</v>
      </c>
      <c r="F290" s="22" t="n">
        <f aca="false">AVERAGEIFS(Clean!$V$2:$V$1001,Clean!$AA$2:$AA$1001,B290)</f>
        <v>0.752336448598131</v>
      </c>
      <c r="G290" s="29" t="n">
        <f aca="false">F290*C290*D290</f>
        <v>969.796665887851</v>
      </c>
      <c r="H290" s="29" t="n">
        <f aca="false">G290*Model!$B$4</f>
        <v>969.796665887851</v>
      </c>
      <c r="I290" s="0" t="str">
        <f aca="false">IF(E290&lt;Model!$B$5*H290,"Expedite","Standard")</f>
        <v>Standard</v>
      </c>
      <c r="J290" s="29" t="n">
        <f aca="false">H290</f>
        <v>969.796665887851</v>
      </c>
      <c r="K290" s="29" t="n">
        <f aca="false">E290+(1-Model!$B$5)*H290</f>
        <v>4849.24</v>
      </c>
      <c r="L290" s="29" t="n">
        <f aca="false">IF(I290="Expedite",K290,J290)</f>
        <v>969.796665887851</v>
      </c>
      <c r="M290" s="29" t="n">
        <f aca="false">J290-L290</f>
        <v>0</v>
      </c>
      <c r="N290" s="29" t="n">
        <f aca="false">IFERROR(E290/(F290*C290*Model!$B$5),"")</f>
        <v>5604.84666486632</v>
      </c>
    </row>
    <row r="291" customFormat="false" ht="15" hidden="false" customHeight="false" outlineLevel="0" collapsed="false">
      <c r="A291" s="0" t="str">
        <f aca="false">Clean!A291</f>
        <v>SHP0290</v>
      </c>
      <c r="B291" s="0" t="str">
        <f aca="false">Clean!AA291</f>
        <v>GATI Logistics</v>
      </c>
      <c r="C291" s="28" t="n">
        <f aca="false">Clean!J291</f>
        <v>18.64</v>
      </c>
      <c r="D291" s="29" t="n">
        <f aca="false">Clean!AF291</f>
        <v>709.19</v>
      </c>
      <c r="E291" s="29" t="n">
        <f aca="false">Clean!AE291</f>
        <v>2782.17</v>
      </c>
      <c r="F291" s="22" t="n">
        <f aca="false">AVERAGEIFS(Clean!$V$2:$V$1001,Clean!$AA$2:$AA$1001,B291)</f>
        <v>0.751243781094527</v>
      </c>
      <c r="G291" s="29" t="n">
        <f aca="false">F291*C291*D291</f>
        <v>9930.91811741294</v>
      </c>
      <c r="H291" s="29" t="n">
        <f aca="false">G291*Model!$B$4</f>
        <v>9930.91811741294</v>
      </c>
      <c r="I291" s="0" t="str">
        <f aca="false">IF(E291&lt;Model!$B$5*H291,"Expedite","Standard")</f>
        <v>Expedite</v>
      </c>
      <c r="J291" s="29" t="n">
        <f aca="false">H291</f>
        <v>9930.91811741294</v>
      </c>
      <c r="K291" s="29" t="n">
        <f aca="false">E291+(1-Model!$B$5)*H291</f>
        <v>2782.17</v>
      </c>
      <c r="L291" s="29" t="n">
        <f aca="false">IF(I291="Expedite",K291,J291)</f>
        <v>2782.17</v>
      </c>
      <c r="M291" s="29" t="n">
        <f aca="false">J291-L291</f>
        <v>7148.74811741294</v>
      </c>
      <c r="N291" s="29" t="n">
        <f aca="false">IFERROR(E291/(F291*C291*Model!$B$5),"")</f>
        <v>198.681241650797</v>
      </c>
    </row>
    <row r="292" customFormat="false" ht="15" hidden="false" customHeight="false" outlineLevel="0" collapsed="false">
      <c r="A292" s="0" t="str">
        <f aca="false">Clean!A292</f>
        <v>SHP0291</v>
      </c>
      <c r="B292" s="0" t="str">
        <f aca="false">Clean!AA292</f>
        <v>GATI Logistics</v>
      </c>
      <c r="C292" s="28" t="n">
        <f aca="false">Clean!J292</f>
        <v>1.95</v>
      </c>
      <c r="D292" s="29" t="n">
        <f aca="false">Clean!AF292</f>
        <v>1494.82</v>
      </c>
      <c r="E292" s="29" t="n">
        <f aca="false">Clean!AE292</f>
        <v>4805.72</v>
      </c>
      <c r="F292" s="22" t="n">
        <f aca="false">AVERAGEIFS(Clean!$V$2:$V$1001,Clean!$AA$2:$AA$1001,B292)</f>
        <v>0.751243781094527</v>
      </c>
      <c r="G292" s="29" t="n">
        <f aca="false">F292*C292*D292</f>
        <v>2189.79974626866</v>
      </c>
      <c r="H292" s="29" t="n">
        <f aca="false">G292*Model!$B$4</f>
        <v>2189.79974626866</v>
      </c>
      <c r="I292" s="0" t="str">
        <f aca="false">IF(E292&lt;Model!$B$5*H292,"Expedite","Standard")</f>
        <v>Standard</v>
      </c>
      <c r="J292" s="29" t="n">
        <f aca="false">H292</f>
        <v>2189.79974626866</v>
      </c>
      <c r="K292" s="29" t="n">
        <f aca="false">E292+(1-Model!$B$5)*H292</f>
        <v>4805.72</v>
      </c>
      <c r="L292" s="29" t="n">
        <f aca="false">IF(I292="Expedite",K292,J292)</f>
        <v>2189.79974626866</v>
      </c>
      <c r="M292" s="29" t="n">
        <f aca="false">J292-L292</f>
        <v>0</v>
      </c>
      <c r="N292" s="29" t="n">
        <f aca="false">IFERROR(E292/(F292*C292*Model!$B$5),"")</f>
        <v>3280.52205807438</v>
      </c>
    </row>
    <row r="293" customFormat="false" ht="15" hidden="false" customHeight="false" outlineLevel="0" collapsed="false">
      <c r="A293" s="0" t="str">
        <f aca="false">Clean!A293</f>
        <v>SHP0292</v>
      </c>
      <c r="B293" s="0" t="str">
        <f aca="false">Clean!AA293</f>
        <v>VRL Cargo</v>
      </c>
      <c r="C293" s="28" t="n">
        <f aca="false">Clean!J293</f>
        <v>14.52</v>
      </c>
      <c r="D293" s="29" t="n">
        <f aca="false">Clean!AF293</f>
        <v>1122.34</v>
      </c>
      <c r="E293" s="29" t="n">
        <f aca="false">Clean!AE293</f>
        <v>1292.33</v>
      </c>
      <c r="F293" s="22" t="n">
        <f aca="false">AVERAGEIFS(Clean!$V$2:$V$1001,Clean!$AA$2:$AA$1001,B293)</f>
        <v>0.72020725388601</v>
      </c>
      <c r="G293" s="29" t="n">
        <f aca="false">F293*C293*D293</f>
        <v>11736.7687834197</v>
      </c>
      <c r="H293" s="29" t="n">
        <f aca="false">G293*Model!$B$4</f>
        <v>11736.7687834197</v>
      </c>
      <c r="I293" s="0" t="str">
        <f aca="false">IF(E293&lt;Model!$B$5*H293,"Expedite","Standard")</f>
        <v>Expedite</v>
      </c>
      <c r="J293" s="29" t="n">
        <f aca="false">H293</f>
        <v>11736.7687834197</v>
      </c>
      <c r="K293" s="29" t="n">
        <f aca="false">E293+(1-Model!$B$5)*H293</f>
        <v>1292.33</v>
      </c>
      <c r="L293" s="29" t="n">
        <f aca="false">IF(I293="Expedite",K293,J293)</f>
        <v>1292.33</v>
      </c>
      <c r="M293" s="29" t="n">
        <f aca="false">J293-L293</f>
        <v>10444.4387834197</v>
      </c>
      <c r="N293" s="29" t="n">
        <f aca="false">IFERROR(E293/(F293*C293*Model!$B$5),"")</f>
        <v>123.580320867273</v>
      </c>
    </row>
    <row r="294" customFormat="false" ht="15" hidden="false" customHeight="false" outlineLevel="0" collapsed="false">
      <c r="A294" s="0" t="str">
        <f aca="false">Clean!A294</f>
        <v>SHP0293</v>
      </c>
      <c r="B294" s="0" t="str">
        <f aca="false">Clean!AA294</f>
        <v>BlueDart</v>
      </c>
      <c r="C294" s="28" t="n">
        <f aca="false">Clean!J294</f>
        <v>19.64</v>
      </c>
      <c r="D294" s="29" t="n">
        <f aca="false">Clean!AF294</f>
        <v>661.67</v>
      </c>
      <c r="E294" s="29" t="n">
        <f aca="false">Clean!AE294</f>
        <v>4029.24</v>
      </c>
      <c r="F294" s="22" t="n">
        <f aca="false">AVERAGEIFS(Clean!$V$2:$V$1001,Clean!$AA$2:$AA$1001,B294)</f>
        <v>0.773869346733668</v>
      </c>
      <c r="G294" s="29" t="n">
        <f aca="false">F294*C294*D294</f>
        <v>10056.5860060302</v>
      </c>
      <c r="H294" s="29" t="n">
        <f aca="false">G294*Model!$B$4</f>
        <v>10056.5860060302</v>
      </c>
      <c r="I294" s="0" t="str">
        <f aca="false">IF(E294&lt;Model!$B$5*H294,"Expedite","Standard")</f>
        <v>Expedite</v>
      </c>
      <c r="J294" s="29" t="n">
        <f aca="false">H294</f>
        <v>10056.5860060302</v>
      </c>
      <c r="K294" s="29" t="n">
        <f aca="false">E294+(1-Model!$B$5)*H294</f>
        <v>4029.24</v>
      </c>
      <c r="L294" s="29" t="n">
        <f aca="false">IF(I294="Expedite",K294,J294)</f>
        <v>4029.24</v>
      </c>
      <c r="M294" s="29" t="n">
        <f aca="false">J294-L294</f>
        <v>6027.34600603015</v>
      </c>
      <c r="N294" s="29" t="n">
        <f aca="false">IFERROR(E294/(F294*C294*Model!$B$5),"")</f>
        <v>265.102613272674</v>
      </c>
    </row>
    <row r="295" customFormat="false" ht="15" hidden="false" customHeight="false" outlineLevel="0" collapsed="false">
      <c r="A295" s="0" t="str">
        <f aca="false">Clean!A295</f>
        <v>SHP0294</v>
      </c>
      <c r="B295" s="0" t="str">
        <f aca="false">Clean!AA295</f>
        <v>VRL Cargo</v>
      </c>
      <c r="C295" s="28" t="n">
        <f aca="false">Clean!J295</f>
        <v>10.06</v>
      </c>
      <c r="D295" s="29" t="n">
        <f aca="false">Clean!AF295</f>
        <v>1271.63</v>
      </c>
      <c r="E295" s="29" t="n">
        <f aca="false">Clean!AE295</f>
        <v>3260.34</v>
      </c>
      <c r="F295" s="22" t="n">
        <f aca="false">AVERAGEIFS(Clean!$V$2:$V$1001,Clean!$AA$2:$AA$1001,B295)</f>
        <v>0.72020725388601</v>
      </c>
      <c r="G295" s="29" t="n">
        <f aca="false">F295*C295*D295</f>
        <v>9213.32173160622</v>
      </c>
      <c r="H295" s="29" t="n">
        <f aca="false">G295*Model!$B$4</f>
        <v>9213.32173160622</v>
      </c>
      <c r="I295" s="0" t="str">
        <f aca="false">IF(E295&lt;Model!$B$5*H295,"Expedite","Standard")</f>
        <v>Expedite</v>
      </c>
      <c r="J295" s="29" t="n">
        <f aca="false">H295</f>
        <v>9213.32173160622</v>
      </c>
      <c r="K295" s="29" t="n">
        <f aca="false">E295+(1-Model!$B$5)*H295</f>
        <v>3260.34</v>
      </c>
      <c r="L295" s="29" t="n">
        <f aca="false">IF(I295="Expedite",K295,J295)</f>
        <v>3260.34</v>
      </c>
      <c r="M295" s="29" t="n">
        <f aca="false">J295-L295</f>
        <v>5952.98173160622</v>
      </c>
      <c r="N295" s="29" t="n">
        <f aca="false">IFERROR(E295/(F295*C295*Model!$B$5),"")</f>
        <v>449.9947223136</v>
      </c>
    </row>
    <row r="296" customFormat="false" ht="15" hidden="false" customHeight="false" outlineLevel="0" collapsed="false">
      <c r="A296" s="0" t="str">
        <f aca="false">Clean!A296</f>
        <v>SHP0295</v>
      </c>
      <c r="B296" s="0" t="str">
        <f aca="false">Clean!AA296</f>
        <v>VRL Cargo</v>
      </c>
      <c r="C296" s="28" t="n">
        <f aca="false">Clean!J296</f>
        <v>10.48</v>
      </c>
      <c r="D296" s="29" t="n">
        <f aca="false">Clean!AF296</f>
        <v>1348.04</v>
      </c>
      <c r="E296" s="29" t="n">
        <f aca="false">Clean!AE296</f>
        <v>2286.68</v>
      </c>
      <c r="F296" s="22" t="n">
        <f aca="false">AVERAGEIFS(Clean!$V$2:$V$1001,Clean!$AA$2:$AA$1001,B296)</f>
        <v>0.72020725388601</v>
      </c>
      <c r="G296" s="29" t="n">
        <f aca="false">F296*C296*D296</f>
        <v>10174.6985948187</v>
      </c>
      <c r="H296" s="29" t="n">
        <f aca="false">G296*Model!$B$4</f>
        <v>10174.6985948187</v>
      </c>
      <c r="I296" s="0" t="str">
        <f aca="false">IF(E296&lt;Model!$B$5*H296,"Expedite","Standard")</f>
        <v>Expedite</v>
      </c>
      <c r="J296" s="29" t="n">
        <f aca="false">H296</f>
        <v>10174.6985948187</v>
      </c>
      <c r="K296" s="29" t="n">
        <f aca="false">E296+(1-Model!$B$5)*H296</f>
        <v>2286.68</v>
      </c>
      <c r="L296" s="29" t="n">
        <f aca="false">IF(I296="Expedite",K296,J296)</f>
        <v>2286.68</v>
      </c>
      <c r="M296" s="29" t="n">
        <f aca="false">J296-L296</f>
        <v>7888.01859481865</v>
      </c>
      <c r="N296" s="29" t="n">
        <f aca="false">IFERROR(E296/(F296*C296*Model!$B$5),"")</f>
        <v>302.960925915756</v>
      </c>
    </row>
    <row r="297" customFormat="false" ht="15" hidden="false" customHeight="false" outlineLevel="0" collapsed="false">
      <c r="A297" s="0" t="str">
        <f aca="false">Clean!A297</f>
        <v>SHP0296</v>
      </c>
      <c r="B297" s="0" t="str">
        <f aca="false">Clean!AA297</f>
        <v>GATI Logistics</v>
      </c>
      <c r="C297" s="28" t="n">
        <f aca="false">Clean!J297</f>
        <v>14.85</v>
      </c>
      <c r="D297" s="29" t="n">
        <f aca="false">Clean!AF297</f>
        <v>788.88</v>
      </c>
      <c r="E297" s="29" t="n">
        <f aca="false">Clean!AE297</f>
        <v>1474.01</v>
      </c>
      <c r="F297" s="22" t="n">
        <f aca="false">AVERAGEIFS(Clean!$V$2:$V$1001,Clean!$AA$2:$AA$1001,B297)</f>
        <v>0.751243781094527</v>
      </c>
      <c r="G297" s="29" t="n">
        <f aca="false">F297*C297*D297</f>
        <v>8800.72173134328</v>
      </c>
      <c r="H297" s="29" t="n">
        <f aca="false">G297*Model!$B$4</f>
        <v>8800.72173134328</v>
      </c>
      <c r="I297" s="0" t="str">
        <f aca="false">IF(E297&lt;Model!$B$5*H297,"Expedite","Standard")</f>
        <v>Expedite</v>
      </c>
      <c r="J297" s="29" t="n">
        <f aca="false">H297</f>
        <v>8800.72173134328</v>
      </c>
      <c r="K297" s="29" t="n">
        <f aca="false">E297+(1-Model!$B$5)*H297</f>
        <v>1474.01</v>
      </c>
      <c r="L297" s="29" t="n">
        <f aca="false">IF(I297="Expedite",K297,J297)</f>
        <v>1474.01</v>
      </c>
      <c r="M297" s="29" t="n">
        <f aca="false">J297-L297</f>
        <v>7326.71173134328</v>
      </c>
      <c r="N297" s="29" t="n">
        <f aca="false">IFERROR(E297/(F297*C297*Model!$B$5),"")</f>
        <v>132.127460030771</v>
      </c>
    </row>
    <row r="298" customFormat="false" ht="15" hidden="false" customHeight="false" outlineLevel="0" collapsed="false">
      <c r="A298" s="0" t="str">
        <f aca="false">Clean!A298</f>
        <v>SHP0297</v>
      </c>
      <c r="B298" s="0" t="str">
        <f aca="false">Clean!AA298</f>
        <v>GATI Logistics</v>
      </c>
      <c r="C298" s="28" t="n">
        <f aca="false">Clean!J298</f>
        <v>8.56</v>
      </c>
      <c r="D298" s="29" t="n">
        <f aca="false">Clean!AF298</f>
        <v>944.37</v>
      </c>
      <c r="E298" s="29" t="n">
        <f aca="false">Clean!AE298</f>
        <v>1230.81</v>
      </c>
      <c r="F298" s="22" t="n">
        <f aca="false">AVERAGEIFS(Clean!$V$2:$V$1001,Clean!$AA$2:$AA$1001,B298)</f>
        <v>0.751243781094527</v>
      </c>
      <c r="G298" s="29" t="n">
        <f aca="false">F298*C298*D298</f>
        <v>6072.90988656717</v>
      </c>
      <c r="H298" s="29" t="n">
        <f aca="false">G298*Model!$B$4</f>
        <v>6072.90988656717</v>
      </c>
      <c r="I298" s="0" t="str">
        <f aca="false">IF(E298&lt;Model!$B$5*H298,"Expedite","Standard")</f>
        <v>Expedite</v>
      </c>
      <c r="J298" s="29" t="n">
        <f aca="false">H298</f>
        <v>6072.90988656717</v>
      </c>
      <c r="K298" s="29" t="n">
        <f aca="false">E298+(1-Model!$B$5)*H298</f>
        <v>1230.81</v>
      </c>
      <c r="L298" s="29" t="n">
        <f aca="false">IF(I298="Expedite",K298,J298)</f>
        <v>1230.81</v>
      </c>
      <c r="M298" s="29" t="n">
        <f aca="false">J298-L298</f>
        <v>4842.09988656716</v>
      </c>
      <c r="N298" s="29" t="n">
        <f aca="false">IFERROR(E298/(F298*C298*Model!$B$5),"")</f>
        <v>191.397544407997</v>
      </c>
    </row>
    <row r="299" customFormat="false" ht="15" hidden="false" customHeight="false" outlineLevel="0" collapsed="false">
      <c r="A299" s="0" t="str">
        <f aca="false">Clean!A299</f>
        <v>SHP0298</v>
      </c>
      <c r="B299" s="0" t="str">
        <f aca="false">Clean!AA299</f>
        <v>BlueDart</v>
      </c>
      <c r="C299" s="28" t="n">
        <f aca="false">Clean!J299</f>
        <v>6.24</v>
      </c>
      <c r="D299" s="29" t="n">
        <f aca="false">Clean!AF299</f>
        <v>1402.24</v>
      </c>
      <c r="E299" s="29" t="n">
        <f aca="false">Clean!AE299</f>
        <v>4389.09</v>
      </c>
      <c r="F299" s="22" t="n">
        <f aca="false">AVERAGEIFS(Clean!$V$2:$V$1001,Clean!$AA$2:$AA$1001,B299)</f>
        <v>0.773869346733668</v>
      </c>
      <c r="G299" s="29" t="n">
        <f aca="false">F299*C299*D299</f>
        <v>6771.33944924623</v>
      </c>
      <c r="H299" s="29" t="n">
        <f aca="false">G299*Model!$B$4</f>
        <v>6771.33944924623</v>
      </c>
      <c r="I299" s="0" t="str">
        <f aca="false">IF(E299&lt;Model!$B$5*H299,"Expedite","Standard")</f>
        <v>Expedite</v>
      </c>
      <c r="J299" s="29" t="n">
        <f aca="false">H299</f>
        <v>6771.33944924623</v>
      </c>
      <c r="K299" s="29" t="n">
        <f aca="false">E299+(1-Model!$B$5)*H299</f>
        <v>4389.09</v>
      </c>
      <c r="L299" s="29" t="n">
        <f aca="false">IF(I299="Expedite",K299,J299)</f>
        <v>4389.09</v>
      </c>
      <c r="M299" s="29" t="n">
        <f aca="false">J299-L299</f>
        <v>2382.24944924623</v>
      </c>
      <c r="N299" s="29" t="n">
        <f aca="false">IFERROR(E299/(F299*C299*Model!$B$5),"")</f>
        <v>908.912868381618</v>
      </c>
    </row>
    <row r="300" customFormat="false" ht="15" hidden="false" customHeight="false" outlineLevel="0" collapsed="false">
      <c r="A300" s="0" t="str">
        <f aca="false">Clean!A300</f>
        <v>SHP0299</v>
      </c>
      <c r="B300" s="0" t="str">
        <f aca="false">Clean!AA300</f>
        <v>VRL Cargo</v>
      </c>
      <c r="C300" s="28" t="n">
        <f aca="false">Clean!J300</f>
        <v>17.67</v>
      </c>
      <c r="D300" s="29" t="n">
        <f aca="false">Clean!AF300</f>
        <v>927.5</v>
      </c>
      <c r="E300" s="29" t="n">
        <f aca="false">Clean!AE300</f>
        <v>3253.3</v>
      </c>
      <c r="F300" s="22" t="n">
        <f aca="false">AVERAGEIFS(Clean!$V$2:$V$1001,Clean!$AA$2:$AA$1001,B300)</f>
        <v>0.72020725388601</v>
      </c>
      <c r="G300" s="29" t="n">
        <f aca="false">F300*C300*D300</f>
        <v>11803.4226683938</v>
      </c>
      <c r="H300" s="29" t="n">
        <f aca="false">G300*Model!$B$4</f>
        <v>11803.4226683938</v>
      </c>
      <c r="I300" s="0" t="str">
        <f aca="false">IF(E300&lt;Model!$B$5*H300,"Expedite","Standard")</f>
        <v>Expedite</v>
      </c>
      <c r="J300" s="29" t="n">
        <f aca="false">H300</f>
        <v>11803.4226683938</v>
      </c>
      <c r="K300" s="29" t="n">
        <f aca="false">E300+(1-Model!$B$5)*H300</f>
        <v>3253.3</v>
      </c>
      <c r="L300" s="29" t="n">
        <f aca="false">IF(I300="Expedite",K300,J300)</f>
        <v>3253.3</v>
      </c>
      <c r="M300" s="29" t="n">
        <f aca="false">J300-L300</f>
        <v>8550.12266839378</v>
      </c>
      <c r="N300" s="29" t="n">
        <f aca="false">IFERROR(E300/(F300*C300*Model!$B$5),"")</f>
        <v>255.640743771706</v>
      </c>
    </row>
    <row r="301" customFormat="false" ht="15" hidden="false" customHeight="false" outlineLevel="0" collapsed="false">
      <c r="A301" s="0" t="str">
        <f aca="false">Clean!A301</f>
        <v>SHP0300</v>
      </c>
      <c r="B301" s="0" t="str">
        <f aca="false">Clean!AA301</f>
        <v>BlueDart</v>
      </c>
      <c r="C301" s="28" t="n">
        <f aca="false">Clean!J301</f>
        <v>7.2</v>
      </c>
      <c r="D301" s="29" t="n">
        <f aca="false">Clean!AF301</f>
        <v>1388.89</v>
      </c>
      <c r="E301" s="29" t="n">
        <f aca="false">Clean!AE301</f>
        <v>4292.64</v>
      </c>
      <c r="F301" s="22" t="n">
        <f aca="false">AVERAGEIFS(Clean!$V$2:$V$1001,Clean!$AA$2:$AA$1001,B301)</f>
        <v>0.773869346733668</v>
      </c>
      <c r="G301" s="29" t="n">
        <f aca="false">F301*C301*D301</f>
        <v>7738.69965829146</v>
      </c>
      <c r="H301" s="29" t="n">
        <f aca="false">G301*Model!$B$4</f>
        <v>7738.69965829146</v>
      </c>
      <c r="I301" s="0" t="str">
        <f aca="false">IF(E301&lt;Model!$B$5*H301,"Expedite","Standard")</f>
        <v>Expedite</v>
      </c>
      <c r="J301" s="29" t="n">
        <f aca="false">H301</f>
        <v>7738.69965829146</v>
      </c>
      <c r="K301" s="29" t="n">
        <f aca="false">E301+(1-Model!$B$5)*H301</f>
        <v>4292.64</v>
      </c>
      <c r="L301" s="29" t="n">
        <f aca="false">IF(I301="Expedite",K301,J301)</f>
        <v>4292.64</v>
      </c>
      <c r="M301" s="29" t="n">
        <f aca="false">J301-L301</f>
        <v>3446.05965829146</v>
      </c>
      <c r="N301" s="29" t="n">
        <f aca="false">IFERROR(E301/(F301*C301*Model!$B$5),"")</f>
        <v>770.414285714286</v>
      </c>
    </row>
    <row r="302" customFormat="false" ht="15" hidden="false" customHeight="false" outlineLevel="0" collapsed="false">
      <c r="A302" s="0" t="str">
        <f aca="false">Clean!A302</f>
        <v>SHP0301</v>
      </c>
      <c r="B302" s="0" t="str">
        <f aca="false">Clean!AA302</f>
        <v>VRL Cargo</v>
      </c>
      <c r="C302" s="28" t="n">
        <f aca="false">Clean!J302</f>
        <v>11.35</v>
      </c>
      <c r="D302" s="29" t="n">
        <f aca="false">Clean!AF302</f>
        <v>1006.92</v>
      </c>
      <c r="E302" s="29" t="n">
        <f aca="false">Clean!AE302</f>
        <v>4763.14</v>
      </c>
      <c r="F302" s="22" t="n">
        <f aca="false">AVERAGEIFS(Clean!$V$2:$V$1001,Clean!$AA$2:$AA$1001,B302)</f>
        <v>0.72020725388601</v>
      </c>
      <c r="G302" s="29" t="n">
        <f aca="false">F302*C302*D302</f>
        <v>8230.91884974093</v>
      </c>
      <c r="H302" s="29" t="n">
        <f aca="false">G302*Model!$B$4</f>
        <v>8230.91884974093</v>
      </c>
      <c r="I302" s="0" t="str">
        <f aca="false">IF(E302&lt;Model!$B$5*H302,"Expedite","Standard")</f>
        <v>Expedite</v>
      </c>
      <c r="J302" s="29" t="n">
        <f aca="false">H302</f>
        <v>8230.91884974093</v>
      </c>
      <c r="K302" s="29" t="n">
        <f aca="false">E302+(1-Model!$B$5)*H302</f>
        <v>4763.14</v>
      </c>
      <c r="L302" s="29" t="n">
        <f aca="false">IF(I302="Expedite",K302,J302)</f>
        <v>4763.14</v>
      </c>
      <c r="M302" s="29" t="n">
        <f aca="false">J302-L302</f>
        <v>3467.77884974093</v>
      </c>
      <c r="N302" s="29" t="n">
        <f aca="false">IFERROR(E302/(F302*C302*Model!$B$5),"")</f>
        <v>582.693258961113</v>
      </c>
    </row>
    <row r="303" customFormat="false" ht="15" hidden="false" customHeight="false" outlineLevel="0" collapsed="false">
      <c r="A303" s="0" t="str">
        <f aca="false">Clean!A303</f>
        <v>SHP0302</v>
      </c>
      <c r="B303" s="0" t="str">
        <f aca="false">Clean!AA303</f>
        <v>VRL Cargo</v>
      </c>
      <c r="C303" s="28" t="n">
        <f aca="false">Clean!J303</f>
        <v>8.78</v>
      </c>
      <c r="D303" s="29" t="n">
        <f aca="false">Clean!AF303</f>
        <v>651.6</v>
      </c>
      <c r="E303" s="29" t="n">
        <f aca="false">Clean!AE303</f>
        <v>3618.6</v>
      </c>
      <c r="F303" s="22" t="n">
        <f aca="false">AVERAGEIFS(Clean!$V$2:$V$1001,Clean!$AA$2:$AA$1001,B303)</f>
        <v>0.72020725388601</v>
      </c>
      <c r="G303" s="29" t="n">
        <f aca="false">F303*C303*D303</f>
        <v>4120.34026943005</v>
      </c>
      <c r="H303" s="29" t="n">
        <f aca="false">G303*Model!$B$4</f>
        <v>4120.34026943005</v>
      </c>
      <c r="I303" s="0" t="str">
        <f aca="false">IF(E303&lt;Model!$B$5*H303,"Expedite","Standard")</f>
        <v>Expedite</v>
      </c>
      <c r="J303" s="29" t="n">
        <f aca="false">H303</f>
        <v>4120.34026943005</v>
      </c>
      <c r="K303" s="29" t="n">
        <f aca="false">E303+(1-Model!$B$5)*H303</f>
        <v>3618.6</v>
      </c>
      <c r="L303" s="29" t="n">
        <f aca="false">IF(I303="Expedite",K303,J303)</f>
        <v>3618.6</v>
      </c>
      <c r="M303" s="29" t="n">
        <f aca="false">J303-L303</f>
        <v>501.740269430052</v>
      </c>
      <c r="N303" s="29" t="n">
        <f aca="false">IFERROR(E303/(F303*C303*Model!$B$5),"")</f>
        <v>572.253650382655</v>
      </c>
    </row>
    <row r="304" customFormat="false" ht="15" hidden="false" customHeight="false" outlineLevel="0" collapsed="false">
      <c r="A304" s="0" t="str">
        <f aca="false">Clean!A304</f>
        <v>SHP0303</v>
      </c>
      <c r="B304" s="0" t="str">
        <f aca="false">Clean!AA304</f>
        <v>TCI Express</v>
      </c>
      <c r="C304" s="28" t="n">
        <f aca="false">Clean!J304</f>
        <v>17.64</v>
      </c>
      <c r="D304" s="29" t="n">
        <f aca="false">Clean!AF304</f>
        <v>510.09</v>
      </c>
      <c r="E304" s="29" t="n">
        <f aca="false">Clean!AE304</f>
        <v>1814.31</v>
      </c>
      <c r="F304" s="22" t="n">
        <f aca="false">AVERAGEIFS(Clean!$V$2:$V$1001,Clean!$AA$2:$AA$1001,B304)</f>
        <v>0.752336448598131</v>
      </c>
      <c r="G304" s="29" t="n">
        <f aca="false">F304*C304*D304</f>
        <v>6769.51403551402</v>
      </c>
      <c r="H304" s="29" t="n">
        <f aca="false">G304*Model!$B$4</f>
        <v>6769.51403551402</v>
      </c>
      <c r="I304" s="0" t="str">
        <f aca="false">IF(E304&lt;Model!$B$5*H304,"Expedite","Standard")</f>
        <v>Expedite</v>
      </c>
      <c r="J304" s="29" t="n">
        <f aca="false">H304</f>
        <v>6769.51403551402</v>
      </c>
      <c r="K304" s="29" t="n">
        <f aca="false">E304+(1-Model!$B$5)*H304</f>
        <v>1814.31</v>
      </c>
      <c r="L304" s="29" t="n">
        <f aca="false">IF(I304="Expedite",K304,J304)</f>
        <v>1814.31</v>
      </c>
      <c r="M304" s="29" t="n">
        <f aca="false">J304-L304</f>
        <v>4955.20403551402</v>
      </c>
      <c r="N304" s="29" t="n">
        <f aca="false">IFERROR(E304/(F304*C304*Model!$B$5),"")</f>
        <v>136.710166053999</v>
      </c>
    </row>
    <row r="305" customFormat="false" ht="15" hidden="false" customHeight="false" outlineLevel="0" collapsed="false">
      <c r="A305" s="0" t="str">
        <f aca="false">Clean!A305</f>
        <v>SHP0304</v>
      </c>
      <c r="B305" s="0" t="str">
        <f aca="false">Clean!AA305</f>
        <v>TCI Express</v>
      </c>
      <c r="C305" s="28" t="n">
        <f aca="false">Clean!J305</f>
        <v>9.31</v>
      </c>
      <c r="D305" s="29" t="n">
        <f aca="false">Clean!AF305</f>
        <v>915.94</v>
      </c>
      <c r="E305" s="29" t="n">
        <f aca="false">Clean!AE305</f>
        <v>3562.54</v>
      </c>
      <c r="F305" s="22" t="n">
        <f aca="false">AVERAGEIFS(Clean!$V$2:$V$1001,Clean!$AA$2:$AA$1001,B305)</f>
        <v>0.752336448598131</v>
      </c>
      <c r="G305" s="29" t="n">
        <f aca="false">F305*C305*D305</f>
        <v>6415.47488504673</v>
      </c>
      <c r="H305" s="29" t="n">
        <f aca="false">G305*Model!$B$4</f>
        <v>6415.47488504673</v>
      </c>
      <c r="I305" s="0" t="str">
        <f aca="false">IF(E305&lt;Model!$B$5*H305,"Expedite","Standard")</f>
        <v>Expedite</v>
      </c>
      <c r="J305" s="29" t="n">
        <f aca="false">H305</f>
        <v>6415.47488504673</v>
      </c>
      <c r="K305" s="29" t="n">
        <f aca="false">E305+(1-Model!$B$5)*H305</f>
        <v>3562.54</v>
      </c>
      <c r="L305" s="29" t="n">
        <f aca="false">IF(I305="Expedite",K305,J305)</f>
        <v>3562.54</v>
      </c>
      <c r="M305" s="29" t="n">
        <f aca="false">J305-L305</f>
        <v>2852.93488504673</v>
      </c>
      <c r="N305" s="29" t="n">
        <f aca="false">IFERROR(E305/(F305*C305*Model!$B$5),"")</f>
        <v>508.625307723612</v>
      </c>
    </row>
    <row r="306" customFormat="false" ht="15" hidden="false" customHeight="false" outlineLevel="0" collapsed="false">
      <c r="A306" s="0" t="str">
        <f aca="false">Clean!A306</f>
        <v>SHP0305</v>
      </c>
      <c r="B306" s="0" t="str">
        <f aca="false">Clean!AA306</f>
        <v>GATI Logistics</v>
      </c>
      <c r="C306" s="28" t="n">
        <f aca="false">Clean!J306</f>
        <v>15.42</v>
      </c>
      <c r="D306" s="29" t="n">
        <f aca="false">Clean!AF306</f>
        <v>905.75</v>
      </c>
      <c r="E306" s="29" t="n">
        <f aca="false">Clean!AE306</f>
        <v>4998.18</v>
      </c>
      <c r="F306" s="22" t="n">
        <f aca="false">AVERAGEIFS(Clean!$V$2:$V$1001,Clean!$AA$2:$AA$1001,B306)</f>
        <v>0.751243781094527</v>
      </c>
      <c r="G306" s="29" t="n">
        <f aca="false">F306*C306*D306</f>
        <v>10492.3702238806</v>
      </c>
      <c r="H306" s="29" t="n">
        <f aca="false">G306*Model!$B$4</f>
        <v>10492.3702238806</v>
      </c>
      <c r="I306" s="0" t="str">
        <f aca="false">IF(E306&lt;Model!$B$5*H306,"Expedite","Standard")</f>
        <v>Expedite</v>
      </c>
      <c r="J306" s="29" t="n">
        <f aca="false">H306</f>
        <v>10492.3702238806</v>
      </c>
      <c r="K306" s="29" t="n">
        <f aca="false">E306+(1-Model!$B$5)*H306</f>
        <v>4998.18</v>
      </c>
      <c r="L306" s="29" t="n">
        <f aca="false">IF(I306="Expedite",K306,J306)</f>
        <v>4998.18</v>
      </c>
      <c r="M306" s="29" t="n">
        <f aca="false">J306-L306</f>
        <v>5494.1902238806</v>
      </c>
      <c r="N306" s="29" t="n">
        <f aca="false">IFERROR(E306/(F306*C306*Model!$B$5),"")</f>
        <v>431.466049939444</v>
      </c>
    </row>
    <row r="307" customFormat="false" ht="15" hidden="false" customHeight="false" outlineLevel="0" collapsed="false">
      <c r="A307" s="0" t="str">
        <f aca="false">Clean!A307</f>
        <v>SHP0306</v>
      </c>
      <c r="B307" s="0" t="str">
        <f aca="false">Clean!AA307</f>
        <v>Delhivery</v>
      </c>
      <c r="C307" s="28" t="n">
        <f aca="false">Clean!J307</f>
        <v>5.19</v>
      </c>
      <c r="D307" s="29" t="n">
        <f aca="false">Clean!AF307</f>
        <v>769.02</v>
      </c>
      <c r="E307" s="29" t="n">
        <f aca="false">Clean!AE307</f>
        <v>1082.69</v>
      </c>
      <c r="F307" s="22" t="n">
        <f aca="false">AVERAGEIFS(Clean!$V$2:$V$1001,Clean!$AA$2:$AA$1001,B307)</f>
        <v>0.72538860103627</v>
      </c>
      <c r="G307" s="29" t="n">
        <f aca="false">F307*C307*D307</f>
        <v>2895.18099481865</v>
      </c>
      <c r="H307" s="29" t="n">
        <f aca="false">G307*Model!$B$4</f>
        <v>2895.18099481865</v>
      </c>
      <c r="I307" s="0" t="str">
        <f aca="false">IF(E307&lt;Model!$B$5*H307,"Expedite","Standard")</f>
        <v>Expedite</v>
      </c>
      <c r="J307" s="29" t="n">
        <f aca="false">H307</f>
        <v>2895.18099481865</v>
      </c>
      <c r="K307" s="29" t="n">
        <f aca="false">E307+(1-Model!$B$5)*H307</f>
        <v>1082.69</v>
      </c>
      <c r="L307" s="29" t="n">
        <f aca="false">IF(I307="Expedite",K307,J307)</f>
        <v>1082.69</v>
      </c>
      <c r="M307" s="29" t="n">
        <f aca="false">J307-L307</f>
        <v>1812.49099481865</v>
      </c>
      <c r="N307" s="29" t="n">
        <f aca="false">IFERROR(E307/(F307*C307*Model!$B$5),"")</f>
        <v>287.584874759152</v>
      </c>
    </row>
    <row r="308" customFormat="false" ht="15" hidden="false" customHeight="false" outlineLevel="0" collapsed="false">
      <c r="A308" s="0" t="str">
        <f aca="false">Clean!A308</f>
        <v>SHP0307</v>
      </c>
      <c r="B308" s="0" t="str">
        <f aca="false">Clean!AA308</f>
        <v>Delhivery</v>
      </c>
      <c r="C308" s="28" t="n">
        <f aca="false">Clean!J308</f>
        <v>10.83</v>
      </c>
      <c r="D308" s="29" t="n">
        <f aca="false">Clean!AF308</f>
        <v>1013.85</v>
      </c>
      <c r="E308" s="29" t="n">
        <f aca="false">Clean!AE308</f>
        <v>1410.06</v>
      </c>
      <c r="F308" s="22" t="n">
        <f aca="false">AVERAGEIFS(Clean!$V$2:$V$1001,Clean!$AA$2:$AA$1001,B308)</f>
        <v>0.72538860103627</v>
      </c>
      <c r="G308" s="29" t="n">
        <f aca="false">F308*C308*D308</f>
        <v>7964.76357512953</v>
      </c>
      <c r="H308" s="29" t="n">
        <f aca="false">G308*Model!$B$4</f>
        <v>7964.76357512953</v>
      </c>
      <c r="I308" s="0" t="str">
        <f aca="false">IF(E308&lt;Model!$B$5*H308,"Expedite","Standard")</f>
        <v>Expedite</v>
      </c>
      <c r="J308" s="29" t="n">
        <f aca="false">H308</f>
        <v>7964.76357512953</v>
      </c>
      <c r="K308" s="29" t="n">
        <f aca="false">E308+(1-Model!$B$5)*H308</f>
        <v>1410.06</v>
      </c>
      <c r="L308" s="29" t="n">
        <f aca="false">IF(I308="Expedite",K308,J308)</f>
        <v>1410.06</v>
      </c>
      <c r="M308" s="29" t="n">
        <f aca="false">J308-L308</f>
        <v>6554.70357512953</v>
      </c>
      <c r="N308" s="29" t="n">
        <f aca="false">IFERROR(E308/(F308*C308*Model!$B$5),"")</f>
        <v>179.489236248516</v>
      </c>
    </row>
    <row r="309" customFormat="false" ht="15" hidden="false" customHeight="false" outlineLevel="0" collapsed="false">
      <c r="A309" s="0" t="str">
        <f aca="false">Clean!A309</f>
        <v>SHP0308</v>
      </c>
      <c r="B309" s="0" t="str">
        <f aca="false">Clean!AA309</f>
        <v>Delhivery</v>
      </c>
      <c r="C309" s="28" t="n">
        <f aca="false">Clean!J309</f>
        <v>10.67</v>
      </c>
      <c r="D309" s="29" t="n">
        <f aca="false">Clean!AF309</f>
        <v>622.03</v>
      </c>
      <c r="E309" s="29" t="n">
        <f aca="false">Clean!AE309</f>
        <v>4214.07</v>
      </c>
      <c r="F309" s="22" t="n">
        <f aca="false">AVERAGEIFS(Clean!$V$2:$V$1001,Clean!$AA$2:$AA$1001,B309)</f>
        <v>0.72538860103627</v>
      </c>
      <c r="G309" s="29" t="n">
        <f aca="false">F309*C309*D309</f>
        <v>4814.44774093264</v>
      </c>
      <c r="H309" s="29" t="n">
        <f aca="false">G309*Model!$B$4</f>
        <v>4814.44774093264</v>
      </c>
      <c r="I309" s="0" t="str">
        <f aca="false">IF(E309&lt;Model!$B$5*H309,"Expedite","Standard")</f>
        <v>Expedite</v>
      </c>
      <c r="J309" s="29" t="n">
        <f aca="false">H309</f>
        <v>4814.44774093264</v>
      </c>
      <c r="K309" s="29" t="n">
        <f aca="false">E309+(1-Model!$B$5)*H309</f>
        <v>4214.07</v>
      </c>
      <c r="L309" s="29" t="n">
        <f aca="false">IF(I309="Expedite",K309,J309)</f>
        <v>4214.07</v>
      </c>
      <c r="M309" s="29" t="n">
        <f aca="false">J309-L309</f>
        <v>600.377740932643</v>
      </c>
      <c r="N309" s="29" t="n">
        <f aca="false">IFERROR(E309/(F309*C309*Model!$B$5),"")</f>
        <v>544.460777881912</v>
      </c>
    </row>
    <row r="310" customFormat="false" ht="15" hidden="false" customHeight="false" outlineLevel="0" collapsed="false">
      <c r="A310" s="0" t="str">
        <f aca="false">Clean!A310</f>
        <v>SHP0309</v>
      </c>
      <c r="B310" s="0" t="str">
        <f aca="false">Clean!AA310</f>
        <v>VRL Cargo</v>
      </c>
      <c r="C310" s="28" t="n">
        <f aca="false">Clean!J310</f>
        <v>3.38</v>
      </c>
      <c r="D310" s="29" t="n">
        <f aca="false">Clean!AF310</f>
        <v>618.87</v>
      </c>
      <c r="E310" s="29" t="n">
        <f aca="false">Clean!AE310</f>
        <v>1629.31</v>
      </c>
      <c r="F310" s="22" t="n">
        <f aca="false">AVERAGEIFS(Clean!$V$2:$V$1001,Clean!$AA$2:$AA$1001,B310)</f>
        <v>0.72020725388601</v>
      </c>
      <c r="G310" s="29" t="n">
        <f aca="false">F310*C310*D310</f>
        <v>1506.51556165803</v>
      </c>
      <c r="H310" s="29" t="n">
        <f aca="false">G310*Model!$B$4</f>
        <v>1506.51556165803</v>
      </c>
      <c r="I310" s="0" t="str">
        <f aca="false">IF(E310&lt;Model!$B$5*H310,"Expedite","Standard")</f>
        <v>Standard</v>
      </c>
      <c r="J310" s="29" t="n">
        <f aca="false">H310</f>
        <v>1506.51556165803</v>
      </c>
      <c r="K310" s="29" t="n">
        <f aca="false">E310+(1-Model!$B$5)*H310</f>
        <v>1629.31</v>
      </c>
      <c r="L310" s="29" t="n">
        <f aca="false">IF(I310="Expedite",K310,J310)</f>
        <v>1506.51556165803</v>
      </c>
      <c r="M310" s="29" t="n">
        <f aca="false">J310-L310</f>
        <v>0</v>
      </c>
      <c r="N310" s="29" t="n">
        <f aca="false">IFERROR(E310/(F310*C310*Model!$B$5),"")</f>
        <v>669.31341790473</v>
      </c>
    </row>
    <row r="311" customFormat="false" ht="15" hidden="false" customHeight="false" outlineLevel="0" collapsed="false">
      <c r="A311" s="0" t="str">
        <f aca="false">Clean!A311</f>
        <v>SHP0310</v>
      </c>
      <c r="B311" s="0" t="str">
        <f aca="false">Clean!AA311</f>
        <v>VRL Cargo</v>
      </c>
      <c r="C311" s="28" t="n">
        <f aca="false">Clean!J311</f>
        <v>15.53</v>
      </c>
      <c r="D311" s="29" t="n">
        <f aca="false">Clean!AF311</f>
        <v>1234.44</v>
      </c>
      <c r="E311" s="29" t="n">
        <f aca="false">Clean!AE311</f>
        <v>4144.82</v>
      </c>
      <c r="F311" s="22" t="n">
        <f aca="false">AVERAGEIFS(Clean!$V$2:$V$1001,Clean!$AA$2:$AA$1001,B311)</f>
        <v>0.72020725388601</v>
      </c>
      <c r="G311" s="29" t="n">
        <f aca="false">F311*C311*D311</f>
        <v>13806.9875378238</v>
      </c>
      <c r="H311" s="29" t="n">
        <f aca="false">G311*Model!$B$4</f>
        <v>13806.9875378238</v>
      </c>
      <c r="I311" s="0" t="str">
        <f aca="false">IF(E311&lt;Model!$B$5*H311,"Expedite","Standard")</f>
        <v>Expedite</v>
      </c>
      <c r="J311" s="29" t="n">
        <f aca="false">H311</f>
        <v>13806.9875378238</v>
      </c>
      <c r="K311" s="29" t="n">
        <f aca="false">E311+(1-Model!$B$5)*H311</f>
        <v>4144.82</v>
      </c>
      <c r="L311" s="29" t="n">
        <f aca="false">IF(I311="Expedite",K311,J311)</f>
        <v>4144.82</v>
      </c>
      <c r="M311" s="29" t="n">
        <f aca="false">J311-L311</f>
        <v>9662.16753782383</v>
      </c>
      <c r="N311" s="29" t="n">
        <f aca="false">IFERROR(E311/(F311*C311*Model!$B$5),"")</f>
        <v>370.575521038417</v>
      </c>
    </row>
    <row r="312" customFormat="false" ht="15" hidden="false" customHeight="false" outlineLevel="0" collapsed="false">
      <c r="A312" s="0" t="str">
        <f aca="false">Clean!A312</f>
        <v>SHP0311</v>
      </c>
      <c r="B312" s="0" t="str">
        <f aca="false">Clean!AA312</f>
        <v>Delhivery</v>
      </c>
      <c r="C312" s="28" t="n">
        <f aca="false">Clean!J312</f>
        <v>8.3</v>
      </c>
      <c r="D312" s="29" t="n">
        <f aca="false">Clean!AF312</f>
        <v>1046.43</v>
      </c>
      <c r="E312" s="29" t="n">
        <f aca="false">Clean!AE312</f>
        <v>4268.51</v>
      </c>
      <c r="F312" s="22" t="n">
        <f aca="false">AVERAGEIFS(Clean!$V$2:$V$1001,Clean!$AA$2:$AA$1001,B312)</f>
        <v>0.72538860103627</v>
      </c>
      <c r="G312" s="29" t="n">
        <f aca="false">F312*C312*D312</f>
        <v>6300.26766839378</v>
      </c>
      <c r="H312" s="29" t="n">
        <f aca="false">G312*Model!$B$4</f>
        <v>6300.26766839378</v>
      </c>
      <c r="I312" s="0" t="str">
        <f aca="false">IF(E312&lt;Model!$B$5*H312,"Expedite","Standard")</f>
        <v>Expedite</v>
      </c>
      <c r="J312" s="29" t="n">
        <f aca="false">H312</f>
        <v>6300.26766839378</v>
      </c>
      <c r="K312" s="29" t="n">
        <f aca="false">E312+(1-Model!$B$5)*H312</f>
        <v>4268.51</v>
      </c>
      <c r="L312" s="29" t="n">
        <f aca="false">IF(I312="Expedite",K312,J312)</f>
        <v>4268.51</v>
      </c>
      <c r="M312" s="29" t="n">
        <f aca="false">J312-L312</f>
        <v>2031.75766839378</v>
      </c>
      <c r="N312" s="29" t="n">
        <f aca="false">IFERROR(E312/(F312*C312*Model!$B$5),"")</f>
        <v>708.969388984509</v>
      </c>
    </row>
    <row r="313" customFormat="false" ht="15" hidden="false" customHeight="false" outlineLevel="0" collapsed="false">
      <c r="A313" s="0" t="str">
        <f aca="false">Clean!A313</f>
        <v>SHP0312</v>
      </c>
      <c r="B313" s="0" t="str">
        <f aca="false">Clean!AA313</f>
        <v>Delhivery</v>
      </c>
      <c r="C313" s="28" t="n">
        <f aca="false">Clean!J313</f>
        <v>19.37</v>
      </c>
      <c r="D313" s="29" t="n">
        <f aca="false">Clean!AF313</f>
        <v>1452.47</v>
      </c>
      <c r="E313" s="29" t="n">
        <f aca="false">Clean!AE313</f>
        <v>3857.64</v>
      </c>
      <c r="F313" s="22" t="n">
        <f aca="false">AVERAGEIFS(Clean!$V$2:$V$1001,Clean!$AA$2:$AA$1001,B313)</f>
        <v>0.72538860103627</v>
      </c>
      <c r="G313" s="29" t="n">
        <f aca="false">F313*C313*D313</f>
        <v>20408.3323626943</v>
      </c>
      <c r="H313" s="29" t="n">
        <f aca="false">G313*Model!$B$4</f>
        <v>20408.3323626943</v>
      </c>
      <c r="I313" s="0" t="str">
        <f aca="false">IF(E313&lt;Model!$B$5*H313,"Expedite","Standard")</f>
        <v>Expedite</v>
      </c>
      <c r="J313" s="29" t="n">
        <f aca="false">H313</f>
        <v>20408.3323626943</v>
      </c>
      <c r="K313" s="29" t="n">
        <f aca="false">E313+(1-Model!$B$5)*H313</f>
        <v>3857.64</v>
      </c>
      <c r="L313" s="29" t="n">
        <f aca="false">IF(I313="Expedite",K313,J313)</f>
        <v>3857.64</v>
      </c>
      <c r="M313" s="29" t="n">
        <f aca="false">J313-L313</f>
        <v>16550.6923626943</v>
      </c>
      <c r="N313" s="29" t="n">
        <f aca="false">IFERROR(E313/(F313*C313*Model!$B$5),"")</f>
        <v>274.549937311011</v>
      </c>
    </row>
    <row r="314" customFormat="false" ht="15" hidden="false" customHeight="false" outlineLevel="0" collapsed="false">
      <c r="A314" s="0" t="str">
        <f aca="false">Clean!A314</f>
        <v>SHP0313</v>
      </c>
      <c r="B314" s="0" t="str">
        <f aca="false">Clean!AA314</f>
        <v>GATI Logistics</v>
      </c>
      <c r="C314" s="28" t="n">
        <f aca="false">Clean!J314</f>
        <v>5.31</v>
      </c>
      <c r="D314" s="29" t="n">
        <f aca="false">Clean!AF314</f>
        <v>1124.87</v>
      </c>
      <c r="E314" s="29" t="n">
        <f aca="false">Clean!AE314</f>
        <v>2001.87</v>
      </c>
      <c r="F314" s="22" t="n">
        <f aca="false">AVERAGEIFS(Clean!$V$2:$V$1001,Clean!$AA$2:$AA$1001,B314)</f>
        <v>0.751243781094527</v>
      </c>
      <c r="G314" s="29" t="n">
        <f aca="false">F314*C314*D314</f>
        <v>4487.22395373134</v>
      </c>
      <c r="H314" s="29" t="n">
        <f aca="false">G314*Model!$B$4</f>
        <v>4487.22395373134</v>
      </c>
      <c r="I314" s="0" t="str">
        <f aca="false">IF(E314&lt;Model!$B$5*H314,"Expedite","Standard")</f>
        <v>Expedite</v>
      </c>
      <c r="J314" s="29" t="n">
        <f aca="false">H314</f>
        <v>4487.22395373134</v>
      </c>
      <c r="K314" s="29" t="n">
        <f aca="false">E314+(1-Model!$B$5)*H314</f>
        <v>2001.87</v>
      </c>
      <c r="L314" s="29" t="n">
        <f aca="false">IF(I314="Expedite",K314,J314)</f>
        <v>2001.87</v>
      </c>
      <c r="M314" s="29" t="n">
        <f aca="false">J314-L314</f>
        <v>2485.35395373134</v>
      </c>
      <c r="N314" s="29" t="n">
        <f aca="false">IFERROR(E314/(F314*C314*Model!$B$5),"")</f>
        <v>501.834437086093</v>
      </c>
    </row>
    <row r="315" customFormat="false" ht="15" hidden="false" customHeight="false" outlineLevel="0" collapsed="false">
      <c r="A315" s="0" t="str">
        <f aca="false">Clean!A315</f>
        <v>SHP0314</v>
      </c>
      <c r="B315" s="0" t="str">
        <f aca="false">Clean!AA315</f>
        <v>GATI Logistics</v>
      </c>
      <c r="C315" s="28" t="n">
        <f aca="false">Clean!J315</f>
        <v>11.86</v>
      </c>
      <c r="D315" s="29" t="n">
        <f aca="false">Clean!AF315</f>
        <v>787.63</v>
      </c>
      <c r="E315" s="29" t="n">
        <f aca="false">Clean!AE315</f>
        <v>3195.43</v>
      </c>
      <c r="F315" s="22" t="n">
        <f aca="false">AVERAGEIFS(Clean!$V$2:$V$1001,Clean!$AA$2:$AA$1001,B315)</f>
        <v>0.751243781094527</v>
      </c>
      <c r="G315" s="29" t="n">
        <f aca="false">F315*C315*D315</f>
        <v>7017.5873721393</v>
      </c>
      <c r="H315" s="29" t="n">
        <f aca="false">G315*Model!$B$4</f>
        <v>7017.5873721393</v>
      </c>
      <c r="I315" s="0" t="str">
        <f aca="false">IF(E315&lt;Model!$B$5*H315,"Expedite","Standard")</f>
        <v>Expedite</v>
      </c>
      <c r="J315" s="29" t="n">
        <f aca="false">H315</f>
        <v>7017.5873721393</v>
      </c>
      <c r="K315" s="29" t="n">
        <f aca="false">E315+(1-Model!$B$5)*H315</f>
        <v>3195.43</v>
      </c>
      <c r="L315" s="29" t="n">
        <f aca="false">IF(I315="Expedite",K315,J315)</f>
        <v>3195.43</v>
      </c>
      <c r="M315" s="29" t="n">
        <f aca="false">J315-L315</f>
        <v>3822.1573721393</v>
      </c>
      <c r="N315" s="29" t="n">
        <f aca="false">IFERROR(E315/(F315*C315*Model!$B$5),"")</f>
        <v>358.644131869605</v>
      </c>
    </row>
    <row r="316" customFormat="false" ht="15" hidden="false" customHeight="false" outlineLevel="0" collapsed="false">
      <c r="A316" s="0" t="str">
        <f aca="false">Clean!A316</f>
        <v>SHP0315</v>
      </c>
      <c r="B316" s="0" t="str">
        <f aca="false">Clean!AA316</f>
        <v>VRL Cargo</v>
      </c>
      <c r="C316" s="28" t="n">
        <f aca="false">Clean!J316</f>
        <v>6.83</v>
      </c>
      <c r="D316" s="29" t="n">
        <f aca="false">Clean!AF316</f>
        <v>932.77</v>
      </c>
      <c r="E316" s="29" t="n">
        <f aca="false">Clean!AE316</f>
        <v>2143.03</v>
      </c>
      <c r="F316" s="22" t="n">
        <f aca="false">AVERAGEIFS(Clean!$V$2:$V$1001,Clean!$AA$2:$AA$1001,B316)</f>
        <v>0.72020725388601</v>
      </c>
      <c r="G316" s="29" t="n">
        <f aca="false">F316*C316*D316</f>
        <v>4588.31012901554</v>
      </c>
      <c r="H316" s="29" t="n">
        <f aca="false">G316*Model!$B$4</f>
        <v>4588.31012901554</v>
      </c>
      <c r="I316" s="0" t="str">
        <f aca="false">IF(E316&lt;Model!$B$5*H316,"Expedite","Standard")</f>
        <v>Expedite</v>
      </c>
      <c r="J316" s="29" t="n">
        <f aca="false">H316</f>
        <v>4588.31012901554</v>
      </c>
      <c r="K316" s="29" t="n">
        <f aca="false">E316+(1-Model!$B$5)*H316</f>
        <v>2143.03</v>
      </c>
      <c r="L316" s="29" t="n">
        <f aca="false">IF(I316="Expedite",K316,J316)</f>
        <v>2143.03</v>
      </c>
      <c r="M316" s="29" t="n">
        <f aca="false">J316-L316</f>
        <v>2445.28012901554</v>
      </c>
      <c r="N316" s="29" t="n">
        <f aca="false">IFERROR(E316/(F316*C316*Model!$B$5),"")</f>
        <v>435.662376102047</v>
      </c>
    </row>
    <row r="317" customFormat="false" ht="15" hidden="false" customHeight="false" outlineLevel="0" collapsed="false">
      <c r="A317" s="0" t="str">
        <f aca="false">Clean!A317</f>
        <v>SHP0316</v>
      </c>
      <c r="B317" s="0" t="str">
        <f aca="false">Clean!AA317</f>
        <v>TCI Express</v>
      </c>
      <c r="C317" s="28" t="n">
        <f aca="false">Clean!J317</f>
        <v>14.02</v>
      </c>
      <c r="D317" s="29" t="n">
        <f aca="false">Clean!AF317</f>
        <v>698.99</v>
      </c>
      <c r="E317" s="29" t="n">
        <f aca="false">Clean!AE317</f>
        <v>3529.13</v>
      </c>
      <c r="F317" s="22" t="n">
        <f aca="false">AVERAGEIFS(Clean!$V$2:$V$1001,Clean!$AA$2:$AA$1001,B317)</f>
        <v>0.752336448598131</v>
      </c>
      <c r="G317" s="29" t="n">
        <f aca="false">F317*C317*D317</f>
        <v>7372.77667196262</v>
      </c>
      <c r="H317" s="29" t="n">
        <f aca="false">G317*Model!$B$4</f>
        <v>7372.77667196262</v>
      </c>
      <c r="I317" s="0" t="str">
        <f aca="false">IF(E317&lt;Model!$B$5*H317,"Expedite","Standard")</f>
        <v>Expedite</v>
      </c>
      <c r="J317" s="29" t="n">
        <f aca="false">H317</f>
        <v>7372.77667196262</v>
      </c>
      <c r="K317" s="29" t="n">
        <f aca="false">E317+(1-Model!$B$5)*H317</f>
        <v>3529.13</v>
      </c>
      <c r="L317" s="29" t="n">
        <f aca="false">IF(I317="Expedite",K317,J317)</f>
        <v>3529.13</v>
      </c>
      <c r="M317" s="29" t="n">
        <f aca="false">J317-L317</f>
        <v>3843.64667196262</v>
      </c>
      <c r="N317" s="29" t="n">
        <f aca="false">IFERROR(E317/(F317*C317*Model!$B$5),"")</f>
        <v>334.585826813514</v>
      </c>
    </row>
    <row r="318" customFormat="false" ht="15" hidden="false" customHeight="false" outlineLevel="0" collapsed="false">
      <c r="A318" s="0" t="str">
        <f aca="false">Clean!A318</f>
        <v>SHP0317</v>
      </c>
      <c r="B318" s="0" t="str">
        <f aca="false">Clean!AA318</f>
        <v>VRL Cargo</v>
      </c>
      <c r="C318" s="28" t="n">
        <f aca="false">Clean!J318</f>
        <v>8.95</v>
      </c>
      <c r="D318" s="29" t="n">
        <f aca="false">Clean!AF318</f>
        <v>679.36</v>
      </c>
      <c r="E318" s="29" t="n">
        <f aca="false">Clean!AE318</f>
        <v>3074.8</v>
      </c>
      <c r="F318" s="22" t="n">
        <f aca="false">AVERAGEIFS(Clean!$V$2:$V$1001,Clean!$AA$2:$AA$1001,B318)</f>
        <v>0.72020725388601</v>
      </c>
      <c r="G318" s="29" t="n">
        <f aca="false">F318*C318*D318</f>
        <v>4379.056</v>
      </c>
      <c r="H318" s="29" t="n">
        <f aca="false">G318*Model!$B$4</f>
        <v>4379.056</v>
      </c>
      <c r="I318" s="0" t="str">
        <f aca="false">IF(E318&lt;Model!$B$5*H318,"Expedite","Standard")</f>
        <v>Expedite</v>
      </c>
      <c r="J318" s="29" t="n">
        <f aca="false">H318</f>
        <v>4379.056</v>
      </c>
      <c r="K318" s="29" t="n">
        <f aca="false">E318+(1-Model!$B$5)*H318</f>
        <v>3074.8</v>
      </c>
      <c r="L318" s="29" t="n">
        <f aca="false">IF(I318="Expedite",K318,J318)</f>
        <v>3074.8</v>
      </c>
      <c r="M318" s="29" t="n">
        <f aca="false">J318-L318</f>
        <v>1304.256</v>
      </c>
      <c r="N318" s="29" t="n">
        <f aca="false">IFERROR(E318/(F318*C318*Model!$B$5),"")</f>
        <v>477.019733933524</v>
      </c>
    </row>
    <row r="319" customFormat="false" ht="15" hidden="false" customHeight="false" outlineLevel="0" collapsed="false">
      <c r="A319" s="0" t="str">
        <f aca="false">Clean!A319</f>
        <v>SHP0318</v>
      </c>
      <c r="B319" s="0" t="str">
        <f aca="false">Clean!AA319</f>
        <v>VRL Cargo</v>
      </c>
      <c r="C319" s="28" t="n">
        <f aca="false">Clean!J319</f>
        <v>19.44</v>
      </c>
      <c r="D319" s="29" t="n">
        <f aca="false">Clean!AF319</f>
        <v>897.61</v>
      </c>
      <c r="E319" s="29" t="n">
        <f aca="false">Clean!AE319</f>
        <v>2386.1</v>
      </c>
      <c r="F319" s="22" t="n">
        <f aca="false">AVERAGEIFS(Clean!$V$2:$V$1001,Clean!$AA$2:$AA$1001,B319)</f>
        <v>0.72020725388601</v>
      </c>
      <c r="G319" s="29" t="n">
        <f aca="false">F319*C319*D319</f>
        <v>12567.2841326425</v>
      </c>
      <c r="H319" s="29" t="n">
        <f aca="false">G319*Model!$B$4</f>
        <v>12567.2841326425</v>
      </c>
      <c r="I319" s="0" t="str">
        <f aca="false">IF(E319&lt;Model!$B$5*H319,"Expedite","Standard")</f>
        <v>Expedite</v>
      </c>
      <c r="J319" s="29" t="n">
        <f aca="false">H319</f>
        <v>12567.2841326425</v>
      </c>
      <c r="K319" s="29" t="n">
        <f aca="false">E319+(1-Model!$B$5)*H319</f>
        <v>2386.1</v>
      </c>
      <c r="L319" s="29" t="n">
        <f aca="false">IF(I319="Expedite",K319,J319)</f>
        <v>2386.1</v>
      </c>
      <c r="M319" s="29" t="n">
        <f aca="false">J319-L319</f>
        <v>10181.1841326425</v>
      </c>
      <c r="N319" s="29" t="n">
        <f aca="false">IFERROR(E319/(F319*C319*Model!$B$5),"")</f>
        <v>170.425622464991</v>
      </c>
    </row>
    <row r="320" customFormat="false" ht="15" hidden="false" customHeight="false" outlineLevel="0" collapsed="false">
      <c r="A320" s="0" t="str">
        <f aca="false">Clean!A320</f>
        <v>SHP0319</v>
      </c>
      <c r="B320" s="0" t="str">
        <f aca="false">Clean!AA320</f>
        <v>TCI Express</v>
      </c>
      <c r="C320" s="28" t="n">
        <f aca="false">Clean!J320</f>
        <v>6.02</v>
      </c>
      <c r="D320" s="29" t="n">
        <f aca="false">Clean!AF320</f>
        <v>1425.52</v>
      </c>
      <c r="E320" s="29" t="n">
        <f aca="false">Clean!AE320</f>
        <v>1688.44</v>
      </c>
      <c r="F320" s="22" t="n">
        <f aca="false">AVERAGEIFS(Clean!$V$2:$V$1001,Clean!$AA$2:$AA$1001,B320)</f>
        <v>0.752336448598131</v>
      </c>
      <c r="G320" s="29" t="n">
        <f aca="false">F320*C320*D320</f>
        <v>6456.27333831776</v>
      </c>
      <c r="H320" s="29" t="n">
        <f aca="false">G320*Model!$B$4</f>
        <v>6456.27333831776</v>
      </c>
      <c r="I320" s="0" t="str">
        <f aca="false">IF(E320&lt;Model!$B$5*H320,"Expedite","Standard")</f>
        <v>Expedite</v>
      </c>
      <c r="J320" s="29" t="n">
        <f aca="false">H320</f>
        <v>6456.27333831776</v>
      </c>
      <c r="K320" s="29" t="n">
        <f aca="false">E320+(1-Model!$B$5)*H320</f>
        <v>1688.44</v>
      </c>
      <c r="L320" s="29" t="n">
        <f aca="false">IF(I320="Expedite",K320,J320)</f>
        <v>1688.44</v>
      </c>
      <c r="M320" s="29" t="n">
        <f aca="false">J320-L320</f>
        <v>4767.83333831776</v>
      </c>
      <c r="N320" s="29" t="n">
        <f aca="false">IFERROR(E320/(F320*C320*Model!$B$5),"")</f>
        <v>372.800973979076</v>
      </c>
    </row>
    <row r="321" customFormat="false" ht="15" hidden="false" customHeight="false" outlineLevel="0" collapsed="false">
      <c r="A321" s="0" t="str">
        <f aca="false">Clean!A321</f>
        <v>SHP0320</v>
      </c>
      <c r="B321" s="0" t="str">
        <f aca="false">Clean!AA321</f>
        <v>GATI Logistics</v>
      </c>
      <c r="C321" s="28" t="n">
        <f aca="false">Clean!J321</f>
        <v>2.3</v>
      </c>
      <c r="D321" s="29" t="n">
        <f aca="false">Clean!AF321</f>
        <v>1203.79</v>
      </c>
      <c r="E321" s="29" t="n">
        <f aca="false">Clean!AE321</f>
        <v>3566.53</v>
      </c>
      <c r="F321" s="22" t="n">
        <f aca="false">AVERAGEIFS(Clean!$V$2:$V$1001,Clean!$AA$2:$AA$1001,B321)</f>
        <v>0.751243781094527</v>
      </c>
      <c r="G321" s="29" t="n">
        <f aca="false">F321*C321*D321</f>
        <v>2079.9814278607</v>
      </c>
      <c r="H321" s="29" t="n">
        <f aca="false">G321*Model!$B$4</f>
        <v>2079.9814278607</v>
      </c>
      <c r="I321" s="0" t="str">
        <f aca="false">IF(E321&lt;Model!$B$5*H321,"Expedite","Standard")</f>
        <v>Standard</v>
      </c>
      <c r="J321" s="29" t="n">
        <f aca="false">H321</f>
        <v>2079.9814278607</v>
      </c>
      <c r="K321" s="29" t="n">
        <f aca="false">E321+(1-Model!$B$5)*H321</f>
        <v>3566.53</v>
      </c>
      <c r="L321" s="29" t="n">
        <f aca="false">IF(I321="Expedite",K321,J321)</f>
        <v>2079.9814278607</v>
      </c>
      <c r="M321" s="29" t="n">
        <f aca="false">J321-L321</f>
        <v>0</v>
      </c>
      <c r="N321" s="29" t="n">
        <f aca="false">IFERROR(E321/(F321*C321*Model!$B$5),"")</f>
        <v>2064.13052116326</v>
      </c>
    </row>
    <row r="322" customFormat="false" ht="15" hidden="false" customHeight="false" outlineLevel="0" collapsed="false">
      <c r="A322" s="0" t="str">
        <f aca="false">Clean!A322</f>
        <v>SHP0321</v>
      </c>
      <c r="B322" s="0" t="str">
        <f aca="false">Clean!AA322</f>
        <v>VRL Cargo</v>
      </c>
      <c r="C322" s="28" t="n">
        <f aca="false">Clean!J322</f>
        <v>8.09</v>
      </c>
      <c r="D322" s="29" t="n">
        <f aca="false">Clean!AF322</f>
        <v>654.83</v>
      </c>
      <c r="E322" s="29" t="n">
        <f aca="false">Clean!AE322</f>
        <v>1423.62</v>
      </c>
      <c r="F322" s="22" t="n">
        <f aca="false">AVERAGEIFS(Clean!$V$2:$V$1001,Clean!$AA$2:$AA$1001,B322)</f>
        <v>0.72020725388601</v>
      </c>
      <c r="G322" s="29" t="n">
        <f aca="false">F322*C322*D322</f>
        <v>3815.35172694301</v>
      </c>
      <c r="H322" s="29" t="n">
        <f aca="false">G322*Model!$B$4</f>
        <v>3815.35172694301</v>
      </c>
      <c r="I322" s="0" t="str">
        <f aca="false">IF(E322&lt;Model!$B$5*H322,"Expedite","Standard")</f>
        <v>Expedite</v>
      </c>
      <c r="J322" s="29" t="n">
        <f aca="false">H322</f>
        <v>3815.35172694301</v>
      </c>
      <c r="K322" s="29" t="n">
        <f aca="false">E322+(1-Model!$B$5)*H322</f>
        <v>1423.62</v>
      </c>
      <c r="L322" s="29" t="n">
        <f aca="false">IF(I322="Expedite",K322,J322)</f>
        <v>1423.62</v>
      </c>
      <c r="M322" s="29" t="n">
        <f aca="false">J322-L322</f>
        <v>2391.73172694301</v>
      </c>
      <c r="N322" s="29" t="n">
        <f aca="false">IFERROR(E322/(F322*C322*Model!$B$5),"")</f>
        <v>244.336342051205</v>
      </c>
    </row>
    <row r="323" customFormat="false" ht="15" hidden="false" customHeight="false" outlineLevel="0" collapsed="false">
      <c r="A323" s="0" t="str">
        <f aca="false">Clean!A323</f>
        <v>SHP0322</v>
      </c>
      <c r="B323" s="0" t="str">
        <f aca="false">Clean!AA323</f>
        <v>TCI Express</v>
      </c>
      <c r="C323" s="28" t="n">
        <f aca="false">Clean!J323</f>
        <v>18.95</v>
      </c>
      <c r="D323" s="29" t="n">
        <f aca="false">Clean!AF323</f>
        <v>908.15</v>
      </c>
      <c r="E323" s="29" t="n">
        <f aca="false">Clean!AE323</f>
        <v>3720.45</v>
      </c>
      <c r="F323" s="22" t="n">
        <f aca="false">AVERAGEIFS(Clean!$V$2:$V$1001,Clean!$AA$2:$AA$1001,B323)</f>
        <v>0.752336448598131</v>
      </c>
      <c r="G323" s="29" t="n">
        <f aca="false">F323*C323*D323</f>
        <v>12947.2908528037</v>
      </c>
      <c r="H323" s="29" t="n">
        <f aca="false">G323*Model!$B$4</f>
        <v>12947.2908528037</v>
      </c>
      <c r="I323" s="0" t="str">
        <f aca="false">IF(E323&lt;Model!$B$5*H323,"Expedite","Standard")</f>
        <v>Expedite</v>
      </c>
      <c r="J323" s="29" t="n">
        <f aca="false">H323</f>
        <v>12947.2908528037</v>
      </c>
      <c r="K323" s="29" t="n">
        <f aca="false">E323+(1-Model!$B$5)*H323</f>
        <v>3720.45</v>
      </c>
      <c r="L323" s="29" t="n">
        <f aca="false">IF(I323="Expedite",K323,J323)</f>
        <v>3720.45</v>
      </c>
      <c r="M323" s="29" t="n">
        <f aca="false">J323-L323</f>
        <v>9226.84085280374</v>
      </c>
      <c r="N323" s="29" t="n">
        <f aca="false">IFERROR(E323/(F323*C323*Model!$B$5),"")</f>
        <v>260.960127173503</v>
      </c>
    </row>
    <row r="324" customFormat="false" ht="15" hidden="false" customHeight="false" outlineLevel="0" collapsed="false">
      <c r="A324" s="0" t="str">
        <f aca="false">Clean!A324</f>
        <v>SHP0323</v>
      </c>
      <c r="B324" s="0" t="str">
        <f aca="false">Clean!AA324</f>
        <v>GATI Logistics</v>
      </c>
      <c r="C324" s="28" t="n">
        <f aca="false">Clean!J324</f>
        <v>1.29</v>
      </c>
      <c r="D324" s="29" t="n">
        <f aca="false">Clean!AF324</f>
        <v>933.58</v>
      </c>
      <c r="E324" s="29" t="n">
        <f aca="false">Clean!AE324</f>
        <v>1033.28</v>
      </c>
      <c r="F324" s="22" t="n">
        <f aca="false">AVERAGEIFS(Clean!$V$2:$V$1001,Clean!$AA$2:$AA$1001,B324)</f>
        <v>0.751243781094527</v>
      </c>
      <c r="G324" s="29" t="n">
        <f aca="false">F324*C324*D324</f>
        <v>904.736558208955</v>
      </c>
      <c r="H324" s="29" t="n">
        <f aca="false">G324*Model!$B$4</f>
        <v>904.736558208955</v>
      </c>
      <c r="I324" s="0" t="str">
        <f aca="false">IF(E324&lt;Model!$B$5*H324,"Expedite","Standard")</f>
        <v>Standard</v>
      </c>
      <c r="J324" s="29" t="n">
        <f aca="false">H324</f>
        <v>904.736558208955</v>
      </c>
      <c r="K324" s="29" t="n">
        <f aca="false">E324+(1-Model!$B$5)*H324</f>
        <v>1033.28</v>
      </c>
      <c r="L324" s="29" t="n">
        <f aca="false">IF(I324="Expedite",K324,J324)</f>
        <v>904.736558208955</v>
      </c>
      <c r="M324" s="29" t="n">
        <f aca="false">J324-L324</f>
        <v>0</v>
      </c>
      <c r="N324" s="29" t="n">
        <f aca="false">IFERROR(E324/(F324*C324*Model!$B$5),"")</f>
        <v>1066.2214692746</v>
      </c>
    </row>
    <row r="325" customFormat="false" ht="15" hidden="false" customHeight="false" outlineLevel="0" collapsed="false">
      <c r="A325" s="0" t="str">
        <f aca="false">Clean!A325</f>
        <v>SHP0324</v>
      </c>
      <c r="B325" s="0" t="str">
        <f aca="false">Clean!AA325</f>
        <v>Delhivery</v>
      </c>
      <c r="C325" s="28" t="n">
        <f aca="false">Clean!J325</f>
        <v>2.76</v>
      </c>
      <c r="D325" s="29" t="n">
        <f aca="false">Clean!AF325</f>
        <v>509.05</v>
      </c>
      <c r="E325" s="29" t="n">
        <f aca="false">Clean!AE325</f>
        <v>3893.79</v>
      </c>
      <c r="F325" s="22" t="n">
        <f aca="false">AVERAGEIFS(Clean!$V$2:$V$1001,Clean!$AA$2:$AA$1001,B325)</f>
        <v>0.72538860103627</v>
      </c>
      <c r="G325" s="29" t="n">
        <f aca="false">F325*C325*D325</f>
        <v>1019.15502590674</v>
      </c>
      <c r="H325" s="29" t="n">
        <f aca="false">G325*Model!$B$4</f>
        <v>1019.15502590674</v>
      </c>
      <c r="I325" s="0" t="str">
        <f aca="false">IF(E325&lt;Model!$B$5*H325,"Expedite","Standard")</f>
        <v>Standard</v>
      </c>
      <c r="J325" s="29" t="n">
        <f aca="false">H325</f>
        <v>1019.15502590674</v>
      </c>
      <c r="K325" s="29" t="n">
        <f aca="false">E325+(1-Model!$B$5)*H325</f>
        <v>3893.79</v>
      </c>
      <c r="L325" s="29" t="n">
        <f aca="false">IF(I325="Expedite",K325,J325)</f>
        <v>1019.15502590674</v>
      </c>
      <c r="M325" s="29" t="n">
        <f aca="false">J325-L325</f>
        <v>0</v>
      </c>
      <c r="N325" s="29" t="n">
        <f aca="false">IFERROR(E325/(F325*C325*Model!$B$5),"")</f>
        <v>1944.87958074534</v>
      </c>
    </row>
    <row r="326" customFormat="false" ht="15" hidden="false" customHeight="false" outlineLevel="0" collapsed="false">
      <c r="A326" s="0" t="str">
        <f aca="false">Clean!A326</f>
        <v>SHP0325</v>
      </c>
      <c r="B326" s="0" t="str">
        <f aca="false">Clean!AA326</f>
        <v>TCI Express</v>
      </c>
      <c r="C326" s="28" t="n">
        <f aca="false">Clean!J326</f>
        <v>12.2</v>
      </c>
      <c r="D326" s="29" t="n">
        <f aca="false">Clean!AF326</f>
        <v>513.75</v>
      </c>
      <c r="E326" s="29" t="n">
        <f aca="false">Clean!AE326</f>
        <v>3954.89</v>
      </c>
      <c r="F326" s="22" t="n">
        <f aca="false">AVERAGEIFS(Clean!$V$2:$V$1001,Clean!$AA$2:$AA$1001,B326)</f>
        <v>0.752336448598131</v>
      </c>
      <c r="G326" s="29" t="n">
        <f aca="false">F326*C326*D326</f>
        <v>4715.45677570093</v>
      </c>
      <c r="H326" s="29" t="n">
        <f aca="false">G326*Model!$B$4</f>
        <v>4715.45677570093</v>
      </c>
      <c r="I326" s="0" t="str">
        <f aca="false">IF(E326&lt;Model!$B$5*H326,"Expedite","Standard")</f>
        <v>Expedite</v>
      </c>
      <c r="J326" s="29" t="n">
        <f aca="false">H326</f>
        <v>4715.45677570093</v>
      </c>
      <c r="K326" s="29" t="n">
        <f aca="false">E326+(1-Model!$B$5)*H326</f>
        <v>3954.89</v>
      </c>
      <c r="L326" s="29" t="n">
        <f aca="false">IF(I326="Expedite",K326,J326)</f>
        <v>3954.89</v>
      </c>
      <c r="M326" s="29" t="n">
        <f aca="false">J326-L326</f>
        <v>760.566775700935</v>
      </c>
      <c r="N326" s="29" t="n">
        <f aca="false">IFERROR(E326/(F326*C326*Model!$B$5),"")</f>
        <v>430.886091029427</v>
      </c>
    </row>
    <row r="327" customFormat="false" ht="15" hidden="false" customHeight="false" outlineLevel="0" collapsed="false">
      <c r="A327" s="0" t="str">
        <f aca="false">Clean!A327</f>
        <v>SHP0326</v>
      </c>
      <c r="B327" s="0" t="str">
        <f aca="false">Clean!AA327</f>
        <v>VRL Cargo</v>
      </c>
      <c r="C327" s="28" t="n">
        <f aca="false">Clean!J327</f>
        <v>5.72</v>
      </c>
      <c r="D327" s="29" t="n">
        <f aca="false">Clean!AF327</f>
        <v>1097.1</v>
      </c>
      <c r="E327" s="29" t="n">
        <f aca="false">Clean!AE327</f>
        <v>1861.38</v>
      </c>
      <c r="F327" s="22" t="n">
        <f aca="false">AVERAGEIFS(Clean!$V$2:$V$1001,Clean!$AA$2:$AA$1001,B327)</f>
        <v>0.72020725388601</v>
      </c>
      <c r="G327" s="29" t="n">
        <f aca="false">F327*C327*D327</f>
        <v>4519.59724352332</v>
      </c>
      <c r="H327" s="29" t="n">
        <f aca="false">G327*Model!$B$4</f>
        <v>4519.59724352332</v>
      </c>
      <c r="I327" s="0" t="str">
        <f aca="false">IF(E327&lt;Model!$B$5*H327,"Expedite","Standard")</f>
        <v>Expedite</v>
      </c>
      <c r="J327" s="29" t="n">
        <f aca="false">H327</f>
        <v>4519.59724352332</v>
      </c>
      <c r="K327" s="29" t="n">
        <f aca="false">E327+(1-Model!$B$5)*H327</f>
        <v>1861.38</v>
      </c>
      <c r="L327" s="29" t="n">
        <f aca="false">IF(I327="Expedite",K327,J327)</f>
        <v>1861.38</v>
      </c>
      <c r="M327" s="29" t="n">
        <f aca="false">J327-L327</f>
        <v>2658.21724352332</v>
      </c>
      <c r="N327" s="29" t="n">
        <f aca="false">IFERROR(E327/(F327*C327*Model!$B$5),"")</f>
        <v>451.836720833124</v>
      </c>
    </row>
    <row r="328" customFormat="false" ht="15" hidden="false" customHeight="false" outlineLevel="0" collapsed="false">
      <c r="A328" s="0" t="str">
        <f aca="false">Clean!A328</f>
        <v>SHP0327</v>
      </c>
      <c r="B328" s="0" t="str">
        <f aca="false">Clean!AA328</f>
        <v>TCI Express</v>
      </c>
      <c r="C328" s="28" t="n">
        <f aca="false">Clean!J328</f>
        <v>12.3</v>
      </c>
      <c r="D328" s="29" t="n">
        <f aca="false">Clean!AF328</f>
        <v>1013.61</v>
      </c>
      <c r="E328" s="29" t="n">
        <f aca="false">Clean!AE328</f>
        <v>2589.79</v>
      </c>
      <c r="F328" s="22" t="n">
        <f aca="false">AVERAGEIFS(Clean!$V$2:$V$1001,Clean!$AA$2:$AA$1001,B328)</f>
        <v>0.752336448598131</v>
      </c>
      <c r="G328" s="29" t="n">
        <f aca="false">F328*C328*D328</f>
        <v>9379.68169626168</v>
      </c>
      <c r="H328" s="29" t="n">
        <f aca="false">G328*Model!$B$4</f>
        <v>9379.68169626168</v>
      </c>
      <c r="I328" s="0" t="str">
        <f aca="false">IF(E328&lt;Model!$B$5*H328,"Expedite","Standard")</f>
        <v>Expedite</v>
      </c>
      <c r="J328" s="29" t="n">
        <f aca="false">H328</f>
        <v>9379.68169626168</v>
      </c>
      <c r="K328" s="29" t="n">
        <f aca="false">E328+(1-Model!$B$5)*H328</f>
        <v>2589.79</v>
      </c>
      <c r="L328" s="29" t="n">
        <f aca="false">IF(I328="Expedite",K328,J328)</f>
        <v>2589.79</v>
      </c>
      <c r="M328" s="29" t="n">
        <f aca="false">J328-L328</f>
        <v>6789.89169626168</v>
      </c>
      <c r="N328" s="29" t="n">
        <f aca="false">IFERROR(E328/(F328*C328*Model!$B$5),"")</f>
        <v>279.864192294097</v>
      </c>
    </row>
    <row r="329" customFormat="false" ht="15" hidden="false" customHeight="false" outlineLevel="0" collapsed="false">
      <c r="A329" s="0" t="str">
        <f aca="false">Clean!A329</f>
        <v>SHP0328</v>
      </c>
      <c r="B329" s="0" t="str">
        <f aca="false">Clean!AA329</f>
        <v>BlueDart</v>
      </c>
      <c r="C329" s="28" t="n">
        <f aca="false">Clean!J329</f>
        <v>5.81</v>
      </c>
      <c r="D329" s="29" t="n">
        <f aca="false">Clean!AF329</f>
        <v>768.85</v>
      </c>
      <c r="E329" s="29" t="n">
        <f aca="false">Clean!AE329</f>
        <v>3153.33</v>
      </c>
      <c r="F329" s="22" t="n">
        <f aca="false">AVERAGEIFS(Clean!$V$2:$V$1001,Clean!$AA$2:$AA$1001,B329)</f>
        <v>0.773869346733668</v>
      </c>
      <c r="G329" s="29" t="n">
        <f aca="false">F329*C329*D329</f>
        <v>3456.88868844221</v>
      </c>
      <c r="H329" s="29" t="n">
        <f aca="false">G329*Model!$B$4</f>
        <v>3456.88868844221</v>
      </c>
      <c r="I329" s="0" t="str">
        <f aca="false">IF(E329&lt;Model!$B$5*H329,"Expedite","Standard")</f>
        <v>Expedite</v>
      </c>
      <c r="J329" s="29" t="n">
        <f aca="false">H329</f>
        <v>3456.88868844221</v>
      </c>
      <c r="K329" s="29" t="n">
        <f aca="false">E329+(1-Model!$B$5)*H329</f>
        <v>3153.33</v>
      </c>
      <c r="L329" s="29" t="n">
        <f aca="false">IF(I329="Expedite",K329,J329)</f>
        <v>3153.33</v>
      </c>
      <c r="M329" s="29" t="n">
        <f aca="false">J329-L329</f>
        <v>303.558688442211</v>
      </c>
      <c r="N329" s="29" t="n">
        <f aca="false">IFERROR(E329/(F329*C329*Model!$B$5),"")</f>
        <v>701.335214699242</v>
      </c>
    </row>
    <row r="330" customFormat="false" ht="15" hidden="false" customHeight="false" outlineLevel="0" collapsed="false">
      <c r="A330" s="0" t="str">
        <f aca="false">Clean!A330</f>
        <v>SHP0329</v>
      </c>
      <c r="B330" s="0" t="str">
        <f aca="false">Clean!AA330</f>
        <v>Delhivery</v>
      </c>
      <c r="C330" s="28" t="n">
        <f aca="false">Clean!J330</f>
        <v>8</v>
      </c>
      <c r="D330" s="29" t="n">
        <f aca="false">Clean!AF330</f>
        <v>1035.03</v>
      </c>
      <c r="E330" s="29" t="n">
        <f aca="false">Clean!AE330</f>
        <v>2997.73</v>
      </c>
      <c r="F330" s="22" t="n">
        <f aca="false">AVERAGEIFS(Clean!$V$2:$V$1001,Clean!$AA$2:$AA$1001,B330)</f>
        <v>0.72538860103627</v>
      </c>
      <c r="G330" s="29" t="n">
        <f aca="false">F330*C330*D330</f>
        <v>6006.39170984456</v>
      </c>
      <c r="H330" s="29" t="n">
        <f aca="false">G330*Model!$B$4</f>
        <v>6006.39170984456</v>
      </c>
      <c r="I330" s="0" t="str">
        <f aca="false">IF(E330&lt;Model!$B$5*H330,"Expedite","Standard")</f>
        <v>Expedite</v>
      </c>
      <c r="J330" s="29" t="n">
        <f aca="false">H330</f>
        <v>6006.39170984456</v>
      </c>
      <c r="K330" s="29" t="n">
        <f aca="false">E330+(1-Model!$B$5)*H330</f>
        <v>2997.73</v>
      </c>
      <c r="L330" s="29" t="n">
        <f aca="false">IF(I330="Expedite",K330,J330)</f>
        <v>2997.73</v>
      </c>
      <c r="M330" s="29" t="n">
        <f aca="false">J330-L330</f>
        <v>3008.66170984456</v>
      </c>
      <c r="N330" s="29" t="n">
        <f aca="false">IFERROR(E330/(F330*C330*Model!$B$5),"")</f>
        <v>516.573116071429</v>
      </c>
    </row>
    <row r="331" customFormat="false" ht="15" hidden="false" customHeight="false" outlineLevel="0" collapsed="false">
      <c r="A331" s="0" t="str">
        <f aca="false">Clean!A331</f>
        <v>SHP0330</v>
      </c>
      <c r="B331" s="0" t="str">
        <f aca="false">Clean!AA331</f>
        <v>BlueDart</v>
      </c>
      <c r="C331" s="28" t="n">
        <f aca="false">Clean!J331</f>
        <v>3.74</v>
      </c>
      <c r="D331" s="29" t="n">
        <f aca="false">Clean!AF331</f>
        <v>556.18</v>
      </c>
      <c r="E331" s="29" t="n">
        <f aca="false">Clean!AE331</f>
        <v>3010.52</v>
      </c>
      <c r="F331" s="22" t="n">
        <f aca="false">AVERAGEIFS(Clean!$V$2:$V$1001,Clean!$AA$2:$AA$1001,B331)</f>
        <v>0.773869346733668</v>
      </c>
      <c r="G331" s="29" t="n">
        <f aca="false">F331*C331*D331</f>
        <v>1609.73584321608</v>
      </c>
      <c r="H331" s="29" t="n">
        <f aca="false">G331*Model!$B$4</f>
        <v>1609.73584321608</v>
      </c>
      <c r="I331" s="0" t="str">
        <f aca="false">IF(E331&lt;Model!$B$5*H331,"Expedite","Standard")</f>
        <v>Standard</v>
      </c>
      <c r="J331" s="29" t="n">
        <f aca="false">H331</f>
        <v>1609.73584321608</v>
      </c>
      <c r="K331" s="29" t="n">
        <f aca="false">E331+(1-Model!$B$5)*H331</f>
        <v>3010.52</v>
      </c>
      <c r="L331" s="29" t="n">
        <f aca="false">IF(I331="Expedite",K331,J331)</f>
        <v>1609.73584321608</v>
      </c>
      <c r="M331" s="29" t="n">
        <f aca="false">J331-L331</f>
        <v>0</v>
      </c>
      <c r="N331" s="29" t="n">
        <f aca="false">IFERROR(E331/(F331*C331*Model!$B$5),"")</f>
        <v>1040.1650809084</v>
      </c>
    </row>
    <row r="332" customFormat="false" ht="15" hidden="false" customHeight="false" outlineLevel="0" collapsed="false">
      <c r="A332" s="0" t="str">
        <f aca="false">Clean!A332</f>
        <v>SHP0331</v>
      </c>
      <c r="B332" s="0" t="str">
        <f aca="false">Clean!AA332</f>
        <v>Delhivery</v>
      </c>
      <c r="C332" s="28" t="n">
        <f aca="false">Clean!J332</f>
        <v>10.33</v>
      </c>
      <c r="D332" s="29" t="n">
        <f aca="false">Clean!AF332</f>
        <v>1286.52</v>
      </c>
      <c r="E332" s="29" t="n">
        <f aca="false">Clean!AE332</f>
        <v>3065.7</v>
      </c>
      <c r="F332" s="22" t="n">
        <f aca="false">AVERAGEIFS(Clean!$V$2:$V$1001,Clean!$AA$2:$AA$1001,B332)</f>
        <v>0.72538860103627</v>
      </c>
      <c r="G332" s="29" t="n">
        <f aca="false">F332*C332*D332</f>
        <v>9640.23432124352</v>
      </c>
      <c r="H332" s="29" t="n">
        <f aca="false">G332*Model!$B$4</f>
        <v>9640.23432124352</v>
      </c>
      <c r="I332" s="0" t="str">
        <f aca="false">IF(E332&lt;Model!$B$5*H332,"Expedite","Standard")</f>
        <v>Expedite</v>
      </c>
      <c r="J332" s="29" t="n">
        <f aca="false">H332</f>
        <v>9640.23432124352</v>
      </c>
      <c r="K332" s="29" t="n">
        <f aca="false">E332+(1-Model!$B$5)*H332</f>
        <v>3065.7</v>
      </c>
      <c r="L332" s="29" t="n">
        <f aca="false">IF(I332="Expedite",K332,J332)</f>
        <v>3065.7</v>
      </c>
      <c r="M332" s="29" t="n">
        <f aca="false">J332-L332</f>
        <v>6574.53432124353</v>
      </c>
      <c r="N332" s="29" t="n">
        <f aca="false">IFERROR(E332/(F332*C332*Model!$B$5),"")</f>
        <v>409.12743742221</v>
      </c>
    </row>
    <row r="333" customFormat="false" ht="15" hidden="false" customHeight="false" outlineLevel="0" collapsed="false">
      <c r="A333" s="0" t="str">
        <f aca="false">Clean!A333</f>
        <v>SHP0332</v>
      </c>
      <c r="B333" s="0" t="str">
        <f aca="false">Clean!AA333</f>
        <v>Delhivery</v>
      </c>
      <c r="C333" s="28" t="n">
        <f aca="false">Clean!J333</f>
        <v>18.91</v>
      </c>
      <c r="D333" s="29" t="n">
        <f aca="false">Clean!AF333</f>
        <v>749.96</v>
      </c>
      <c r="E333" s="29" t="n">
        <f aca="false">Clean!AE333</f>
        <v>2239.23</v>
      </c>
      <c r="F333" s="22" t="n">
        <f aca="false">AVERAGEIFS(Clean!$V$2:$V$1001,Clean!$AA$2:$AA$1001,B333)</f>
        <v>0.72538860103627</v>
      </c>
      <c r="G333" s="29" t="n">
        <f aca="false">F333*C333*D333</f>
        <v>10287.2751502591</v>
      </c>
      <c r="H333" s="29" t="n">
        <f aca="false">G333*Model!$B$4</f>
        <v>10287.2751502591</v>
      </c>
      <c r="I333" s="0" t="str">
        <f aca="false">IF(E333&lt;Model!$B$5*H333,"Expedite","Standard")</f>
        <v>Expedite</v>
      </c>
      <c r="J333" s="29" t="n">
        <f aca="false">H333</f>
        <v>10287.2751502591</v>
      </c>
      <c r="K333" s="29" t="n">
        <f aca="false">E333+(1-Model!$B$5)*H333</f>
        <v>2239.23</v>
      </c>
      <c r="L333" s="29" t="n">
        <f aca="false">IF(I333="Expedite",K333,J333)</f>
        <v>2239.23</v>
      </c>
      <c r="M333" s="29" t="n">
        <f aca="false">J333-L333</f>
        <v>8048.04515025907</v>
      </c>
      <c r="N333" s="29" t="n">
        <f aca="false">IFERROR(E333/(F333*C333*Model!$B$5),"")</f>
        <v>163.243707033316</v>
      </c>
    </row>
    <row r="334" customFormat="false" ht="15" hidden="false" customHeight="false" outlineLevel="0" collapsed="false">
      <c r="A334" s="0" t="str">
        <f aca="false">Clean!A334</f>
        <v>SHP0333</v>
      </c>
      <c r="B334" s="0" t="str">
        <f aca="false">Clean!AA334</f>
        <v>BlueDart</v>
      </c>
      <c r="C334" s="28" t="n">
        <f aca="false">Clean!J334</f>
        <v>10.79</v>
      </c>
      <c r="D334" s="29" t="n">
        <f aca="false">Clean!AF334</f>
        <v>1132.22</v>
      </c>
      <c r="E334" s="29" t="n">
        <f aca="false">Clean!AE334</f>
        <v>4145.43</v>
      </c>
      <c r="F334" s="22" t="n">
        <f aca="false">AVERAGEIFS(Clean!$V$2:$V$1001,Clean!$AA$2:$AA$1001,B334)</f>
        <v>0.773869346733668</v>
      </c>
      <c r="G334" s="29" t="n">
        <f aca="false">F334*C334*D334</f>
        <v>9454.09389547739</v>
      </c>
      <c r="H334" s="29" t="n">
        <f aca="false">G334*Model!$B$4</f>
        <v>9454.09389547739</v>
      </c>
      <c r="I334" s="0" t="str">
        <f aca="false">IF(E334&lt;Model!$B$5*H334,"Expedite","Standard")</f>
        <v>Expedite</v>
      </c>
      <c r="J334" s="29" t="n">
        <f aca="false">H334</f>
        <v>9454.09389547739</v>
      </c>
      <c r="K334" s="29" t="n">
        <f aca="false">E334+(1-Model!$B$5)*H334</f>
        <v>4145.43</v>
      </c>
      <c r="L334" s="29" t="n">
        <f aca="false">IF(I334="Expedite",K334,J334)</f>
        <v>4145.43</v>
      </c>
      <c r="M334" s="29" t="n">
        <f aca="false">J334-L334</f>
        <v>5308.66389547739</v>
      </c>
      <c r="N334" s="29" t="n">
        <f aca="false">IFERROR(E334/(F334*C334*Model!$B$5),"")</f>
        <v>496.455694907502</v>
      </c>
    </row>
    <row r="335" customFormat="false" ht="15" hidden="false" customHeight="false" outlineLevel="0" collapsed="false">
      <c r="A335" s="0" t="str">
        <f aca="false">Clean!A335</f>
        <v>SHP0334</v>
      </c>
      <c r="B335" s="0" t="str">
        <f aca="false">Clean!AA335</f>
        <v>BlueDart</v>
      </c>
      <c r="C335" s="28" t="n">
        <f aca="false">Clean!J335</f>
        <v>8.1</v>
      </c>
      <c r="D335" s="29" t="n">
        <f aca="false">Clean!AF335</f>
        <v>848.89</v>
      </c>
      <c r="E335" s="29" t="n">
        <f aca="false">Clean!AE335</f>
        <v>4315.49</v>
      </c>
      <c r="F335" s="22" t="n">
        <f aca="false">AVERAGEIFS(Clean!$V$2:$V$1001,Clean!$AA$2:$AA$1001,B335)</f>
        <v>0.773869346733668</v>
      </c>
      <c r="G335" s="29" t="n">
        <f aca="false">F335*C335*D335</f>
        <v>5321.13259296483</v>
      </c>
      <c r="H335" s="29" t="n">
        <f aca="false">G335*Model!$B$4</f>
        <v>5321.13259296483</v>
      </c>
      <c r="I335" s="0" t="str">
        <f aca="false">IF(E335&lt;Model!$B$5*H335,"Expedite","Standard")</f>
        <v>Expedite</v>
      </c>
      <c r="J335" s="29" t="n">
        <f aca="false">H335</f>
        <v>5321.13259296483</v>
      </c>
      <c r="K335" s="29" t="n">
        <f aca="false">E335+(1-Model!$B$5)*H335</f>
        <v>4315.49</v>
      </c>
      <c r="L335" s="29" t="n">
        <f aca="false">IF(I335="Expedite",K335,J335)</f>
        <v>4315.49</v>
      </c>
      <c r="M335" s="29" t="n">
        <f aca="false">J335-L335</f>
        <v>1005.64259296482</v>
      </c>
      <c r="N335" s="29" t="n">
        <f aca="false">IFERROR(E335/(F335*C335*Model!$B$5),"")</f>
        <v>688.458000641334</v>
      </c>
    </row>
    <row r="336" customFormat="false" ht="15" hidden="false" customHeight="false" outlineLevel="0" collapsed="false">
      <c r="A336" s="0" t="str">
        <f aca="false">Clean!A336</f>
        <v>SHP0335</v>
      </c>
      <c r="B336" s="0" t="str">
        <f aca="false">Clean!AA336</f>
        <v>Delhivery</v>
      </c>
      <c r="C336" s="28" t="n">
        <f aca="false">Clean!J336</f>
        <v>10.91</v>
      </c>
      <c r="D336" s="29" t="n">
        <f aca="false">Clean!AF336</f>
        <v>911.09</v>
      </c>
      <c r="E336" s="29" t="n">
        <f aca="false">Clean!AE336</f>
        <v>2836.76</v>
      </c>
      <c r="F336" s="22" t="n">
        <f aca="false">AVERAGEIFS(Clean!$V$2:$V$1001,Clean!$AA$2:$AA$1001,B336)</f>
        <v>0.72538860103627</v>
      </c>
      <c r="G336" s="29" t="n">
        <f aca="false">F336*C336*D336</f>
        <v>7210.35681865285</v>
      </c>
      <c r="H336" s="29" t="n">
        <f aca="false">G336*Model!$B$4</f>
        <v>7210.35681865285</v>
      </c>
      <c r="I336" s="0" t="str">
        <f aca="false">IF(E336&lt;Model!$B$5*H336,"Expedite","Standard")</f>
        <v>Expedite</v>
      </c>
      <c r="J336" s="29" t="n">
        <f aca="false">H336</f>
        <v>7210.35681865285</v>
      </c>
      <c r="K336" s="29" t="n">
        <f aca="false">E336+(1-Model!$B$5)*H336</f>
        <v>2836.76</v>
      </c>
      <c r="L336" s="29" t="n">
        <f aca="false">IF(I336="Expedite",K336,J336)</f>
        <v>2836.76</v>
      </c>
      <c r="M336" s="29" t="n">
        <f aca="false">J336-L336</f>
        <v>4373.59681865285</v>
      </c>
      <c r="N336" s="29" t="n">
        <f aca="false">IFERROR(E336/(F336*C336*Model!$B$5),"")</f>
        <v>358.44878879141</v>
      </c>
    </row>
    <row r="337" customFormat="false" ht="15" hidden="false" customHeight="false" outlineLevel="0" collapsed="false">
      <c r="A337" s="0" t="str">
        <f aca="false">Clean!A337</f>
        <v>SHP0336</v>
      </c>
      <c r="B337" s="0" t="str">
        <f aca="false">Clean!AA337</f>
        <v>GATI Logistics</v>
      </c>
      <c r="C337" s="28" t="n">
        <f aca="false">Clean!J337</f>
        <v>14.72</v>
      </c>
      <c r="D337" s="29" t="n">
        <f aca="false">Clean!AF337</f>
        <v>1289.43</v>
      </c>
      <c r="E337" s="29" t="n">
        <f aca="false">Clean!AE337</f>
        <v>3127.56</v>
      </c>
      <c r="F337" s="22" t="n">
        <f aca="false">AVERAGEIFS(Clean!$V$2:$V$1001,Clean!$AA$2:$AA$1001,B337)</f>
        <v>0.751243781094527</v>
      </c>
      <c r="G337" s="29" t="n">
        <f aca="false">F337*C337*D337</f>
        <v>14258.9146746269</v>
      </c>
      <c r="H337" s="29" t="n">
        <f aca="false">G337*Model!$B$4</f>
        <v>14258.9146746269</v>
      </c>
      <c r="I337" s="0" t="str">
        <f aca="false">IF(E337&lt;Model!$B$5*H337,"Expedite","Standard")</f>
        <v>Expedite</v>
      </c>
      <c r="J337" s="29" t="n">
        <f aca="false">H337</f>
        <v>14258.9146746269</v>
      </c>
      <c r="K337" s="29" t="n">
        <f aca="false">E337+(1-Model!$B$5)*H337</f>
        <v>3127.56</v>
      </c>
      <c r="L337" s="29" t="n">
        <f aca="false">IF(I337="Expedite",K337,J337)</f>
        <v>3127.56</v>
      </c>
      <c r="M337" s="29" t="n">
        <f aca="false">J337-L337</f>
        <v>11131.3546746269</v>
      </c>
      <c r="N337" s="29" t="n">
        <f aca="false">IFERROR(E337/(F337*C337*Model!$B$5),"")</f>
        <v>282.824449323352</v>
      </c>
    </row>
    <row r="338" customFormat="false" ht="15" hidden="false" customHeight="false" outlineLevel="0" collapsed="false">
      <c r="A338" s="0" t="str">
        <f aca="false">Clean!A338</f>
        <v>SHP0337</v>
      </c>
      <c r="B338" s="0" t="str">
        <f aca="false">Clean!AA338</f>
        <v>TCI Express</v>
      </c>
      <c r="C338" s="28" t="n">
        <f aca="false">Clean!J338</f>
        <v>6.64</v>
      </c>
      <c r="D338" s="29" t="n">
        <f aca="false">Clean!AF338</f>
        <v>1019.22</v>
      </c>
      <c r="E338" s="29" t="n">
        <f aca="false">Clean!AE338</f>
        <v>1889.45</v>
      </c>
      <c r="F338" s="22" t="n">
        <f aca="false">AVERAGEIFS(Clean!$V$2:$V$1001,Clean!$AA$2:$AA$1001,B338)</f>
        <v>0.752336448598131</v>
      </c>
      <c r="G338" s="29" t="n">
        <f aca="false">F338*C338*D338</f>
        <v>5091.52779813084</v>
      </c>
      <c r="H338" s="29" t="n">
        <f aca="false">G338*Model!$B$4</f>
        <v>5091.52779813084</v>
      </c>
      <c r="I338" s="0" t="str">
        <f aca="false">IF(E338&lt;Model!$B$5*H338,"Expedite","Standard")</f>
        <v>Expedite</v>
      </c>
      <c r="J338" s="29" t="n">
        <f aca="false">H338</f>
        <v>5091.52779813084</v>
      </c>
      <c r="K338" s="29" t="n">
        <f aca="false">E338+(1-Model!$B$5)*H338</f>
        <v>1889.45</v>
      </c>
      <c r="L338" s="29" t="n">
        <f aca="false">IF(I338="Expedite",K338,J338)</f>
        <v>1889.45</v>
      </c>
      <c r="M338" s="29" t="n">
        <f aca="false">J338-L338</f>
        <v>3202.07779813084</v>
      </c>
      <c r="N338" s="29" t="n">
        <f aca="false">IFERROR(E338/(F338*C338*Model!$B$5),"")</f>
        <v>378.22934595525</v>
      </c>
    </row>
    <row r="339" customFormat="false" ht="15" hidden="false" customHeight="false" outlineLevel="0" collapsed="false">
      <c r="A339" s="0" t="str">
        <f aca="false">Clean!A339</f>
        <v>SHP0338</v>
      </c>
      <c r="B339" s="0" t="str">
        <f aca="false">Clean!AA339</f>
        <v>TCI Express</v>
      </c>
      <c r="C339" s="28" t="n">
        <f aca="false">Clean!J339</f>
        <v>12.55</v>
      </c>
      <c r="D339" s="29" t="n">
        <f aca="false">Clean!AF339</f>
        <v>1056.88</v>
      </c>
      <c r="E339" s="29" t="n">
        <f aca="false">Clean!AE339</f>
        <v>3465.2</v>
      </c>
      <c r="F339" s="22" t="n">
        <f aca="false">AVERAGEIFS(Clean!$V$2:$V$1001,Clean!$AA$2:$AA$1001,B339)</f>
        <v>0.752336448598131</v>
      </c>
      <c r="G339" s="29" t="n">
        <f aca="false">F339*C339*D339</f>
        <v>9978.87328971963</v>
      </c>
      <c r="H339" s="29" t="n">
        <f aca="false">G339*Model!$B$4</f>
        <v>9978.87328971963</v>
      </c>
      <c r="I339" s="0" t="str">
        <f aca="false">IF(E339&lt;Model!$B$5*H339,"Expedite","Standard")</f>
        <v>Expedite</v>
      </c>
      <c r="J339" s="29" t="n">
        <f aca="false">H339</f>
        <v>9978.87328971963</v>
      </c>
      <c r="K339" s="29" t="n">
        <f aca="false">E339+(1-Model!$B$5)*H339</f>
        <v>3465.2</v>
      </c>
      <c r="L339" s="29" t="n">
        <f aca="false">IF(I339="Expedite",K339,J339)</f>
        <v>3465.2</v>
      </c>
      <c r="M339" s="29" t="n">
        <f aca="false">J339-L339</f>
        <v>6513.67328971963</v>
      </c>
      <c r="N339" s="29" t="n">
        <f aca="false">IFERROR(E339/(F339*C339*Model!$B$5),"")</f>
        <v>367.005419316523</v>
      </c>
    </row>
    <row r="340" customFormat="false" ht="15" hidden="false" customHeight="false" outlineLevel="0" collapsed="false">
      <c r="A340" s="0" t="str">
        <f aca="false">Clean!A340</f>
        <v>SHP0339</v>
      </c>
      <c r="B340" s="0" t="str">
        <f aca="false">Clean!AA340</f>
        <v>VRL Cargo</v>
      </c>
      <c r="C340" s="28" t="n">
        <f aca="false">Clean!J340</f>
        <v>8.9</v>
      </c>
      <c r="D340" s="29" t="n">
        <f aca="false">Clean!AF340</f>
        <v>1131.42</v>
      </c>
      <c r="E340" s="29" t="n">
        <f aca="false">Clean!AE340</f>
        <v>4482.11</v>
      </c>
      <c r="F340" s="22" t="n">
        <f aca="false">AVERAGEIFS(Clean!$V$2:$V$1001,Clean!$AA$2:$AA$1001,B340)</f>
        <v>0.72020725388601</v>
      </c>
      <c r="G340" s="29" t="n">
        <f aca="false">F340*C340*D340</f>
        <v>7252.22633160622</v>
      </c>
      <c r="H340" s="29" t="n">
        <f aca="false">G340*Model!$B$4</f>
        <v>7252.22633160622</v>
      </c>
      <c r="I340" s="0" t="str">
        <f aca="false">IF(E340&lt;Model!$B$5*H340,"Expedite","Standard")</f>
        <v>Expedite</v>
      </c>
      <c r="J340" s="29" t="n">
        <f aca="false">H340</f>
        <v>7252.22633160622</v>
      </c>
      <c r="K340" s="29" t="n">
        <f aca="false">E340+(1-Model!$B$5)*H340</f>
        <v>4482.11</v>
      </c>
      <c r="L340" s="29" t="n">
        <f aca="false">IF(I340="Expedite",K340,J340)</f>
        <v>4482.11</v>
      </c>
      <c r="M340" s="29" t="n">
        <f aca="false">J340-L340</f>
        <v>2770.11633160622</v>
      </c>
      <c r="N340" s="29" t="n">
        <f aca="false">IFERROR(E340/(F340*C340*Model!$B$5),"")</f>
        <v>699.254086169267</v>
      </c>
    </row>
    <row r="341" customFormat="false" ht="15" hidden="false" customHeight="false" outlineLevel="0" collapsed="false">
      <c r="A341" s="0" t="str">
        <f aca="false">Clean!A341</f>
        <v>SHP0340</v>
      </c>
      <c r="B341" s="0" t="str">
        <f aca="false">Clean!AA341</f>
        <v>GATI Logistics</v>
      </c>
      <c r="C341" s="28" t="n">
        <f aca="false">Clean!J341</f>
        <v>11.12</v>
      </c>
      <c r="D341" s="29" t="n">
        <f aca="false">Clean!AF341</f>
        <v>614.29</v>
      </c>
      <c r="E341" s="29" t="n">
        <f aca="false">Clean!AE341</f>
        <v>3049.14</v>
      </c>
      <c r="F341" s="22" t="n">
        <f aca="false">AVERAGEIFS(Clean!$V$2:$V$1001,Clean!$AA$2:$AA$1001,B341)</f>
        <v>0.751243781094527</v>
      </c>
      <c r="G341" s="29" t="n">
        <f aca="false">F341*C341*D341</f>
        <v>5131.67475024876</v>
      </c>
      <c r="H341" s="29" t="n">
        <f aca="false">G341*Model!$B$4</f>
        <v>5131.67475024876</v>
      </c>
      <c r="I341" s="0" t="str">
        <f aca="false">IF(E341&lt;Model!$B$5*H341,"Expedite","Standard")</f>
        <v>Expedite</v>
      </c>
      <c r="J341" s="29" t="n">
        <f aca="false">H341</f>
        <v>5131.67475024876</v>
      </c>
      <c r="K341" s="29" t="n">
        <f aca="false">E341+(1-Model!$B$5)*H341</f>
        <v>3049.14</v>
      </c>
      <c r="L341" s="29" t="n">
        <f aca="false">IF(I341="Expedite",K341,J341)</f>
        <v>3049.14</v>
      </c>
      <c r="M341" s="29" t="n">
        <f aca="false">J341-L341</f>
        <v>2082.53475024876</v>
      </c>
      <c r="N341" s="29" t="n">
        <f aca="false">IFERROR(E341/(F341*C341*Model!$B$5),"")</f>
        <v>364.999011386917</v>
      </c>
    </row>
    <row r="342" customFormat="false" ht="15" hidden="false" customHeight="false" outlineLevel="0" collapsed="false">
      <c r="A342" s="0" t="str">
        <f aca="false">Clean!A342</f>
        <v>SHP0341</v>
      </c>
      <c r="B342" s="0" t="str">
        <f aca="false">Clean!AA342</f>
        <v>VRL Cargo</v>
      </c>
      <c r="C342" s="28" t="n">
        <f aca="false">Clean!J342</f>
        <v>15.53</v>
      </c>
      <c r="D342" s="29" t="n">
        <f aca="false">Clean!AF342</f>
        <v>1128.43</v>
      </c>
      <c r="E342" s="29" t="n">
        <f aca="false">Clean!AE342</f>
        <v>3242.71</v>
      </c>
      <c r="F342" s="22" t="n">
        <f aca="false">AVERAGEIFS(Clean!$V$2:$V$1001,Clean!$AA$2:$AA$1001,B342)</f>
        <v>0.72020725388601</v>
      </c>
      <c r="G342" s="29" t="n">
        <f aca="false">F342*C342*D342</f>
        <v>12621.2849124352</v>
      </c>
      <c r="H342" s="29" t="n">
        <f aca="false">G342*Model!$B$4</f>
        <v>12621.2849124352</v>
      </c>
      <c r="I342" s="0" t="str">
        <f aca="false">IF(E342&lt;Model!$B$5*H342,"Expedite","Standard")</f>
        <v>Expedite</v>
      </c>
      <c r="J342" s="29" t="n">
        <f aca="false">H342</f>
        <v>12621.2849124352</v>
      </c>
      <c r="K342" s="29" t="n">
        <f aca="false">E342+(1-Model!$B$5)*H342</f>
        <v>3242.71</v>
      </c>
      <c r="L342" s="29" t="n">
        <f aca="false">IF(I342="Expedite",K342,J342)</f>
        <v>3242.71</v>
      </c>
      <c r="M342" s="29" t="n">
        <f aca="false">J342-L342</f>
        <v>9378.57491243523</v>
      </c>
      <c r="N342" s="29" t="n">
        <f aca="false">IFERROR(E342/(F342*C342*Model!$B$5),"")</f>
        <v>289.920659480143</v>
      </c>
    </row>
    <row r="343" customFormat="false" ht="15" hidden="false" customHeight="false" outlineLevel="0" collapsed="false">
      <c r="A343" s="0" t="str">
        <f aca="false">Clean!A343</f>
        <v>SHP0342</v>
      </c>
      <c r="B343" s="0" t="str">
        <f aca="false">Clean!AA343</f>
        <v>GATI Logistics</v>
      </c>
      <c r="C343" s="28" t="n">
        <f aca="false">Clean!J343</f>
        <v>14.08</v>
      </c>
      <c r="D343" s="29" t="n">
        <f aca="false">Clean!AF343</f>
        <v>1343.33</v>
      </c>
      <c r="E343" s="29" t="n">
        <f aca="false">Clean!AE343</f>
        <v>4285.55</v>
      </c>
      <c r="F343" s="22" t="n">
        <f aca="false">AVERAGEIFS(Clean!$V$2:$V$1001,Clean!$AA$2:$AA$1001,B343)</f>
        <v>0.751243781094527</v>
      </c>
      <c r="G343" s="29" t="n">
        <f aca="false">F343*C343*D343</f>
        <v>14209.0897830846</v>
      </c>
      <c r="H343" s="29" t="n">
        <f aca="false">G343*Model!$B$4</f>
        <v>14209.0897830846</v>
      </c>
      <c r="I343" s="0" t="str">
        <f aca="false">IF(E343&lt;Model!$B$5*H343,"Expedite","Standard")</f>
        <v>Expedite</v>
      </c>
      <c r="J343" s="29" t="n">
        <f aca="false">H343</f>
        <v>14209.0897830846</v>
      </c>
      <c r="K343" s="29" t="n">
        <f aca="false">E343+(1-Model!$B$5)*H343</f>
        <v>4285.55</v>
      </c>
      <c r="L343" s="29" t="n">
        <f aca="false">IF(I343="Expedite",K343,J343)</f>
        <v>4285.55</v>
      </c>
      <c r="M343" s="29" t="n">
        <f aca="false">J343-L343</f>
        <v>9923.53978308458</v>
      </c>
      <c r="N343" s="29" t="n">
        <f aca="false">IFERROR(E343/(F343*C343*Model!$B$5),"")</f>
        <v>405.156696831728</v>
      </c>
    </row>
    <row r="344" customFormat="false" ht="15" hidden="false" customHeight="false" outlineLevel="0" collapsed="false">
      <c r="A344" s="0" t="str">
        <f aca="false">Clean!A344</f>
        <v>SHP0343</v>
      </c>
      <c r="B344" s="0" t="str">
        <f aca="false">Clean!AA344</f>
        <v>TCI Express</v>
      </c>
      <c r="C344" s="28" t="n">
        <f aca="false">Clean!J344</f>
        <v>10.22</v>
      </c>
      <c r="D344" s="29" t="n">
        <f aca="false">Clean!AF344</f>
        <v>1147.77</v>
      </c>
      <c r="E344" s="29" t="n">
        <f aca="false">Clean!AE344</f>
        <v>2638.96</v>
      </c>
      <c r="F344" s="22" t="n">
        <f aca="false">AVERAGEIFS(Clean!$V$2:$V$1001,Clean!$AA$2:$AA$1001,B344)</f>
        <v>0.752336448598131</v>
      </c>
      <c r="G344" s="29" t="n">
        <f aca="false">F344*C344*D344</f>
        <v>8825.06408130841</v>
      </c>
      <c r="H344" s="29" t="n">
        <f aca="false">G344*Model!$B$4</f>
        <v>8825.06408130841</v>
      </c>
      <c r="I344" s="0" t="str">
        <f aca="false">IF(E344&lt;Model!$B$5*H344,"Expedite","Standard")</f>
        <v>Expedite</v>
      </c>
      <c r="J344" s="29" t="n">
        <f aca="false">H344</f>
        <v>8825.06408130841</v>
      </c>
      <c r="K344" s="29" t="n">
        <f aca="false">E344+(1-Model!$B$5)*H344</f>
        <v>2638.96</v>
      </c>
      <c r="L344" s="29" t="n">
        <f aca="false">IF(I344="Expedite",K344,J344)</f>
        <v>2638.96</v>
      </c>
      <c r="M344" s="29" t="n">
        <f aca="false">J344-L344</f>
        <v>6186.10408130841</v>
      </c>
      <c r="N344" s="29" t="n">
        <f aca="false">IFERROR(E344/(F344*C344*Model!$B$5),"")</f>
        <v>343.217804572693</v>
      </c>
    </row>
    <row r="345" customFormat="false" ht="15" hidden="false" customHeight="false" outlineLevel="0" collapsed="false">
      <c r="A345" s="0" t="str">
        <f aca="false">Clean!A345</f>
        <v>SHP0344</v>
      </c>
      <c r="B345" s="0" t="str">
        <f aca="false">Clean!AA345</f>
        <v>BlueDart</v>
      </c>
      <c r="C345" s="28" t="n">
        <f aca="false">Clean!J345</f>
        <v>1.29</v>
      </c>
      <c r="D345" s="29" t="n">
        <f aca="false">Clean!AF345</f>
        <v>1148.32</v>
      </c>
      <c r="E345" s="29" t="n">
        <f aca="false">Clean!AE345</f>
        <v>1266.26</v>
      </c>
      <c r="F345" s="22" t="n">
        <f aca="false">AVERAGEIFS(Clean!$V$2:$V$1001,Clean!$AA$2:$AA$1001,B345)</f>
        <v>0.773869346733668</v>
      </c>
      <c r="G345" s="29" t="n">
        <f aca="false">F345*C345*D345</f>
        <v>1146.35804623116</v>
      </c>
      <c r="H345" s="29" t="n">
        <f aca="false">G345*Model!$B$4</f>
        <v>1146.35804623116</v>
      </c>
      <c r="I345" s="0" t="str">
        <f aca="false">IF(E345&lt;Model!$B$5*H345,"Expedite","Standard")</f>
        <v>Standard</v>
      </c>
      <c r="J345" s="29" t="n">
        <f aca="false">H345</f>
        <v>1146.35804623116</v>
      </c>
      <c r="K345" s="29" t="n">
        <f aca="false">E345+(1-Model!$B$5)*H345</f>
        <v>1266.26</v>
      </c>
      <c r="L345" s="29" t="n">
        <f aca="false">IF(I345="Expedite",K345,J345)</f>
        <v>1146.35804623116</v>
      </c>
      <c r="M345" s="29" t="n">
        <f aca="false">J345-L345</f>
        <v>0</v>
      </c>
      <c r="N345" s="29" t="n">
        <f aca="false">IFERROR(E345/(F345*C345*Model!$B$5),"")</f>
        <v>1268.4271619853</v>
      </c>
    </row>
    <row r="346" customFormat="false" ht="15" hidden="false" customHeight="false" outlineLevel="0" collapsed="false">
      <c r="A346" s="0" t="str">
        <f aca="false">Clean!A346</f>
        <v>SHP0345</v>
      </c>
      <c r="B346" s="0" t="str">
        <f aca="false">Clean!AA346</f>
        <v>BlueDart</v>
      </c>
      <c r="C346" s="28" t="n">
        <f aca="false">Clean!J346</f>
        <v>2.41</v>
      </c>
      <c r="D346" s="29" t="n">
        <f aca="false">Clean!AF346</f>
        <v>874.48</v>
      </c>
      <c r="E346" s="29" t="n">
        <f aca="false">Clean!AE346</f>
        <v>3826.54</v>
      </c>
      <c r="F346" s="22" t="n">
        <f aca="false">AVERAGEIFS(Clean!$V$2:$V$1001,Clean!$AA$2:$AA$1001,B346)</f>
        <v>0.773869346733668</v>
      </c>
      <c r="G346" s="29" t="n">
        <f aca="false">F346*C346*D346</f>
        <v>1630.9271718593</v>
      </c>
      <c r="H346" s="29" t="n">
        <f aca="false">G346*Model!$B$4</f>
        <v>1630.9271718593</v>
      </c>
      <c r="I346" s="0" t="str">
        <f aca="false">IF(E346&lt;Model!$B$5*H346,"Expedite","Standard")</f>
        <v>Standard</v>
      </c>
      <c r="J346" s="29" t="n">
        <f aca="false">H346</f>
        <v>1630.9271718593</v>
      </c>
      <c r="K346" s="29" t="n">
        <f aca="false">E346+(1-Model!$B$5)*H346</f>
        <v>3826.54</v>
      </c>
      <c r="L346" s="29" t="n">
        <f aca="false">IF(I346="Expedite",K346,J346)</f>
        <v>1630.9271718593</v>
      </c>
      <c r="M346" s="29" t="n">
        <f aca="false">J346-L346</f>
        <v>0</v>
      </c>
      <c r="N346" s="29" t="n">
        <f aca="false">IFERROR(E346/(F346*C346*Model!$B$5),"")</f>
        <v>2051.73643369079</v>
      </c>
    </row>
    <row r="347" customFormat="false" ht="15" hidden="false" customHeight="false" outlineLevel="0" collapsed="false">
      <c r="A347" s="0" t="str">
        <f aca="false">Clean!A347</f>
        <v>SHP0346</v>
      </c>
      <c r="B347" s="0" t="str">
        <f aca="false">Clean!AA347</f>
        <v>VRL Cargo</v>
      </c>
      <c r="C347" s="28" t="n">
        <f aca="false">Clean!J347</f>
        <v>8.02</v>
      </c>
      <c r="D347" s="29" t="n">
        <f aca="false">Clean!AF347</f>
        <v>505.31</v>
      </c>
      <c r="E347" s="29" t="n">
        <f aca="false">Clean!AE347</f>
        <v>2935.96</v>
      </c>
      <c r="F347" s="22" t="n">
        <f aca="false">AVERAGEIFS(Clean!$V$2:$V$1001,Clean!$AA$2:$AA$1001,B347)</f>
        <v>0.72020725388601</v>
      </c>
      <c r="G347" s="29" t="n">
        <f aca="false">F347*C347*D347</f>
        <v>2918.70197823834</v>
      </c>
      <c r="H347" s="29" t="n">
        <f aca="false">G347*Model!$B$4</f>
        <v>2918.70197823834</v>
      </c>
      <c r="I347" s="0" t="str">
        <f aca="false">IF(E347&lt;Model!$B$5*H347,"Expedite","Standard")</f>
        <v>Standard</v>
      </c>
      <c r="J347" s="29" t="n">
        <f aca="false">H347</f>
        <v>2918.70197823834</v>
      </c>
      <c r="K347" s="29" t="n">
        <f aca="false">E347+(1-Model!$B$5)*H347</f>
        <v>2935.96</v>
      </c>
      <c r="L347" s="29" t="n">
        <f aca="false">IF(I347="Expedite",K347,J347)</f>
        <v>2918.70197823834</v>
      </c>
      <c r="M347" s="29" t="n">
        <f aca="false">J347-L347</f>
        <v>0</v>
      </c>
      <c r="N347" s="29" t="n">
        <f aca="false">IFERROR(E347/(F347*C347*Model!$B$5),"")</f>
        <v>508.297852491075</v>
      </c>
    </row>
    <row r="348" customFormat="false" ht="15" hidden="false" customHeight="false" outlineLevel="0" collapsed="false">
      <c r="A348" s="0" t="str">
        <f aca="false">Clean!A348</f>
        <v>SHP0347</v>
      </c>
      <c r="B348" s="0" t="str">
        <f aca="false">Clean!AA348</f>
        <v>BlueDart</v>
      </c>
      <c r="C348" s="28" t="n">
        <f aca="false">Clean!J348</f>
        <v>16.29</v>
      </c>
      <c r="D348" s="29" t="n">
        <f aca="false">Clean!AF348</f>
        <v>1018.01</v>
      </c>
      <c r="E348" s="29" t="n">
        <f aca="false">Clean!AE348</f>
        <v>4212.01</v>
      </c>
      <c r="F348" s="22" t="n">
        <f aca="false">AVERAGEIFS(Clean!$V$2:$V$1001,Clean!$AA$2:$AA$1001,B348)</f>
        <v>0.773869346733668</v>
      </c>
      <c r="G348" s="29" t="n">
        <f aca="false">F348*C348*D348</f>
        <v>12833.3716914573</v>
      </c>
      <c r="H348" s="29" t="n">
        <f aca="false">G348*Model!$B$4</f>
        <v>12833.3716914573</v>
      </c>
      <c r="I348" s="0" t="str">
        <f aca="false">IF(E348&lt;Model!$B$5*H348,"Expedite","Standard")</f>
        <v>Expedite</v>
      </c>
      <c r="J348" s="29" t="n">
        <f aca="false">H348</f>
        <v>12833.3716914573</v>
      </c>
      <c r="K348" s="29" t="n">
        <f aca="false">E348+(1-Model!$B$5)*H348</f>
        <v>4212.01</v>
      </c>
      <c r="L348" s="29" t="n">
        <f aca="false">IF(I348="Expedite",K348,J348)</f>
        <v>4212.01</v>
      </c>
      <c r="M348" s="29" t="n">
        <f aca="false">J348-L348</f>
        <v>8621.36169145729</v>
      </c>
      <c r="N348" s="29" t="n">
        <f aca="false">IFERROR(E348/(F348*C348*Model!$B$5),"")</f>
        <v>334.118609137946</v>
      </c>
    </row>
    <row r="349" customFormat="false" ht="15" hidden="false" customHeight="false" outlineLevel="0" collapsed="false">
      <c r="A349" s="0" t="str">
        <f aca="false">Clean!A349</f>
        <v>SHP0348</v>
      </c>
      <c r="B349" s="0" t="str">
        <f aca="false">Clean!AA349</f>
        <v>TCI Express</v>
      </c>
      <c r="C349" s="28" t="n">
        <f aca="false">Clean!J349</f>
        <v>3.67</v>
      </c>
      <c r="D349" s="29" t="n">
        <f aca="false">Clean!AF349</f>
        <v>1249.98</v>
      </c>
      <c r="E349" s="29" t="n">
        <f aca="false">Clean!AE349</f>
        <v>4561.64</v>
      </c>
      <c r="F349" s="22" t="n">
        <f aca="false">AVERAGEIFS(Clean!$V$2:$V$1001,Clean!$AA$2:$AA$1001,B349)</f>
        <v>0.752336448598131</v>
      </c>
      <c r="G349" s="29" t="n">
        <f aca="false">F349*C349*D349</f>
        <v>3451.2882364486</v>
      </c>
      <c r="H349" s="29" t="n">
        <f aca="false">G349*Model!$B$4</f>
        <v>3451.2882364486</v>
      </c>
      <c r="I349" s="0" t="str">
        <f aca="false">IF(E349&lt;Model!$B$5*H349,"Expedite","Standard")</f>
        <v>Standard</v>
      </c>
      <c r="J349" s="29" t="n">
        <f aca="false">H349</f>
        <v>3451.2882364486</v>
      </c>
      <c r="K349" s="29" t="n">
        <f aca="false">E349+(1-Model!$B$5)*H349</f>
        <v>4561.64</v>
      </c>
      <c r="L349" s="29" t="n">
        <f aca="false">IF(I349="Expedite",K349,J349)</f>
        <v>3451.2882364486</v>
      </c>
      <c r="M349" s="29" t="n">
        <f aca="false">J349-L349</f>
        <v>0</v>
      </c>
      <c r="N349" s="29" t="n">
        <f aca="false">IFERROR(E349/(F349*C349*Model!$B$5),"")</f>
        <v>1652.12476517677</v>
      </c>
    </row>
    <row r="350" customFormat="false" ht="15" hidden="false" customHeight="false" outlineLevel="0" collapsed="false">
      <c r="A350" s="0" t="str">
        <f aca="false">Clean!A350</f>
        <v>SHP0349</v>
      </c>
      <c r="B350" s="0" t="str">
        <f aca="false">Clean!AA350</f>
        <v>GATI Logistics</v>
      </c>
      <c r="C350" s="28" t="n">
        <f aca="false">Clean!J350</f>
        <v>18.26</v>
      </c>
      <c r="D350" s="29" t="n">
        <f aca="false">Clean!AF350</f>
        <v>1212.78</v>
      </c>
      <c r="E350" s="29" t="n">
        <f aca="false">Clean!AE350</f>
        <v>2659.88</v>
      </c>
      <c r="F350" s="22" t="n">
        <f aca="false">AVERAGEIFS(Clean!$V$2:$V$1001,Clean!$AA$2:$AA$1001,B350)</f>
        <v>0.751243781094527</v>
      </c>
      <c r="G350" s="29" t="n">
        <f aca="false">F350*C350*D350</f>
        <v>16636.5660835821</v>
      </c>
      <c r="H350" s="29" t="n">
        <f aca="false">G350*Model!$B$4</f>
        <v>16636.5660835821</v>
      </c>
      <c r="I350" s="0" t="str">
        <f aca="false">IF(E350&lt;Model!$B$5*H350,"Expedite","Standard")</f>
        <v>Expedite</v>
      </c>
      <c r="J350" s="29" t="n">
        <f aca="false">H350</f>
        <v>16636.5660835821</v>
      </c>
      <c r="K350" s="29" t="n">
        <f aca="false">E350+(1-Model!$B$5)*H350</f>
        <v>2659.88</v>
      </c>
      <c r="L350" s="29" t="n">
        <f aca="false">IF(I350="Expedite",K350,J350)</f>
        <v>2659.88</v>
      </c>
      <c r="M350" s="29" t="n">
        <f aca="false">J350-L350</f>
        <v>13976.6860835821</v>
      </c>
      <c r="N350" s="29" t="n">
        <f aca="false">IFERROR(E350/(F350*C350*Model!$B$5),"")</f>
        <v>193.90114824137</v>
      </c>
    </row>
    <row r="351" customFormat="false" ht="15" hidden="false" customHeight="false" outlineLevel="0" collapsed="false">
      <c r="A351" s="0" t="str">
        <f aca="false">Clean!A351</f>
        <v>SHP0350</v>
      </c>
      <c r="B351" s="0" t="str">
        <f aca="false">Clean!AA351</f>
        <v>VRL Cargo</v>
      </c>
      <c r="C351" s="28" t="n">
        <f aca="false">Clean!J351</f>
        <v>8.34</v>
      </c>
      <c r="D351" s="29" t="n">
        <f aca="false">Clean!AF351</f>
        <v>1245.75</v>
      </c>
      <c r="E351" s="29" t="n">
        <f aca="false">Clean!AE351</f>
        <v>3897.38</v>
      </c>
      <c r="F351" s="22" t="n">
        <f aca="false">AVERAGEIFS(Clean!$V$2:$V$1001,Clean!$AA$2:$AA$1001,B351)</f>
        <v>0.72020725388601</v>
      </c>
      <c r="G351" s="29" t="n">
        <f aca="false">F351*C351*D351</f>
        <v>7482.63287564767</v>
      </c>
      <c r="H351" s="29" t="n">
        <f aca="false">G351*Model!$B$4</f>
        <v>7482.63287564767</v>
      </c>
      <c r="I351" s="0" t="str">
        <f aca="false">IF(E351&lt;Model!$B$5*H351,"Expedite","Standard")</f>
        <v>Expedite</v>
      </c>
      <c r="J351" s="29" t="n">
        <f aca="false">H351</f>
        <v>7482.63287564767</v>
      </c>
      <c r="K351" s="29" t="n">
        <f aca="false">E351+(1-Model!$B$5)*H351</f>
        <v>3897.38</v>
      </c>
      <c r="L351" s="29" t="n">
        <f aca="false">IF(I351="Expedite",K351,J351)</f>
        <v>3897.38</v>
      </c>
      <c r="M351" s="29" t="n">
        <f aca="false">J351-L351</f>
        <v>3585.25287564767</v>
      </c>
      <c r="N351" s="29" t="n">
        <f aca="false">IFERROR(E351/(F351*C351*Model!$B$5),"")</f>
        <v>648.857322774874</v>
      </c>
    </row>
    <row r="352" customFormat="false" ht="15" hidden="false" customHeight="false" outlineLevel="0" collapsed="false">
      <c r="A352" s="0" t="str">
        <f aca="false">Clean!A352</f>
        <v>SHP0351</v>
      </c>
      <c r="B352" s="0" t="str">
        <f aca="false">Clean!AA352</f>
        <v>Delhivery</v>
      </c>
      <c r="C352" s="28" t="n">
        <f aca="false">Clean!J352</f>
        <v>11.6</v>
      </c>
      <c r="D352" s="29" t="n">
        <f aca="false">Clean!AF352</f>
        <v>1439.07</v>
      </c>
      <c r="E352" s="29" t="n">
        <f aca="false">Clean!AE352</f>
        <v>2056.25</v>
      </c>
      <c r="F352" s="22" t="n">
        <f aca="false">AVERAGEIFS(Clean!$V$2:$V$1001,Clean!$AA$2:$AA$1001,B352)</f>
        <v>0.72538860103627</v>
      </c>
      <c r="G352" s="29" t="n">
        <f aca="false">F352*C352*D352</f>
        <v>12109.0656994819</v>
      </c>
      <c r="H352" s="29" t="n">
        <f aca="false">G352*Model!$B$4</f>
        <v>12109.0656994819</v>
      </c>
      <c r="I352" s="0" t="str">
        <f aca="false">IF(E352&lt;Model!$B$5*H352,"Expedite","Standard")</f>
        <v>Expedite</v>
      </c>
      <c r="J352" s="29" t="n">
        <f aca="false">H352</f>
        <v>12109.0656994819</v>
      </c>
      <c r="K352" s="29" t="n">
        <f aca="false">E352+(1-Model!$B$5)*H352</f>
        <v>2056.25</v>
      </c>
      <c r="L352" s="29" t="n">
        <f aca="false">IF(I352="Expedite",K352,J352)</f>
        <v>2056.25</v>
      </c>
      <c r="M352" s="29" t="n">
        <f aca="false">J352-L352</f>
        <v>10052.8156994819</v>
      </c>
      <c r="N352" s="29" t="n">
        <f aca="false">IFERROR(E352/(F352*C352*Model!$B$5),"")</f>
        <v>244.369612068966</v>
      </c>
    </row>
    <row r="353" customFormat="false" ht="15" hidden="false" customHeight="false" outlineLevel="0" collapsed="false">
      <c r="A353" s="0" t="str">
        <f aca="false">Clean!A353</f>
        <v>SHP0352</v>
      </c>
      <c r="B353" s="0" t="str">
        <f aca="false">Clean!AA353</f>
        <v>VRL Cargo</v>
      </c>
      <c r="C353" s="28" t="n">
        <f aca="false">Clean!J353</f>
        <v>13.09</v>
      </c>
      <c r="D353" s="29" t="n">
        <f aca="false">Clean!AF353</f>
        <v>764.64</v>
      </c>
      <c r="E353" s="29" t="n">
        <f aca="false">Clean!AE353</f>
        <v>3381.21</v>
      </c>
      <c r="F353" s="22" t="n">
        <f aca="false">AVERAGEIFS(Clean!$V$2:$V$1001,Clean!$AA$2:$AA$1001,B353)</f>
        <v>0.72020725388601</v>
      </c>
      <c r="G353" s="29" t="n">
        <f aca="false">F353*C353*D353</f>
        <v>7208.65350466321</v>
      </c>
      <c r="H353" s="29" t="n">
        <f aca="false">G353*Model!$B$4</f>
        <v>7208.65350466321</v>
      </c>
      <c r="I353" s="0" t="str">
        <f aca="false">IF(E353&lt;Model!$B$5*H353,"Expedite","Standard")</f>
        <v>Expedite</v>
      </c>
      <c r="J353" s="29" t="n">
        <f aca="false">H353</f>
        <v>7208.65350466321</v>
      </c>
      <c r="K353" s="29" t="n">
        <f aca="false">E353+(1-Model!$B$5)*H353</f>
        <v>3381.21</v>
      </c>
      <c r="L353" s="29" t="n">
        <f aca="false">IF(I353="Expedite",K353,J353)</f>
        <v>3381.21</v>
      </c>
      <c r="M353" s="29" t="n">
        <f aca="false">J353-L353</f>
        <v>3827.44350466321</v>
      </c>
      <c r="N353" s="29" t="n">
        <f aca="false">IFERROR(E353/(F353*C353*Model!$B$5),"")</f>
        <v>358.653445158312</v>
      </c>
    </row>
    <row r="354" customFormat="false" ht="15" hidden="false" customHeight="false" outlineLevel="0" collapsed="false">
      <c r="A354" s="0" t="str">
        <f aca="false">Clean!A354</f>
        <v>SHP0353</v>
      </c>
      <c r="B354" s="0" t="str">
        <f aca="false">Clean!AA354</f>
        <v>VRL Cargo</v>
      </c>
      <c r="C354" s="28" t="n">
        <f aca="false">Clean!J354</f>
        <v>13.58</v>
      </c>
      <c r="D354" s="29" t="n">
        <f aca="false">Clean!AF354</f>
        <v>533.68</v>
      </c>
      <c r="E354" s="29" t="n">
        <f aca="false">Clean!AE354</f>
        <v>2038.31</v>
      </c>
      <c r="F354" s="22" t="n">
        <f aca="false">AVERAGEIFS(Clean!$V$2:$V$1001,Clean!$AA$2:$AA$1001,B354)</f>
        <v>0.72020725388601</v>
      </c>
      <c r="G354" s="29" t="n">
        <f aca="false">F354*C354*D354</f>
        <v>5219.61161450777</v>
      </c>
      <c r="H354" s="29" t="n">
        <f aca="false">G354*Model!$B$4</f>
        <v>5219.61161450777</v>
      </c>
      <c r="I354" s="0" t="str">
        <f aca="false">IF(E354&lt;Model!$B$5*H354,"Expedite","Standard")</f>
        <v>Expedite</v>
      </c>
      <c r="J354" s="29" t="n">
        <f aca="false">H354</f>
        <v>5219.61161450777</v>
      </c>
      <c r="K354" s="29" t="n">
        <f aca="false">E354+(1-Model!$B$5)*H354</f>
        <v>2038.31</v>
      </c>
      <c r="L354" s="29" t="n">
        <f aca="false">IF(I354="Expedite",K354,J354)</f>
        <v>2038.31</v>
      </c>
      <c r="M354" s="29" t="n">
        <f aca="false">J354-L354</f>
        <v>3181.30161450777</v>
      </c>
      <c r="N354" s="29" t="n">
        <f aca="false">IFERROR(E354/(F354*C354*Model!$B$5),"")</f>
        <v>208.407322448374</v>
      </c>
    </row>
    <row r="355" customFormat="false" ht="15" hidden="false" customHeight="false" outlineLevel="0" collapsed="false">
      <c r="A355" s="0" t="str">
        <f aca="false">Clean!A355</f>
        <v>SHP0354</v>
      </c>
      <c r="B355" s="0" t="str">
        <f aca="false">Clean!AA355</f>
        <v>TCI Express</v>
      </c>
      <c r="C355" s="28" t="n">
        <f aca="false">Clean!J355</f>
        <v>17.7</v>
      </c>
      <c r="D355" s="29" t="n">
        <f aca="false">Clean!AF355</f>
        <v>1236.23</v>
      </c>
      <c r="E355" s="29" t="n">
        <f aca="false">Clean!AE355</f>
        <v>3056.8</v>
      </c>
      <c r="F355" s="22" t="n">
        <f aca="false">AVERAGEIFS(Clean!$V$2:$V$1001,Clean!$AA$2:$AA$1001,B355)</f>
        <v>0.752336448598131</v>
      </c>
      <c r="G355" s="29" t="n">
        <f aca="false">F355*C355*D355</f>
        <v>16462.0777149533</v>
      </c>
      <c r="H355" s="29" t="n">
        <f aca="false">G355*Model!$B$4</f>
        <v>16462.0777149533</v>
      </c>
      <c r="I355" s="0" t="str">
        <f aca="false">IF(E355&lt;Model!$B$5*H355,"Expedite","Standard")</f>
        <v>Expedite</v>
      </c>
      <c r="J355" s="29" t="n">
        <f aca="false">H355</f>
        <v>16462.0777149533</v>
      </c>
      <c r="K355" s="29" t="n">
        <f aca="false">E355+(1-Model!$B$5)*H355</f>
        <v>3056.8</v>
      </c>
      <c r="L355" s="29" t="n">
        <f aca="false">IF(I355="Expedite",K355,J355)</f>
        <v>3056.8</v>
      </c>
      <c r="M355" s="29" t="n">
        <f aca="false">J355-L355</f>
        <v>13405.2777149533</v>
      </c>
      <c r="N355" s="29" t="n">
        <f aca="false">IFERROR(E355/(F355*C355*Model!$B$5),"")</f>
        <v>229.552303751272</v>
      </c>
    </row>
    <row r="356" customFormat="false" ht="15" hidden="false" customHeight="false" outlineLevel="0" collapsed="false">
      <c r="A356" s="0" t="str">
        <f aca="false">Clean!A356</f>
        <v>SHP0355</v>
      </c>
      <c r="B356" s="0" t="str">
        <f aca="false">Clean!AA356</f>
        <v>BlueDart</v>
      </c>
      <c r="C356" s="28" t="n">
        <f aca="false">Clean!J356</f>
        <v>9.29</v>
      </c>
      <c r="D356" s="29" t="n">
        <f aca="false">Clean!AF356</f>
        <v>1248.18</v>
      </c>
      <c r="E356" s="29" t="n">
        <f aca="false">Clean!AE356</f>
        <v>2306.56</v>
      </c>
      <c r="F356" s="22" t="n">
        <f aca="false">AVERAGEIFS(Clean!$V$2:$V$1001,Clean!$AA$2:$AA$1001,B356)</f>
        <v>0.773869346733668</v>
      </c>
      <c r="G356" s="29" t="n">
        <f aca="false">F356*C356*D356</f>
        <v>8973.47336080402</v>
      </c>
      <c r="H356" s="29" t="n">
        <f aca="false">G356*Model!$B$4</f>
        <v>8973.47336080402</v>
      </c>
      <c r="I356" s="0" t="str">
        <f aca="false">IF(E356&lt;Model!$B$5*H356,"Expedite","Standard")</f>
        <v>Expedite</v>
      </c>
      <c r="J356" s="29" t="n">
        <f aca="false">H356</f>
        <v>8973.47336080402</v>
      </c>
      <c r="K356" s="29" t="n">
        <f aca="false">E356+(1-Model!$B$5)*H356</f>
        <v>2306.56</v>
      </c>
      <c r="L356" s="29" t="n">
        <f aca="false">IF(I356="Expedite",K356,J356)</f>
        <v>2306.56</v>
      </c>
      <c r="M356" s="29" t="n">
        <f aca="false">J356-L356</f>
        <v>6666.91336080402</v>
      </c>
      <c r="N356" s="29" t="n">
        <f aca="false">IFERROR(E356/(F356*C356*Model!$B$5),"")</f>
        <v>320.83474759901</v>
      </c>
    </row>
    <row r="357" customFormat="false" ht="15" hidden="false" customHeight="false" outlineLevel="0" collapsed="false">
      <c r="A357" s="0" t="str">
        <f aca="false">Clean!A357</f>
        <v>SHP0356</v>
      </c>
      <c r="B357" s="0" t="str">
        <f aca="false">Clean!AA357</f>
        <v>GATI Logistics</v>
      </c>
      <c r="C357" s="28" t="n">
        <f aca="false">Clean!J357</f>
        <v>16.33</v>
      </c>
      <c r="D357" s="29" t="n">
        <f aca="false">Clean!AF357</f>
        <v>522.43</v>
      </c>
      <c r="E357" s="29" t="n">
        <f aca="false">Clean!AE357</f>
        <v>1520.32</v>
      </c>
      <c r="F357" s="22" t="n">
        <f aca="false">AVERAGEIFS(Clean!$V$2:$V$1001,Clean!$AA$2:$AA$1001,B357)</f>
        <v>0.751243781094527</v>
      </c>
      <c r="G357" s="29" t="n">
        <f aca="false">F357*C357*D357</f>
        <v>6409.0724721393</v>
      </c>
      <c r="H357" s="29" t="n">
        <f aca="false">G357*Model!$B$4</f>
        <v>6409.0724721393</v>
      </c>
      <c r="I357" s="0" t="str">
        <f aca="false">IF(E357&lt;Model!$B$5*H357,"Expedite","Standard")</f>
        <v>Expedite</v>
      </c>
      <c r="J357" s="29" t="n">
        <f aca="false">H357</f>
        <v>6409.0724721393</v>
      </c>
      <c r="K357" s="29" t="n">
        <f aca="false">E357+(1-Model!$B$5)*H357</f>
        <v>1520.32</v>
      </c>
      <c r="L357" s="29" t="n">
        <f aca="false">IF(I357="Expedite",K357,J357)</f>
        <v>1520.32</v>
      </c>
      <c r="M357" s="29" t="n">
        <f aca="false">J357-L357</f>
        <v>4888.7524721393</v>
      </c>
      <c r="N357" s="29" t="n">
        <f aca="false">IFERROR(E357/(F357*C357*Model!$B$5),"")</f>
        <v>123.927570027131</v>
      </c>
    </row>
    <row r="358" customFormat="false" ht="15" hidden="false" customHeight="false" outlineLevel="0" collapsed="false">
      <c r="A358" s="0" t="str">
        <f aca="false">Clean!A358</f>
        <v>SHP0357</v>
      </c>
      <c r="B358" s="0" t="str">
        <f aca="false">Clean!AA358</f>
        <v>TCI Express</v>
      </c>
      <c r="C358" s="28" t="n">
        <f aca="false">Clean!J358</f>
        <v>7.85</v>
      </c>
      <c r="D358" s="29" t="n">
        <f aca="false">Clean!AF358</f>
        <v>808.96</v>
      </c>
      <c r="E358" s="29" t="n">
        <f aca="false">Clean!AE358</f>
        <v>3824.63</v>
      </c>
      <c r="F358" s="22" t="n">
        <f aca="false">AVERAGEIFS(Clean!$V$2:$V$1001,Clean!$AA$2:$AA$1001,B358)</f>
        <v>0.752336448598131</v>
      </c>
      <c r="G358" s="29" t="n">
        <f aca="false">F358*C358*D358</f>
        <v>4777.58923364486</v>
      </c>
      <c r="H358" s="29" t="n">
        <f aca="false">G358*Model!$B$4</f>
        <v>4777.58923364486</v>
      </c>
      <c r="I358" s="0" t="str">
        <f aca="false">IF(E358&lt;Model!$B$5*H358,"Expedite","Standard")</f>
        <v>Expedite</v>
      </c>
      <c r="J358" s="29" t="n">
        <f aca="false">H358</f>
        <v>4777.58923364486</v>
      </c>
      <c r="K358" s="29" t="n">
        <f aca="false">E358+(1-Model!$B$5)*H358</f>
        <v>3824.63</v>
      </c>
      <c r="L358" s="29" t="n">
        <f aca="false">IF(I358="Expedite",K358,J358)</f>
        <v>3824.63</v>
      </c>
      <c r="M358" s="29" t="n">
        <f aca="false">J358-L358</f>
        <v>952.95923364486</v>
      </c>
      <c r="N358" s="29" t="n">
        <f aca="false">IFERROR(E358/(F358*C358*Model!$B$5),"")</f>
        <v>647.601234323694</v>
      </c>
    </row>
    <row r="359" customFormat="false" ht="15" hidden="false" customHeight="false" outlineLevel="0" collapsed="false">
      <c r="A359" s="0" t="str">
        <f aca="false">Clean!A359</f>
        <v>SHP0358</v>
      </c>
      <c r="B359" s="0" t="str">
        <f aca="false">Clean!AA359</f>
        <v>GATI Logistics</v>
      </c>
      <c r="C359" s="28" t="n">
        <f aca="false">Clean!J359</f>
        <v>3.52</v>
      </c>
      <c r="D359" s="29" t="n">
        <f aca="false">Clean!AF359</f>
        <v>1490.68</v>
      </c>
      <c r="E359" s="29" t="n">
        <f aca="false">Clean!AE359</f>
        <v>3323.8</v>
      </c>
      <c r="F359" s="22" t="n">
        <f aca="false">AVERAGEIFS(Clean!$V$2:$V$1001,Clean!$AA$2:$AA$1001,B359)</f>
        <v>0.751243781094527</v>
      </c>
      <c r="G359" s="29" t="n">
        <f aca="false">F359*C359*D359</f>
        <v>3941.92156019901</v>
      </c>
      <c r="H359" s="29" t="n">
        <f aca="false">G359*Model!$B$4</f>
        <v>3941.92156019901</v>
      </c>
      <c r="I359" s="0" t="str">
        <f aca="false">IF(E359&lt;Model!$B$5*H359,"Expedite","Standard")</f>
        <v>Expedite</v>
      </c>
      <c r="J359" s="29" t="n">
        <f aca="false">H359</f>
        <v>3941.92156019901</v>
      </c>
      <c r="K359" s="29" t="n">
        <f aca="false">E359+(1-Model!$B$5)*H359</f>
        <v>3323.8</v>
      </c>
      <c r="L359" s="29" t="n">
        <f aca="false">IF(I359="Expedite",K359,J359)</f>
        <v>3323.8</v>
      </c>
      <c r="M359" s="29" t="n">
        <f aca="false">J359-L359</f>
        <v>618.121560199005</v>
      </c>
      <c r="N359" s="29" t="n">
        <f aca="false">IFERROR(E359/(F359*C359*Model!$B$5),"")</f>
        <v>1256.93068934377</v>
      </c>
    </row>
    <row r="360" customFormat="false" ht="15" hidden="false" customHeight="false" outlineLevel="0" collapsed="false">
      <c r="A360" s="0" t="str">
        <f aca="false">Clean!A360</f>
        <v>SHP0359</v>
      </c>
      <c r="B360" s="0" t="str">
        <f aca="false">Clean!AA360</f>
        <v>TCI Express</v>
      </c>
      <c r="C360" s="28" t="n">
        <f aca="false">Clean!J360</f>
        <v>15.38</v>
      </c>
      <c r="D360" s="29" t="n">
        <f aca="false">Clean!AF360</f>
        <v>1027.68</v>
      </c>
      <c r="E360" s="29" t="n">
        <f aca="false">Clean!AE360</f>
        <v>2367.62</v>
      </c>
      <c r="F360" s="22" t="n">
        <f aca="false">AVERAGEIFS(Clean!$V$2:$V$1001,Clean!$AA$2:$AA$1001,B360)</f>
        <v>0.752336448598131</v>
      </c>
      <c r="G360" s="29" t="n">
        <f aca="false">F360*C360*D360</f>
        <v>11891.2180485981</v>
      </c>
      <c r="H360" s="29" t="n">
        <f aca="false">G360*Model!$B$4</f>
        <v>11891.2180485981</v>
      </c>
      <c r="I360" s="0" t="str">
        <f aca="false">IF(E360&lt;Model!$B$5*H360,"Expedite","Standard")</f>
        <v>Expedite</v>
      </c>
      <c r="J360" s="29" t="n">
        <f aca="false">H360</f>
        <v>11891.2180485981</v>
      </c>
      <c r="K360" s="29" t="n">
        <f aca="false">E360+(1-Model!$B$5)*H360</f>
        <v>2367.62</v>
      </c>
      <c r="L360" s="29" t="n">
        <f aca="false">IF(I360="Expedite",K360,J360)</f>
        <v>2367.62</v>
      </c>
      <c r="M360" s="29" t="n">
        <f aca="false">J360-L360</f>
        <v>9523.59804859813</v>
      </c>
      <c r="N360" s="29" t="n">
        <f aca="false">IFERROR(E360/(F360*C360*Model!$B$5),"")</f>
        <v>204.617871075608</v>
      </c>
    </row>
    <row r="361" customFormat="false" ht="15" hidden="false" customHeight="false" outlineLevel="0" collapsed="false">
      <c r="A361" s="0" t="str">
        <f aca="false">Clean!A361</f>
        <v>SHP0360</v>
      </c>
      <c r="B361" s="0" t="str">
        <f aca="false">Clean!AA361</f>
        <v>VRL Cargo</v>
      </c>
      <c r="C361" s="28" t="n">
        <f aca="false">Clean!J361</f>
        <v>5.02</v>
      </c>
      <c r="D361" s="29" t="n">
        <f aca="false">Clean!AF361</f>
        <v>553.35</v>
      </c>
      <c r="E361" s="29" t="n">
        <f aca="false">Clean!AE361</f>
        <v>3372.63</v>
      </c>
      <c r="F361" s="22" t="n">
        <f aca="false">AVERAGEIFS(Clean!$V$2:$V$1001,Clean!$AA$2:$AA$1001,B361)</f>
        <v>0.72020725388601</v>
      </c>
      <c r="G361" s="29" t="n">
        <f aca="false">F361*C361*D361</f>
        <v>2000.60395336788</v>
      </c>
      <c r="H361" s="29" t="n">
        <f aca="false">G361*Model!$B$4</f>
        <v>2000.60395336788</v>
      </c>
      <c r="I361" s="0" t="str">
        <f aca="false">IF(E361&lt;Model!$B$5*H361,"Expedite","Standard")</f>
        <v>Standard</v>
      </c>
      <c r="J361" s="29" t="n">
        <f aca="false">H361</f>
        <v>2000.60395336788</v>
      </c>
      <c r="K361" s="29" t="n">
        <f aca="false">E361+(1-Model!$B$5)*H361</f>
        <v>3372.63</v>
      </c>
      <c r="L361" s="29" t="n">
        <f aca="false">IF(I361="Expedite",K361,J361)</f>
        <v>2000.60395336788</v>
      </c>
      <c r="M361" s="29" t="n">
        <f aca="false">J361-L361</f>
        <v>0</v>
      </c>
      <c r="N361" s="29" t="n">
        <f aca="false">IFERROR(E361/(F361*C361*Model!$B$5),"")</f>
        <v>932.840709106022</v>
      </c>
    </row>
    <row r="362" customFormat="false" ht="15" hidden="false" customHeight="false" outlineLevel="0" collapsed="false">
      <c r="A362" s="0" t="str">
        <f aca="false">Clean!A362</f>
        <v>SHP0361</v>
      </c>
      <c r="B362" s="0" t="str">
        <f aca="false">Clean!AA362</f>
        <v>BlueDart</v>
      </c>
      <c r="C362" s="28" t="n">
        <f aca="false">Clean!J362</f>
        <v>9.64</v>
      </c>
      <c r="D362" s="29" t="n">
        <f aca="false">Clean!AF362</f>
        <v>656.21</v>
      </c>
      <c r="E362" s="29" t="n">
        <f aca="false">Clean!AE362</f>
        <v>2101.15</v>
      </c>
      <c r="F362" s="22" t="n">
        <f aca="false">AVERAGEIFS(Clean!$V$2:$V$1001,Clean!$AA$2:$AA$1001,B362)</f>
        <v>0.773869346733668</v>
      </c>
      <c r="G362" s="29" t="n">
        <f aca="false">F362*C362*D362</f>
        <v>4895.39255075377</v>
      </c>
      <c r="H362" s="29" t="n">
        <f aca="false">G362*Model!$B$4</f>
        <v>4895.39255075377</v>
      </c>
      <c r="I362" s="0" t="str">
        <f aca="false">IF(E362&lt;Model!$B$5*H362,"Expedite","Standard")</f>
        <v>Expedite</v>
      </c>
      <c r="J362" s="29" t="n">
        <f aca="false">H362</f>
        <v>4895.39255075377</v>
      </c>
      <c r="K362" s="29" t="n">
        <f aca="false">E362+(1-Model!$B$5)*H362</f>
        <v>2101.15</v>
      </c>
      <c r="L362" s="29" t="n">
        <f aca="false">IF(I362="Expedite",K362,J362)</f>
        <v>2101.15</v>
      </c>
      <c r="M362" s="29" t="n">
        <f aca="false">J362-L362</f>
        <v>2794.24255075377</v>
      </c>
      <c r="N362" s="29" t="n">
        <f aca="false">IFERROR(E362/(F362*C362*Model!$B$5),"")</f>
        <v>281.651701514253</v>
      </c>
    </row>
    <row r="363" customFormat="false" ht="15" hidden="false" customHeight="false" outlineLevel="0" collapsed="false">
      <c r="A363" s="0" t="str">
        <f aca="false">Clean!A363</f>
        <v>SHP0362</v>
      </c>
      <c r="B363" s="0" t="str">
        <f aca="false">Clean!AA363</f>
        <v>VRL Cargo</v>
      </c>
      <c r="C363" s="28" t="n">
        <f aca="false">Clean!J363</f>
        <v>13.08</v>
      </c>
      <c r="D363" s="29" t="n">
        <f aca="false">Clean!AF363</f>
        <v>669.73</v>
      </c>
      <c r="E363" s="29" t="n">
        <f aca="false">Clean!AE363</f>
        <v>4349.47</v>
      </c>
      <c r="F363" s="22" t="n">
        <f aca="false">AVERAGEIFS(Clean!$V$2:$V$1001,Clean!$AA$2:$AA$1001,B363)</f>
        <v>0.72020725388601</v>
      </c>
      <c r="G363" s="29" t="n">
        <f aca="false">F363*C363*D363</f>
        <v>6309.06480621762</v>
      </c>
      <c r="H363" s="29" t="n">
        <f aca="false">G363*Model!$B$4</f>
        <v>6309.06480621762</v>
      </c>
      <c r="I363" s="0" t="str">
        <f aca="false">IF(E363&lt;Model!$B$5*H363,"Expedite","Standard")</f>
        <v>Expedite</v>
      </c>
      <c r="J363" s="29" t="n">
        <f aca="false">H363</f>
        <v>6309.06480621762</v>
      </c>
      <c r="K363" s="29" t="n">
        <f aca="false">E363+(1-Model!$B$5)*H363</f>
        <v>4349.47</v>
      </c>
      <c r="L363" s="29" t="n">
        <f aca="false">IF(I363="Expedite",K363,J363)</f>
        <v>4349.47</v>
      </c>
      <c r="M363" s="29" t="n">
        <f aca="false">J363-L363</f>
        <v>1959.59480621762</v>
      </c>
      <c r="N363" s="29" t="n">
        <f aca="false">IFERROR(E363/(F363*C363*Model!$B$5),"")</f>
        <v>461.711938705916</v>
      </c>
    </row>
    <row r="364" customFormat="false" ht="15" hidden="false" customHeight="false" outlineLevel="0" collapsed="false">
      <c r="A364" s="0" t="str">
        <f aca="false">Clean!A364</f>
        <v>SHP0363</v>
      </c>
      <c r="B364" s="0" t="str">
        <f aca="false">Clean!AA364</f>
        <v>Delhivery</v>
      </c>
      <c r="C364" s="28" t="n">
        <f aca="false">Clean!J364</f>
        <v>1.36</v>
      </c>
      <c r="D364" s="29" t="n">
        <f aca="false">Clean!AF364</f>
        <v>901.89</v>
      </c>
      <c r="E364" s="29" t="n">
        <f aca="false">Clean!AE364</f>
        <v>2953.98</v>
      </c>
      <c r="F364" s="22" t="n">
        <f aca="false">AVERAGEIFS(Clean!$V$2:$V$1001,Clean!$AA$2:$AA$1001,B364)</f>
        <v>0.72538860103627</v>
      </c>
      <c r="G364" s="29" t="n">
        <f aca="false">F364*C364*D364</f>
        <v>889.740186528498</v>
      </c>
      <c r="H364" s="29" t="n">
        <f aca="false">G364*Model!$B$4</f>
        <v>889.740186528498</v>
      </c>
      <c r="I364" s="0" t="str">
        <f aca="false">IF(E364&lt;Model!$B$5*H364,"Expedite","Standard")</f>
        <v>Standard</v>
      </c>
      <c r="J364" s="29" t="n">
        <f aca="false">H364</f>
        <v>889.740186528498</v>
      </c>
      <c r="K364" s="29" t="n">
        <f aca="false">E364+(1-Model!$B$5)*H364</f>
        <v>2953.98</v>
      </c>
      <c r="L364" s="29" t="n">
        <f aca="false">IF(I364="Expedite",K364,J364)</f>
        <v>889.740186528498</v>
      </c>
      <c r="M364" s="29" t="n">
        <f aca="false">J364-L364</f>
        <v>0</v>
      </c>
      <c r="N364" s="29" t="n">
        <f aca="false">IFERROR(E364/(F364*C364*Model!$B$5),"")</f>
        <v>2994.31796218487</v>
      </c>
    </row>
    <row r="365" customFormat="false" ht="15" hidden="false" customHeight="false" outlineLevel="0" collapsed="false">
      <c r="A365" s="0" t="str">
        <f aca="false">Clean!A365</f>
        <v>SHP0364</v>
      </c>
      <c r="B365" s="0" t="str">
        <f aca="false">Clean!AA365</f>
        <v>VRL Cargo</v>
      </c>
      <c r="C365" s="28" t="n">
        <f aca="false">Clean!J365</f>
        <v>3.92</v>
      </c>
      <c r="D365" s="29" t="n">
        <f aca="false">Clean!AF365</f>
        <v>551.99</v>
      </c>
      <c r="E365" s="29" t="n">
        <f aca="false">Clean!AE365</f>
        <v>2419.7</v>
      </c>
      <c r="F365" s="22" t="n">
        <f aca="false">AVERAGEIFS(Clean!$V$2:$V$1001,Clean!$AA$2:$AA$1001,B365)</f>
        <v>0.72020725388601</v>
      </c>
      <c r="G365" s="29" t="n">
        <f aca="false">F365*C365*D365</f>
        <v>1558.38503212435</v>
      </c>
      <c r="H365" s="29" t="n">
        <f aca="false">G365*Model!$B$4</f>
        <v>1558.38503212435</v>
      </c>
      <c r="I365" s="0" t="str">
        <f aca="false">IF(E365&lt;Model!$B$5*H365,"Expedite","Standard")</f>
        <v>Standard</v>
      </c>
      <c r="J365" s="29" t="n">
        <f aca="false">H365</f>
        <v>1558.38503212435</v>
      </c>
      <c r="K365" s="29" t="n">
        <f aca="false">E365+(1-Model!$B$5)*H365</f>
        <v>2419.7</v>
      </c>
      <c r="L365" s="29" t="n">
        <f aca="false">IF(I365="Expedite",K365,J365)</f>
        <v>1558.38503212435</v>
      </c>
      <c r="M365" s="29" t="n">
        <f aca="false">J365-L365</f>
        <v>0</v>
      </c>
      <c r="N365" s="29" t="n">
        <f aca="false">IFERROR(E365/(F365*C365*Model!$B$5),"")</f>
        <v>857.073300543239</v>
      </c>
    </row>
    <row r="366" customFormat="false" ht="15" hidden="false" customHeight="false" outlineLevel="0" collapsed="false">
      <c r="A366" s="0" t="str">
        <f aca="false">Clean!A366</f>
        <v>SHP0365</v>
      </c>
      <c r="B366" s="0" t="str">
        <f aca="false">Clean!AA366</f>
        <v>TCI Express</v>
      </c>
      <c r="C366" s="28" t="n">
        <f aca="false">Clean!J366</f>
        <v>1.6</v>
      </c>
      <c r="D366" s="29" t="n">
        <f aca="false">Clean!AF366</f>
        <v>1300.07</v>
      </c>
      <c r="E366" s="29" t="n">
        <f aca="false">Clean!AE366</f>
        <v>2501.76</v>
      </c>
      <c r="F366" s="22" t="n">
        <f aca="false">AVERAGEIFS(Clean!$V$2:$V$1001,Clean!$AA$2:$AA$1001,B366)</f>
        <v>0.752336448598131</v>
      </c>
      <c r="G366" s="29" t="n">
        <f aca="false">F366*C366*D366</f>
        <v>1564.94407476636</v>
      </c>
      <c r="H366" s="29" t="n">
        <f aca="false">G366*Model!$B$4</f>
        <v>1564.94407476636</v>
      </c>
      <c r="I366" s="0" t="str">
        <f aca="false">IF(E366&lt;Model!$B$5*H366,"Expedite","Standard")</f>
        <v>Standard</v>
      </c>
      <c r="J366" s="29" t="n">
        <f aca="false">H366</f>
        <v>1564.94407476636</v>
      </c>
      <c r="K366" s="29" t="n">
        <f aca="false">E366+(1-Model!$B$5)*H366</f>
        <v>2501.76</v>
      </c>
      <c r="L366" s="29" t="n">
        <f aca="false">IF(I366="Expedite",K366,J366)</f>
        <v>1564.94407476636</v>
      </c>
      <c r="M366" s="29" t="n">
        <f aca="false">J366-L366</f>
        <v>0</v>
      </c>
      <c r="N366" s="29" t="n">
        <f aca="false">IFERROR(E366/(F366*C366*Model!$B$5),"")</f>
        <v>2078.32546583851</v>
      </c>
    </row>
    <row r="367" customFormat="false" ht="15" hidden="false" customHeight="false" outlineLevel="0" collapsed="false">
      <c r="A367" s="0" t="str">
        <f aca="false">Clean!A367</f>
        <v>SHP0366</v>
      </c>
      <c r="B367" s="0" t="str">
        <f aca="false">Clean!AA367</f>
        <v>Delhivery</v>
      </c>
      <c r="C367" s="28" t="n">
        <f aca="false">Clean!J367</f>
        <v>17.81</v>
      </c>
      <c r="D367" s="29" t="n">
        <f aca="false">Clean!AF367</f>
        <v>1440.77</v>
      </c>
      <c r="E367" s="29" t="n">
        <f aca="false">Clean!AE367</f>
        <v>3475.97</v>
      </c>
      <c r="F367" s="22" t="n">
        <f aca="false">AVERAGEIFS(Clean!$V$2:$V$1001,Clean!$AA$2:$AA$1001,B367)</f>
        <v>0.72538860103627</v>
      </c>
      <c r="G367" s="29" t="n">
        <f aca="false">F367*C367*D367</f>
        <v>18613.5539792746</v>
      </c>
      <c r="H367" s="29" t="n">
        <f aca="false">G367*Model!$B$4</f>
        <v>18613.5539792746</v>
      </c>
      <c r="I367" s="0" t="str">
        <f aca="false">IF(E367&lt;Model!$B$5*H367,"Expedite","Standard")</f>
        <v>Expedite</v>
      </c>
      <c r="J367" s="29" t="n">
        <f aca="false">H367</f>
        <v>18613.5539792746</v>
      </c>
      <c r="K367" s="29" t="n">
        <f aca="false">E367+(1-Model!$B$5)*H367</f>
        <v>3475.97</v>
      </c>
      <c r="L367" s="29" t="n">
        <f aca="false">IF(I367="Expedite",K367,J367)</f>
        <v>3475.97</v>
      </c>
      <c r="M367" s="29" t="n">
        <f aca="false">J367-L367</f>
        <v>15137.5839792746</v>
      </c>
      <c r="N367" s="29" t="n">
        <f aca="false">IFERROR(E367/(F367*C367*Model!$B$5),"")</f>
        <v>269.05518970081</v>
      </c>
    </row>
    <row r="368" customFormat="false" ht="15" hidden="false" customHeight="false" outlineLevel="0" collapsed="false">
      <c r="A368" s="0" t="str">
        <f aca="false">Clean!A368</f>
        <v>SHP0367</v>
      </c>
      <c r="B368" s="0" t="str">
        <f aca="false">Clean!AA368</f>
        <v>GATI Logistics</v>
      </c>
      <c r="C368" s="28" t="n">
        <f aca="false">Clean!J368</f>
        <v>15.74</v>
      </c>
      <c r="D368" s="29" t="n">
        <f aca="false">Clean!AF368</f>
        <v>555.22</v>
      </c>
      <c r="E368" s="29" t="n">
        <f aca="false">Clean!AE368</f>
        <v>2899.8</v>
      </c>
      <c r="F368" s="22" t="n">
        <f aca="false">AVERAGEIFS(Clean!$V$2:$V$1001,Clean!$AA$2:$AA$1001,B368)</f>
        <v>0.751243781094527</v>
      </c>
      <c r="G368" s="29" t="n">
        <f aca="false">F368*C368*D368</f>
        <v>6565.24170547264</v>
      </c>
      <c r="H368" s="29" t="n">
        <f aca="false">G368*Model!$B$4</f>
        <v>6565.24170547264</v>
      </c>
      <c r="I368" s="0" t="str">
        <f aca="false">IF(E368&lt;Model!$B$5*H368,"Expedite","Standard")</f>
        <v>Expedite</v>
      </c>
      <c r="J368" s="29" t="n">
        <f aca="false">H368</f>
        <v>6565.24170547264</v>
      </c>
      <c r="K368" s="29" t="n">
        <f aca="false">E368+(1-Model!$B$5)*H368</f>
        <v>2899.8</v>
      </c>
      <c r="L368" s="29" t="n">
        <f aca="false">IF(I368="Expedite",K368,J368)</f>
        <v>2899.8</v>
      </c>
      <c r="M368" s="29" t="n">
        <f aca="false">J368-L368</f>
        <v>3665.44170547264</v>
      </c>
      <c r="N368" s="29" t="n">
        <f aca="false">IFERROR(E368/(F368*C368*Model!$B$5),"")</f>
        <v>245.234985736766</v>
      </c>
    </row>
    <row r="369" customFormat="false" ht="15" hidden="false" customHeight="false" outlineLevel="0" collapsed="false">
      <c r="A369" s="0" t="str">
        <f aca="false">Clean!A369</f>
        <v>SHP0368</v>
      </c>
      <c r="B369" s="0" t="str">
        <f aca="false">Clean!AA369</f>
        <v>BlueDart</v>
      </c>
      <c r="C369" s="28" t="n">
        <f aca="false">Clean!J369</f>
        <v>18.91</v>
      </c>
      <c r="D369" s="29" t="n">
        <f aca="false">Clean!AF369</f>
        <v>508.71</v>
      </c>
      <c r="E369" s="29" t="n">
        <f aca="false">Clean!AE369</f>
        <v>1457.73</v>
      </c>
      <c r="F369" s="22" t="n">
        <f aca="false">AVERAGEIFS(Clean!$V$2:$V$1001,Clean!$AA$2:$AA$1001,B369)</f>
        <v>0.773869346733668</v>
      </c>
      <c r="G369" s="29" t="n">
        <f aca="false">F369*C369*D369</f>
        <v>7444.39567537688</v>
      </c>
      <c r="H369" s="29" t="n">
        <f aca="false">G369*Model!$B$4</f>
        <v>7444.39567537688</v>
      </c>
      <c r="I369" s="0" t="str">
        <f aca="false">IF(E369&lt;Model!$B$5*H369,"Expedite","Standard")</f>
        <v>Expedite</v>
      </c>
      <c r="J369" s="29" t="n">
        <f aca="false">H369</f>
        <v>7444.39567537688</v>
      </c>
      <c r="K369" s="29" t="n">
        <f aca="false">E369+(1-Model!$B$5)*H369</f>
        <v>1457.73</v>
      </c>
      <c r="L369" s="29" t="n">
        <f aca="false">IF(I369="Expedite",K369,J369)</f>
        <v>1457.73</v>
      </c>
      <c r="M369" s="29" t="n">
        <f aca="false">J369-L369</f>
        <v>5986.66567537688</v>
      </c>
      <c r="N369" s="29" t="n">
        <f aca="false">IFERROR(E369/(F369*C369*Model!$B$5),"")</f>
        <v>99.6134354804371</v>
      </c>
    </row>
    <row r="370" customFormat="false" ht="15" hidden="false" customHeight="false" outlineLevel="0" collapsed="false">
      <c r="A370" s="0" t="str">
        <f aca="false">Clean!A370</f>
        <v>SHP0369</v>
      </c>
      <c r="B370" s="0" t="str">
        <f aca="false">Clean!AA370</f>
        <v>VRL Cargo</v>
      </c>
      <c r="C370" s="28" t="n">
        <f aca="false">Clean!J370</f>
        <v>3.96</v>
      </c>
      <c r="D370" s="29" t="n">
        <f aca="false">Clean!AF370</f>
        <v>1475.37</v>
      </c>
      <c r="E370" s="29" t="n">
        <f aca="false">Clean!AE370</f>
        <v>2209.92</v>
      </c>
      <c r="F370" s="22" t="n">
        <f aca="false">AVERAGEIFS(Clean!$V$2:$V$1001,Clean!$AA$2:$AA$1001,B370)</f>
        <v>0.72020725388601</v>
      </c>
      <c r="G370" s="29" t="n">
        <f aca="false">F370*C370*D370</f>
        <v>4207.78581761658</v>
      </c>
      <c r="H370" s="29" t="n">
        <f aca="false">G370*Model!$B$4</f>
        <v>4207.78581761658</v>
      </c>
      <c r="I370" s="0" t="str">
        <f aca="false">IF(E370&lt;Model!$B$5*H370,"Expedite","Standard")</f>
        <v>Expedite</v>
      </c>
      <c r="J370" s="29" t="n">
        <f aca="false">H370</f>
        <v>4207.78581761658</v>
      </c>
      <c r="K370" s="29" t="n">
        <f aca="false">E370+(1-Model!$B$5)*H370</f>
        <v>2209.92</v>
      </c>
      <c r="L370" s="29" t="n">
        <f aca="false">IF(I370="Expedite",K370,J370)</f>
        <v>2209.92</v>
      </c>
      <c r="M370" s="29" t="n">
        <f aca="false">J370-L370</f>
        <v>1997.86581761658</v>
      </c>
      <c r="N370" s="29" t="n">
        <f aca="false">IFERROR(E370/(F370*C370*Model!$B$5),"")</f>
        <v>774.861129278395</v>
      </c>
    </row>
    <row r="371" customFormat="false" ht="15" hidden="false" customHeight="false" outlineLevel="0" collapsed="false">
      <c r="A371" s="0" t="str">
        <f aca="false">Clean!A371</f>
        <v>SHP0370</v>
      </c>
      <c r="B371" s="0" t="str">
        <f aca="false">Clean!AA371</f>
        <v>TCI Express</v>
      </c>
      <c r="C371" s="28" t="n">
        <f aca="false">Clean!J371</f>
        <v>4.23</v>
      </c>
      <c r="D371" s="29" t="n">
        <f aca="false">Clean!AF371</f>
        <v>637.15</v>
      </c>
      <c r="E371" s="29" t="n">
        <f aca="false">Clean!AE371</f>
        <v>4215.22</v>
      </c>
      <c r="F371" s="22" t="n">
        <f aca="false">AVERAGEIFS(Clean!$V$2:$V$1001,Clean!$AA$2:$AA$1001,B371)</f>
        <v>0.752336448598131</v>
      </c>
      <c r="G371" s="29" t="n">
        <f aca="false">F371*C371*D371</f>
        <v>2027.65544158879</v>
      </c>
      <c r="H371" s="29" t="n">
        <f aca="false">G371*Model!$B$4</f>
        <v>2027.65544158879</v>
      </c>
      <c r="I371" s="0" t="str">
        <f aca="false">IF(E371&lt;Model!$B$5*H371,"Expedite","Standard")</f>
        <v>Standard</v>
      </c>
      <c r="J371" s="29" t="n">
        <f aca="false">H371</f>
        <v>2027.65544158879</v>
      </c>
      <c r="K371" s="29" t="n">
        <f aca="false">E371+(1-Model!$B$5)*H371</f>
        <v>4215.22</v>
      </c>
      <c r="L371" s="29" t="n">
        <f aca="false">IF(I371="Expedite",K371,J371)</f>
        <v>2027.65544158879</v>
      </c>
      <c r="M371" s="29" t="n">
        <f aca="false">J371-L371</f>
        <v>0</v>
      </c>
      <c r="N371" s="29" t="n">
        <f aca="false">IFERROR(E371/(F371*C371*Model!$B$5),"")</f>
        <v>1324.54822841872</v>
      </c>
    </row>
    <row r="372" customFormat="false" ht="15" hidden="false" customHeight="false" outlineLevel="0" collapsed="false">
      <c r="A372" s="0" t="str">
        <f aca="false">Clean!A372</f>
        <v>SHP0371</v>
      </c>
      <c r="B372" s="0" t="str">
        <f aca="false">Clean!AA372</f>
        <v>Delhivery</v>
      </c>
      <c r="C372" s="28" t="n">
        <f aca="false">Clean!J372</f>
        <v>12.03</v>
      </c>
      <c r="D372" s="29" t="n">
        <f aca="false">Clean!AF372</f>
        <v>918.61</v>
      </c>
      <c r="E372" s="29" t="n">
        <f aca="false">Clean!AE372</f>
        <v>1227.91</v>
      </c>
      <c r="F372" s="22" t="n">
        <f aca="false">AVERAGEIFS(Clean!$V$2:$V$1001,Clean!$AA$2:$AA$1001,B372)</f>
        <v>0.72538860103627</v>
      </c>
      <c r="G372" s="29" t="n">
        <f aca="false">F372*C372*D372</f>
        <v>8016.18115025907</v>
      </c>
      <c r="H372" s="29" t="n">
        <f aca="false">G372*Model!$B$4</f>
        <v>8016.18115025907</v>
      </c>
      <c r="I372" s="0" t="str">
        <f aca="false">IF(E372&lt;Model!$B$5*H372,"Expedite","Standard")</f>
        <v>Expedite</v>
      </c>
      <c r="J372" s="29" t="n">
        <f aca="false">H372</f>
        <v>8016.18115025907</v>
      </c>
      <c r="K372" s="29" t="n">
        <f aca="false">E372+(1-Model!$B$5)*H372</f>
        <v>1227.91</v>
      </c>
      <c r="L372" s="29" t="n">
        <f aca="false">IF(I372="Expedite",K372,J372)</f>
        <v>1227.91</v>
      </c>
      <c r="M372" s="29" t="n">
        <f aca="false">J372-L372</f>
        <v>6788.27115025907</v>
      </c>
      <c r="N372" s="29" t="n">
        <f aca="false">IFERROR(E372/(F372*C372*Model!$B$5),"")</f>
        <v>140.711691010569</v>
      </c>
    </row>
    <row r="373" customFormat="false" ht="15" hidden="false" customHeight="false" outlineLevel="0" collapsed="false">
      <c r="A373" s="0" t="str">
        <f aca="false">Clean!A373</f>
        <v>SHP0372</v>
      </c>
      <c r="B373" s="0" t="str">
        <f aca="false">Clean!AA373</f>
        <v>Delhivery</v>
      </c>
      <c r="C373" s="28" t="n">
        <f aca="false">Clean!J373</f>
        <v>9.71</v>
      </c>
      <c r="D373" s="29" t="n">
        <f aca="false">Clean!AF373</f>
        <v>1038.02</v>
      </c>
      <c r="E373" s="29" t="n">
        <f aca="false">Clean!AE373</f>
        <v>2255.5</v>
      </c>
      <c r="F373" s="22" t="n">
        <f aca="false">AVERAGEIFS(Clean!$V$2:$V$1001,Clean!$AA$2:$AA$1001,B373)</f>
        <v>0.72538860103627</v>
      </c>
      <c r="G373" s="29" t="n">
        <f aca="false">F373*C373*D373</f>
        <v>7311.31807253886</v>
      </c>
      <c r="H373" s="29" t="n">
        <f aca="false">G373*Model!$B$4</f>
        <v>7311.31807253886</v>
      </c>
      <c r="I373" s="0" t="str">
        <f aca="false">IF(E373&lt;Model!$B$5*H373,"Expedite","Standard")</f>
        <v>Expedite</v>
      </c>
      <c r="J373" s="29" t="n">
        <f aca="false">H373</f>
        <v>7311.31807253886</v>
      </c>
      <c r="K373" s="29" t="n">
        <f aca="false">E373+(1-Model!$B$5)*H373</f>
        <v>2255.5</v>
      </c>
      <c r="L373" s="29" t="n">
        <f aca="false">IF(I373="Expedite",K373,J373)</f>
        <v>2255.5</v>
      </c>
      <c r="M373" s="29" t="n">
        <f aca="false">J373-L373</f>
        <v>5055.81807253886</v>
      </c>
      <c r="N373" s="29" t="n">
        <f aca="false">IFERROR(E373/(F373*C373*Model!$B$5),"")</f>
        <v>320.22326026188</v>
      </c>
    </row>
    <row r="374" customFormat="false" ht="15" hidden="false" customHeight="false" outlineLevel="0" collapsed="false">
      <c r="A374" s="0" t="str">
        <f aca="false">Clean!A374</f>
        <v>SHP0373</v>
      </c>
      <c r="B374" s="0" t="str">
        <f aca="false">Clean!AA374</f>
        <v>Delhivery</v>
      </c>
      <c r="C374" s="28" t="n">
        <f aca="false">Clean!J374</f>
        <v>16.96</v>
      </c>
      <c r="D374" s="29" t="n">
        <f aca="false">Clean!AF374</f>
        <v>1338.23</v>
      </c>
      <c r="E374" s="29" t="n">
        <f aca="false">Clean!AE374</f>
        <v>2932.72</v>
      </c>
      <c r="F374" s="22" t="n">
        <f aca="false">AVERAGEIFS(Clean!$V$2:$V$1001,Clean!$AA$2:$AA$1001,B374)</f>
        <v>0.72538860103627</v>
      </c>
      <c r="G374" s="29" t="n">
        <f aca="false">F374*C374*D374</f>
        <v>16463.6959170985</v>
      </c>
      <c r="H374" s="29" t="n">
        <f aca="false">G374*Model!$B$4</f>
        <v>16463.6959170985</v>
      </c>
      <c r="I374" s="0" t="str">
        <f aca="false">IF(E374&lt;Model!$B$5*H374,"Expedite","Standard")</f>
        <v>Expedite</v>
      </c>
      <c r="J374" s="29" t="n">
        <f aca="false">H374</f>
        <v>16463.6959170985</v>
      </c>
      <c r="K374" s="29" t="n">
        <f aca="false">E374+(1-Model!$B$5)*H374</f>
        <v>2932.72</v>
      </c>
      <c r="L374" s="29" t="n">
        <f aca="false">IF(I374="Expedite",K374,J374)</f>
        <v>2932.72</v>
      </c>
      <c r="M374" s="29" t="n">
        <f aca="false">J374-L374</f>
        <v>13530.9759170984</v>
      </c>
      <c r="N374" s="29" t="n">
        <f aca="false">IFERROR(E374/(F374*C374*Model!$B$5),"")</f>
        <v>238.382311320755</v>
      </c>
    </row>
    <row r="375" customFormat="false" ht="15" hidden="false" customHeight="false" outlineLevel="0" collapsed="false">
      <c r="A375" s="0" t="str">
        <f aca="false">Clean!A375</f>
        <v>SHP0374</v>
      </c>
      <c r="B375" s="0" t="str">
        <f aca="false">Clean!AA375</f>
        <v>GATI Logistics</v>
      </c>
      <c r="C375" s="28" t="n">
        <f aca="false">Clean!J375</f>
        <v>7.87</v>
      </c>
      <c r="D375" s="29" t="n">
        <f aca="false">Clean!AF375</f>
        <v>1451.44</v>
      </c>
      <c r="E375" s="29" t="n">
        <f aca="false">Clean!AE375</f>
        <v>1785.68</v>
      </c>
      <c r="F375" s="22" t="n">
        <f aca="false">AVERAGEIFS(Clean!$V$2:$V$1001,Clean!$AA$2:$AA$1001,B375)</f>
        <v>0.751243781094527</v>
      </c>
      <c r="G375" s="29" t="n">
        <f aca="false">F375*C375*D375</f>
        <v>8581.33210348259</v>
      </c>
      <c r="H375" s="29" t="n">
        <f aca="false">G375*Model!$B$4</f>
        <v>8581.33210348259</v>
      </c>
      <c r="I375" s="0" t="str">
        <f aca="false">IF(E375&lt;Model!$B$5*H375,"Expedite","Standard")</f>
        <v>Expedite</v>
      </c>
      <c r="J375" s="29" t="n">
        <f aca="false">H375</f>
        <v>8581.33210348259</v>
      </c>
      <c r="K375" s="29" t="n">
        <f aca="false">E375+(1-Model!$B$5)*H375</f>
        <v>1785.68</v>
      </c>
      <c r="L375" s="29" t="n">
        <f aca="false">IF(I375="Expedite",K375,J375)</f>
        <v>1785.68</v>
      </c>
      <c r="M375" s="29" t="n">
        <f aca="false">J375-L375</f>
        <v>6795.65210348259</v>
      </c>
      <c r="N375" s="29" t="n">
        <f aca="false">IFERROR(E375/(F375*C375*Model!$B$5),"")</f>
        <v>302.02856012858</v>
      </c>
    </row>
    <row r="376" customFormat="false" ht="15" hidden="false" customHeight="false" outlineLevel="0" collapsed="false">
      <c r="A376" s="0" t="str">
        <f aca="false">Clean!A376</f>
        <v>SHP0375</v>
      </c>
      <c r="B376" s="0" t="str">
        <f aca="false">Clean!AA376</f>
        <v>GATI Logistics</v>
      </c>
      <c r="C376" s="28" t="n">
        <f aca="false">Clean!J376</f>
        <v>4.33</v>
      </c>
      <c r="D376" s="29" t="n">
        <f aca="false">Clean!AF376</f>
        <v>641.22</v>
      </c>
      <c r="E376" s="29" t="n">
        <f aca="false">Clean!AE376</f>
        <v>3646.67</v>
      </c>
      <c r="F376" s="22" t="n">
        <f aca="false">AVERAGEIFS(Clean!$V$2:$V$1001,Clean!$AA$2:$AA$1001,B376)</f>
        <v>0.751243781094527</v>
      </c>
      <c r="G376" s="29" t="n">
        <f aca="false">F376*C376*D376</f>
        <v>2085.81528656716</v>
      </c>
      <c r="H376" s="29" t="n">
        <f aca="false">G376*Model!$B$4</f>
        <v>2085.81528656716</v>
      </c>
      <c r="I376" s="0" t="str">
        <f aca="false">IF(E376&lt;Model!$B$5*H376,"Expedite","Standard")</f>
        <v>Standard</v>
      </c>
      <c r="J376" s="29" t="n">
        <f aca="false">H376</f>
        <v>2085.81528656716</v>
      </c>
      <c r="K376" s="29" t="n">
        <f aca="false">E376+(1-Model!$B$5)*H376</f>
        <v>3646.67</v>
      </c>
      <c r="L376" s="29" t="n">
        <f aca="false">IF(I376="Expedite",K376,J376)</f>
        <v>2085.81528656716</v>
      </c>
      <c r="M376" s="29" t="n">
        <f aca="false">J376-L376</f>
        <v>0</v>
      </c>
      <c r="N376" s="29" t="n">
        <f aca="false">IFERROR(E376/(F376*C376*Model!$B$5),"")</f>
        <v>1121.05695670128</v>
      </c>
    </row>
    <row r="377" customFormat="false" ht="15" hidden="false" customHeight="false" outlineLevel="0" collapsed="false">
      <c r="A377" s="0" t="str">
        <f aca="false">Clean!A377</f>
        <v>SHP0376</v>
      </c>
      <c r="B377" s="0" t="str">
        <f aca="false">Clean!AA377</f>
        <v>GATI Logistics</v>
      </c>
      <c r="C377" s="28" t="n">
        <f aca="false">Clean!J377</f>
        <v>11.85</v>
      </c>
      <c r="D377" s="29" t="n">
        <f aca="false">Clean!AF377</f>
        <v>1427.12</v>
      </c>
      <c r="E377" s="29" t="n">
        <f aca="false">Clean!AE377</f>
        <v>2142.83</v>
      </c>
      <c r="F377" s="22" t="n">
        <f aca="false">AVERAGEIFS(Clean!$V$2:$V$1001,Clean!$AA$2:$AA$1001,B377)</f>
        <v>0.751243781094527</v>
      </c>
      <c r="G377" s="29" t="n">
        <f aca="false">F377*C377*D377</f>
        <v>12704.5630447761</v>
      </c>
      <c r="H377" s="29" t="n">
        <f aca="false">G377*Model!$B$4</f>
        <v>12704.5630447761</v>
      </c>
      <c r="I377" s="0" t="str">
        <f aca="false">IF(E377&lt;Model!$B$5*H377,"Expedite","Standard")</f>
        <v>Expedite</v>
      </c>
      <c r="J377" s="29" t="n">
        <f aca="false">H377</f>
        <v>12704.5630447761</v>
      </c>
      <c r="K377" s="29" t="n">
        <f aca="false">E377+(1-Model!$B$5)*H377</f>
        <v>2142.83</v>
      </c>
      <c r="L377" s="29" t="n">
        <f aca="false">IF(I377="Expedite",K377,J377)</f>
        <v>2142.83</v>
      </c>
      <c r="M377" s="29" t="n">
        <f aca="false">J377-L377</f>
        <v>10561.7330447761</v>
      </c>
      <c r="N377" s="29" t="n">
        <f aca="false">IFERROR(E377/(F377*C377*Model!$B$5),"")</f>
        <v>240.706865621594</v>
      </c>
    </row>
    <row r="378" customFormat="false" ht="15" hidden="false" customHeight="false" outlineLevel="0" collapsed="false">
      <c r="A378" s="0" t="str">
        <f aca="false">Clean!A378</f>
        <v>SHP0377</v>
      </c>
      <c r="B378" s="0" t="str">
        <f aca="false">Clean!AA378</f>
        <v>GATI Logistics</v>
      </c>
      <c r="C378" s="28" t="n">
        <f aca="false">Clean!J378</f>
        <v>19.43</v>
      </c>
      <c r="D378" s="29" t="n">
        <f aca="false">Clean!AF378</f>
        <v>720.5</v>
      </c>
      <c r="E378" s="29" t="n">
        <f aca="false">Clean!AE378</f>
        <v>3691.06</v>
      </c>
      <c r="F378" s="22" t="n">
        <f aca="false">AVERAGEIFS(Clean!$V$2:$V$1001,Clean!$AA$2:$AA$1001,B378)</f>
        <v>0.751243781094527</v>
      </c>
      <c r="G378" s="29" t="n">
        <f aca="false">F378*C378*D378</f>
        <v>10516.8983333333</v>
      </c>
      <c r="H378" s="29" t="n">
        <f aca="false">G378*Model!$B$4</f>
        <v>10516.8983333333</v>
      </c>
      <c r="I378" s="0" t="str">
        <f aca="false">IF(E378&lt;Model!$B$5*H378,"Expedite","Standard")</f>
        <v>Expedite</v>
      </c>
      <c r="J378" s="29" t="n">
        <f aca="false">H378</f>
        <v>10516.8983333333</v>
      </c>
      <c r="K378" s="29" t="n">
        <f aca="false">E378+(1-Model!$B$5)*H378</f>
        <v>3691.06</v>
      </c>
      <c r="L378" s="29" t="n">
        <f aca="false">IF(I378="Expedite",K378,J378)</f>
        <v>3691.06</v>
      </c>
      <c r="M378" s="29" t="n">
        <f aca="false">J378-L378</f>
        <v>6825.83833333334</v>
      </c>
      <c r="N378" s="29" t="n">
        <f aca="false">IFERROR(E378/(F378*C378*Model!$B$5),"")</f>
        <v>252.870061657913</v>
      </c>
    </row>
    <row r="379" customFormat="false" ht="15" hidden="false" customHeight="false" outlineLevel="0" collapsed="false">
      <c r="A379" s="0" t="str">
        <f aca="false">Clean!A379</f>
        <v>SHP0378</v>
      </c>
      <c r="B379" s="0" t="str">
        <f aca="false">Clean!AA379</f>
        <v>GATI Logistics</v>
      </c>
      <c r="C379" s="28" t="n">
        <f aca="false">Clean!J379</f>
        <v>5.15</v>
      </c>
      <c r="D379" s="29" t="n">
        <f aca="false">Clean!AF379</f>
        <v>876.53</v>
      </c>
      <c r="E379" s="29" t="n">
        <f aca="false">Clean!AE379</f>
        <v>1214.06</v>
      </c>
      <c r="F379" s="22" t="n">
        <f aca="false">AVERAGEIFS(Clean!$V$2:$V$1001,Clean!$AA$2:$AA$1001,B379)</f>
        <v>0.751243781094527</v>
      </c>
      <c r="G379" s="29" t="n">
        <f aca="false">F379*C379*D379</f>
        <v>3391.21171393035</v>
      </c>
      <c r="H379" s="29" t="n">
        <f aca="false">G379*Model!$B$4</f>
        <v>3391.21171393035</v>
      </c>
      <c r="I379" s="0" t="str">
        <f aca="false">IF(E379&lt;Model!$B$5*H379,"Expedite","Standard")</f>
        <v>Expedite</v>
      </c>
      <c r="J379" s="29" t="n">
        <f aca="false">H379</f>
        <v>3391.21171393035</v>
      </c>
      <c r="K379" s="29" t="n">
        <f aca="false">E379+(1-Model!$B$5)*H379</f>
        <v>1214.06</v>
      </c>
      <c r="L379" s="29" t="n">
        <f aca="false">IF(I379="Expedite",K379,J379)</f>
        <v>1214.06</v>
      </c>
      <c r="M379" s="29" t="n">
        <f aca="false">J379-L379</f>
        <v>2177.15171393035</v>
      </c>
      <c r="N379" s="29" t="n">
        <f aca="false">IFERROR(E379/(F379*C379*Model!$B$5),"")</f>
        <v>313.799344177972</v>
      </c>
    </row>
    <row r="380" customFormat="false" ht="15" hidden="false" customHeight="false" outlineLevel="0" collapsed="false">
      <c r="A380" s="0" t="str">
        <f aca="false">Clean!A380</f>
        <v>SHP0379</v>
      </c>
      <c r="B380" s="0" t="str">
        <f aca="false">Clean!AA380</f>
        <v>BlueDart</v>
      </c>
      <c r="C380" s="28" t="n">
        <f aca="false">Clean!J380</f>
        <v>5.41</v>
      </c>
      <c r="D380" s="29" t="n">
        <f aca="false">Clean!AF380</f>
        <v>1424.52</v>
      </c>
      <c r="E380" s="29" t="n">
        <f aca="false">Clean!AE380</f>
        <v>3439.77</v>
      </c>
      <c r="F380" s="22" t="n">
        <f aca="false">AVERAGEIFS(Clean!$V$2:$V$1001,Clean!$AA$2:$AA$1001,B380)</f>
        <v>0.773869346733668</v>
      </c>
      <c r="G380" s="29" t="n">
        <f aca="false">F380*C380*D380</f>
        <v>5963.94267738693</v>
      </c>
      <c r="H380" s="29" t="n">
        <f aca="false">G380*Model!$B$4</f>
        <v>5963.94267738693</v>
      </c>
      <c r="I380" s="0" t="str">
        <f aca="false">IF(E380&lt;Model!$B$5*H380,"Expedite","Standard")</f>
        <v>Expedite</v>
      </c>
      <c r="J380" s="29" t="n">
        <f aca="false">H380</f>
        <v>5963.94267738693</v>
      </c>
      <c r="K380" s="29" t="n">
        <f aca="false">E380+(1-Model!$B$5)*H380</f>
        <v>3439.77</v>
      </c>
      <c r="L380" s="29" t="n">
        <f aca="false">IF(I380="Expedite",K380,J380)</f>
        <v>3439.77</v>
      </c>
      <c r="M380" s="29" t="n">
        <f aca="false">J380-L380</f>
        <v>2524.17267738693</v>
      </c>
      <c r="N380" s="29" t="n">
        <f aca="false">IFERROR(E380/(F380*C380*Model!$B$5),"")</f>
        <v>821.607688983844</v>
      </c>
    </row>
    <row r="381" customFormat="false" ht="15" hidden="false" customHeight="false" outlineLevel="0" collapsed="false">
      <c r="A381" s="0" t="str">
        <f aca="false">Clean!A381</f>
        <v>SHP0380</v>
      </c>
      <c r="B381" s="0" t="str">
        <f aca="false">Clean!AA381</f>
        <v>TCI Express</v>
      </c>
      <c r="C381" s="28" t="n">
        <f aca="false">Clean!J381</f>
        <v>15.93</v>
      </c>
      <c r="D381" s="29" t="n">
        <f aca="false">Clean!AF381</f>
        <v>1012.92</v>
      </c>
      <c r="E381" s="29" t="n">
        <f aca="false">Clean!AE381</f>
        <v>4041.7</v>
      </c>
      <c r="F381" s="22" t="n">
        <f aca="false">AVERAGEIFS(Clean!$V$2:$V$1001,Clean!$AA$2:$AA$1001,B381)</f>
        <v>0.752336448598131</v>
      </c>
      <c r="G381" s="29" t="n">
        <f aca="false">F381*C381*D381</f>
        <v>12139.5622037383</v>
      </c>
      <c r="H381" s="29" t="n">
        <f aca="false">G381*Model!$B$4</f>
        <v>12139.5622037383</v>
      </c>
      <c r="I381" s="0" t="str">
        <f aca="false">IF(E381&lt;Model!$B$5*H381,"Expedite","Standard")</f>
        <v>Expedite</v>
      </c>
      <c r="J381" s="29" t="n">
        <f aca="false">H381</f>
        <v>12139.5622037383</v>
      </c>
      <c r="K381" s="29" t="n">
        <f aca="false">E381+(1-Model!$B$5)*H381</f>
        <v>4041.7</v>
      </c>
      <c r="L381" s="29" t="n">
        <f aca="false">IF(I381="Expedite",K381,J381)</f>
        <v>4041.7</v>
      </c>
      <c r="M381" s="29" t="n">
        <f aca="false">J381-L381</f>
        <v>8097.86220373832</v>
      </c>
      <c r="N381" s="29" t="n">
        <f aca="false">IFERROR(E381/(F381*C381*Model!$B$5),"")</f>
        <v>337.237759920148</v>
      </c>
    </row>
    <row r="382" customFormat="false" ht="15" hidden="false" customHeight="false" outlineLevel="0" collapsed="false">
      <c r="A382" s="0" t="str">
        <f aca="false">Clean!A382</f>
        <v>SHP0381</v>
      </c>
      <c r="B382" s="0" t="str">
        <f aca="false">Clean!AA382</f>
        <v>BlueDart</v>
      </c>
      <c r="C382" s="28" t="n">
        <f aca="false">Clean!J382</f>
        <v>14.38</v>
      </c>
      <c r="D382" s="29" t="n">
        <f aca="false">Clean!AF382</f>
        <v>1273.55</v>
      </c>
      <c r="E382" s="29" t="n">
        <f aca="false">Clean!AE382</f>
        <v>2873.32</v>
      </c>
      <c r="F382" s="22" t="n">
        <f aca="false">AVERAGEIFS(Clean!$V$2:$V$1001,Clean!$AA$2:$AA$1001,B382)</f>
        <v>0.773869346733668</v>
      </c>
      <c r="G382" s="29" t="n">
        <f aca="false">F382*C382*D382</f>
        <v>14172.3715879397</v>
      </c>
      <c r="H382" s="29" t="n">
        <f aca="false">G382*Model!$B$4</f>
        <v>14172.3715879397</v>
      </c>
      <c r="I382" s="0" t="str">
        <f aca="false">IF(E382&lt;Model!$B$5*H382,"Expedite","Standard")</f>
        <v>Expedite</v>
      </c>
      <c r="J382" s="29" t="n">
        <f aca="false">H382</f>
        <v>14172.3715879397</v>
      </c>
      <c r="K382" s="29" t="n">
        <f aca="false">E382+(1-Model!$B$5)*H382</f>
        <v>2873.32</v>
      </c>
      <c r="L382" s="29" t="n">
        <f aca="false">IF(I382="Expedite",K382,J382)</f>
        <v>2873.32</v>
      </c>
      <c r="M382" s="29" t="n">
        <f aca="false">J382-L382</f>
        <v>11299.0515879397</v>
      </c>
      <c r="N382" s="29" t="n">
        <f aca="false">IFERROR(E382/(F382*C382*Model!$B$5),"")</f>
        <v>258.200729729242</v>
      </c>
    </row>
    <row r="383" customFormat="false" ht="15" hidden="false" customHeight="false" outlineLevel="0" collapsed="false">
      <c r="A383" s="0" t="str">
        <f aca="false">Clean!A383</f>
        <v>SHP0382</v>
      </c>
      <c r="B383" s="0" t="str">
        <f aca="false">Clean!AA383</f>
        <v>VRL Cargo</v>
      </c>
      <c r="C383" s="28" t="n">
        <f aca="false">Clean!J383</f>
        <v>3.34</v>
      </c>
      <c r="D383" s="29" t="n">
        <f aca="false">Clean!AF383</f>
        <v>1253.73</v>
      </c>
      <c r="E383" s="29" t="n">
        <f aca="false">Clean!AE383</f>
        <v>4184.03</v>
      </c>
      <c r="F383" s="22" t="n">
        <f aca="false">AVERAGEIFS(Clean!$V$2:$V$1001,Clean!$AA$2:$AA$1001,B383)</f>
        <v>0.72020725388601</v>
      </c>
      <c r="G383" s="29" t="n">
        <f aca="false">F383*C383*D383</f>
        <v>3015.83777098446</v>
      </c>
      <c r="H383" s="29" t="n">
        <f aca="false">G383*Model!$B$4</f>
        <v>3015.83777098446</v>
      </c>
      <c r="I383" s="0" t="str">
        <f aca="false">IF(E383&lt;Model!$B$5*H383,"Expedite","Standard")</f>
        <v>Standard</v>
      </c>
      <c r="J383" s="29" t="n">
        <f aca="false">H383</f>
        <v>3015.83777098446</v>
      </c>
      <c r="K383" s="29" t="n">
        <f aca="false">E383+(1-Model!$B$5)*H383</f>
        <v>4184.03</v>
      </c>
      <c r="L383" s="29" t="n">
        <f aca="false">IF(I383="Expedite",K383,J383)</f>
        <v>3015.83777098446</v>
      </c>
      <c r="M383" s="29" t="n">
        <f aca="false">J383-L383</f>
        <v>0</v>
      </c>
      <c r="N383" s="29" t="n">
        <f aca="false">IFERROR(E383/(F383*C383*Model!$B$5),"")</f>
        <v>1739.36542023866</v>
      </c>
    </row>
    <row r="384" customFormat="false" ht="15" hidden="false" customHeight="false" outlineLevel="0" collapsed="false">
      <c r="A384" s="0" t="str">
        <f aca="false">Clean!A384</f>
        <v>SHP0383</v>
      </c>
      <c r="B384" s="0" t="str">
        <f aca="false">Clean!AA384</f>
        <v>Delhivery</v>
      </c>
      <c r="C384" s="28" t="n">
        <f aca="false">Clean!J384</f>
        <v>5.09</v>
      </c>
      <c r="D384" s="29" t="n">
        <f aca="false">Clean!AF384</f>
        <v>699.84</v>
      </c>
      <c r="E384" s="29" t="n">
        <f aca="false">Clean!AE384</f>
        <v>3443.08</v>
      </c>
      <c r="F384" s="22" t="n">
        <f aca="false">AVERAGEIFS(Clean!$V$2:$V$1001,Clean!$AA$2:$AA$1001,B384)</f>
        <v>0.72538860103627</v>
      </c>
      <c r="G384" s="29" t="n">
        <f aca="false">F384*C384*D384</f>
        <v>2583.96882901554</v>
      </c>
      <c r="H384" s="29" t="n">
        <f aca="false">G384*Model!$B$4</f>
        <v>2583.96882901554</v>
      </c>
      <c r="I384" s="0" t="str">
        <f aca="false">IF(E384&lt;Model!$B$5*H384,"Expedite","Standard")</f>
        <v>Standard</v>
      </c>
      <c r="J384" s="29" t="n">
        <f aca="false">H384</f>
        <v>2583.96882901554</v>
      </c>
      <c r="K384" s="29" t="n">
        <f aca="false">E384+(1-Model!$B$5)*H384</f>
        <v>3443.08</v>
      </c>
      <c r="L384" s="29" t="n">
        <f aca="false">IF(I384="Expedite",K384,J384)</f>
        <v>2583.96882901554</v>
      </c>
      <c r="M384" s="29" t="n">
        <f aca="false">J384-L384</f>
        <v>0</v>
      </c>
      <c r="N384" s="29" t="n">
        <f aca="false">IFERROR(E384/(F384*C384*Model!$B$5),"")</f>
        <v>932.520965478529</v>
      </c>
    </row>
    <row r="385" customFormat="false" ht="15" hidden="false" customHeight="false" outlineLevel="0" collapsed="false">
      <c r="A385" s="0" t="str">
        <f aca="false">Clean!A385</f>
        <v>SHP0384</v>
      </c>
      <c r="B385" s="0" t="str">
        <f aca="false">Clean!AA385</f>
        <v>TCI Express</v>
      </c>
      <c r="C385" s="28" t="n">
        <f aca="false">Clean!J385</f>
        <v>2.05</v>
      </c>
      <c r="D385" s="29" t="n">
        <f aca="false">Clean!AF385</f>
        <v>887.32</v>
      </c>
      <c r="E385" s="29" t="n">
        <f aca="false">Clean!AE385</f>
        <v>4716.58</v>
      </c>
      <c r="F385" s="22" t="n">
        <f aca="false">AVERAGEIFS(Clean!$V$2:$V$1001,Clean!$AA$2:$AA$1001,B385)</f>
        <v>0.752336448598131</v>
      </c>
      <c r="G385" s="29" t="n">
        <f aca="false">F385*C385*D385</f>
        <v>1368.50451401869</v>
      </c>
      <c r="H385" s="29" t="n">
        <f aca="false">G385*Model!$B$4</f>
        <v>1368.50451401869</v>
      </c>
      <c r="I385" s="0" t="str">
        <f aca="false">IF(E385&lt;Model!$B$5*H385,"Expedite","Standard")</f>
        <v>Standard</v>
      </c>
      <c r="J385" s="29" t="n">
        <f aca="false">H385</f>
        <v>1368.50451401869</v>
      </c>
      <c r="K385" s="29" t="n">
        <f aca="false">E385+(1-Model!$B$5)*H385</f>
        <v>4716.58</v>
      </c>
      <c r="L385" s="29" t="n">
        <f aca="false">IF(I385="Expedite",K385,J385)</f>
        <v>1368.50451401869</v>
      </c>
      <c r="M385" s="29" t="n">
        <f aca="false">J385-L385</f>
        <v>0</v>
      </c>
      <c r="N385" s="29" t="n">
        <f aca="false">IFERROR(E385/(F385*C385*Model!$B$5),"")</f>
        <v>3058.16730798364</v>
      </c>
    </row>
    <row r="386" customFormat="false" ht="15" hidden="false" customHeight="false" outlineLevel="0" collapsed="false">
      <c r="A386" s="0" t="str">
        <f aca="false">Clean!A386</f>
        <v>SHP0385</v>
      </c>
      <c r="B386" s="0" t="str">
        <f aca="false">Clean!AA386</f>
        <v>TCI Express</v>
      </c>
      <c r="C386" s="28" t="n">
        <f aca="false">Clean!J386</f>
        <v>2.26</v>
      </c>
      <c r="D386" s="29" t="n">
        <f aca="false">Clean!AF386</f>
        <v>1433.21</v>
      </c>
      <c r="E386" s="29" t="n">
        <f aca="false">Clean!AE386</f>
        <v>3671.47</v>
      </c>
      <c r="F386" s="22" t="n">
        <f aca="false">AVERAGEIFS(Clean!$V$2:$V$1001,Clean!$AA$2:$AA$1001,B386)</f>
        <v>0.752336448598131</v>
      </c>
      <c r="G386" s="29" t="n">
        <f aca="false">F386*C386*D386</f>
        <v>2436.85883457944</v>
      </c>
      <c r="H386" s="29" t="n">
        <f aca="false">G386*Model!$B$4</f>
        <v>2436.85883457944</v>
      </c>
      <c r="I386" s="0" t="str">
        <f aca="false">IF(E386&lt;Model!$B$5*H386,"Expedite","Standard")</f>
        <v>Standard</v>
      </c>
      <c r="J386" s="29" t="n">
        <f aca="false">H386</f>
        <v>2436.85883457944</v>
      </c>
      <c r="K386" s="29" t="n">
        <f aca="false">E386+(1-Model!$B$5)*H386</f>
        <v>3671.47</v>
      </c>
      <c r="L386" s="29" t="n">
        <f aca="false">IF(I386="Expedite",K386,J386)</f>
        <v>2436.85883457944</v>
      </c>
      <c r="M386" s="29" t="n">
        <f aca="false">J386-L386</f>
        <v>0</v>
      </c>
      <c r="N386" s="29" t="n">
        <f aca="false">IFERROR(E386/(F386*C386*Model!$B$5),"")</f>
        <v>2159.33210575496</v>
      </c>
    </row>
    <row r="387" customFormat="false" ht="15" hidden="false" customHeight="false" outlineLevel="0" collapsed="false">
      <c r="A387" s="0" t="str">
        <f aca="false">Clean!A387</f>
        <v>SHP0386</v>
      </c>
      <c r="B387" s="0" t="str">
        <f aca="false">Clean!AA387</f>
        <v>GATI Logistics</v>
      </c>
      <c r="C387" s="28" t="n">
        <f aca="false">Clean!J387</f>
        <v>6.04</v>
      </c>
      <c r="D387" s="29" t="n">
        <f aca="false">Clean!AF387</f>
        <v>850.41</v>
      </c>
      <c r="E387" s="29" t="n">
        <f aca="false">Clean!AE387</f>
        <v>3025.32</v>
      </c>
      <c r="F387" s="22" t="n">
        <f aca="false">AVERAGEIFS(Clean!$V$2:$V$1001,Clean!$AA$2:$AA$1001,B387)</f>
        <v>0.751243781094527</v>
      </c>
      <c r="G387" s="29" t="n">
        <f aca="false">F387*C387*D387</f>
        <v>3858.74595223881</v>
      </c>
      <c r="H387" s="29" t="n">
        <f aca="false">G387*Model!$B$4</f>
        <v>3858.74595223881</v>
      </c>
      <c r="I387" s="0" t="str">
        <f aca="false">IF(E387&lt;Model!$B$5*H387,"Expedite","Standard")</f>
        <v>Expedite</v>
      </c>
      <c r="J387" s="29" t="n">
        <f aca="false">H387</f>
        <v>3858.74595223881</v>
      </c>
      <c r="K387" s="29" t="n">
        <f aca="false">E387+(1-Model!$B$5)*H387</f>
        <v>3025.32</v>
      </c>
      <c r="L387" s="29" t="n">
        <f aca="false">IF(I387="Expedite",K387,J387)</f>
        <v>3025.32</v>
      </c>
      <c r="M387" s="29" t="n">
        <f aca="false">J387-L387</f>
        <v>833.425952238806</v>
      </c>
      <c r="N387" s="29" t="n">
        <f aca="false">IFERROR(E387/(F387*C387*Model!$B$5),"")</f>
        <v>666.735362484102</v>
      </c>
    </row>
    <row r="388" customFormat="false" ht="15" hidden="false" customHeight="false" outlineLevel="0" collapsed="false">
      <c r="A388" s="0" t="str">
        <f aca="false">Clean!A388</f>
        <v>SHP0387</v>
      </c>
      <c r="B388" s="0" t="str">
        <f aca="false">Clean!AA388</f>
        <v>GATI Logistics</v>
      </c>
      <c r="C388" s="28" t="n">
        <f aca="false">Clean!J388</f>
        <v>18.35</v>
      </c>
      <c r="D388" s="29" t="n">
        <f aca="false">Clean!AF388</f>
        <v>642.26</v>
      </c>
      <c r="E388" s="29" t="n">
        <f aca="false">Clean!AE388</f>
        <v>2112.52</v>
      </c>
      <c r="F388" s="22" t="n">
        <f aca="false">AVERAGEIFS(Clean!$V$2:$V$1001,Clean!$AA$2:$AA$1001,B388)</f>
        <v>0.751243781094527</v>
      </c>
      <c r="G388" s="29" t="n">
        <f aca="false">F388*C388*D388</f>
        <v>8853.7617960199</v>
      </c>
      <c r="H388" s="29" t="n">
        <f aca="false">G388*Model!$B$4</f>
        <v>8853.7617960199</v>
      </c>
      <c r="I388" s="0" t="str">
        <f aca="false">IF(E388&lt;Model!$B$5*H388,"Expedite","Standard")</f>
        <v>Expedite</v>
      </c>
      <c r="J388" s="29" t="n">
        <f aca="false">H388</f>
        <v>8853.7617960199</v>
      </c>
      <c r="K388" s="29" t="n">
        <f aca="false">E388+(1-Model!$B$5)*H388</f>
        <v>2112.52</v>
      </c>
      <c r="L388" s="29" t="n">
        <f aca="false">IF(I388="Expedite",K388,J388)</f>
        <v>2112.52</v>
      </c>
      <c r="M388" s="29" t="n">
        <f aca="false">J388-L388</f>
        <v>6741.2417960199</v>
      </c>
      <c r="N388" s="29" t="n">
        <f aca="false">IFERROR(E388/(F388*C388*Model!$B$5),"")</f>
        <v>153.244138080372</v>
      </c>
    </row>
    <row r="389" customFormat="false" ht="15" hidden="false" customHeight="false" outlineLevel="0" collapsed="false">
      <c r="A389" s="0" t="str">
        <f aca="false">Clean!A389</f>
        <v>SHP0388</v>
      </c>
      <c r="B389" s="0" t="str">
        <f aca="false">Clean!AA389</f>
        <v>VRL Cargo</v>
      </c>
      <c r="C389" s="28" t="n">
        <f aca="false">Clean!J389</f>
        <v>6.95</v>
      </c>
      <c r="D389" s="29" t="n">
        <f aca="false">Clean!AF389</f>
        <v>698.49</v>
      </c>
      <c r="E389" s="29" t="n">
        <f aca="false">Clean!AE389</f>
        <v>2811.25</v>
      </c>
      <c r="F389" s="22" t="n">
        <f aca="false">AVERAGEIFS(Clean!$V$2:$V$1001,Clean!$AA$2:$AA$1001,B389)</f>
        <v>0.72020725388601</v>
      </c>
      <c r="G389" s="29" t="n">
        <f aca="false">F389*C389*D389</f>
        <v>3496.25007512953</v>
      </c>
      <c r="H389" s="29" t="n">
        <f aca="false">G389*Model!$B$4</f>
        <v>3496.25007512953</v>
      </c>
      <c r="I389" s="0" t="str">
        <f aca="false">IF(E389&lt;Model!$B$5*H389,"Expedite","Standard")</f>
        <v>Expedite</v>
      </c>
      <c r="J389" s="29" t="n">
        <f aca="false">H389</f>
        <v>3496.25007512953</v>
      </c>
      <c r="K389" s="29" t="n">
        <f aca="false">E389+(1-Model!$B$5)*H389</f>
        <v>2811.25</v>
      </c>
      <c r="L389" s="29" t="n">
        <f aca="false">IF(I389="Expedite",K389,J389)</f>
        <v>2811.25</v>
      </c>
      <c r="M389" s="29" t="n">
        <f aca="false">J389-L389</f>
        <v>685.000075129534</v>
      </c>
      <c r="N389" s="29" t="n">
        <f aca="false">IFERROR(E389/(F389*C389*Model!$B$5),"")</f>
        <v>561.638890326588</v>
      </c>
    </row>
    <row r="390" customFormat="false" ht="15" hidden="false" customHeight="false" outlineLevel="0" collapsed="false">
      <c r="A390" s="0" t="str">
        <f aca="false">Clean!A390</f>
        <v>SHP0389</v>
      </c>
      <c r="B390" s="0" t="str">
        <f aca="false">Clean!AA390</f>
        <v>Delhivery</v>
      </c>
      <c r="C390" s="28" t="n">
        <f aca="false">Clean!J390</f>
        <v>4.13</v>
      </c>
      <c r="D390" s="29" t="n">
        <f aca="false">Clean!AF390</f>
        <v>1147.52</v>
      </c>
      <c r="E390" s="29" t="n">
        <f aca="false">Clean!AE390</f>
        <v>4619.07</v>
      </c>
      <c r="F390" s="22" t="n">
        <f aca="false">AVERAGEIFS(Clean!$V$2:$V$1001,Clean!$AA$2:$AA$1001,B390)</f>
        <v>0.72538860103627</v>
      </c>
      <c r="G390" s="29" t="n">
        <f aca="false">F390*C390*D390</f>
        <v>3437.80344041451</v>
      </c>
      <c r="H390" s="29" t="n">
        <f aca="false">G390*Model!$B$4</f>
        <v>3437.80344041451</v>
      </c>
      <c r="I390" s="0" t="str">
        <f aca="false">IF(E390&lt;Model!$B$5*H390,"Expedite","Standard")</f>
        <v>Standard</v>
      </c>
      <c r="J390" s="29" t="n">
        <f aca="false">H390</f>
        <v>3437.80344041451</v>
      </c>
      <c r="K390" s="29" t="n">
        <f aca="false">E390+(1-Model!$B$5)*H390</f>
        <v>4619.07</v>
      </c>
      <c r="L390" s="29" t="n">
        <f aca="false">IF(I390="Expedite",K390,J390)</f>
        <v>3437.80344041451</v>
      </c>
      <c r="M390" s="29" t="n">
        <f aca="false">J390-L390</f>
        <v>0</v>
      </c>
      <c r="N390" s="29" t="n">
        <f aca="false">IFERROR(E390/(F390*C390*Model!$B$5),"")</f>
        <v>1541.820321688</v>
      </c>
    </row>
    <row r="391" customFormat="false" ht="15" hidden="false" customHeight="false" outlineLevel="0" collapsed="false">
      <c r="A391" s="0" t="str">
        <f aca="false">Clean!A391</f>
        <v>SHP0390</v>
      </c>
      <c r="B391" s="0" t="str">
        <f aca="false">Clean!AA391</f>
        <v>Delhivery</v>
      </c>
      <c r="C391" s="28" t="n">
        <f aca="false">Clean!J391</f>
        <v>6.19</v>
      </c>
      <c r="D391" s="29" t="n">
        <f aca="false">Clean!AF391</f>
        <v>1364.96</v>
      </c>
      <c r="E391" s="29" t="n">
        <f aca="false">Clean!AE391</f>
        <v>2849.56</v>
      </c>
      <c r="F391" s="22" t="n">
        <f aca="false">AVERAGEIFS(Clean!$V$2:$V$1001,Clean!$AA$2:$AA$1001,B391)</f>
        <v>0.72538860103627</v>
      </c>
      <c r="G391" s="29" t="n">
        <f aca="false">F391*C391*D391</f>
        <v>6128.88256994819</v>
      </c>
      <c r="H391" s="29" t="n">
        <f aca="false">G391*Model!$B$4</f>
        <v>6128.88256994819</v>
      </c>
      <c r="I391" s="0" t="str">
        <f aca="false">IF(E391&lt;Model!$B$5*H391,"Expedite","Standard")</f>
        <v>Expedite</v>
      </c>
      <c r="J391" s="29" t="n">
        <f aca="false">H391</f>
        <v>6128.88256994819</v>
      </c>
      <c r="K391" s="29" t="n">
        <f aca="false">E391+(1-Model!$B$5)*H391</f>
        <v>2849.56</v>
      </c>
      <c r="L391" s="29" t="n">
        <f aca="false">IF(I391="Expedite",K391,J391)</f>
        <v>2849.56</v>
      </c>
      <c r="M391" s="29" t="n">
        <f aca="false">J391-L391</f>
        <v>3279.32256994819</v>
      </c>
      <c r="N391" s="29" t="n">
        <f aca="false">IFERROR(E391/(F391*C391*Model!$B$5),"")</f>
        <v>634.623909531502</v>
      </c>
    </row>
    <row r="392" customFormat="false" ht="15" hidden="false" customHeight="false" outlineLevel="0" collapsed="false">
      <c r="A392" s="0" t="str">
        <f aca="false">Clean!A392</f>
        <v>SHP0391</v>
      </c>
      <c r="B392" s="0" t="str">
        <f aca="false">Clean!AA392</f>
        <v>Delhivery</v>
      </c>
      <c r="C392" s="28" t="n">
        <f aca="false">Clean!J392</f>
        <v>5.74</v>
      </c>
      <c r="D392" s="29" t="n">
        <f aca="false">Clean!AF392</f>
        <v>1103.8</v>
      </c>
      <c r="E392" s="29" t="n">
        <f aca="false">Clean!AE392</f>
        <v>4760.88</v>
      </c>
      <c r="F392" s="22" t="n">
        <f aca="false">AVERAGEIFS(Clean!$V$2:$V$1001,Clean!$AA$2:$AA$1001,B392)</f>
        <v>0.72538860103627</v>
      </c>
      <c r="G392" s="29" t="n">
        <f aca="false">F392*C392*D392</f>
        <v>4595.92580310881</v>
      </c>
      <c r="H392" s="29" t="n">
        <f aca="false">G392*Model!$B$4</f>
        <v>4595.92580310881</v>
      </c>
      <c r="I392" s="0" t="str">
        <f aca="false">IF(E392&lt;Model!$B$5*H392,"Expedite","Standard")</f>
        <v>Standard</v>
      </c>
      <c r="J392" s="29" t="n">
        <f aca="false">H392</f>
        <v>4595.92580310881</v>
      </c>
      <c r="K392" s="29" t="n">
        <f aca="false">E392+(1-Model!$B$5)*H392</f>
        <v>4760.88</v>
      </c>
      <c r="L392" s="29" t="n">
        <f aca="false">IF(I392="Expedite",K392,J392)</f>
        <v>4595.92580310881</v>
      </c>
      <c r="M392" s="29" t="n">
        <f aca="false">J392-L392</f>
        <v>0</v>
      </c>
      <c r="N392" s="29" t="n">
        <f aca="false">IFERROR(E392/(F392*C392*Model!$B$5),"")</f>
        <v>1143.41692384271</v>
      </c>
    </row>
    <row r="393" customFormat="false" ht="15" hidden="false" customHeight="false" outlineLevel="0" collapsed="false">
      <c r="A393" s="0" t="str">
        <f aca="false">Clean!A393</f>
        <v>SHP0392</v>
      </c>
      <c r="B393" s="0" t="str">
        <f aca="false">Clean!AA393</f>
        <v>TCI Express</v>
      </c>
      <c r="C393" s="28" t="n">
        <f aca="false">Clean!J393</f>
        <v>17.4</v>
      </c>
      <c r="D393" s="29" t="n">
        <f aca="false">Clean!AF393</f>
        <v>637.09</v>
      </c>
      <c r="E393" s="29" t="n">
        <f aca="false">Clean!AE393</f>
        <v>4799.6</v>
      </c>
      <c r="F393" s="22" t="n">
        <f aca="false">AVERAGEIFS(Clean!$V$2:$V$1001,Clean!$AA$2:$AA$1001,B393)</f>
        <v>0.752336448598131</v>
      </c>
      <c r="G393" s="29" t="n">
        <f aca="false">F393*C393*D393</f>
        <v>8339.92488785047</v>
      </c>
      <c r="H393" s="29" t="n">
        <f aca="false">G393*Model!$B$4</f>
        <v>8339.92488785047</v>
      </c>
      <c r="I393" s="0" t="str">
        <f aca="false">IF(E393&lt;Model!$B$5*H393,"Expedite","Standard")</f>
        <v>Expedite</v>
      </c>
      <c r="J393" s="29" t="n">
        <f aca="false">H393</f>
        <v>8339.92488785047</v>
      </c>
      <c r="K393" s="29" t="n">
        <f aca="false">E393+(1-Model!$B$5)*H393</f>
        <v>4799.6</v>
      </c>
      <c r="L393" s="29" t="n">
        <f aca="false">IF(I393="Expedite",K393,J393)</f>
        <v>4799.6</v>
      </c>
      <c r="M393" s="29" t="n">
        <f aca="false">J393-L393</f>
        <v>3540.32488785047</v>
      </c>
      <c r="N393" s="29" t="n">
        <f aca="false">IFERROR(E393/(F393*C393*Model!$B$5),"")</f>
        <v>366.64324980367</v>
      </c>
    </row>
    <row r="394" customFormat="false" ht="15" hidden="false" customHeight="false" outlineLevel="0" collapsed="false">
      <c r="A394" s="0" t="str">
        <f aca="false">Clean!A394</f>
        <v>SHP0393</v>
      </c>
      <c r="B394" s="0" t="str">
        <f aca="false">Clean!AA394</f>
        <v>VRL Cargo</v>
      </c>
      <c r="C394" s="28" t="n">
        <f aca="false">Clean!J394</f>
        <v>14.94</v>
      </c>
      <c r="D394" s="29" t="n">
        <f aca="false">Clean!AF394</f>
        <v>1320.98</v>
      </c>
      <c r="E394" s="29" t="n">
        <f aca="false">Clean!AE394</f>
        <v>4726.22</v>
      </c>
      <c r="F394" s="22" t="n">
        <f aca="false">AVERAGEIFS(Clean!$V$2:$V$1001,Clean!$AA$2:$AA$1001,B394)</f>
        <v>0.72020725388601</v>
      </c>
      <c r="G394" s="29" t="n">
        <f aca="false">F394*C394*D394</f>
        <v>14213.6079108808</v>
      </c>
      <c r="H394" s="29" t="n">
        <f aca="false">G394*Model!$B$4</f>
        <v>14213.6079108808</v>
      </c>
      <c r="I394" s="0" t="str">
        <f aca="false">IF(E394&lt;Model!$B$5*H394,"Expedite","Standard")</f>
        <v>Expedite</v>
      </c>
      <c r="J394" s="29" t="n">
        <f aca="false">H394</f>
        <v>14213.6079108808</v>
      </c>
      <c r="K394" s="29" t="n">
        <f aca="false">E394+(1-Model!$B$5)*H394</f>
        <v>4726.22</v>
      </c>
      <c r="L394" s="29" t="n">
        <f aca="false">IF(I394="Expedite",K394,J394)</f>
        <v>4726.22</v>
      </c>
      <c r="M394" s="29" t="n">
        <f aca="false">J394-L394</f>
        <v>9487.38791088083</v>
      </c>
      <c r="N394" s="29" t="n">
        <f aca="false">IFERROR(E394/(F394*C394*Model!$B$5),"")</f>
        <v>439.244007203875</v>
      </c>
    </row>
    <row r="395" customFormat="false" ht="15" hidden="false" customHeight="false" outlineLevel="0" collapsed="false">
      <c r="A395" s="0" t="str">
        <f aca="false">Clean!A395</f>
        <v>SHP0394</v>
      </c>
      <c r="B395" s="0" t="str">
        <f aca="false">Clean!AA395</f>
        <v>VRL Cargo</v>
      </c>
      <c r="C395" s="28" t="n">
        <f aca="false">Clean!J395</f>
        <v>11.77</v>
      </c>
      <c r="D395" s="29" t="n">
        <f aca="false">Clean!AF395</f>
        <v>1300.98</v>
      </c>
      <c r="E395" s="29" t="n">
        <f aca="false">Clean!AE395</f>
        <v>4306.2</v>
      </c>
      <c r="F395" s="22" t="n">
        <f aca="false">AVERAGEIFS(Clean!$V$2:$V$1001,Clean!$AA$2:$AA$1001,B395)</f>
        <v>0.72020725388601</v>
      </c>
      <c r="G395" s="29" t="n">
        <f aca="false">F395*C395*D395</f>
        <v>11028.1984943005</v>
      </c>
      <c r="H395" s="29" t="n">
        <f aca="false">G395*Model!$B$4</f>
        <v>11028.1984943005</v>
      </c>
      <c r="I395" s="0" t="str">
        <f aca="false">IF(E395&lt;Model!$B$5*H395,"Expedite","Standard")</f>
        <v>Expedite</v>
      </c>
      <c r="J395" s="29" t="n">
        <f aca="false">H395</f>
        <v>11028.1984943005</v>
      </c>
      <c r="K395" s="29" t="n">
        <f aca="false">E395+(1-Model!$B$5)*H395</f>
        <v>4306.2</v>
      </c>
      <c r="L395" s="29" t="n">
        <f aca="false">IF(I395="Expedite",K395,J395)</f>
        <v>4306.2</v>
      </c>
      <c r="M395" s="29" t="n">
        <f aca="false">J395-L395</f>
        <v>6721.99849430052</v>
      </c>
      <c r="N395" s="29" t="n">
        <f aca="false">IFERROR(E395/(F395*C395*Model!$B$5),"")</f>
        <v>507.995941394718</v>
      </c>
    </row>
    <row r="396" customFormat="false" ht="15" hidden="false" customHeight="false" outlineLevel="0" collapsed="false">
      <c r="A396" s="0" t="str">
        <f aca="false">Clean!A396</f>
        <v>SHP0395</v>
      </c>
      <c r="B396" s="0" t="str">
        <f aca="false">Clean!AA396</f>
        <v>Delhivery</v>
      </c>
      <c r="C396" s="28" t="n">
        <f aca="false">Clean!J396</f>
        <v>2.98</v>
      </c>
      <c r="D396" s="29" t="n">
        <f aca="false">Clean!AF396</f>
        <v>723.06</v>
      </c>
      <c r="E396" s="29" t="n">
        <f aca="false">Clean!AE396</f>
        <v>4453.86</v>
      </c>
      <c r="F396" s="22" t="n">
        <f aca="false">AVERAGEIFS(Clean!$V$2:$V$1001,Clean!$AA$2:$AA$1001,B396)</f>
        <v>0.72538860103627</v>
      </c>
      <c r="G396" s="29" t="n">
        <f aca="false">F396*C396*D396</f>
        <v>1563.00845595855</v>
      </c>
      <c r="H396" s="29" t="n">
        <f aca="false">G396*Model!$B$4</f>
        <v>1563.00845595855</v>
      </c>
      <c r="I396" s="0" t="str">
        <f aca="false">IF(E396&lt;Model!$B$5*H396,"Expedite","Standard")</f>
        <v>Standard</v>
      </c>
      <c r="J396" s="29" t="n">
        <f aca="false">H396</f>
        <v>1563.00845595855</v>
      </c>
      <c r="K396" s="29" t="n">
        <f aca="false">E396+(1-Model!$B$5)*H396</f>
        <v>4453.86</v>
      </c>
      <c r="L396" s="29" t="n">
        <f aca="false">IF(I396="Expedite",K396,J396)</f>
        <v>1563.00845595855</v>
      </c>
      <c r="M396" s="29" t="n">
        <f aca="false">J396-L396</f>
        <v>0</v>
      </c>
      <c r="N396" s="29" t="n">
        <f aca="false">IFERROR(E396/(F396*C396*Model!$B$5),"")</f>
        <v>2060.39065196548</v>
      </c>
    </row>
    <row r="397" customFormat="false" ht="15" hidden="false" customHeight="false" outlineLevel="0" collapsed="false">
      <c r="A397" s="0" t="str">
        <f aca="false">Clean!A397</f>
        <v>SHP0396</v>
      </c>
      <c r="B397" s="0" t="str">
        <f aca="false">Clean!AA397</f>
        <v>GATI Logistics</v>
      </c>
      <c r="C397" s="28" t="n">
        <f aca="false">Clean!J397</f>
        <v>17.59</v>
      </c>
      <c r="D397" s="29" t="n">
        <f aca="false">Clean!AF397</f>
        <v>1469.72</v>
      </c>
      <c r="E397" s="29" t="n">
        <f aca="false">Clean!AE397</f>
        <v>2038.68</v>
      </c>
      <c r="F397" s="22" t="n">
        <f aca="false">AVERAGEIFS(Clean!$V$2:$V$1001,Clean!$AA$2:$AA$1001,B397)</f>
        <v>0.751243781094527</v>
      </c>
      <c r="G397" s="29" t="n">
        <f aca="false">F397*C397*D397</f>
        <v>19421.4357950249</v>
      </c>
      <c r="H397" s="29" t="n">
        <f aca="false">G397*Model!$B$4</f>
        <v>19421.4357950249</v>
      </c>
      <c r="I397" s="0" t="str">
        <f aca="false">IF(E397&lt;Model!$B$5*H397,"Expedite","Standard")</f>
        <v>Expedite</v>
      </c>
      <c r="J397" s="29" t="n">
        <f aca="false">H397</f>
        <v>19421.4357950249</v>
      </c>
      <c r="K397" s="29" t="n">
        <f aca="false">E397+(1-Model!$B$5)*H397</f>
        <v>2038.68</v>
      </c>
      <c r="L397" s="29" t="n">
        <f aca="false">IF(I397="Expedite",K397,J397)</f>
        <v>2038.68</v>
      </c>
      <c r="M397" s="29" t="n">
        <f aca="false">J397-L397</f>
        <v>17382.7557950249</v>
      </c>
      <c r="N397" s="29" t="n">
        <f aca="false">IFERROR(E397/(F397*C397*Model!$B$5),"")</f>
        <v>154.277407768562</v>
      </c>
    </row>
    <row r="398" customFormat="false" ht="15" hidden="false" customHeight="false" outlineLevel="0" collapsed="false">
      <c r="A398" s="0" t="str">
        <f aca="false">Clean!A398</f>
        <v>SHP0397</v>
      </c>
      <c r="B398" s="0" t="str">
        <f aca="false">Clean!AA398</f>
        <v>BlueDart</v>
      </c>
      <c r="C398" s="28" t="n">
        <f aca="false">Clean!J398</f>
        <v>9.19</v>
      </c>
      <c r="D398" s="29" t="n">
        <f aca="false">Clean!AF398</f>
        <v>1077.63</v>
      </c>
      <c r="E398" s="29" t="n">
        <f aca="false">Clean!AE398</f>
        <v>2011.43</v>
      </c>
      <c r="F398" s="22" t="n">
        <f aca="false">AVERAGEIFS(Clean!$V$2:$V$1001,Clean!$AA$2:$AA$1001,B398)</f>
        <v>0.773869346733668</v>
      </c>
      <c r="G398" s="29" t="n">
        <f aca="false">F398*C398*D398</f>
        <v>7663.95293366834</v>
      </c>
      <c r="H398" s="29" t="n">
        <f aca="false">G398*Model!$B$4</f>
        <v>7663.95293366834</v>
      </c>
      <c r="I398" s="0" t="str">
        <f aca="false">IF(E398&lt;Model!$B$5*H398,"Expedite","Standard")</f>
        <v>Expedite</v>
      </c>
      <c r="J398" s="29" t="n">
        <f aca="false">H398</f>
        <v>7663.95293366834</v>
      </c>
      <c r="K398" s="29" t="n">
        <f aca="false">E398+(1-Model!$B$5)*H398</f>
        <v>2011.43</v>
      </c>
      <c r="L398" s="29" t="n">
        <f aca="false">IF(I398="Expedite",K398,J398)</f>
        <v>2011.43</v>
      </c>
      <c r="M398" s="29" t="n">
        <f aca="false">J398-L398</f>
        <v>5652.52293366834</v>
      </c>
      <c r="N398" s="29" t="n">
        <f aca="false">IFERROR(E398/(F398*C398*Model!$B$5),"")</f>
        <v>282.827586450546</v>
      </c>
    </row>
    <row r="399" customFormat="false" ht="15" hidden="false" customHeight="false" outlineLevel="0" collapsed="false">
      <c r="A399" s="0" t="str">
        <f aca="false">Clean!A399</f>
        <v>SHP0398</v>
      </c>
      <c r="B399" s="0" t="str">
        <f aca="false">Clean!AA399</f>
        <v>Delhivery</v>
      </c>
      <c r="C399" s="28" t="n">
        <f aca="false">Clean!J399</f>
        <v>7.82</v>
      </c>
      <c r="D399" s="29" t="n">
        <f aca="false">Clean!AF399</f>
        <v>1057.31</v>
      </c>
      <c r="E399" s="29" t="n">
        <f aca="false">Clean!AE399</f>
        <v>1207.14</v>
      </c>
      <c r="F399" s="22" t="n">
        <f aca="false">AVERAGEIFS(Clean!$V$2:$V$1001,Clean!$AA$2:$AA$1001,B399)</f>
        <v>0.72538860103627</v>
      </c>
      <c r="G399" s="29" t="n">
        <f aca="false">F399*C399*D399</f>
        <v>5997.63206217617</v>
      </c>
      <c r="H399" s="29" t="n">
        <f aca="false">G399*Model!$B$4</f>
        <v>5997.63206217617</v>
      </c>
      <c r="I399" s="0" t="str">
        <f aca="false">IF(E399&lt;Model!$B$5*H399,"Expedite","Standard")</f>
        <v>Expedite</v>
      </c>
      <c r="J399" s="29" t="n">
        <f aca="false">H399</f>
        <v>5997.63206217617</v>
      </c>
      <c r="K399" s="29" t="n">
        <f aca="false">E399+(1-Model!$B$5)*H399</f>
        <v>1207.14</v>
      </c>
      <c r="L399" s="29" t="n">
        <f aca="false">IF(I399="Expedite",K399,J399)</f>
        <v>1207.14</v>
      </c>
      <c r="M399" s="29" t="n">
        <f aca="false">J399-L399</f>
        <v>4790.49206217617</v>
      </c>
      <c r="N399" s="29" t="n">
        <f aca="false">IFERROR(E399/(F399*C399*Model!$B$5),"")</f>
        <v>212.804183412495</v>
      </c>
    </row>
    <row r="400" customFormat="false" ht="15" hidden="false" customHeight="false" outlineLevel="0" collapsed="false">
      <c r="A400" s="0" t="str">
        <f aca="false">Clean!A400</f>
        <v>SHP0399</v>
      </c>
      <c r="B400" s="0" t="str">
        <f aca="false">Clean!AA400</f>
        <v>GATI Logistics</v>
      </c>
      <c r="C400" s="28" t="n">
        <f aca="false">Clean!J400</f>
        <v>3.96</v>
      </c>
      <c r="D400" s="29" t="n">
        <f aca="false">Clean!AF400</f>
        <v>1281.51</v>
      </c>
      <c r="E400" s="29" t="n">
        <f aca="false">Clean!AE400</f>
        <v>4047.53</v>
      </c>
      <c r="F400" s="22" t="n">
        <f aca="false">AVERAGEIFS(Clean!$V$2:$V$1001,Clean!$AA$2:$AA$1001,B400)</f>
        <v>0.751243781094527</v>
      </c>
      <c r="G400" s="29" t="n">
        <f aca="false">F400*C400*D400</f>
        <v>3812.39661492537</v>
      </c>
      <c r="H400" s="29" t="n">
        <f aca="false">G400*Model!$B$4</f>
        <v>3812.39661492537</v>
      </c>
      <c r="I400" s="0" t="str">
        <f aca="false">IF(E400&lt;Model!$B$5*H400,"Expedite","Standard")</f>
        <v>Standard</v>
      </c>
      <c r="J400" s="29" t="n">
        <f aca="false">H400</f>
        <v>3812.39661492537</v>
      </c>
      <c r="K400" s="29" t="n">
        <f aca="false">E400+(1-Model!$B$5)*H400</f>
        <v>4047.53</v>
      </c>
      <c r="L400" s="29" t="n">
        <f aca="false">IF(I400="Expedite",K400,J400)</f>
        <v>3812.39661492537</v>
      </c>
      <c r="M400" s="29" t="n">
        <f aca="false">J400-L400</f>
        <v>0</v>
      </c>
      <c r="N400" s="29" t="n">
        <f aca="false">IFERROR(E400/(F400*C400*Model!$B$5),"")</f>
        <v>1360.54841460967</v>
      </c>
    </row>
    <row r="401" customFormat="false" ht="15" hidden="false" customHeight="false" outlineLevel="0" collapsed="false">
      <c r="A401" s="0" t="str">
        <f aca="false">Clean!A401</f>
        <v>SHP0400</v>
      </c>
      <c r="B401" s="0" t="str">
        <f aca="false">Clean!AA401</f>
        <v>TCI Express</v>
      </c>
      <c r="C401" s="28" t="n">
        <f aca="false">Clean!J401</f>
        <v>6.24</v>
      </c>
      <c r="D401" s="29" t="n">
        <f aca="false">Clean!AF401</f>
        <v>1437.11</v>
      </c>
      <c r="E401" s="29" t="n">
        <f aca="false">Clean!AE401</f>
        <v>3406.73</v>
      </c>
      <c r="F401" s="22" t="n">
        <f aca="false">AVERAGEIFS(Clean!$V$2:$V$1001,Clean!$AA$2:$AA$1001,B401)</f>
        <v>0.752336448598131</v>
      </c>
      <c r="G401" s="29" t="n">
        <f aca="false">F401*C401*D401</f>
        <v>6746.62705794393</v>
      </c>
      <c r="H401" s="29" t="n">
        <f aca="false">G401*Model!$B$4</f>
        <v>6746.62705794393</v>
      </c>
      <c r="I401" s="0" t="str">
        <f aca="false">IF(E401&lt;Model!$B$5*H401,"Expedite","Standard")</f>
        <v>Expedite</v>
      </c>
      <c r="J401" s="29" t="n">
        <f aca="false">H401</f>
        <v>6746.62705794393</v>
      </c>
      <c r="K401" s="29" t="n">
        <f aca="false">E401+(1-Model!$B$5)*H401</f>
        <v>3406.73</v>
      </c>
      <c r="L401" s="29" t="n">
        <f aca="false">IF(I401="Expedite",K401,J401)</f>
        <v>3406.73</v>
      </c>
      <c r="M401" s="29" t="n">
        <f aca="false">J401-L401</f>
        <v>3339.89705794393</v>
      </c>
      <c r="N401" s="29" t="n">
        <f aca="false">IFERROR(E401/(F401*C401*Model!$B$5),"")</f>
        <v>725.673096830706</v>
      </c>
    </row>
    <row r="402" customFormat="false" ht="15" hidden="false" customHeight="false" outlineLevel="0" collapsed="false">
      <c r="A402" s="0" t="str">
        <f aca="false">Clean!A402</f>
        <v>SHP0401</v>
      </c>
      <c r="B402" s="0" t="str">
        <f aca="false">Clean!AA402</f>
        <v>Delhivery</v>
      </c>
      <c r="C402" s="28" t="n">
        <f aca="false">Clean!J402</f>
        <v>6.92</v>
      </c>
      <c r="D402" s="29" t="n">
        <f aca="false">Clean!AF402</f>
        <v>1012.3</v>
      </c>
      <c r="E402" s="29" t="n">
        <f aca="false">Clean!AE402</f>
        <v>1956.57</v>
      </c>
      <c r="F402" s="22" t="n">
        <f aca="false">AVERAGEIFS(Clean!$V$2:$V$1001,Clean!$AA$2:$AA$1001,B402)</f>
        <v>0.72538860103627</v>
      </c>
      <c r="G402" s="29" t="n">
        <f aca="false">F402*C402*D402</f>
        <v>5081.43129533679</v>
      </c>
      <c r="H402" s="29" t="n">
        <f aca="false">G402*Model!$B$4</f>
        <v>5081.43129533679</v>
      </c>
      <c r="I402" s="0" t="str">
        <f aca="false">IF(E402&lt;Model!$B$5*H402,"Expedite","Standard")</f>
        <v>Expedite</v>
      </c>
      <c r="J402" s="29" t="n">
        <f aca="false">H402</f>
        <v>5081.43129533679</v>
      </c>
      <c r="K402" s="29" t="n">
        <f aca="false">E402+(1-Model!$B$5)*H402</f>
        <v>1956.57</v>
      </c>
      <c r="L402" s="29" t="n">
        <f aca="false">IF(I402="Expedite",K402,J402)</f>
        <v>1956.57</v>
      </c>
      <c r="M402" s="29" t="n">
        <f aca="false">J402-L402</f>
        <v>3124.86129533679</v>
      </c>
      <c r="N402" s="29" t="n">
        <f aca="false">IFERROR(E402/(F402*C402*Model!$B$5),"")</f>
        <v>389.77911849711</v>
      </c>
    </row>
    <row r="403" customFormat="false" ht="15" hidden="false" customHeight="false" outlineLevel="0" collapsed="false">
      <c r="A403" s="0" t="str">
        <f aca="false">Clean!A403</f>
        <v>SHP0402</v>
      </c>
      <c r="B403" s="0" t="str">
        <f aca="false">Clean!AA403</f>
        <v>BlueDart</v>
      </c>
      <c r="C403" s="28" t="n">
        <f aca="false">Clean!J403</f>
        <v>15.7</v>
      </c>
      <c r="D403" s="29" t="n">
        <f aca="false">Clean!AF403</f>
        <v>546.79</v>
      </c>
      <c r="E403" s="29" t="n">
        <f aca="false">Clean!AE403</f>
        <v>4760.73</v>
      </c>
      <c r="F403" s="22" t="n">
        <f aca="false">AVERAGEIFS(Clean!$V$2:$V$1001,Clean!$AA$2:$AA$1001,B403)</f>
        <v>0.773869346733668</v>
      </c>
      <c r="G403" s="29" t="n">
        <f aca="false">F403*C403*D403</f>
        <v>6643.36111557789</v>
      </c>
      <c r="H403" s="29" t="n">
        <f aca="false">G403*Model!$B$4</f>
        <v>6643.36111557789</v>
      </c>
      <c r="I403" s="0" t="str">
        <f aca="false">IF(E403&lt;Model!$B$5*H403,"Expedite","Standard")</f>
        <v>Expedite</v>
      </c>
      <c r="J403" s="29" t="n">
        <f aca="false">H403</f>
        <v>6643.36111557789</v>
      </c>
      <c r="K403" s="29" t="n">
        <f aca="false">E403+(1-Model!$B$5)*H403</f>
        <v>4760.73</v>
      </c>
      <c r="L403" s="29" t="n">
        <f aca="false">IF(I403="Expedite",K403,J403)</f>
        <v>4760.73</v>
      </c>
      <c r="M403" s="29" t="n">
        <f aca="false">J403-L403</f>
        <v>1882.63111557789</v>
      </c>
      <c r="N403" s="29" t="n">
        <f aca="false">IFERROR(E403/(F403*C403*Model!$B$5),"")</f>
        <v>391.837732649516</v>
      </c>
    </row>
    <row r="404" customFormat="false" ht="15" hidden="false" customHeight="false" outlineLevel="0" collapsed="false">
      <c r="A404" s="0" t="str">
        <f aca="false">Clean!A404</f>
        <v>SHP0403</v>
      </c>
      <c r="B404" s="0" t="str">
        <f aca="false">Clean!AA404</f>
        <v>GATI Logistics</v>
      </c>
      <c r="C404" s="28" t="n">
        <f aca="false">Clean!J404</f>
        <v>7.07</v>
      </c>
      <c r="D404" s="29" t="n">
        <f aca="false">Clean!AF404</f>
        <v>716.96</v>
      </c>
      <c r="E404" s="29" t="n">
        <f aca="false">Clean!AE404</f>
        <v>2112.4</v>
      </c>
      <c r="F404" s="22" t="n">
        <f aca="false">AVERAGEIFS(Clean!$V$2:$V$1001,Clean!$AA$2:$AA$1001,B404)</f>
        <v>0.751243781094527</v>
      </c>
      <c r="G404" s="29" t="n">
        <f aca="false">F404*C404*D404</f>
        <v>3807.98501094527</v>
      </c>
      <c r="H404" s="29" t="n">
        <f aca="false">G404*Model!$B$4</f>
        <v>3807.98501094527</v>
      </c>
      <c r="I404" s="0" t="str">
        <f aca="false">IF(E404&lt;Model!$B$5*H404,"Expedite","Standard")</f>
        <v>Expedite</v>
      </c>
      <c r="J404" s="29" t="n">
        <f aca="false">H404</f>
        <v>3807.98501094527</v>
      </c>
      <c r="K404" s="29" t="n">
        <f aca="false">E404+(1-Model!$B$5)*H404</f>
        <v>2112.4</v>
      </c>
      <c r="L404" s="29" t="n">
        <f aca="false">IF(I404="Expedite",K404,J404)</f>
        <v>2112.4</v>
      </c>
      <c r="M404" s="29" t="n">
        <f aca="false">J404-L404</f>
        <v>1695.58501094527</v>
      </c>
      <c r="N404" s="29" t="n">
        <f aca="false">IFERROR(E404/(F404*C404*Model!$B$5),"")</f>
        <v>397.718557096959</v>
      </c>
    </row>
    <row r="405" customFormat="false" ht="15" hidden="false" customHeight="false" outlineLevel="0" collapsed="false">
      <c r="A405" s="0" t="str">
        <f aca="false">Clean!A405</f>
        <v>SHP0404</v>
      </c>
      <c r="B405" s="0" t="str">
        <f aca="false">Clean!AA405</f>
        <v>TCI Express</v>
      </c>
      <c r="C405" s="28" t="n">
        <f aca="false">Clean!J405</f>
        <v>6.47</v>
      </c>
      <c r="D405" s="29" t="n">
        <f aca="false">Clean!AF405</f>
        <v>595.73</v>
      </c>
      <c r="E405" s="29" t="n">
        <f aca="false">Clean!AE405</f>
        <v>3840.46</v>
      </c>
      <c r="F405" s="22" t="n">
        <f aca="false">AVERAGEIFS(Clean!$V$2:$V$1001,Clean!$AA$2:$AA$1001,B405)</f>
        <v>0.752336448598131</v>
      </c>
      <c r="G405" s="29" t="n">
        <f aca="false">F405*C405*D405</f>
        <v>2899.78536962617</v>
      </c>
      <c r="H405" s="29" t="n">
        <f aca="false">G405*Model!$B$4</f>
        <v>2899.78536962617</v>
      </c>
      <c r="I405" s="0" t="str">
        <f aca="false">IF(E405&lt;Model!$B$5*H405,"Expedite","Standard")</f>
        <v>Standard</v>
      </c>
      <c r="J405" s="29" t="n">
        <f aca="false">H405</f>
        <v>2899.78536962617</v>
      </c>
      <c r="K405" s="29" t="n">
        <f aca="false">E405+(1-Model!$B$5)*H405</f>
        <v>3840.46</v>
      </c>
      <c r="L405" s="29" t="n">
        <f aca="false">IF(I405="Expedite",K405,J405)</f>
        <v>2899.78536962617</v>
      </c>
      <c r="M405" s="29" t="n">
        <f aca="false">J405-L405</f>
        <v>0</v>
      </c>
      <c r="N405" s="29" t="n">
        <f aca="false">IFERROR(E405/(F405*C405*Model!$B$5),"")</f>
        <v>788.981577658952</v>
      </c>
    </row>
    <row r="406" customFormat="false" ht="15" hidden="false" customHeight="false" outlineLevel="0" collapsed="false">
      <c r="A406" s="0" t="str">
        <f aca="false">Clean!A406</f>
        <v>SHP0405</v>
      </c>
      <c r="B406" s="0" t="str">
        <f aca="false">Clean!AA406</f>
        <v>BlueDart</v>
      </c>
      <c r="C406" s="28" t="n">
        <f aca="false">Clean!J406</f>
        <v>7.04</v>
      </c>
      <c r="D406" s="29" t="n">
        <f aca="false">Clean!AF406</f>
        <v>1031.29</v>
      </c>
      <c r="E406" s="29" t="n">
        <f aca="false">Clean!AE406</f>
        <v>4009.59</v>
      </c>
      <c r="F406" s="22" t="n">
        <f aca="false">AVERAGEIFS(Clean!$V$2:$V$1001,Clean!$AA$2:$AA$1001,B406)</f>
        <v>0.773869346733668</v>
      </c>
      <c r="G406" s="29" t="n">
        <f aca="false">F406*C406*D406</f>
        <v>5618.50937889447</v>
      </c>
      <c r="H406" s="29" t="n">
        <f aca="false">G406*Model!$B$4</f>
        <v>5618.50937889447</v>
      </c>
      <c r="I406" s="0" t="str">
        <f aca="false">IF(E406&lt;Model!$B$5*H406,"Expedite","Standard")</f>
        <v>Expedite</v>
      </c>
      <c r="J406" s="29" t="n">
        <f aca="false">H406</f>
        <v>5618.50937889447</v>
      </c>
      <c r="K406" s="29" t="n">
        <f aca="false">E406+(1-Model!$B$5)*H406</f>
        <v>4009.59</v>
      </c>
      <c r="L406" s="29" t="n">
        <f aca="false">IF(I406="Expedite",K406,J406)</f>
        <v>4009.59</v>
      </c>
      <c r="M406" s="29" t="n">
        <f aca="false">J406-L406</f>
        <v>1608.91937889447</v>
      </c>
      <c r="N406" s="29" t="n">
        <f aca="false">IFERROR(E406/(F406*C406*Model!$B$5),"")</f>
        <v>735.969238857733</v>
      </c>
    </row>
    <row r="407" customFormat="false" ht="15" hidden="false" customHeight="false" outlineLevel="0" collapsed="false">
      <c r="A407" s="0" t="str">
        <f aca="false">Clean!A407</f>
        <v>SHP0406</v>
      </c>
      <c r="B407" s="0" t="str">
        <f aca="false">Clean!AA407</f>
        <v>TCI Express</v>
      </c>
      <c r="C407" s="28" t="n">
        <f aca="false">Clean!J407</f>
        <v>13.87</v>
      </c>
      <c r="D407" s="29" t="n">
        <f aca="false">Clean!AF407</f>
        <v>1344.67</v>
      </c>
      <c r="E407" s="29" t="n">
        <f aca="false">Clean!AE407</f>
        <v>3161.19</v>
      </c>
      <c r="F407" s="22" t="n">
        <f aca="false">AVERAGEIFS(Clean!$V$2:$V$1001,Clean!$AA$2:$AA$1001,B407)</f>
        <v>0.752336448598131</v>
      </c>
      <c r="G407" s="29" t="n">
        <f aca="false">F407*C407*D407</f>
        <v>14031.5057799065</v>
      </c>
      <c r="H407" s="29" t="n">
        <f aca="false">G407*Model!$B$4</f>
        <v>14031.5057799065</v>
      </c>
      <c r="I407" s="0" t="str">
        <f aca="false">IF(E407&lt;Model!$B$5*H407,"Expedite","Standard")</f>
        <v>Expedite</v>
      </c>
      <c r="J407" s="29" t="n">
        <f aca="false">H407</f>
        <v>14031.5057799065</v>
      </c>
      <c r="K407" s="29" t="n">
        <f aca="false">E407+(1-Model!$B$5)*H407</f>
        <v>3161.19</v>
      </c>
      <c r="L407" s="29" t="n">
        <f aca="false">IF(I407="Expedite",K407,J407)</f>
        <v>3161.19</v>
      </c>
      <c r="M407" s="29" t="n">
        <f aca="false">J407-L407</f>
        <v>10870.3157799065</v>
      </c>
      <c r="N407" s="29" t="n">
        <f aca="false">IFERROR(E407/(F407*C407*Model!$B$5),"")</f>
        <v>302.943776952805</v>
      </c>
    </row>
    <row r="408" customFormat="false" ht="15" hidden="false" customHeight="false" outlineLevel="0" collapsed="false">
      <c r="A408" s="0" t="str">
        <f aca="false">Clean!A408</f>
        <v>SHP0407</v>
      </c>
      <c r="B408" s="0" t="str">
        <f aca="false">Clean!AA408</f>
        <v>TCI Express</v>
      </c>
      <c r="C408" s="28" t="n">
        <f aca="false">Clean!J408</f>
        <v>9.19</v>
      </c>
      <c r="D408" s="29" t="n">
        <f aca="false">Clean!AF408</f>
        <v>539.27</v>
      </c>
      <c r="E408" s="29" t="n">
        <f aca="false">Clean!AE408</f>
        <v>2300.84</v>
      </c>
      <c r="F408" s="22" t="n">
        <f aca="false">AVERAGEIFS(Clean!$V$2:$V$1001,Clean!$AA$2:$AA$1001,B408)</f>
        <v>0.752336448598131</v>
      </c>
      <c r="G408" s="29" t="n">
        <f aca="false">F408*C408*D408</f>
        <v>3728.49766028037</v>
      </c>
      <c r="H408" s="29" t="n">
        <f aca="false">G408*Model!$B$4</f>
        <v>3728.49766028037</v>
      </c>
      <c r="I408" s="0" t="str">
        <f aca="false">IF(E408&lt;Model!$B$5*H408,"Expedite","Standard")</f>
        <v>Expedite</v>
      </c>
      <c r="J408" s="29" t="n">
        <f aca="false">H408</f>
        <v>3728.49766028037</v>
      </c>
      <c r="K408" s="29" t="n">
        <f aca="false">E408+(1-Model!$B$5)*H408</f>
        <v>2300.84</v>
      </c>
      <c r="L408" s="29" t="n">
        <f aca="false">IF(I408="Expedite",K408,J408)</f>
        <v>2300.84</v>
      </c>
      <c r="M408" s="29" t="n">
        <f aca="false">J408-L408</f>
        <v>1427.65766028037</v>
      </c>
      <c r="N408" s="29" t="n">
        <f aca="false">IFERROR(E408/(F408*C408*Model!$B$5),"")</f>
        <v>332.781216418062</v>
      </c>
    </row>
    <row r="409" customFormat="false" ht="15" hidden="false" customHeight="false" outlineLevel="0" collapsed="false">
      <c r="A409" s="0" t="str">
        <f aca="false">Clean!A409</f>
        <v>SHP0408</v>
      </c>
      <c r="B409" s="0" t="str">
        <f aca="false">Clean!AA409</f>
        <v>VRL Cargo</v>
      </c>
      <c r="C409" s="28" t="n">
        <f aca="false">Clean!J409</f>
        <v>6.17</v>
      </c>
      <c r="D409" s="29" t="n">
        <f aca="false">Clean!AF409</f>
        <v>1171.09</v>
      </c>
      <c r="E409" s="29" t="n">
        <f aca="false">Clean!AE409</f>
        <v>2383.22</v>
      </c>
      <c r="F409" s="22" t="n">
        <f aca="false">AVERAGEIFS(Clean!$V$2:$V$1001,Clean!$AA$2:$AA$1001,B409)</f>
        <v>0.72020725388601</v>
      </c>
      <c r="G409" s="29" t="n">
        <f aca="false">F409*C409*D409</f>
        <v>5203.94775492228</v>
      </c>
      <c r="H409" s="29" t="n">
        <f aca="false">G409*Model!$B$4</f>
        <v>5203.94775492228</v>
      </c>
      <c r="I409" s="0" t="str">
        <f aca="false">IF(E409&lt;Model!$B$5*H409,"Expedite","Standard")</f>
        <v>Expedite</v>
      </c>
      <c r="J409" s="29" t="n">
        <f aca="false">H409</f>
        <v>5203.94775492228</v>
      </c>
      <c r="K409" s="29" t="n">
        <f aca="false">E409+(1-Model!$B$5)*H409</f>
        <v>2383.22</v>
      </c>
      <c r="L409" s="29" t="n">
        <f aca="false">IF(I409="Expedite",K409,J409)</f>
        <v>2383.22</v>
      </c>
      <c r="M409" s="29" t="n">
        <f aca="false">J409-L409</f>
        <v>2820.72775492228</v>
      </c>
      <c r="N409" s="29" t="n">
        <f aca="false">IFERROR(E409/(F409*C409*Model!$B$5),"")</f>
        <v>536.316896563786</v>
      </c>
    </row>
    <row r="410" customFormat="false" ht="15" hidden="false" customHeight="false" outlineLevel="0" collapsed="false">
      <c r="A410" s="0" t="str">
        <f aca="false">Clean!A410</f>
        <v>SHP0409</v>
      </c>
      <c r="B410" s="0" t="str">
        <f aca="false">Clean!AA410</f>
        <v>GATI Logistics</v>
      </c>
      <c r="C410" s="28" t="n">
        <f aca="false">Clean!J410</f>
        <v>16.3</v>
      </c>
      <c r="D410" s="29" t="n">
        <f aca="false">Clean!AF410</f>
        <v>620.39</v>
      </c>
      <c r="E410" s="29" t="n">
        <f aca="false">Clean!AE410</f>
        <v>3752.18</v>
      </c>
      <c r="F410" s="22" t="n">
        <f aca="false">AVERAGEIFS(Clean!$V$2:$V$1001,Clean!$AA$2:$AA$1001,B410)</f>
        <v>0.751243781094527</v>
      </c>
      <c r="G410" s="29" t="n">
        <f aca="false">F410*C410*D410</f>
        <v>7596.84530845771</v>
      </c>
      <c r="H410" s="29" t="n">
        <f aca="false">G410*Model!$B$4</f>
        <v>7596.84530845771</v>
      </c>
      <c r="I410" s="0" t="str">
        <f aca="false">IF(E410&lt;Model!$B$5*H410,"Expedite","Standard")</f>
        <v>Expedite</v>
      </c>
      <c r="J410" s="29" t="n">
        <f aca="false">H410</f>
        <v>7596.84530845771</v>
      </c>
      <c r="K410" s="29" t="n">
        <f aca="false">E410+(1-Model!$B$5)*H410</f>
        <v>3752.18</v>
      </c>
      <c r="L410" s="29" t="n">
        <f aca="false">IF(I410="Expedite",K410,J410)</f>
        <v>3752.18</v>
      </c>
      <c r="M410" s="29" t="n">
        <f aca="false">J410-L410</f>
        <v>3844.66530845771</v>
      </c>
      <c r="N410" s="29" t="n">
        <f aca="false">IFERROR(E410/(F410*C410*Model!$B$5),"")</f>
        <v>306.418632430017</v>
      </c>
    </row>
    <row r="411" customFormat="false" ht="15" hidden="false" customHeight="false" outlineLevel="0" collapsed="false">
      <c r="A411" s="0" t="str">
        <f aca="false">Clean!A411</f>
        <v>SHP0410</v>
      </c>
      <c r="B411" s="0" t="str">
        <f aca="false">Clean!AA411</f>
        <v>TCI Express</v>
      </c>
      <c r="C411" s="28" t="n">
        <f aca="false">Clean!J411</f>
        <v>18.83</v>
      </c>
      <c r="D411" s="29" t="n">
        <f aca="false">Clean!AF411</f>
        <v>630.5</v>
      </c>
      <c r="E411" s="29" t="n">
        <f aca="false">Clean!AE411</f>
        <v>4105.16</v>
      </c>
      <c r="F411" s="22" t="n">
        <f aca="false">AVERAGEIFS(Clean!$V$2:$V$1001,Clean!$AA$2:$AA$1001,B411)</f>
        <v>0.752336448598131</v>
      </c>
      <c r="G411" s="29" t="n">
        <f aca="false">F411*C411*D411</f>
        <v>8931.97530373832</v>
      </c>
      <c r="H411" s="29" t="n">
        <f aca="false">G411*Model!$B$4</f>
        <v>8931.97530373832</v>
      </c>
      <c r="I411" s="0" t="str">
        <f aca="false">IF(E411&lt;Model!$B$5*H411,"Expedite","Standard")</f>
        <v>Expedite</v>
      </c>
      <c r="J411" s="29" t="n">
        <f aca="false">H411</f>
        <v>8931.97530373832</v>
      </c>
      <c r="K411" s="29" t="n">
        <f aca="false">E411+(1-Model!$B$5)*H411</f>
        <v>4105.16</v>
      </c>
      <c r="L411" s="29" t="n">
        <f aca="false">IF(I411="Expedite",K411,J411)</f>
        <v>4105.16</v>
      </c>
      <c r="M411" s="29" t="n">
        <f aca="false">J411-L411</f>
        <v>4826.81530373832</v>
      </c>
      <c r="N411" s="29" t="n">
        <f aca="false">IFERROR(E411/(F411*C411*Model!$B$5),"")</f>
        <v>289.779504754868</v>
      </c>
    </row>
    <row r="412" customFormat="false" ht="15" hidden="false" customHeight="false" outlineLevel="0" collapsed="false">
      <c r="A412" s="0" t="str">
        <f aca="false">Clean!A412</f>
        <v>SHP0411</v>
      </c>
      <c r="B412" s="0" t="str">
        <f aca="false">Clean!AA412</f>
        <v>VRL Cargo</v>
      </c>
      <c r="C412" s="28" t="n">
        <f aca="false">Clean!J412</f>
        <v>11.74</v>
      </c>
      <c r="D412" s="29" t="n">
        <f aca="false">Clean!AF412</f>
        <v>835.62</v>
      </c>
      <c r="E412" s="29" t="n">
        <f aca="false">Clean!AE412</f>
        <v>1638.5</v>
      </c>
      <c r="F412" s="22" t="n">
        <f aca="false">AVERAGEIFS(Clean!$V$2:$V$1001,Clean!$AA$2:$AA$1001,B412)</f>
        <v>0.72020725388601</v>
      </c>
      <c r="G412" s="29" t="n">
        <f aca="false">F412*C412*D412</f>
        <v>7065.36193367876</v>
      </c>
      <c r="H412" s="29" t="n">
        <f aca="false">G412*Model!$B$4</f>
        <v>7065.36193367876</v>
      </c>
      <c r="I412" s="0" t="str">
        <f aca="false">IF(E412&lt;Model!$B$5*H412,"Expedite","Standard")</f>
        <v>Expedite</v>
      </c>
      <c r="J412" s="29" t="n">
        <f aca="false">H412</f>
        <v>7065.36193367876</v>
      </c>
      <c r="K412" s="29" t="n">
        <f aca="false">E412+(1-Model!$B$5)*H412</f>
        <v>1638.5</v>
      </c>
      <c r="L412" s="29" t="n">
        <f aca="false">IF(I412="Expedite",K412,J412)</f>
        <v>1638.5</v>
      </c>
      <c r="M412" s="29" t="n">
        <f aca="false">J412-L412</f>
        <v>5426.86193367876</v>
      </c>
      <c r="N412" s="29" t="n">
        <f aca="false">IFERROR(E412/(F412*C412*Model!$B$5),"")</f>
        <v>193.78531246553</v>
      </c>
    </row>
    <row r="413" customFormat="false" ht="15" hidden="false" customHeight="false" outlineLevel="0" collapsed="false">
      <c r="A413" s="0" t="str">
        <f aca="false">Clean!A413</f>
        <v>SHP0412</v>
      </c>
      <c r="B413" s="0" t="str">
        <f aca="false">Clean!AA413</f>
        <v>TCI Express</v>
      </c>
      <c r="C413" s="28" t="n">
        <f aca="false">Clean!J413</f>
        <v>2.46</v>
      </c>
      <c r="D413" s="29" t="n">
        <f aca="false">Clean!AF413</f>
        <v>1426.46</v>
      </c>
      <c r="E413" s="29" t="n">
        <f aca="false">Clean!AE413</f>
        <v>4473.64</v>
      </c>
      <c r="F413" s="22" t="n">
        <f aca="false">AVERAGEIFS(Clean!$V$2:$V$1001,Clean!$AA$2:$AA$1001,B413)</f>
        <v>0.752336448598131</v>
      </c>
      <c r="G413" s="29" t="n">
        <f aca="false">F413*C413*D413</f>
        <v>2640.01751214953</v>
      </c>
      <c r="H413" s="29" t="n">
        <f aca="false">G413*Model!$B$4</f>
        <v>2640.01751214953</v>
      </c>
      <c r="I413" s="0" t="str">
        <f aca="false">IF(E413&lt;Model!$B$5*H413,"Expedite","Standard")</f>
        <v>Standard</v>
      </c>
      <c r="J413" s="29" t="n">
        <f aca="false">H413</f>
        <v>2640.01751214953</v>
      </c>
      <c r="K413" s="29" t="n">
        <f aca="false">E413+(1-Model!$B$5)*H413</f>
        <v>4473.64</v>
      </c>
      <c r="L413" s="29" t="n">
        <f aca="false">IF(I413="Expedite",K413,J413)</f>
        <v>2640.01751214953</v>
      </c>
      <c r="M413" s="29" t="n">
        <f aca="false">J413-L413</f>
        <v>0</v>
      </c>
      <c r="N413" s="29" t="n">
        <f aca="false">IFERROR(E413/(F413*C413*Model!$B$5),"")</f>
        <v>2417.20688784528</v>
      </c>
    </row>
    <row r="414" customFormat="false" ht="15" hidden="false" customHeight="false" outlineLevel="0" collapsed="false">
      <c r="A414" s="0" t="str">
        <f aca="false">Clean!A414</f>
        <v>SHP0413</v>
      </c>
      <c r="B414" s="0" t="str">
        <f aca="false">Clean!AA414</f>
        <v>GATI Logistics</v>
      </c>
      <c r="C414" s="28" t="n">
        <f aca="false">Clean!J414</f>
        <v>8.97</v>
      </c>
      <c r="D414" s="29" t="n">
        <f aca="false">Clean!AF414</f>
        <v>1473.8</v>
      </c>
      <c r="E414" s="29" t="n">
        <f aca="false">Clean!AE414</f>
        <v>2590.74</v>
      </c>
      <c r="F414" s="22" t="n">
        <f aca="false">AVERAGEIFS(Clean!$V$2:$V$1001,Clean!$AA$2:$AA$1001,B414)</f>
        <v>0.751243781094527</v>
      </c>
      <c r="G414" s="29" t="n">
        <f aca="false">F414*C414*D414</f>
        <v>9931.43226865672</v>
      </c>
      <c r="H414" s="29" t="n">
        <f aca="false">G414*Model!$B$4</f>
        <v>9931.43226865672</v>
      </c>
      <c r="I414" s="0" t="str">
        <f aca="false">IF(E414&lt;Model!$B$5*H414,"Expedite","Standard")</f>
        <v>Expedite</v>
      </c>
      <c r="J414" s="29" t="n">
        <f aca="false">H414</f>
        <v>9931.43226865672</v>
      </c>
      <c r="K414" s="29" t="n">
        <f aca="false">E414+(1-Model!$B$5)*H414</f>
        <v>2590.74</v>
      </c>
      <c r="L414" s="29" t="n">
        <f aca="false">IF(I414="Expedite",K414,J414)</f>
        <v>2590.74</v>
      </c>
      <c r="M414" s="29" t="n">
        <f aca="false">J414-L414</f>
        <v>7340.69226865672</v>
      </c>
      <c r="N414" s="29" t="n">
        <f aca="false">IFERROR(E414/(F414*C414*Model!$B$5),"")</f>
        <v>384.459412168597</v>
      </c>
    </row>
    <row r="415" customFormat="false" ht="15" hidden="false" customHeight="false" outlineLevel="0" collapsed="false">
      <c r="A415" s="0" t="str">
        <f aca="false">Clean!A415</f>
        <v>SHP0414</v>
      </c>
      <c r="B415" s="0" t="str">
        <f aca="false">Clean!AA415</f>
        <v>TCI Express</v>
      </c>
      <c r="C415" s="28" t="n">
        <f aca="false">Clean!J415</f>
        <v>11.34</v>
      </c>
      <c r="D415" s="29" t="n">
        <f aca="false">Clean!AF415</f>
        <v>817.55</v>
      </c>
      <c r="E415" s="29" t="n">
        <f aca="false">Clean!AE415</f>
        <v>1887.13</v>
      </c>
      <c r="F415" s="22" t="n">
        <f aca="false">AVERAGEIFS(Clean!$V$2:$V$1001,Clean!$AA$2:$AA$1001,B415)</f>
        <v>0.752336448598131</v>
      </c>
      <c r="G415" s="29" t="n">
        <f aca="false">F415*C415*D415</f>
        <v>6974.9240046729</v>
      </c>
      <c r="H415" s="29" t="n">
        <f aca="false">G415*Model!$B$4</f>
        <v>6974.9240046729</v>
      </c>
      <c r="I415" s="0" t="str">
        <f aca="false">IF(E415&lt;Model!$B$5*H415,"Expedite","Standard")</f>
        <v>Expedite</v>
      </c>
      <c r="J415" s="29" t="n">
        <f aca="false">H415</f>
        <v>6974.9240046729</v>
      </c>
      <c r="K415" s="29" t="n">
        <f aca="false">E415+(1-Model!$B$5)*H415</f>
        <v>1887.13</v>
      </c>
      <c r="L415" s="29" t="n">
        <f aca="false">IF(I415="Expedite",K415,J415)</f>
        <v>1887.13</v>
      </c>
      <c r="M415" s="29" t="n">
        <f aca="false">J415-L415</f>
        <v>5087.7940046729</v>
      </c>
      <c r="N415" s="29" t="n">
        <f aca="false">IFERROR(E415/(F415*C415*Model!$B$5),"")</f>
        <v>221.195690514531</v>
      </c>
    </row>
    <row r="416" customFormat="false" ht="15" hidden="false" customHeight="false" outlineLevel="0" collapsed="false">
      <c r="A416" s="0" t="str">
        <f aca="false">Clean!A416</f>
        <v>SHP0415</v>
      </c>
      <c r="B416" s="0" t="str">
        <f aca="false">Clean!AA416</f>
        <v>VRL Cargo</v>
      </c>
      <c r="C416" s="28" t="n">
        <f aca="false">Clean!J416</f>
        <v>5.93</v>
      </c>
      <c r="D416" s="29" t="n">
        <f aca="false">Clean!AF416</f>
        <v>1162.8</v>
      </c>
      <c r="E416" s="29" t="n">
        <f aca="false">Clean!AE416</f>
        <v>2327.99</v>
      </c>
      <c r="F416" s="22" t="n">
        <f aca="false">AVERAGEIFS(Clean!$V$2:$V$1001,Clean!$AA$2:$AA$1001,B416)</f>
        <v>0.72020725388601</v>
      </c>
      <c r="G416" s="29" t="n">
        <f aca="false">F416*C416*D416</f>
        <v>4966.11997927461</v>
      </c>
      <c r="H416" s="29" t="n">
        <f aca="false">G416*Model!$B$4</f>
        <v>4966.11997927461</v>
      </c>
      <c r="I416" s="0" t="str">
        <f aca="false">IF(E416&lt;Model!$B$5*H416,"Expedite","Standard")</f>
        <v>Expedite</v>
      </c>
      <c r="J416" s="29" t="n">
        <f aca="false">H416</f>
        <v>4966.11997927461</v>
      </c>
      <c r="K416" s="29" t="n">
        <f aca="false">E416+(1-Model!$B$5)*H416</f>
        <v>2327.99</v>
      </c>
      <c r="L416" s="29" t="n">
        <f aca="false">IF(I416="Expedite",K416,J416)</f>
        <v>2327.99</v>
      </c>
      <c r="M416" s="29" t="n">
        <f aca="false">J416-L416</f>
        <v>2638.12997927461</v>
      </c>
      <c r="N416" s="29" t="n">
        <f aca="false">IFERROR(E416/(F416*C416*Model!$B$5),"")</f>
        <v>545.090892547345</v>
      </c>
    </row>
    <row r="417" customFormat="false" ht="15" hidden="false" customHeight="false" outlineLevel="0" collapsed="false">
      <c r="A417" s="0" t="str">
        <f aca="false">Clean!A417</f>
        <v>SHP0416</v>
      </c>
      <c r="B417" s="0" t="str">
        <f aca="false">Clean!AA417</f>
        <v>TCI Express</v>
      </c>
      <c r="C417" s="28" t="n">
        <f aca="false">Clean!J417</f>
        <v>17.54</v>
      </c>
      <c r="D417" s="29" t="n">
        <f aca="false">Clean!AF417</f>
        <v>1305.43</v>
      </c>
      <c r="E417" s="29" t="n">
        <f aca="false">Clean!AE417</f>
        <v>3287.98</v>
      </c>
      <c r="F417" s="22" t="n">
        <f aca="false">AVERAGEIFS(Clean!$V$2:$V$1001,Clean!$AA$2:$AA$1001,B417)</f>
        <v>0.752336448598131</v>
      </c>
      <c r="G417" s="29" t="n">
        <f aca="false">F417*C417*D417</f>
        <v>17226.4298794393</v>
      </c>
      <c r="H417" s="29" t="n">
        <f aca="false">G417*Model!$B$4</f>
        <v>17226.4298794393</v>
      </c>
      <c r="I417" s="0" t="str">
        <f aca="false">IF(E417&lt;Model!$B$5*H417,"Expedite","Standard")</f>
        <v>Expedite</v>
      </c>
      <c r="J417" s="29" t="n">
        <f aca="false">H417</f>
        <v>17226.4298794393</v>
      </c>
      <c r="K417" s="29" t="n">
        <f aca="false">E417+(1-Model!$B$5)*H417</f>
        <v>3287.98</v>
      </c>
      <c r="L417" s="29" t="n">
        <f aca="false">IF(I417="Expedite",K417,J417)</f>
        <v>3287.98</v>
      </c>
      <c r="M417" s="29" t="n">
        <f aca="false">J417-L417</f>
        <v>13938.4498794393</v>
      </c>
      <c r="N417" s="29" t="n">
        <f aca="false">IFERROR(E417/(F417*C417*Model!$B$5),"")</f>
        <v>249.165251386361</v>
      </c>
    </row>
    <row r="418" customFormat="false" ht="15" hidden="false" customHeight="false" outlineLevel="0" collapsed="false">
      <c r="A418" s="0" t="str">
        <f aca="false">Clean!A418</f>
        <v>SHP0417</v>
      </c>
      <c r="B418" s="0" t="str">
        <f aca="false">Clean!AA418</f>
        <v>VRL Cargo</v>
      </c>
      <c r="C418" s="28" t="n">
        <f aca="false">Clean!J418</f>
        <v>15.44</v>
      </c>
      <c r="D418" s="29" t="n">
        <f aca="false">Clean!AF418</f>
        <v>1197.16</v>
      </c>
      <c r="E418" s="29" t="n">
        <f aca="false">Clean!AE418</f>
        <v>2567.64</v>
      </c>
      <c r="F418" s="22" t="n">
        <f aca="false">AVERAGEIFS(Clean!$V$2:$V$1001,Clean!$AA$2:$AA$1001,B418)</f>
        <v>0.72020725388601</v>
      </c>
      <c r="G418" s="29" t="n">
        <f aca="false">F418*C418*D418</f>
        <v>13312.4192</v>
      </c>
      <c r="H418" s="29" t="n">
        <f aca="false">G418*Model!$B$4</f>
        <v>13312.4192</v>
      </c>
      <c r="I418" s="0" t="str">
        <f aca="false">IF(E418&lt;Model!$B$5*H418,"Expedite","Standard")</f>
        <v>Expedite</v>
      </c>
      <c r="J418" s="29" t="n">
        <f aca="false">H418</f>
        <v>13312.4192</v>
      </c>
      <c r="K418" s="29" t="n">
        <f aca="false">E418+(1-Model!$B$5)*H418</f>
        <v>2567.64</v>
      </c>
      <c r="L418" s="29" t="n">
        <f aca="false">IF(I418="Expedite",K418,J418)</f>
        <v>2567.64</v>
      </c>
      <c r="M418" s="29" t="n">
        <f aca="false">J418-L418</f>
        <v>10744.7792</v>
      </c>
      <c r="N418" s="29" t="n">
        <f aca="false">IFERROR(E418/(F418*C418*Model!$B$5),"")</f>
        <v>230.902877697842</v>
      </c>
    </row>
    <row r="419" customFormat="false" ht="15" hidden="false" customHeight="false" outlineLevel="0" collapsed="false">
      <c r="A419" s="0" t="str">
        <f aca="false">Clean!A419</f>
        <v>SHP0418</v>
      </c>
      <c r="B419" s="0" t="str">
        <f aca="false">Clean!AA419</f>
        <v>GATI Logistics</v>
      </c>
      <c r="C419" s="28" t="n">
        <f aca="false">Clean!J419</f>
        <v>4.68</v>
      </c>
      <c r="D419" s="29" t="n">
        <f aca="false">Clean!AF419</f>
        <v>1148.11</v>
      </c>
      <c r="E419" s="29" t="n">
        <f aca="false">Clean!AE419</f>
        <v>1444.55</v>
      </c>
      <c r="F419" s="22" t="n">
        <f aca="false">AVERAGEIFS(Clean!$V$2:$V$1001,Clean!$AA$2:$AA$1001,B419)</f>
        <v>0.751243781094527</v>
      </c>
      <c r="G419" s="29" t="n">
        <f aca="false">F419*C419*D419</f>
        <v>4036.54912835821</v>
      </c>
      <c r="H419" s="29" t="n">
        <f aca="false">G419*Model!$B$4</f>
        <v>4036.54912835821</v>
      </c>
      <c r="I419" s="0" t="str">
        <f aca="false">IF(E419&lt;Model!$B$5*H419,"Expedite","Standard")</f>
        <v>Expedite</v>
      </c>
      <c r="J419" s="29" t="n">
        <f aca="false">H419</f>
        <v>4036.54912835821</v>
      </c>
      <c r="K419" s="29" t="n">
        <f aca="false">E419+(1-Model!$B$5)*H419</f>
        <v>1444.55</v>
      </c>
      <c r="L419" s="29" t="n">
        <f aca="false">IF(I419="Expedite",K419,J419)</f>
        <v>1444.55</v>
      </c>
      <c r="M419" s="29" t="n">
        <f aca="false">J419-L419</f>
        <v>2591.99912835821</v>
      </c>
      <c r="N419" s="29" t="n">
        <f aca="false">IFERROR(E419/(F419*C419*Model!$B$5),"")</f>
        <v>410.871327899474</v>
      </c>
    </row>
    <row r="420" customFormat="false" ht="15" hidden="false" customHeight="false" outlineLevel="0" collapsed="false">
      <c r="A420" s="0" t="str">
        <f aca="false">Clean!A420</f>
        <v>SHP0419</v>
      </c>
      <c r="B420" s="0" t="str">
        <f aca="false">Clean!AA420</f>
        <v>GATI Logistics</v>
      </c>
      <c r="C420" s="28" t="n">
        <f aca="false">Clean!J420</f>
        <v>17.63</v>
      </c>
      <c r="D420" s="29" t="n">
        <f aca="false">Clean!AF420</f>
        <v>1492.58</v>
      </c>
      <c r="E420" s="29" t="n">
        <f aca="false">Clean!AE420</f>
        <v>1324.92</v>
      </c>
      <c r="F420" s="22" t="n">
        <f aca="false">AVERAGEIFS(Clean!$V$2:$V$1001,Clean!$AA$2:$AA$1001,B420)</f>
        <v>0.751243781094527</v>
      </c>
      <c r="G420" s="29" t="n">
        <f aca="false">F420*C420*D420</f>
        <v>19768.3681363184</v>
      </c>
      <c r="H420" s="29" t="n">
        <f aca="false">G420*Model!$B$4</f>
        <v>19768.3681363184</v>
      </c>
      <c r="I420" s="0" t="str">
        <f aca="false">IF(E420&lt;Model!$B$5*H420,"Expedite","Standard")</f>
        <v>Expedite</v>
      </c>
      <c r="J420" s="29" t="n">
        <f aca="false">H420</f>
        <v>19768.3681363184</v>
      </c>
      <c r="K420" s="29" t="n">
        <f aca="false">E420+(1-Model!$B$5)*H420</f>
        <v>1324.92</v>
      </c>
      <c r="L420" s="29" t="n">
        <f aca="false">IF(I420="Expedite",K420,J420)</f>
        <v>1324.92</v>
      </c>
      <c r="M420" s="29" t="n">
        <f aca="false">J420-L420</f>
        <v>18443.4481363184</v>
      </c>
      <c r="N420" s="29" t="n">
        <f aca="false">IFERROR(E420/(F420*C420*Model!$B$5),"")</f>
        <v>100.036031298246</v>
      </c>
    </row>
    <row r="421" customFormat="false" ht="15" hidden="false" customHeight="false" outlineLevel="0" collapsed="false">
      <c r="A421" s="0" t="str">
        <f aca="false">Clean!A421</f>
        <v>SHP0420</v>
      </c>
      <c r="B421" s="0" t="str">
        <f aca="false">Clean!AA421</f>
        <v>BlueDart</v>
      </c>
      <c r="C421" s="28" t="n">
        <f aca="false">Clean!J421</f>
        <v>3.97</v>
      </c>
      <c r="D421" s="29" t="n">
        <f aca="false">Clean!AF421</f>
        <v>1268.01</v>
      </c>
      <c r="E421" s="29" t="n">
        <f aca="false">Clean!AE421</f>
        <v>4940.7</v>
      </c>
      <c r="F421" s="22" t="n">
        <f aca="false">AVERAGEIFS(Clean!$V$2:$V$1001,Clean!$AA$2:$AA$1001,B421)</f>
        <v>0.773869346733668</v>
      </c>
      <c r="G421" s="29" t="n">
        <f aca="false">F421*C421*D421</f>
        <v>3895.65805929648</v>
      </c>
      <c r="H421" s="29" t="n">
        <f aca="false">G421*Model!$B$4</f>
        <v>3895.65805929648</v>
      </c>
      <c r="I421" s="0" t="str">
        <f aca="false">IF(E421&lt;Model!$B$5*H421,"Expedite","Standard")</f>
        <v>Standard</v>
      </c>
      <c r="J421" s="29" t="n">
        <f aca="false">H421</f>
        <v>3895.65805929648</v>
      </c>
      <c r="K421" s="29" t="n">
        <f aca="false">E421+(1-Model!$B$5)*H421</f>
        <v>4940.7</v>
      </c>
      <c r="L421" s="29" t="n">
        <f aca="false">IF(I421="Expedite",K421,J421)</f>
        <v>3895.65805929648</v>
      </c>
      <c r="M421" s="29" t="n">
        <f aca="false">J421-L421</f>
        <v>0</v>
      </c>
      <c r="N421" s="29" t="n">
        <f aca="false">IFERROR(E421/(F421*C421*Model!$B$5),"")</f>
        <v>1608.16398966273</v>
      </c>
    </row>
    <row r="422" customFormat="false" ht="15" hidden="false" customHeight="false" outlineLevel="0" collapsed="false">
      <c r="A422" s="0" t="str">
        <f aca="false">Clean!A422</f>
        <v>SHP0421</v>
      </c>
      <c r="B422" s="0" t="str">
        <f aca="false">Clean!AA422</f>
        <v>Delhivery</v>
      </c>
      <c r="C422" s="28" t="n">
        <f aca="false">Clean!J422</f>
        <v>9.25</v>
      </c>
      <c r="D422" s="29" t="n">
        <f aca="false">Clean!AF422</f>
        <v>1056.19</v>
      </c>
      <c r="E422" s="29" t="n">
        <f aca="false">Clean!AE422</f>
        <v>4293.09</v>
      </c>
      <c r="F422" s="22" t="n">
        <f aca="false">AVERAGEIFS(Clean!$V$2:$V$1001,Clean!$AA$2:$AA$1001,B422)</f>
        <v>0.72538860103627</v>
      </c>
      <c r="G422" s="29" t="n">
        <f aca="false">F422*C422*D422</f>
        <v>7086.8707253886</v>
      </c>
      <c r="H422" s="29" t="n">
        <f aca="false">G422*Model!$B$4</f>
        <v>7086.8707253886</v>
      </c>
      <c r="I422" s="0" t="str">
        <f aca="false">IF(E422&lt;Model!$B$5*H422,"Expedite","Standard")</f>
        <v>Expedite</v>
      </c>
      <c r="J422" s="29" t="n">
        <f aca="false">H422</f>
        <v>7086.8707253886</v>
      </c>
      <c r="K422" s="29" t="n">
        <f aca="false">E422+(1-Model!$B$5)*H422</f>
        <v>4293.09</v>
      </c>
      <c r="L422" s="29" t="n">
        <f aca="false">IF(I422="Expedite",K422,J422)</f>
        <v>4293.09</v>
      </c>
      <c r="M422" s="29" t="n">
        <f aca="false">J422-L422</f>
        <v>2793.7807253886</v>
      </c>
      <c r="N422" s="29" t="n">
        <f aca="false">IFERROR(E422/(F422*C422*Model!$B$5),"")</f>
        <v>639.819590733591</v>
      </c>
    </row>
    <row r="423" customFormat="false" ht="15" hidden="false" customHeight="false" outlineLevel="0" collapsed="false">
      <c r="A423" s="0" t="str">
        <f aca="false">Clean!A423</f>
        <v>SHP0422</v>
      </c>
      <c r="B423" s="0" t="str">
        <f aca="false">Clean!AA423</f>
        <v>BlueDart</v>
      </c>
      <c r="C423" s="28" t="n">
        <f aca="false">Clean!J423</f>
        <v>15.81</v>
      </c>
      <c r="D423" s="29" t="n">
        <f aca="false">Clean!AF423</f>
        <v>1280.92</v>
      </c>
      <c r="E423" s="29" t="n">
        <f aca="false">Clean!AE423</f>
        <v>3608.37</v>
      </c>
      <c r="F423" s="22" t="n">
        <f aca="false">AVERAGEIFS(Clean!$V$2:$V$1001,Clean!$AA$2:$AA$1001,B423)</f>
        <v>0.773869346733668</v>
      </c>
      <c r="G423" s="29" t="n">
        <f aca="false">F423*C423*D423</f>
        <v>15671.895280402</v>
      </c>
      <c r="H423" s="29" t="n">
        <f aca="false">G423*Model!$B$4</f>
        <v>15671.895280402</v>
      </c>
      <c r="I423" s="0" t="str">
        <f aca="false">IF(E423&lt;Model!$B$5*H423,"Expedite","Standard")</f>
        <v>Expedite</v>
      </c>
      <c r="J423" s="29" t="n">
        <f aca="false">H423</f>
        <v>15671.895280402</v>
      </c>
      <c r="K423" s="29" t="n">
        <f aca="false">E423+(1-Model!$B$5)*H423</f>
        <v>3608.37</v>
      </c>
      <c r="L423" s="29" t="n">
        <f aca="false">IF(I423="Expedite",K423,J423)</f>
        <v>3608.37</v>
      </c>
      <c r="M423" s="29" t="n">
        <f aca="false">J423-L423</f>
        <v>12063.525280402</v>
      </c>
      <c r="N423" s="29" t="n">
        <f aca="false">IFERROR(E423/(F423*C423*Model!$B$5),"")</f>
        <v>294.924973508465</v>
      </c>
    </row>
    <row r="424" customFormat="false" ht="15" hidden="false" customHeight="false" outlineLevel="0" collapsed="false">
      <c r="A424" s="0" t="str">
        <f aca="false">Clean!A424</f>
        <v>SHP0423</v>
      </c>
      <c r="B424" s="0" t="str">
        <f aca="false">Clean!AA424</f>
        <v>VRL Cargo</v>
      </c>
      <c r="C424" s="28" t="n">
        <f aca="false">Clean!J424</f>
        <v>16.04</v>
      </c>
      <c r="D424" s="29" t="n">
        <f aca="false">Clean!AF424</f>
        <v>1265.83</v>
      </c>
      <c r="E424" s="29" t="n">
        <f aca="false">Clean!AE424</f>
        <v>4775.71</v>
      </c>
      <c r="F424" s="22" t="n">
        <f aca="false">AVERAGEIFS(Clean!$V$2:$V$1001,Clean!$AA$2:$AA$1001,B424)</f>
        <v>0.72020725388601</v>
      </c>
      <c r="G424" s="29" t="n">
        <f aca="false">F424*C424*D424</f>
        <v>14623.0255689119</v>
      </c>
      <c r="H424" s="29" t="n">
        <f aca="false">G424*Model!$B$4</f>
        <v>14623.0255689119</v>
      </c>
      <c r="I424" s="0" t="str">
        <f aca="false">IF(E424&lt;Model!$B$5*H424,"Expedite","Standard")</f>
        <v>Expedite</v>
      </c>
      <c r="J424" s="29" t="n">
        <f aca="false">H424</f>
        <v>14623.0255689119</v>
      </c>
      <c r="K424" s="29" t="n">
        <f aca="false">E424+(1-Model!$B$5)*H424</f>
        <v>4775.71</v>
      </c>
      <c r="L424" s="29" t="n">
        <f aca="false">IF(I424="Expedite",K424,J424)</f>
        <v>4775.71</v>
      </c>
      <c r="M424" s="29" t="n">
        <f aca="false">J424-L424</f>
        <v>9847.31556891192</v>
      </c>
      <c r="N424" s="29" t="n">
        <f aca="false">IFERROR(E424/(F424*C424*Model!$B$5),"")</f>
        <v>413.405349037478</v>
      </c>
    </row>
    <row r="425" customFormat="false" ht="15" hidden="false" customHeight="false" outlineLevel="0" collapsed="false">
      <c r="A425" s="0" t="str">
        <f aca="false">Clean!A425</f>
        <v>SHP0424</v>
      </c>
      <c r="B425" s="0" t="str">
        <f aca="false">Clean!AA425</f>
        <v>Delhivery</v>
      </c>
      <c r="C425" s="28" t="n">
        <f aca="false">Clean!J425</f>
        <v>1.1</v>
      </c>
      <c r="D425" s="29" t="n">
        <f aca="false">Clean!AF425</f>
        <v>823.82</v>
      </c>
      <c r="E425" s="29" t="n">
        <f aca="false">Clean!AE425</f>
        <v>4772.25</v>
      </c>
      <c r="F425" s="22" t="n">
        <f aca="false">AVERAGEIFS(Clean!$V$2:$V$1001,Clean!$AA$2:$AA$1001,B425)</f>
        <v>0.72538860103627</v>
      </c>
      <c r="G425" s="29" t="n">
        <f aca="false">F425*C425*D425</f>
        <v>657.34860103627</v>
      </c>
      <c r="H425" s="29" t="n">
        <f aca="false">G425*Model!$B$4</f>
        <v>657.34860103627</v>
      </c>
      <c r="I425" s="0" t="str">
        <f aca="false">IF(E425&lt;Model!$B$5*H425,"Expedite","Standard")</f>
        <v>Standard</v>
      </c>
      <c r="J425" s="29" t="n">
        <f aca="false">H425</f>
        <v>657.34860103627</v>
      </c>
      <c r="K425" s="29" t="n">
        <f aca="false">E425+(1-Model!$B$5)*H425</f>
        <v>4772.25</v>
      </c>
      <c r="L425" s="29" t="n">
        <f aca="false">IF(I425="Expedite",K425,J425)</f>
        <v>657.34860103627</v>
      </c>
      <c r="M425" s="29" t="n">
        <f aca="false">J425-L425</f>
        <v>0</v>
      </c>
      <c r="N425" s="29" t="n">
        <f aca="false">IFERROR(E425/(F425*C425*Model!$B$5),"")</f>
        <v>5980.80681818182</v>
      </c>
    </row>
    <row r="426" customFormat="false" ht="15" hidden="false" customHeight="false" outlineLevel="0" collapsed="false">
      <c r="A426" s="0" t="str">
        <f aca="false">Clean!A426</f>
        <v>SHP0425</v>
      </c>
      <c r="B426" s="0" t="str">
        <f aca="false">Clean!AA426</f>
        <v>Delhivery</v>
      </c>
      <c r="C426" s="28" t="n">
        <f aca="false">Clean!J426</f>
        <v>13.56</v>
      </c>
      <c r="D426" s="29" t="n">
        <f aca="false">Clean!AF426</f>
        <v>1094.14</v>
      </c>
      <c r="E426" s="29" t="n">
        <f aca="false">Clean!AE426</f>
        <v>1733.81</v>
      </c>
      <c r="F426" s="22" t="n">
        <f aca="false">AVERAGEIFS(Clean!$V$2:$V$1001,Clean!$AA$2:$AA$1001,B426)</f>
        <v>0.72538860103627</v>
      </c>
      <c r="G426" s="29" t="n">
        <f aca="false">F426*C426*D426</f>
        <v>10762.2558341969</v>
      </c>
      <c r="H426" s="29" t="n">
        <f aca="false">G426*Model!$B$4</f>
        <v>10762.2558341969</v>
      </c>
      <c r="I426" s="0" t="str">
        <f aca="false">IF(E426&lt;Model!$B$5*H426,"Expedite","Standard")</f>
        <v>Expedite</v>
      </c>
      <c r="J426" s="29" t="n">
        <f aca="false">H426</f>
        <v>10762.2558341969</v>
      </c>
      <c r="K426" s="29" t="n">
        <f aca="false">E426+(1-Model!$B$5)*H426</f>
        <v>1733.81</v>
      </c>
      <c r="L426" s="29" t="n">
        <f aca="false">IF(I426="Expedite",K426,J426)</f>
        <v>1733.81</v>
      </c>
      <c r="M426" s="29" t="n">
        <f aca="false">J426-L426</f>
        <v>9028.44583419689</v>
      </c>
      <c r="N426" s="29" t="n">
        <f aca="false">IFERROR(E426/(F426*C426*Model!$B$5),"")</f>
        <v>176.267030130636</v>
      </c>
    </row>
    <row r="427" customFormat="false" ht="15" hidden="false" customHeight="false" outlineLevel="0" collapsed="false">
      <c r="A427" s="0" t="str">
        <f aca="false">Clean!A427</f>
        <v>SHP0426</v>
      </c>
      <c r="B427" s="0" t="str">
        <f aca="false">Clean!AA427</f>
        <v>GATI Logistics</v>
      </c>
      <c r="C427" s="28" t="n">
        <f aca="false">Clean!J427</f>
        <v>8.82</v>
      </c>
      <c r="D427" s="29" t="n">
        <f aca="false">Clean!AF427</f>
        <v>926.4</v>
      </c>
      <c r="E427" s="29" t="n">
        <f aca="false">Clean!AE427</f>
        <v>3525.5</v>
      </c>
      <c r="F427" s="22" t="n">
        <f aca="false">AVERAGEIFS(Clean!$V$2:$V$1001,Clean!$AA$2:$AA$1001,B427)</f>
        <v>0.751243781094527</v>
      </c>
      <c r="G427" s="29" t="n">
        <f aca="false">F427*C427*D427</f>
        <v>6138.29874626866</v>
      </c>
      <c r="H427" s="29" t="n">
        <f aca="false">G427*Model!$B$4</f>
        <v>6138.29874626866</v>
      </c>
      <c r="I427" s="0" t="str">
        <f aca="false">IF(E427&lt;Model!$B$5*H427,"Expedite","Standard")</f>
        <v>Expedite</v>
      </c>
      <c r="J427" s="29" t="n">
        <f aca="false">H427</f>
        <v>6138.29874626866</v>
      </c>
      <c r="K427" s="29" t="n">
        <f aca="false">E427+(1-Model!$B$5)*H427</f>
        <v>3525.5</v>
      </c>
      <c r="L427" s="29" t="n">
        <f aca="false">IF(I427="Expedite",K427,J427)</f>
        <v>3525.5</v>
      </c>
      <c r="M427" s="29" t="n">
        <f aca="false">J427-L427</f>
        <v>2612.79874626866</v>
      </c>
      <c r="N427" s="29" t="n">
        <f aca="false">IFERROR(E427/(F427*C427*Model!$B$5),"")</f>
        <v>532.073027886651</v>
      </c>
    </row>
    <row r="428" customFormat="false" ht="15" hidden="false" customHeight="false" outlineLevel="0" collapsed="false">
      <c r="A428" s="0" t="str">
        <f aca="false">Clean!A428</f>
        <v>SHP0427</v>
      </c>
      <c r="B428" s="0" t="str">
        <f aca="false">Clean!AA428</f>
        <v>BlueDart</v>
      </c>
      <c r="C428" s="28" t="n">
        <f aca="false">Clean!J428</f>
        <v>11.41</v>
      </c>
      <c r="D428" s="29" t="n">
        <f aca="false">Clean!AF428</f>
        <v>1339.82</v>
      </c>
      <c r="E428" s="29" t="n">
        <f aca="false">Clean!AE428</f>
        <v>3186.79</v>
      </c>
      <c r="F428" s="22" t="n">
        <f aca="false">AVERAGEIFS(Clean!$V$2:$V$1001,Clean!$AA$2:$AA$1001,B428)</f>
        <v>0.773869346733668</v>
      </c>
      <c r="G428" s="29" t="n">
        <f aca="false">F428*C428*D428</f>
        <v>11830.4086170854</v>
      </c>
      <c r="H428" s="29" t="n">
        <f aca="false">G428*Model!$B$4</f>
        <v>11830.4086170854</v>
      </c>
      <c r="I428" s="0" t="str">
        <f aca="false">IF(E428&lt;Model!$B$5*H428,"Expedite","Standard")</f>
        <v>Expedite</v>
      </c>
      <c r="J428" s="29" t="n">
        <f aca="false">H428</f>
        <v>11830.4086170854</v>
      </c>
      <c r="K428" s="29" t="n">
        <f aca="false">E428+(1-Model!$B$5)*H428</f>
        <v>3186.79</v>
      </c>
      <c r="L428" s="29" t="n">
        <f aca="false">IF(I428="Expedite",K428,J428)</f>
        <v>3186.79</v>
      </c>
      <c r="M428" s="29" t="n">
        <f aca="false">J428-L428</f>
        <v>8643.61861708543</v>
      </c>
      <c r="N428" s="29" t="n">
        <f aca="false">IFERROR(E428/(F428*C428*Model!$B$5),"")</f>
        <v>360.911031562653</v>
      </c>
    </row>
    <row r="429" customFormat="false" ht="15" hidden="false" customHeight="false" outlineLevel="0" collapsed="false">
      <c r="A429" s="0" t="str">
        <f aca="false">Clean!A429</f>
        <v>SHP0428</v>
      </c>
      <c r="B429" s="0" t="str">
        <f aca="false">Clean!AA429</f>
        <v>TCI Express</v>
      </c>
      <c r="C429" s="28" t="n">
        <f aca="false">Clean!J429</f>
        <v>3.42</v>
      </c>
      <c r="D429" s="29" t="n">
        <f aca="false">Clean!AF429</f>
        <v>1400.26</v>
      </c>
      <c r="E429" s="29" t="n">
        <f aca="false">Clean!AE429</f>
        <v>3791.33</v>
      </c>
      <c r="F429" s="22" t="n">
        <f aca="false">AVERAGEIFS(Clean!$V$2:$V$1001,Clean!$AA$2:$AA$1001,B429)</f>
        <v>0.752336448598131</v>
      </c>
      <c r="G429" s="29" t="n">
        <f aca="false">F429*C429*D429</f>
        <v>3602.85589345794</v>
      </c>
      <c r="H429" s="29" t="n">
        <f aca="false">G429*Model!$B$4</f>
        <v>3602.85589345794</v>
      </c>
      <c r="I429" s="0" t="str">
        <f aca="false">IF(E429&lt;Model!$B$5*H429,"Expedite","Standard")</f>
        <v>Standard</v>
      </c>
      <c r="J429" s="29" t="n">
        <f aca="false">H429</f>
        <v>3602.85589345794</v>
      </c>
      <c r="K429" s="29" t="n">
        <f aca="false">E429+(1-Model!$B$5)*H429</f>
        <v>3791.33</v>
      </c>
      <c r="L429" s="29" t="n">
        <f aca="false">IF(I429="Expedite",K429,J429)</f>
        <v>3602.85589345794</v>
      </c>
      <c r="M429" s="29" t="n">
        <f aca="false">J429-L429</f>
        <v>0</v>
      </c>
      <c r="N429" s="29" t="n">
        <f aca="false">IFERROR(E429/(F429*C429*Model!$B$5),"")</f>
        <v>1473.51098761396</v>
      </c>
    </row>
    <row r="430" customFormat="false" ht="15" hidden="false" customHeight="false" outlineLevel="0" collapsed="false">
      <c r="A430" s="0" t="str">
        <f aca="false">Clean!A430</f>
        <v>SHP0429</v>
      </c>
      <c r="B430" s="0" t="str">
        <f aca="false">Clean!AA430</f>
        <v>VRL Cargo</v>
      </c>
      <c r="C430" s="28" t="n">
        <f aca="false">Clean!J430</f>
        <v>16.05</v>
      </c>
      <c r="D430" s="29" t="n">
        <f aca="false">Clean!AF430</f>
        <v>1133.71</v>
      </c>
      <c r="E430" s="29" t="n">
        <f aca="false">Clean!AE430</f>
        <v>3647.34</v>
      </c>
      <c r="F430" s="22" t="n">
        <f aca="false">AVERAGEIFS(Clean!$V$2:$V$1001,Clean!$AA$2:$AA$1001,B430)</f>
        <v>0.72020725388601</v>
      </c>
      <c r="G430" s="29" t="n">
        <f aca="false">F430*C430*D430</f>
        <v>13104.9239611399</v>
      </c>
      <c r="H430" s="29" t="n">
        <f aca="false">G430*Model!$B$4</f>
        <v>13104.9239611399</v>
      </c>
      <c r="I430" s="0" t="str">
        <f aca="false">IF(E430&lt;Model!$B$5*H430,"Expedite","Standard")</f>
        <v>Expedite</v>
      </c>
      <c r="J430" s="29" t="n">
        <f aca="false">H430</f>
        <v>13104.9239611399</v>
      </c>
      <c r="K430" s="29" t="n">
        <f aca="false">E430+(1-Model!$B$5)*H430</f>
        <v>3647.34</v>
      </c>
      <c r="L430" s="29" t="n">
        <f aca="false">IF(I430="Expedite",K430,J430)</f>
        <v>3647.34</v>
      </c>
      <c r="M430" s="29" t="n">
        <f aca="false">J430-L430</f>
        <v>9457.5839611399</v>
      </c>
      <c r="N430" s="29" t="n">
        <f aca="false">IFERROR(E430/(F430*C430*Model!$B$5),"")</f>
        <v>315.532226181672</v>
      </c>
    </row>
    <row r="431" customFormat="false" ht="15" hidden="false" customHeight="false" outlineLevel="0" collapsed="false">
      <c r="A431" s="0" t="str">
        <f aca="false">Clean!A431</f>
        <v>SHP0430</v>
      </c>
      <c r="B431" s="0" t="str">
        <f aca="false">Clean!AA431</f>
        <v>GATI Logistics</v>
      </c>
      <c r="C431" s="28" t="n">
        <f aca="false">Clean!J431</f>
        <v>12.28</v>
      </c>
      <c r="D431" s="29" t="n">
        <f aca="false">Clean!AF431</f>
        <v>1313.43</v>
      </c>
      <c r="E431" s="29" t="n">
        <f aca="false">Clean!AE431</f>
        <v>1505.08</v>
      </c>
      <c r="F431" s="22" t="n">
        <f aca="false">AVERAGEIFS(Clean!$V$2:$V$1001,Clean!$AA$2:$AA$1001,B431)</f>
        <v>0.751243781094527</v>
      </c>
      <c r="G431" s="29" t="n">
        <f aca="false">F431*C431*D431</f>
        <v>12116.7511462687</v>
      </c>
      <c r="H431" s="29" t="n">
        <f aca="false">G431*Model!$B$4</f>
        <v>12116.7511462687</v>
      </c>
      <c r="I431" s="0" t="str">
        <f aca="false">IF(E431&lt;Model!$B$5*H431,"Expedite","Standard")</f>
        <v>Expedite</v>
      </c>
      <c r="J431" s="29" t="n">
        <f aca="false">H431</f>
        <v>12116.7511462687</v>
      </c>
      <c r="K431" s="29" t="n">
        <f aca="false">E431+(1-Model!$B$5)*H431</f>
        <v>1505.08</v>
      </c>
      <c r="L431" s="29" t="n">
        <f aca="false">IF(I431="Expedite",K431,J431)</f>
        <v>1505.08</v>
      </c>
      <c r="M431" s="29" t="n">
        <f aca="false">J431-L431</f>
        <v>10611.6711462687</v>
      </c>
      <c r="N431" s="29" t="n">
        <f aca="false">IFERROR(E431/(F431*C431*Model!$B$5),"")</f>
        <v>163.147464244882</v>
      </c>
    </row>
    <row r="432" customFormat="false" ht="15" hidden="false" customHeight="false" outlineLevel="0" collapsed="false">
      <c r="A432" s="0" t="str">
        <f aca="false">Clean!A432</f>
        <v>SHP0431</v>
      </c>
      <c r="B432" s="0" t="str">
        <f aca="false">Clean!AA432</f>
        <v>TCI Express</v>
      </c>
      <c r="C432" s="28" t="n">
        <f aca="false">Clean!J432</f>
        <v>18.56</v>
      </c>
      <c r="D432" s="29" t="n">
        <f aca="false">Clean!AF432</f>
        <v>513.63</v>
      </c>
      <c r="E432" s="29" t="n">
        <f aca="false">Clean!AE432</f>
        <v>4564.8</v>
      </c>
      <c r="F432" s="22" t="n">
        <f aca="false">AVERAGEIFS(Clean!$V$2:$V$1001,Clean!$AA$2:$AA$1001,B432)</f>
        <v>0.752336448598131</v>
      </c>
      <c r="G432" s="29" t="n">
        <f aca="false">F432*C432*D432</f>
        <v>7172.00290093458</v>
      </c>
      <c r="H432" s="29" t="n">
        <f aca="false">G432*Model!$B$4</f>
        <v>7172.00290093458</v>
      </c>
      <c r="I432" s="0" t="str">
        <f aca="false">IF(E432&lt;Model!$B$5*H432,"Expedite","Standard")</f>
        <v>Expedite</v>
      </c>
      <c r="J432" s="29" t="n">
        <f aca="false">H432</f>
        <v>7172.00290093458</v>
      </c>
      <c r="K432" s="29" t="n">
        <f aca="false">E432+(1-Model!$B$5)*H432</f>
        <v>4564.8</v>
      </c>
      <c r="L432" s="29" t="n">
        <f aca="false">IF(I432="Expedite",K432,J432)</f>
        <v>4564.8</v>
      </c>
      <c r="M432" s="29" t="n">
        <f aca="false">J432-L432</f>
        <v>2607.20290093458</v>
      </c>
      <c r="N432" s="29" t="n">
        <f aca="false">IFERROR(E432/(F432*C432*Model!$B$5),"")</f>
        <v>326.912615121011</v>
      </c>
    </row>
    <row r="433" customFormat="false" ht="15" hidden="false" customHeight="false" outlineLevel="0" collapsed="false">
      <c r="A433" s="0" t="str">
        <f aca="false">Clean!A433</f>
        <v>SHP0432</v>
      </c>
      <c r="B433" s="0" t="str">
        <f aca="false">Clean!AA433</f>
        <v>TCI Express</v>
      </c>
      <c r="C433" s="28" t="n">
        <f aca="false">Clean!J433</f>
        <v>7.13</v>
      </c>
      <c r="D433" s="29" t="n">
        <f aca="false">Clean!AF433</f>
        <v>1312.26</v>
      </c>
      <c r="E433" s="29" t="n">
        <f aca="false">Clean!AE433</f>
        <v>3212.45</v>
      </c>
      <c r="F433" s="22" t="n">
        <f aca="false">AVERAGEIFS(Clean!$V$2:$V$1001,Clean!$AA$2:$AA$1001,B433)</f>
        <v>0.752336448598131</v>
      </c>
      <c r="G433" s="29" t="n">
        <f aca="false">F433*C433*D433</f>
        <v>7039.17112990654</v>
      </c>
      <c r="H433" s="29" t="n">
        <f aca="false">G433*Model!$B$4</f>
        <v>7039.17112990654</v>
      </c>
      <c r="I433" s="0" t="str">
        <f aca="false">IF(E433&lt;Model!$B$5*H433,"Expedite","Standard")</f>
        <v>Expedite</v>
      </c>
      <c r="J433" s="29" t="n">
        <f aca="false">H433</f>
        <v>7039.17112990654</v>
      </c>
      <c r="K433" s="29" t="n">
        <f aca="false">E433+(1-Model!$B$5)*H433</f>
        <v>3212.45</v>
      </c>
      <c r="L433" s="29" t="n">
        <f aca="false">IF(I433="Expedite",K433,J433)</f>
        <v>3212.45</v>
      </c>
      <c r="M433" s="29" t="n">
        <f aca="false">J433-L433</f>
        <v>3826.72112990654</v>
      </c>
      <c r="N433" s="29" t="n">
        <f aca="false">IFERROR(E433/(F433*C433*Model!$B$5),"")</f>
        <v>598.87301490509</v>
      </c>
    </row>
    <row r="434" customFormat="false" ht="15" hidden="false" customHeight="false" outlineLevel="0" collapsed="false">
      <c r="A434" s="0" t="str">
        <f aca="false">Clean!A434</f>
        <v>SHP0433</v>
      </c>
      <c r="B434" s="0" t="str">
        <f aca="false">Clean!AA434</f>
        <v>TCI Express</v>
      </c>
      <c r="C434" s="28" t="n">
        <f aca="false">Clean!J434</f>
        <v>8.3</v>
      </c>
      <c r="D434" s="29" t="n">
        <f aca="false">Clean!AF434</f>
        <v>1476.79</v>
      </c>
      <c r="E434" s="29" t="n">
        <f aca="false">Clean!AE434</f>
        <v>4318.89</v>
      </c>
      <c r="F434" s="22" t="n">
        <f aca="false">AVERAGEIFS(Clean!$V$2:$V$1001,Clean!$AA$2:$AA$1001,B434)</f>
        <v>0.752336448598131</v>
      </c>
      <c r="G434" s="29" t="n">
        <f aca="false">F434*C434*D434</f>
        <v>9221.65643457944</v>
      </c>
      <c r="H434" s="29" t="n">
        <f aca="false">G434*Model!$B$4</f>
        <v>9221.65643457944</v>
      </c>
      <c r="I434" s="0" t="str">
        <f aca="false">IF(E434&lt;Model!$B$5*H434,"Expedite","Standard")</f>
        <v>Expedite</v>
      </c>
      <c r="J434" s="29" t="n">
        <f aca="false">H434</f>
        <v>9221.65643457944</v>
      </c>
      <c r="K434" s="29" t="n">
        <f aca="false">E434+(1-Model!$B$5)*H434</f>
        <v>4318.89</v>
      </c>
      <c r="L434" s="29" t="n">
        <f aca="false">IF(I434="Expedite",K434,J434)</f>
        <v>4318.89</v>
      </c>
      <c r="M434" s="29" t="n">
        <f aca="false">J434-L434</f>
        <v>4902.76643457944</v>
      </c>
      <c r="N434" s="29" t="n">
        <f aca="false">IFERROR(E434/(F434*C434*Model!$B$5),"")</f>
        <v>691.642939459702</v>
      </c>
    </row>
    <row r="435" customFormat="false" ht="15" hidden="false" customHeight="false" outlineLevel="0" collapsed="false">
      <c r="A435" s="0" t="str">
        <f aca="false">Clean!A435</f>
        <v>SHP0434</v>
      </c>
      <c r="B435" s="0" t="str">
        <f aca="false">Clean!AA435</f>
        <v>GATI Logistics</v>
      </c>
      <c r="C435" s="28" t="n">
        <f aca="false">Clean!J435</f>
        <v>8.69</v>
      </c>
      <c r="D435" s="29" t="n">
        <f aca="false">Clean!AF435</f>
        <v>818.3</v>
      </c>
      <c r="E435" s="29" t="n">
        <f aca="false">Clean!AE435</f>
        <v>2905.85</v>
      </c>
      <c r="F435" s="22" t="n">
        <f aca="false">AVERAGEIFS(Clean!$V$2:$V$1001,Clean!$AA$2:$AA$1001,B435)</f>
        <v>0.751243781094527</v>
      </c>
      <c r="G435" s="29" t="n">
        <f aca="false">F435*C435*D435</f>
        <v>5342.11481094527</v>
      </c>
      <c r="H435" s="29" t="n">
        <f aca="false">G435*Model!$B$4</f>
        <v>5342.11481094527</v>
      </c>
      <c r="I435" s="0" t="str">
        <f aca="false">IF(E435&lt;Model!$B$5*H435,"Expedite","Standard")</f>
        <v>Expedite</v>
      </c>
      <c r="J435" s="29" t="n">
        <f aca="false">H435</f>
        <v>5342.11481094527</v>
      </c>
      <c r="K435" s="29" t="n">
        <f aca="false">E435+(1-Model!$B$5)*H435</f>
        <v>2905.85</v>
      </c>
      <c r="L435" s="29" t="n">
        <f aca="false">IF(I435="Expedite",K435,J435)</f>
        <v>2905.85</v>
      </c>
      <c r="M435" s="29" t="n">
        <f aca="false">J435-L435</f>
        <v>2436.26481094527</v>
      </c>
      <c r="N435" s="29" t="n">
        <f aca="false">IFERROR(E435/(F435*C435*Model!$B$5),"")</f>
        <v>445.115303424047</v>
      </c>
    </row>
    <row r="436" customFormat="false" ht="15" hidden="false" customHeight="false" outlineLevel="0" collapsed="false">
      <c r="A436" s="0" t="str">
        <f aca="false">Clean!A436</f>
        <v>SHP0435</v>
      </c>
      <c r="B436" s="0" t="str">
        <f aca="false">Clean!AA436</f>
        <v>BlueDart</v>
      </c>
      <c r="C436" s="28" t="n">
        <f aca="false">Clean!J436</f>
        <v>10.29</v>
      </c>
      <c r="D436" s="29" t="n">
        <f aca="false">Clean!AF436</f>
        <v>1253.47</v>
      </c>
      <c r="E436" s="29" t="n">
        <f aca="false">Clean!AE436</f>
        <v>3802.45</v>
      </c>
      <c r="F436" s="22" t="n">
        <f aca="false">AVERAGEIFS(Clean!$V$2:$V$1001,Clean!$AA$2:$AA$1001,B436)</f>
        <v>0.773869346733668</v>
      </c>
      <c r="G436" s="29" t="n">
        <f aca="false">F436*C436*D436</f>
        <v>9981.52648341709</v>
      </c>
      <c r="H436" s="29" t="n">
        <f aca="false">G436*Model!$B$4</f>
        <v>9981.52648341709</v>
      </c>
      <c r="I436" s="0" t="str">
        <f aca="false">IF(E436&lt;Model!$B$5*H436,"Expedite","Standard")</f>
        <v>Expedite</v>
      </c>
      <c r="J436" s="29" t="n">
        <f aca="false">H436</f>
        <v>9981.52648341709</v>
      </c>
      <c r="K436" s="29" t="n">
        <f aca="false">E436+(1-Model!$B$5)*H436</f>
        <v>3802.45</v>
      </c>
      <c r="L436" s="29" t="n">
        <f aca="false">IF(I436="Expedite",K436,J436)</f>
        <v>3802.45</v>
      </c>
      <c r="M436" s="29" t="n">
        <f aca="false">J436-L436</f>
        <v>6179.07648341709</v>
      </c>
      <c r="N436" s="29" t="n">
        <f aca="false">IFERROR(E436/(F436*C436*Model!$B$5),"")</f>
        <v>477.507825022402</v>
      </c>
    </row>
    <row r="437" customFormat="false" ht="15" hidden="false" customHeight="false" outlineLevel="0" collapsed="false">
      <c r="A437" s="0" t="str">
        <f aca="false">Clean!A437</f>
        <v>SHP0436</v>
      </c>
      <c r="B437" s="0" t="str">
        <f aca="false">Clean!AA437</f>
        <v>Delhivery</v>
      </c>
      <c r="C437" s="28" t="n">
        <f aca="false">Clean!J437</f>
        <v>17.58</v>
      </c>
      <c r="D437" s="29" t="n">
        <f aca="false">Clean!AF437</f>
        <v>943.03</v>
      </c>
      <c r="E437" s="29" t="n">
        <f aca="false">Clean!AE437</f>
        <v>2138.17</v>
      </c>
      <c r="F437" s="22" t="n">
        <f aca="false">AVERAGEIFS(Clean!$V$2:$V$1001,Clean!$AA$2:$AA$1001,B437)</f>
        <v>0.72538860103627</v>
      </c>
      <c r="G437" s="29" t="n">
        <f aca="false">F437*C437*D437</f>
        <v>12025.8312746114</v>
      </c>
      <c r="H437" s="29" t="n">
        <f aca="false">G437*Model!$B$4</f>
        <v>12025.8312746114</v>
      </c>
      <c r="I437" s="0" t="str">
        <f aca="false">IF(E437&lt;Model!$B$5*H437,"Expedite","Standard")</f>
        <v>Expedite</v>
      </c>
      <c r="J437" s="29" t="n">
        <f aca="false">H437</f>
        <v>12025.8312746114</v>
      </c>
      <c r="K437" s="29" t="n">
        <f aca="false">E437+(1-Model!$B$5)*H437</f>
        <v>2138.17</v>
      </c>
      <c r="L437" s="29" t="n">
        <f aca="false">IF(I437="Expedite",K437,J437)</f>
        <v>2138.17</v>
      </c>
      <c r="M437" s="29" t="n">
        <f aca="false">J437-L437</f>
        <v>9887.6612746114</v>
      </c>
      <c r="N437" s="29" t="n">
        <f aca="false">IFERROR(E437/(F437*C437*Model!$B$5),"")</f>
        <v>167.668946042581</v>
      </c>
    </row>
    <row r="438" customFormat="false" ht="15" hidden="false" customHeight="false" outlineLevel="0" collapsed="false">
      <c r="A438" s="0" t="str">
        <f aca="false">Clean!A438</f>
        <v>SHP0437</v>
      </c>
      <c r="B438" s="0" t="str">
        <f aca="false">Clean!AA438</f>
        <v>VRL Cargo</v>
      </c>
      <c r="C438" s="28" t="n">
        <f aca="false">Clean!J438</f>
        <v>12.73</v>
      </c>
      <c r="D438" s="29" t="n">
        <f aca="false">Clean!AF438</f>
        <v>586.03</v>
      </c>
      <c r="E438" s="29" t="n">
        <f aca="false">Clean!AE438</f>
        <v>3165.5</v>
      </c>
      <c r="F438" s="22" t="n">
        <f aca="false">AVERAGEIFS(Clean!$V$2:$V$1001,Clean!$AA$2:$AA$1001,B438)</f>
        <v>0.72020725388601</v>
      </c>
      <c r="G438" s="29" t="n">
        <f aca="false">F438*C438*D438</f>
        <v>5372.86271554404</v>
      </c>
      <c r="H438" s="29" t="n">
        <f aca="false">G438*Model!$B$4</f>
        <v>5372.86271554404</v>
      </c>
      <c r="I438" s="0" t="str">
        <f aca="false">IF(E438&lt;Model!$B$5*H438,"Expedite","Standard")</f>
        <v>Expedite</v>
      </c>
      <c r="J438" s="29" t="n">
        <f aca="false">H438</f>
        <v>5372.86271554404</v>
      </c>
      <c r="K438" s="29" t="n">
        <f aca="false">E438+(1-Model!$B$5)*H438</f>
        <v>3165.5</v>
      </c>
      <c r="L438" s="29" t="n">
        <f aca="false">IF(I438="Expedite",K438,J438)</f>
        <v>3165.5</v>
      </c>
      <c r="M438" s="29" t="n">
        <f aca="false">J438-L438</f>
        <v>2207.36271554404</v>
      </c>
      <c r="N438" s="29" t="n">
        <f aca="false">IFERROR(E438/(F438*C438*Model!$B$5),"")</f>
        <v>345.268074621214</v>
      </c>
    </row>
    <row r="439" customFormat="false" ht="15" hidden="false" customHeight="false" outlineLevel="0" collapsed="false">
      <c r="A439" s="0" t="str">
        <f aca="false">Clean!A439</f>
        <v>SHP0438</v>
      </c>
      <c r="B439" s="0" t="str">
        <f aca="false">Clean!AA439</f>
        <v>VRL Cargo</v>
      </c>
      <c r="C439" s="28" t="n">
        <f aca="false">Clean!J439</f>
        <v>2.08</v>
      </c>
      <c r="D439" s="29" t="n">
        <f aca="false">Clean!AF439</f>
        <v>771.79</v>
      </c>
      <c r="E439" s="29" t="n">
        <f aca="false">Clean!AE439</f>
        <v>3092.85</v>
      </c>
      <c r="F439" s="22" t="n">
        <f aca="false">AVERAGEIFS(Clean!$V$2:$V$1001,Clean!$AA$2:$AA$1001,B439)</f>
        <v>0.72020725388601</v>
      </c>
      <c r="G439" s="29" t="n">
        <f aca="false">F439*C439*D439</f>
        <v>1156.1654134715</v>
      </c>
      <c r="H439" s="29" t="n">
        <f aca="false">G439*Model!$B$4</f>
        <v>1156.1654134715</v>
      </c>
      <c r="I439" s="0" t="str">
        <f aca="false">IF(E439&lt;Model!$B$5*H439,"Expedite","Standard")</f>
        <v>Standard</v>
      </c>
      <c r="J439" s="29" t="n">
        <f aca="false">H439</f>
        <v>1156.1654134715</v>
      </c>
      <c r="K439" s="29" t="n">
        <f aca="false">E439+(1-Model!$B$5)*H439</f>
        <v>3092.85</v>
      </c>
      <c r="L439" s="29" t="n">
        <f aca="false">IF(I439="Expedite",K439,J439)</f>
        <v>1156.1654134715</v>
      </c>
      <c r="M439" s="29" t="n">
        <f aca="false">J439-L439</f>
        <v>0</v>
      </c>
      <c r="N439" s="29" t="n">
        <f aca="false">IFERROR(E439/(F439*C439*Model!$B$5),"")</f>
        <v>2064.61002351965</v>
      </c>
    </row>
    <row r="440" customFormat="false" ht="15" hidden="false" customHeight="false" outlineLevel="0" collapsed="false">
      <c r="A440" s="0" t="str">
        <f aca="false">Clean!A440</f>
        <v>SHP0439</v>
      </c>
      <c r="B440" s="0" t="str">
        <f aca="false">Clean!AA440</f>
        <v>BlueDart</v>
      </c>
      <c r="C440" s="28" t="n">
        <f aca="false">Clean!J440</f>
        <v>8.58</v>
      </c>
      <c r="D440" s="29" t="n">
        <f aca="false">Clean!AF440</f>
        <v>1200.43</v>
      </c>
      <c r="E440" s="29" t="n">
        <f aca="false">Clean!AE440</f>
        <v>4986.26</v>
      </c>
      <c r="F440" s="22" t="n">
        <f aca="false">AVERAGEIFS(Clean!$V$2:$V$1001,Clean!$AA$2:$AA$1001,B440)</f>
        <v>0.773869346733668</v>
      </c>
      <c r="G440" s="29" t="n">
        <f aca="false">F440*C440*D440</f>
        <v>7970.61390753769</v>
      </c>
      <c r="H440" s="29" t="n">
        <f aca="false">G440*Model!$B$4</f>
        <v>7970.61390753769</v>
      </c>
      <c r="I440" s="0" t="str">
        <f aca="false">IF(E440&lt;Model!$B$5*H440,"Expedite","Standard")</f>
        <v>Expedite</v>
      </c>
      <c r="J440" s="29" t="n">
        <f aca="false">H440</f>
        <v>7970.61390753769</v>
      </c>
      <c r="K440" s="29" t="n">
        <f aca="false">E440+(1-Model!$B$5)*H440</f>
        <v>4986.26</v>
      </c>
      <c r="L440" s="29" t="n">
        <f aca="false">IF(I440="Expedite",K440,J440)</f>
        <v>4986.26</v>
      </c>
      <c r="M440" s="29" t="n">
        <f aca="false">J440-L440</f>
        <v>2984.35390753769</v>
      </c>
      <c r="N440" s="29" t="n">
        <f aca="false">IFERROR(E440/(F440*C440*Model!$B$5),"")</f>
        <v>750.965504192777</v>
      </c>
    </row>
    <row r="441" customFormat="false" ht="15" hidden="false" customHeight="false" outlineLevel="0" collapsed="false">
      <c r="A441" s="0" t="str">
        <f aca="false">Clean!A441</f>
        <v>SHP0440</v>
      </c>
      <c r="B441" s="0" t="str">
        <f aca="false">Clean!AA441</f>
        <v>Delhivery</v>
      </c>
      <c r="C441" s="28" t="n">
        <f aca="false">Clean!J441</f>
        <v>15.64</v>
      </c>
      <c r="D441" s="29" t="n">
        <f aca="false">Clean!AF441</f>
        <v>1333.2</v>
      </c>
      <c r="E441" s="29" t="n">
        <f aca="false">Clean!AE441</f>
        <v>4900.72</v>
      </c>
      <c r="F441" s="22" t="n">
        <f aca="false">AVERAGEIFS(Clean!$V$2:$V$1001,Clean!$AA$2:$AA$1001,B441)</f>
        <v>0.72538860103627</v>
      </c>
      <c r="G441" s="29" t="n">
        <f aca="false">F441*C441*D441</f>
        <v>15125.2576165803</v>
      </c>
      <c r="H441" s="29" t="n">
        <f aca="false">G441*Model!$B$4</f>
        <v>15125.2576165803</v>
      </c>
      <c r="I441" s="0" t="str">
        <f aca="false">IF(E441&lt;Model!$B$5*H441,"Expedite","Standard")</f>
        <v>Expedite</v>
      </c>
      <c r="J441" s="29" t="n">
        <f aca="false">H441</f>
        <v>15125.2576165803</v>
      </c>
      <c r="K441" s="29" t="n">
        <f aca="false">E441+(1-Model!$B$5)*H441</f>
        <v>4900.72</v>
      </c>
      <c r="L441" s="29" t="n">
        <f aca="false">IF(I441="Expedite",K441,J441)</f>
        <v>4900.72</v>
      </c>
      <c r="M441" s="29" t="n">
        <f aca="false">J441-L441</f>
        <v>10224.5376165803</v>
      </c>
      <c r="N441" s="29" t="n">
        <f aca="false">IFERROR(E441/(F441*C441*Model!$B$5),"")</f>
        <v>431.968834490318</v>
      </c>
    </row>
    <row r="442" customFormat="false" ht="15" hidden="false" customHeight="false" outlineLevel="0" collapsed="false">
      <c r="A442" s="0" t="str">
        <f aca="false">Clean!A442</f>
        <v>SHP0441</v>
      </c>
      <c r="B442" s="0" t="str">
        <f aca="false">Clean!AA442</f>
        <v>TCI Express</v>
      </c>
      <c r="C442" s="28" t="n">
        <f aca="false">Clean!J442</f>
        <v>6.76</v>
      </c>
      <c r="D442" s="29" t="n">
        <f aca="false">Clean!AF442</f>
        <v>1084.54</v>
      </c>
      <c r="E442" s="29" t="n">
        <f aca="false">Clean!AE442</f>
        <v>1481.79</v>
      </c>
      <c r="F442" s="22" t="n">
        <f aca="false">AVERAGEIFS(Clean!$V$2:$V$1001,Clean!$AA$2:$AA$1001,B442)</f>
        <v>0.752336448598131</v>
      </c>
      <c r="G442" s="29" t="n">
        <f aca="false">F442*C442*D442</f>
        <v>5515.74745046729</v>
      </c>
      <c r="H442" s="29" t="n">
        <f aca="false">G442*Model!$B$4</f>
        <v>5515.74745046729</v>
      </c>
      <c r="I442" s="0" t="str">
        <f aca="false">IF(E442&lt;Model!$B$5*H442,"Expedite","Standard")</f>
        <v>Expedite</v>
      </c>
      <c r="J442" s="29" t="n">
        <f aca="false">H442</f>
        <v>5515.74745046729</v>
      </c>
      <c r="K442" s="29" t="n">
        <f aca="false">E442+(1-Model!$B$5)*H442</f>
        <v>1481.79</v>
      </c>
      <c r="L442" s="29" t="n">
        <f aca="false">IF(I442="Expedite",K442,J442)</f>
        <v>1481.79</v>
      </c>
      <c r="M442" s="29" t="n">
        <f aca="false">J442-L442</f>
        <v>4033.95745046729</v>
      </c>
      <c r="N442" s="29" t="n">
        <f aca="false">IFERROR(E442/(F442*C442*Model!$B$5),"")</f>
        <v>291.358612958947</v>
      </c>
    </row>
    <row r="443" customFormat="false" ht="15" hidden="false" customHeight="false" outlineLevel="0" collapsed="false">
      <c r="A443" s="0" t="str">
        <f aca="false">Clean!A443</f>
        <v>SHP0442</v>
      </c>
      <c r="B443" s="0" t="str">
        <f aca="false">Clean!AA443</f>
        <v>BlueDart</v>
      </c>
      <c r="C443" s="28" t="n">
        <f aca="false">Clean!J443</f>
        <v>19.42</v>
      </c>
      <c r="D443" s="29" t="n">
        <f aca="false">Clean!AF443</f>
        <v>1497.75</v>
      </c>
      <c r="E443" s="29" t="n">
        <f aca="false">Clean!AE443</f>
        <v>3632.41</v>
      </c>
      <c r="F443" s="22" t="n">
        <f aca="false">AVERAGEIFS(Clean!$V$2:$V$1001,Clean!$AA$2:$AA$1001,B443)</f>
        <v>0.773869346733668</v>
      </c>
      <c r="G443" s="29" t="n">
        <f aca="false">F443*C443*D443</f>
        <v>22508.9998492462</v>
      </c>
      <c r="H443" s="29" t="n">
        <f aca="false">G443*Model!$B$4</f>
        <v>22508.9998492462</v>
      </c>
      <c r="I443" s="0" t="str">
        <f aca="false">IF(E443&lt;Model!$B$5*H443,"Expedite","Standard")</f>
        <v>Expedite</v>
      </c>
      <c r="J443" s="29" t="n">
        <f aca="false">H443</f>
        <v>22508.9998492462</v>
      </c>
      <c r="K443" s="29" t="n">
        <f aca="false">E443+(1-Model!$B$5)*H443</f>
        <v>3632.41</v>
      </c>
      <c r="L443" s="29" t="n">
        <f aca="false">IF(I443="Expedite",K443,J443)</f>
        <v>3632.41</v>
      </c>
      <c r="M443" s="29" t="n">
        <f aca="false">J443-L443</f>
        <v>18876.5898492462</v>
      </c>
      <c r="N443" s="29" t="n">
        <f aca="false">IFERROR(E443/(F443*C443*Model!$B$5),"")</f>
        <v>241.700746987307</v>
      </c>
    </row>
    <row r="444" customFormat="false" ht="15" hidden="false" customHeight="false" outlineLevel="0" collapsed="false">
      <c r="A444" s="0" t="str">
        <f aca="false">Clean!A444</f>
        <v>SHP0443</v>
      </c>
      <c r="B444" s="0" t="str">
        <f aca="false">Clean!AA444</f>
        <v>VRL Cargo</v>
      </c>
      <c r="C444" s="28" t="n">
        <f aca="false">Clean!J444</f>
        <v>9.58</v>
      </c>
      <c r="D444" s="29" t="n">
        <f aca="false">Clean!AF444</f>
        <v>955.38</v>
      </c>
      <c r="E444" s="29" t="n">
        <f aca="false">Clean!AE444</f>
        <v>2587.79</v>
      </c>
      <c r="F444" s="22" t="n">
        <f aca="false">AVERAGEIFS(Clean!$V$2:$V$1001,Clean!$AA$2:$AA$1001,B444)</f>
        <v>0.72020725388601</v>
      </c>
      <c r="G444" s="29" t="n">
        <f aca="false">F444*C444*D444</f>
        <v>6591.72598756477</v>
      </c>
      <c r="H444" s="29" t="n">
        <f aca="false">G444*Model!$B$4</f>
        <v>6591.72598756477</v>
      </c>
      <c r="I444" s="0" t="str">
        <f aca="false">IF(E444&lt;Model!$B$5*H444,"Expedite","Standard")</f>
        <v>Expedite</v>
      </c>
      <c r="J444" s="29" t="n">
        <f aca="false">H444</f>
        <v>6591.72598756477</v>
      </c>
      <c r="K444" s="29" t="n">
        <f aca="false">E444+(1-Model!$B$5)*H444</f>
        <v>2587.79</v>
      </c>
      <c r="L444" s="29" t="n">
        <f aca="false">IF(I444="Expedite",K444,J444)</f>
        <v>2587.79</v>
      </c>
      <c r="M444" s="29" t="n">
        <f aca="false">J444-L444</f>
        <v>4003.93598756477</v>
      </c>
      <c r="N444" s="29" t="n">
        <f aca="false">IFERROR(E444/(F444*C444*Model!$B$5),"")</f>
        <v>375.064560460191</v>
      </c>
    </row>
    <row r="445" customFormat="false" ht="15" hidden="false" customHeight="false" outlineLevel="0" collapsed="false">
      <c r="A445" s="0" t="str">
        <f aca="false">Clean!A445</f>
        <v>SHP0444</v>
      </c>
      <c r="B445" s="0" t="str">
        <f aca="false">Clean!AA445</f>
        <v>BlueDart</v>
      </c>
      <c r="C445" s="28" t="n">
        <f aca="false">Clean!J445</f>
        <v>8.88</v>
      </c>
      <c r="D445" s="29" t="n">
        <f aca="false">Clean!AF445</f>
        <v>611.21</v>
      </c>
      <c r="E445" s="29" t="n">
        <f aca="false">Clean!AE445</f>
        <v>3101.03</v>
      </c>
      <c r="F445" s="22" t="n">
        <f aca="false">AVERAGEIFS(Clean!$V$2:$V$1001,Clean!$AA$2:$AA$1001,B445)</f>
        <v>0.773869346733668</v>
      </c>
      <c r="G445" s="29" t="n">
        <f aca="false">F445*C445*D445</f>
        <v>4200.21054874372</v>
      </c>
      <c r="H445" s="29" t="n">
        <f aca="false">G445*Model!$B$4</f>
        <v>4200.21054874372</v>
      </c>
      <c r="I445" s="0" t="str">
        <f aca="false">IF(E445&lt;Model!$B$5*H445,"Expedite","Standard")</f>
        <v>Expedite</v>
      </c>
      <c r="J445" s="29" t="n">
        <f aca="false">H445</f>
        <v>4200.21054874372</v>
      </c>
      <c r="K445" s="29" t="n">
        <f aca="false">E445+(1-Model!$B$5)*H445</f>
        <v>3101.03</v>
      </c>
      <c r="L445" s="29" t="n">
        <f aca="false">IF(I445="Expedite",K445,J445)</f>
        <v>3101.03</v>
      </c>
      <c r="M445" s="29" t="n">
        <f aca="false">J445-L445</f>
        <v>1099.18054874372</v>
      </c>
      <c r="N445" s="29" t="n">
        <f aca="false">IFERROR(E445/(F445*C445*Model!$B$5),"")</f>
        <v>451.258460570961</v>
      </c>
    </row>
    <row r="446" customFormat="false" ht="15" hidden="false" customHeight="false" outlineLevel="0" collapsed="false">
      <c r="A446" s="0" t="str">
        <f aca="false">Clean!A446</f>
        <v>SHP0445</v>
      </c>
      <c r="B446" s="0" t="str">
        <f aca="false">Clean!AA446</f>
        <v>BlueDart</v>
      </c>
      <c r="C446" s="28" t="n">
        <f aca="false">Clean!J446</f>
        <v>17.5</v>
      </c>
      <c r="D446" s="29" t="n">
        <f aca="false">Clean!AF446</f>
        <v>863.65</v>
      </c>
      <c r="E446" s="29" t="n">
        <f aca="false">Clean!AE446</f>
        <v>1167.86</v>
      </c>
      <c r="F446" s="22" t="n">
        <f aca="false">AVERAGEIFS(Clean!$V$2:$V$1001,Clean!$AA$2:$AA$1001,B446)</f>
        <v>0.773869346733668</v>
      </c>
      <c r="G446" s="29" t="n">
        <f aca="false">F446*C446*D446</f>
        <v>11696.1645728643</v>
      </c>
      <c r="H446" s="29" t="n">
        <f aca="false">G446*Model!$B$4</f>
        <v>11696.1645728643</v>
      </c>
      <c r="I446" s="0" t="str">
        <f aca="false">IF(E446&lt;Model!$B$5*H446,"Expedite","Standard")</f>
        <v>Expedite</v>
      </c>
      <c r="J446" s="29" t="n">
        <f aca="false">H446</f>
        <v>11696.1645728643</v>
      </c>
      <c r="K446" s="29" t="n">
        <f aca="false">E446+(1-Model!$B$5)*H446</f>
        <v>1167.86</v>
      </c>
      <c r="L446" s="29" t="n">
        <f aca="false">IF(I446="Expedite",K446,J446)</f>
        <v>1167.86</v>
      </c>
      <c r="M446" s="29" t="n">
        <f aca="false">J446-L446</f>
        <v>10528.3045728643</v>
      </c>
      <c r="N446" s="29" t="n">
        <f aca="false">IFERROR(E446/(F446*C446*Model!$B$5),"")</f>
        <v>86.2353024118738</v>
      </c>
    </row>
    <row r="447" customFormat="false" ht="15" hidden="false" customHeight="false" outlineLevel="0" collapsed="false">
      <c r="A447" s="0" t="str">
        <f aca="false">Clean!A447</f>
        <v>SHP0446</v>
      </c>
      <c r="B447" s="0" t="str">
        <f aca="false">Clean!AA447</f>
        <v>Delhivery</v>
      </c>
      <c r="C447" s="28" t="n">
        <f aca="false">Clean!J447</f>
        <v>2.87</v>
      </c>
      <c r="D447" s="29" t="n">
        <f aca="false">Clean!AF447</f>
        <v>648.36</v>
      </c>
      <c r="E447" s="29" t="n">
        <f aca="false">Clean!AE447</f>
        <v>3371.08</v>
      </c>
      <c r="F447" s="22" t="n">
        <f aca="false">AVERAGEIFS(Clean!$V$2:$V$1001,Clean!$AA$2:$AA$1001,B447)</f>
        <v>0.72538860103627</v>
      </c>
      <c r="G447" s="29" t="n">
        <f aca="false">F447*C447*D447</f>
        <v>1349.7981761658</v>
      </c>
      <c r="H447" s="29" t="n">
        <f aca="false">G447*Model!$B$4</f>
        <v>1349.7981761658</v>
      </c>
      <c r="I447" s="0" t="str">
        <f aca="false">IF(E447&lt;Model!$B$5*H447,"Expedite","Standard")</f>
        <v>Standard</v>
      </c>
      <c r="J447" s="29" t="n">
        <f aca="false">H447</f>
        <v>1349.7981761658</v>
      </c>
      <c r="K447" s="29" t="n">
        <f aca="false">E447+(1-Model!$B$5)*H447</f>
        <v>3371.08</v>
      </c>
      <c r="L447" s="29" t="n">
        <f aca="false">IF(I447="Expedite",K447,J447)</f>
        <v>1349.7981761658</v>
      </c>
      <c r="M447" s="29" t="n">
        <f aca="false">J447-L447</f>
        <v>0</v>
      </c>
      <c r="N447" s="29" t="n">
        <f aca="false">IFERROR(E447/(F447*C447*Model!$B$5),"")</f>
        <v>1619.25943255351</v>
      </c>
    </row>
    <row r="448" customFormat="false" ht="15" hidden="false" customHeight="false" outlineLevel="0" collapsed="false">
      <c r="A448" s="0" t="str">
        <f aca="false">Clean!A448</f>
        <v>SHP0447</v>
      </c>
      <c r="B448" s="0" t="str">
        <f aca="false">Clean!AA448</f>
        <v>VRL Cargo</v>
      </c>
      <c r="C448" s="28" t="n">
        <f aca="false">Clean!J448</f>
        <v>4.27</v>
      </c>
      <c r="D448" s="29" t="n">
        <f aca="false">Clean!AF448</f>
        <v>1002.49</v>
      </c>
      <c r="E448" s="29" t="n">
        <f aca="false">Clean!AE448</f>
        <v>2879.66</v>
      </c>
      <c r="F448" s="22" t="n">
        <f aca="false">AVERAGEIFS(Clean!$V$2:$V$1001,Clean!$AA$2:$AA$1001,B448)</f>
        <v>0.72020725388601</v>
      </c>
      <c r="G448" s="29" t="n">
        <f aca="false">F448*C448*D448</f>
        <v>3082.94243367876</v>
      </c>
      <c r="H448" s="29" t="n">
        <f aca="false">G448*Model!$B$4</f>
        <v>3082.94243367876</v>
      </c>
      <c r="I448" s="0" t="str">
        <f aca="false">IF(E448&lt;Model!$B$5*H448,"Expedite","Standard")</f>
        <v>Expedite</v>
      </c>
      <c r="J448" s="29" t="n">
        <f aca="false">H448</f>
        <v>3082.94243367876</v>
      </c>
      <c r="K448" s="29" t="n">
        <f aca="false">E448+(1-Model!$B$5)*H448</f>
        <v>2879.66</v>
      </c>
      <c r="L448" s="29" t="n">
        <f aca="false">IF(I448="Expedite",K448,J448)</f>
        <v>2879.66</v>
      </c>
      <c r="M448" s="29" t="n">
        <f aca="false">J448-L448</f>
        <v>203.282433678757</v>
      </c>
      <c r="N448" s="29" t="n">
        <f aca="false">IFERROR(E448/(F448*C448*Model!$B$5),"")</f>
        <v>936.388017454889</v>
      </c>
    </row>
    <row r="449" customFormat="false" ht="15" hidden="false" customHeight="false" outlineLevel="0" collapsed="false">
      <c r="A449" s="0" t="str">
        <f aca="false">Clean!A449</f>
        <v>SHP0448</v>
      </c>
      <c r="B449" s="0" t="str">
        <f aca="false">Clean!AA449</f>
        <v>TCI Express</v>
      </c>
      <c r="C449" s="28" t="n">
        <f aca="false">Clean!J449</f>
        <v>4.81</v>
      </c>
      <c r="D449" s="29" t="n">
        <f aca="false">Clean!AF449</f>
        <v>1178.49</v>
      </c>
      <c r="E449" s="29" t="n">
        <f aca="false">Clean!AE449</f>
        <v>1780.79</v>
      </c>
      <c r="F449" s="22" t="n">
        <f aca="false">AVERAGEIFS(Clean!$V$2:$V$1001,Clean!$AA$2:$AA$1001,B449)</f>
        <v>0.752336448598131</v>
      </c>
      <c r="G449" s="29" t="n">
        <f aca="false">F449*C449*D449</f>
        <v>4264.64692009346</v>
      </c>
      <c r="H449" s="29" t="n">
        <f aca="false">G449*Model!$B$4</f>
        <v>4264.64692009346</v>
      </c>
      <c r="I449" s="0" t="str">
        <f aca="false">IF(E449&lt;Model!$B$5*H449,"Expedite","Standard")</f>
        <v>Expedite</v>
      </c>
      <c r="J449" s="29" t="n">
        <f aca="false">H449</f>
        <v>4264.64692009346</v>
      </c>
      <c r="K449" s="29" t="n">
        <f aca="false">E449+(1-Model!$B$5)*H449</f>
        <v>1780.79</v>
      </c>
      <c r="L449" s="29" t="n">
        <f aca="false">IF(I449="Expedite",K449,J449)</f>
        <v>1780.79</v>
      </c>
      <c r="M449" s="29" t="n">
        <f aca="false">J449-L449</f>
        <v>2483.85692009346</v>
      </c>
      <c r="N449" s="29" t="n">
        <f aca="false">IFERROR(E449/(F449*C449*Model!$B$5),"")</f>
        <v>492.102452189409</v>
      </c>
    </row>
    <row r="450" customFormat="false" ht="15" hidden="false" customHeight="false" outlineLevel="0" collapsed="false">
      <c r="A450" s="0" t="str">
        <f aca="false">Clean!A450</f>
        <v>SHP0449</v>
      </c>
      <c r="B450" s="0" t="str">
        <f aca="false">Clean!AA450</f>
        <v>TCI Express</v>
      </c>
      <c r="C450" s="28" t="n">
        <f aca="false">Clean!J450</f>
        <v>7.14</v>
      </c>
      <c r="D450" s="29" t="n">
        <f aca="false">Clean!AF450</f>
        <v>1395.07</v>
      </c>
      <c r="E450" s="29" t="n">
        <f aca="false">Clean!AE450</f>
        <v>1041.97</v>
      </c>
      <c r="F450" s="22" t="n">
        <f aca="false">AVERAGEIFS(Clean!$V$2:$V$1001,Clean!$AA$2:$AA$1001,B450)</f>
        <v>0.752336448598131</v>
      </c>
      <c r="G450" s="29" t="n">
        <f aca="false">F450*C450*D450</f>
        <v>7493.87274672897</v>
      </c>
      <c r="H450" s="29" t="n">
        <f aca="false">G450*Model!$B$4</f>
        <v>7493.87274672897</v>
      </c>
      <c r="I450" s="0" t="str">
        <f aca="false">IF(E450&lt;Model!$B$5*H450,"Expedite","Standard")</f>
        <v>Expedite</v>
      </c>
      <c r="J450" s="29" t="n">
        <f aca="false">H450</f>
        <v>7493.87274672897</v>
      </c>
      <c r="K450" s="29" t="n">
        <f aca="false">E450+(1-Model!$B$5)*H450</f>
        <v>1041.97</v>
      </c>
      <c r="L450" s="29" t="n">
        <f aca="false">IF(I450="Expedite",K450,J450)</f>
        <v>1041.97</v>
      </c>
      <c r="M450" s="29" t="n">
        <f aca="false">J450-L450</f>
        <v>6451.90274672897</v>
      </c>
      <c r="N450" s="29" t="n">
        <f aca="false">IFERROR(E450/(F450*C450*Model!$B$5),"")</f>
        <v>193.97461593333</v>
      </c>
    </row>
    <row r="451" customFormat="false" ht="15" hidden="false" customHeight="false" outlineLevel="0" collapsed="false">
      <c r="A451" s="0" t="str">
        <f aca="false">Clean!A451</f>
        <v>SHP0450</v>
      </c>
      <c r="B451" s="0" t="str">
        <f aca="false">Clean!AA451</f>
        <v>Delhivery</v>
      </c>
      <c r="C451" s="28" t="n">
        <f aca="false">Clean!J451</f>
        <v>3.83</v>
      </c>
      <c r="D451" s="29" t="n">
        <f aca="false">Clean!AF451</f>
        <v>632.18</v>
      </c>
      <c r="E451" s="29" t="n">
        <f aca="false">Clean!AE451</f>
        <v>2121.34</v>
      </c>
      <c r="F451" s="22" t="n">
        <f aca="false">AVERAGEIFS(Clean!$V$2:$V$1001,Clean!$AA$2:$AA$1001,B451)</f>
        <v>0.72538860103627</v>
      </c>
      <c r="G451" s="29" t="n">
        <f aca="false">F451*C451*D451</f>
        <v>1756.34671502591</v>
      </c>
      <c r="H451" s="29" t="n">
        <f aca="false">G451*Model!$B$4</f>
        <v>1756.34671502591</v>
      </c>
      <c r="I451" s="0" t="str">
        <f aca="false">IF(E451&lt;Model!$B$5*H451,"Expedite","Standard")</f>
        <v>Standard</v>
      </c>
      <c r="J451" s="29" t="n">
        <f aca="false">H451</f>
        <v>1756.34671502591</v>
      </c>
      <c r="K451" s="29" t="n">
        <f aca="false">E451+(1-Model!$B$5)*H451</f>
        <v>2121.34</v>
      </c>
      <c r="L451" s="29" t="n">
        <f aca="false">IF(I451="Expedite",K451,J451)</f>
        <v>1756.34671502591</v>
      </c>
      <c r="M451" s="29" t="n">
        <f aca="false">J451-L451</f>
        <v>0</v>
      </c>
      <c r="N451" s="29" t="n">
        <f aca="false">IFERROR(E451/(F451*C451*Model!$B$5),"")</f>
        <v>763.555800074599</v>
      </c>
    </row>
    <row r="452" customFormat="false" ht="15" hidden="false" customHeight="false" outlineLevel="0" collapsed="false">
      <c r="A452" s="0" t="str">
        <f aca="false">Clean!A452</f>
        <v>SHP0451</v>
      </c>
      <c r="B452" s="0" t="str">
        <f aca="false">Clean!AA452</f>
        <v>GATI Logistics</v>
      </c>
      <c r="C452" s="28" t="n">
        <f aca="false">Clean!J452</f>
        <v>9.36</v>
      </c>
      <c r="D452" s="29" t="n">
        <f aca="false">Clean!AF452</f>
        <v>696.89</v>
      </c>
      <c r="E452" s="29" t="n">
        <f aca="false">Clean!AE452</f>
        <v>4341.49</v>
      </c>
      <c r="F452" s="22" t="n">
        <f aca="false">AVERAGEIFS(Clean!$V$2:$V$1001,Clean!$AA$2:$AA$1001,B452)</f>
        <v>0.751243781094527</v>
      </c>
      <c r="G452" s="29" t="n">
        <f aca="false">F452*C452*D452</f>
        <v>4900.28084776119</v>
      </c>
      <c r="H452" s="29" t="n">
        <f aca="false">G452*Model!$B$4</f>
        <v>4900.28084776119</v>
      </c>
      <c r="I452" s="0" t="str">
        <f aca="false">IF(E452&lt;Model!$B$5*H452,"Expedite","Standard")</f>
        <v>Expedite</v>
      </c>
      <c r="J452" s="29" t="n">
        <f aca="false">H452</f>
        <v>4900.28084776119</v>
      </c>
      <c r="K452" s="29" t="n">
        <f aca="false">E452+(1-Model!$B$5)*H452</f>
        <v>4341.49</v>
      </c>
      <c r="L452" s="29" t="n">
        <f aca="false">IF(I452="Expedite",K452,J452)</f>
        <v>4341.49</v>
      </c>
      <c r="M452" s="29" t="n">
        <f aca="false">J452-L452</f>
        <v>558.790847761194</v>
      </c>
      <c r="N452" s="29" t="n">
        <f aca="false">IFERROR(E452/(F452*C452*Model!$B$5),"")</f>
        <v>617.421951944303</v>
      </c>
    </row>
    <row r="453" customFormat="false" ht="15" hidden="false" customHeight="false" outlineLevel="0" collapsed="false">
      <c r="A453" s="0" t="str">
        <f aca="false">Clean!A453</f>
        <v>SHP0452</v>
      </c>
      <c r="B453" s="0" t="str">
        <f aca="false">Clean!AA453</f>
        <v>VRL Cargo</v>
      </c>
      <c r="C453" s="28" t="n">
        <f aca="false">Clean!J453</f>
        <v>9.38</v>
      </c>
      <c r="D453" s="29" t="n">
        <f aca="false">Clean!AF453</f>
        <v>966.12</v>
      </c>
      <c r="E453" s="29" t="n">
        <f aca="false">Clean!AE453</f>
        <v>4741.51</v>
      </c>
      <c r="F453" s="22" t="n">
        <f aca="false">AVERAGEIFS(Clean!$V$2:$V$1001,Clean!$AA$2:$AA$1001,B453)</f>
        <v>0.72020725388601</v>
      </c>
      <c r="G453" s="29" t="n">
        <f aca="false">F453*C453*D453</f>
        <v>6526.66620932643</v>
      </c>
      <c r="H453" s="29" t="n">
        <f aca="false">G453*Model!$B$4</f>
        <v>6526.66620932643</v>
      </c>
      <c r="I453" s="0" t="str">
        <f aca="false">IF(E453&lt;Model!$B$5*H453,"Expedite","Standard")</f>
        <v>Expedite</v>
      </c>
      <c r="J453" s="29" t="n">
        <f aca="false">H453</f>
        <v>6526.66620932643</v>
      </c>
      <c r="K453" s="29" t="n">
        <f aca="false">E453+(1-Model!$B$5)*H453</f>
        <v>4741.51</v>
      </c>
      <c r="L453" s="29" t="n">
        <f aca="false">IF(I453="Expedite",K453,J453)</f>
        <v>4741.51</v>
      </c>
      <c r="M453" s="29" t="n">
        <f aca="false">J453-L453</f>
        <v>1785.15620932642</v>
      </c>
      <c r="N453" s="29" t="n">
        <f aca="false">IFERROR(E453/(F453*C453*Model!$B$5),"")</f>
        <v>701.869452838582</v>
      </c>
    </row>
    <row r="454" customFormat="false" ht="15" hidden="false" customHeight="false" outlineLevel="0" collapsed="false">
      <c r="A454" s="0" t="str">
        <f aca="false">Clean!A454</f>
        <v>SHP0453</v>
      </c>
      <c r="B454" s="0" t="str">
        <f aca="false">Clean!AA454</f>
        <v>TCI Express</v>
      </c>
      <c r="C454" s="28" t="n">
        <f aca="false">Clean!J454</f>
        <v>9.46</v>
      </c>
      <c r="D454" s="29" t="n">
        <f aca="false">Clean!AF454</f>
        <v>1104.36</v>
      </c>
      <c r="E454" s="29" t="n">
        <f aca="false">Clean!AE454</f>
        <v>1238.35</v>
      </c>
      <c r="F454" s="22" t="n">
        <f aca="false">AVERAGEIFS(Clean!$V$2:$V$1001,Clean!$AA$2:$AA$1001,B454)</f>
        <v>0.752336448598131</v>
      </c>
      <c r="G454" s="29" t="n">
        <f aca="false">F454*C454*D454</f>
        <v>7859.84365233645</v>
      </c>
      <c r="H454" s="29" t="n">
        <f aca="false">G454*Model!$B$4</f>
        <v>7859.84365233645</v>
      </c>
      <c r="I454" s="0" t="str">
        <f aca="false">IF(E454&lt;Model!$B$5*H454,"Expedite","Standard")</f>
        <v>Expedite</v>
      </c>
      <c r="J454" s="29" t="n">
        <f aca="false">H454</f>
        <v>7859.84365233645</v>
      </c>
      <c r="K454" s="29" t="n">
        <f aca="false">E454+(1-Model!$B$5)*H454</f>
        <v>1238.35</v>
      </c>
      <c r="L454" s="29" t="n">
        <f aca="false">IF(I454="Expedite",K454,J454)</f>
        <v>1238.35</v>
      </c>
      <c r="M454" s="29" t="n">
        <f aca="false">J454-L454</f>
        <v>6621.49365233645</v>
      </c>
      <c r="N454" s="29" t="n">
        <f aca="false">IFERROR(E454/(F454*C454*Model!$B$5),"")</f>
        <v>173.996362585847</v>
      </c>
    </row>
    <row r="455" customFormat="false" ht="15" hidden="false" customHeight="false" outlineLevel="0" collapsed="false">
      <c r="A455" s="0" t="str">
        <f aca="false">Clean!A455</f>
        <v>SHP0454</v>
      </c>
      <c r="B455" s="0" t="str">
        <f aca="false">Clean!AA455</f>
        <v>VRL Cargo</v>
      </c>
      <c r="C455" s="28" t="n">
        <f aca="false">Clean!J455</f>
        <v>15.51</v>
      </c>
      <c r="D455" s="29" t="n">
        <f aca="false">Clean!AF455</f>
        <v>1242.29</v>
      </c>
      <c r="E455" s="29" t="n">
        <f aca="false">Clean!AE455</f>
        <v>1571.84</v>
      </c>
      <c r="F455" s="22" t="n">
        <f aca="false">AVERAGEIFS(Clean!$V$2:$V$1001,Clean!$AA$2:$AA$1001,B455)</f>
        <v>0.72020725388601</v>
      </c>
      <c r="G455" s="29" t="n">
        <f aca="false">F455*C455*D455</f>
        <v>13876.8942388601</v>
      </c>
      <c r="H455" s="29" t="n">
        <f aca="false">G455*Model!$B$4</f>
        <v>13876.8942388601</v>
      </c>
      <c r="I455" s="0" t="str">
        <f aca="false">IF(E455&lt;Model!$B$5*H455,"Expedite","Standard")</f>
        <v>Expedite</v>
      </c>
      <c r="J455" s="29" t="n">
        <f aca="false">H455</f>
        <v>13876.8942388601</v>
      </c>
      <c r="K455" s="29" t="n">
        <f aca="false">E455+(1-Model!$B$5)*H455</f>
        <v>1571.84</v>
      </c>
      <c r="L455" s="29" t="n">
        <f aca="false">IF(I455="Expedite",K455,J455)</f>
        <v>1571.84</v>
      </c>
      <c r="M455" s="29" t="n">
        <f aca="false">J455-L455</f>
        <v>12305.0542388601</v>
      </c>
      <c r="N455" s="29" t="n">
        <f aca="false">IFERROR(E455/(F455*C455*Model!$B$5),"")</f>
        <v>140.714563358984</v>
      </c>
    </row>
    <row r="456" customFormat="false" ht="15" hidden="false" customHeight="false" outlineLevel="0" collapsed="false">
      <c r="A456" s="0" t="str">
        <f aca="false">Clean!A456</f>
        <v>SHP0455</v>
      </c>
      <c r="B456" s="0" t="str">
        <f aca="false">Clean!AA456</f>
        <v>Delhivery</v>
      </c>
      <c r="C456" s="28" t="n">
        <f aca="false">Clean!J456</f>
        <v>5.64</v>
      </c>
      <c r="D456" s="29" t="n">
        <f aca="false">Clean!AF456</f>
        <v>1073.87</v>
      </c>
      <c r="E456" s="29" t="n">
        <f aca="false">Clean!AE456</f>
        <v>1284.62</v>
      </c>
      <c r="F456" s="22" t="n">
        <f aca="false">AVERAGEIFS(Clean!$V$2:$V$1001,Clean!$AA$2:$AA$1001,B456)</f>
        <v>0.72538860103627</v>
      </c>
      <c r="G456" s="29" t="n">
        <f aca="false">F456*C456*D456</f>
        <v>4393.40804145078</v>
      </c>
      <c r="H456" s="29" t="n">
        <f aca="false">G456*Model!$B$4</f>
        <v>4393.40804145078</v>
      </c>
      <c r="I456" s="0" t="str">
        <f aca="false">IF(E456&lt;Model!$B$5*H456,"Expedite","Standard")</f>
        <v>Expedite</v>
      </c>
      <c r="J456" s="29" t="n">
        <f aca="false">H456</f>
        <v>4393.40804145078</v>
      </c>
      <c r="K456" s="29" t="n">
        <f aca="false">E456+(1-Model!$B$5)*H456</f>
        <v>1284.62</v>
      </c>
      <c r="L456" s="29" t="n">
        <f aca="false">IF(I456="Expedite",K456,J456)</f>
        <v>1284.62</v>
      </c>
      <c r="M456" s="29" t="n">
        <f aca="false">J456-L456</f>
        <v>3108.78804145078</v>
      </c>
      <c r="N456" s="29" t="n">
        <f aca="false">IFERROR(E456/(F456*C456*Model!$B$5),"")</f>
        <v>313.996529888551</v>
      </c>
    </row>
    <row r="457" customFormat="false" ht="15" hidden="false" customHeight="false" outlineLevel="0" collapsed="false">
      <c r="A457" s="0" t="str">
        <f aca="false">Clean!A457</f>
        <v>SHP0456</v>
      </c>
      <c r="B457" s="0" t="str">
        <f aca="false">Clean!AA457</f>
        <v>BlueDart</v>
      </c>
      <c r="C457" s="28" t="n">
        <f aca="false">Clean!J457</f>
        <v>11.75</v>
      </c>
      <c r="D457" s="29" t="n">
        <f aca="false">Clean!AF457</f>
        <v>685.28</v>
      </c>
      <c r="E457" s="29" t="n">
        <f aca="false">Clean!AE457</f>
        <v>1176.26</v>
      </c>
      <c r="F457" s="22" t="n">
        <f aca="false">AVERAGEIFS(Clean!$V$2:$V$1001,Clean!$AA$2:$AA$1001,B457)</f>
        <v>0.773869346733668</v>
      </c>
      <c r="G457" s="29" t="n">
        <f aca="false">F457*C457*D457</f>
        <v>6231.22693467337</v>
      </c>
      <c r="H457" s="29" t="n">
        <f aca="false">G457*Model!$B$4</f>
        <v>6231.22693467337</v>
      </c>
      <c r="I457" s="0" t="str">
        <f aca="false">IF(E457&lt;Model!$B$5*H457,"Expedite","Standard")</f>
        <v>Expedite</v>
      </c>
      <c r="J457" s="29" t="n">
        <f aca="false">H457</f>
        <v>6231.22693467337</v>
      </c>
      <c r="K457" s="29" t="n">
        <f aca="false">E457+(1-Model!$B$5)*H457</f>
        <v>1176.26</v>
      </c>
      <c r="L457" s="29" t="n">
        <f aca="false">IF(I457="Expedite",K457,J457)</f>
        <v>1176.26</v>
      </c>
      <c r="M457" s="29" t="n">
        <f aca="false">J457-L457</f>
        <v>5054.96693467337</v>
      </c>
      <c r="N457" s="29" t="n">
        <f aca="false">IFERROR(E457/(F457*C457*Model!$B$5),"")</f>
        <v>129.359347886156</v>
      </c>
    </row>
    <row r="458" customFormat="false" ht="15" hidden="false" customHeight="false" outlineLevel="0" collapsed="false">
      <c r="A458" s="0" t="str">
        <f aca="false">Clean!A458</f>
        <v>SHP0457</v>
      </c>
      <c r="B458" s="0" t="str">
        <f aca="false">Clean!AA458</f>
        <v>BlueDart</v>
      </c>
      <c r="C458" s="28" t="n">
        <f aca="false">Clean!J458</f>
        <v>11.28</v>
      </c>
      <c r="D458" s="29" t="n">
        <f aca="false">Clean!AF458</f>
        <v>623.28</v>
      </c>
      <c r="E458" s="29" t="n">
        <f aca="false">Clean!AE458</f>
        <v>1507.78</v>
      </c>
      <c r="F458" s="22" t="n">
        <f aca="false">AVERAGEIFS(Clean!$V$2:$V$1001,Clean!$AA$2:$AA$1001,B458)</f>
        <v>0.773869346733668</v>
      </c>
      <c r="G458" s="29" t="n">
        <f aca="false">F458*C458*D458</f>
        <v>5440.76459095477</v>
      </c>
      <c r="H458" s="29" t="n">
        <f aca="false">G458*Model!$B$4</f>
        <v>5440.76459095477</v>
      </c>
      <c r="I458" s="0" t="str">
        <f aca="false">IF(E458&lt;Model!$B$5*H458,"Expedite","Standard")</f>
        <v>Expedite</v>
      </c>
      <c r="J458" s="29" t="n">
        <f aca="false">H458</f>
        <v>5440.76459095477</v>
      </c>
      <c r="K458" s="29" t="n">
        <f aca="false">E458+(1-Model!$B$5)*H458</f>
        <v>1507.78</v>
      </c>
      <c r="L458" s="29" t="n">
        <f aca="false">IF(I458="Expedite",K458,J458)</f>
        <v>1507.78</v>
      </c>
      <c r="M458" s="29" t="n">
        <f aca="false">J458-L458</f>
        <v>3932.98459095477</v>
      </c>
      <c r="N458" s="29" t="n">
        <f aca="false">IFERROR(E458/(F458*C458*Model!$B$5),"")</f>
        <v>172.727399373676</v>
      </c>
    </row>
    <row r="459" customFormat="false" ht="15" hidden="false" customHeight="false" outlineLevel="0" collapsed="false">
      <c r="A459" s="0" t="str">
        <f aca="false">Clean!A459</f>
        <v>SHP0458</v>
      </c>
      <c r="B459" s="0" t="str">
        <f aca="false">Clean!AA459</f>
        <v>BlueDart</v>
      </c>
      <c r="C459" s="28" t="n">
        <f aca="false">Clean!J459</f>
        <v>10.85</v>
      </c>
      <c r="D459" s="29" t="n">
        <f aca="false">Clean!AF459</f>
        <v>882.14</v>
      </c>
      <c r="E459" s="29" t="n">
        <f aca="false">Clean!AE459</f>
        <v>1570.23</v>
      </c>
      <c r="F459" s="22" t="n">
        <f aca="false">AVERAGEIFS(Clean!$V$2:$V$1001,Clean!$AA$2:$AA$1001,B459)</f>
        <v>0.773869346733668</v>
      </c>
      <c r="G459" s="29" t="n">
        <f aca="false">F459*C459*D459</f>
        <v>7406.87299497487</v>
      </c>
      <c r="H459" s="29" t="n">
        <f aca="false">G459*Model!$B$4</f>
        <v>7406.87299497487</v>
      </c>
      <c r="I459" s="0" t="str">
        <f aca="false">IF(E459&lt;Model!$B$5*H459,"Expedite","Standard")</f>
        <v>Expedite</v>
      </c>
      <c r="J459" s="29" t="n">
        <f aca="false">H459</f>
        <v>7406.87299497487</v>
      </c>
      <c r="K459" s="29" t="n">
        <f aca="false">E459+(1-Model!$B$5)*H459</f>
        <v>1570.23</v>
      </c>
      <c r="L459" s="29" t="n">
        <f aca="false">IF(I459="Expedite",K459,J459)</f>
        <v>1570.23</v>
      </c>
      <c r="M459" s="29" t="n">
        <f aca="false">J459-L459</f>
        <v>5836.64299497487</v>
      </c>
      <c r="N459" s="29" t="n">
        <f aca="false">IFERROR(E459/(F459*C459*Model!$B$5),"")</f>
        <v>187.010455443174</v>
      </c>
    </row>
    <row r="460" customFormat="false" ht="15" hidden="false" customHeight="false" outlineLevel="0" collapsed="false">
      <c r="A460" s="0" t="str">
        <f aca="false">Clean!A460</f>
        <v>SHP0459</v>
      </c>
      <c r="B460" s="0" t="str">
        <f aca="false">Clean!AA460</f>
        <v>GATI Logistics</v>
      </c>
      <c r="C460" s="28" t="n">
        <f aca="false">Clean!J460</f>
        <v>11.54</v>
      </c>
      <c r="D460" s="29" t="n">
        <f aca="false">Clean!AF460</f>
        <v>522.22</v>
      </c>
      <c r="E460" s="29" t="n">
        <f aca="false">Clean!AE460</f>
        <v>3318.48</v>
      </c>
      <c r="F460" s="22" t="n">
        <f aca="false">AVERAGEIFS(Clean!$V$2:$V$1001,Clean!$AA$2:$AA$1001,B460)</f>
        <v>0.751243781094527</v>
      </c>
      <c r="G460" s="29" t="n">
        <f aca="false">F460*C460*D460</f>
        <v>4527.30964577114</v>
      </c>
      <c r="H460" s="29" t="n">
        <f aca="false">G460*Model!$B$4</f>
        <v>4527.30964577114</v>
      </c>
      <c r="I460" s="0" t="str">
        <f aca="false">IF(E460&lt;Model!$B$5*H460,"Expedite","Standard")</f>
        <v>Expedite</v>
      </c>
      <c r="J460" s="29" t="n">
        <f aca="false">H460</f>
        <v>4527.30964577114</v>
      </c>
      <c r="K460" s="29" t="n">
        <f aca="false">E460+(1-Model!$B$5)*H460</f>
        <v>3318.48</v>
      </c>
      <c r="L460" s="29" t="n">
        <f aca="false">IF(I460="Expedite",K460,J460)</f>
        <v>3318.48</v>
      </c>
      <c r="M460" s="29" t="n">
        <f aca="false">J460-L460</f>
        <v>1208.82964577114</v>
      </c>
      <c r="N460" s="29" t="n">
        <f aca="false">IFERROR(E460/(F460*C460*Model!$B$5),"")</f>
        <v>382.78288016344</v>
      </c>
    </row>
    <row r="461" customFormat="false" ht="15" hidden="false" customHeight="false" outlineLevel="0" collapsed="false">
      <c r="A461" s="0" t="str">
        <f aca="false">Clean!A461</f>
        <v>SHP0460</v>
      </c>
      <c r="B461" s="0" t="str">
        <f aca="false">Clean!AA461</f>
        <v>BlueDart</v>
      </c>
      <c r="C461" s="28" t="n">
        <f aca="false">Clean!J461</f>
        <v>19.78</v>
      </c>
      <c r="D461" s="29" t="n">
        <f aca="false">Clean!AF461</f>
        <v>707.78</v>
      </c>
      <c r="E461" s="29" t="n">
        <f aca="false">Clean!AE461</f>
        <v>3470.12</v>
      </c>
      <c r="F461" s="22" t="n">
        <f aca="false">AVERAGEIFS(Clean!$V$2:$V$1001,Clean!$AA$2:$AA$1001,B461)</f>
        <v>0.773869346733668</v>
      </c>
      <c r="G461" s="29" t="n">
        <f aca="false">F461*C461*D461</f>
        <v>10834.0844904523</v>
      </c>
      <c r="H461" s="29" t="n">
        <f aca="false">G461*Model!$B$4</f>
        <v>10834.0844904523</v>
      </c>
      <c r="I461" s="0" t="str">
        <f aca="false">IF(E461&lt;Model!$B$5*H461,"Expedite","Standard")</f>
        <v>Expedite</v>
      </c>
      <c r="J461" s="29" t="n">
        <f aca="false">H461</f>
        <v>10834.0844904523</v>
      </c>
      <c r="K461" s="29" t="n">
        <f aca="false">E461+(1-Model!$B$5)*H461</f>
        <v>3470.12</v>
      </c>
      <c r="L461" s="29" t="n">
        <f aca="false">IF(I461="Expedite",K461,J461)</f>
        <v>3470.12</v>
      </c>
      <c r="M461" s="29" t="n">
        <f aca="false">J461-L461</f>
        <v>7363.96449045226</v>
      </c>
      <c r="N461" s="29" t="n">
        <f aca="false">IFERROR(E461/(F461*C461*Model!$B$5),"")</f>
        <v>226.699499691411</v>
      </c>
    </row>
    <row r="462" customFormat="false" ht="15" hidden="false" customHeight="false" outlineLevel="0" collapsed="false">
      <c r="A462" s="0" t="str">
        <f aca="false">Clean!A462</f>
        <v>SHP0461</v>
      </c>
      <c r="B462" s="0" t="str">
        <f aca="false">Clean!AA462</f>
        <v>VRL Cargo</v>
      </c>
      <c r="C462" s="28" t="n">
        <f aca="false">Clean!J462</f>
        <v>12.17</v>
      </c>
      <c r="D462" s="29" t="n">
        <f aca="false">Clean!AF462</f>
        <v>1187.3</v>
      </c>
      <c r="E462" s="29" t="n">
        <f aca="false">Clean!AE462</f>
        <v>2299.69</v>
      </c>
      <c r="F462" s="22" t="n">
        <f aca="false">AVERAGEIFS(Clean!$V$2:$V$1001,Clean!$AA$2:$AA$1001,B462)</f>
        <v>0.72020725388601</v>
      </c>
      <c r="G462" s="29" t="n">
        <f aca="false">F462*C462*D462</f>
        <v>10406.5922227979</v>
      </c>
      <c r="H462" s="29" t="n">
        <f aca="false">G462*Model!$B$4</f>
        <v>10406.5922227979</v>
      </c>
      <c r="I462" s="0" t="str">
        <f aca="false">IF(E462&lt;Model!$B$5*H462,"Expedite","Standard")</f>
        <v>Expedite</v>
      </c>
      <c r="J462" s="29" t="n">
        <f aca="false">H462</f>
        <v>10406.5922227979</v>
      </c>
      <c r="K462" s="29" t="n">
        <f aca="false">E462+(1-Model!$B$5)*H462</f>
        <v>2299.69</v>
      </c>
      <c r="L462" s="29" t="n">
        <f aca="false">IF(I462="Expedite",K462,J462)</f>
        <v>2299.69</v>
      </c>
      <c r="M462" s="29" t="n">
        <f aca="false">J462-L462</f>
        <v>8106.90222279793</v>
      </c>
      <c r="N462" s="29" t="n">
        <f aca="false">IFERROR(E462/(F462*C462*Model!$B$5),"")</f>
        <v>262.374260328795</v>
      </c>
    </row>
    <row r="463" customFormat="false" ht="15" hidden="false" customHeight="false" outlineLevel="0" collapsed="false">
      <c r="A463" s="0" t="str">
        <f aca="false">Clean!A463</f>
        <v>SHP0462</v>
      </c>
      <c r="B463" s="0" t="str">
        <f aca="false">Clean!AA463</f>
        <v>TCI Express</v>
      </c>
      <c r="C463" s="28" t="n">
        <f aca="false">Clean!J463</f>
        <v>19.27</v>
      </c>
      <c r="D463" s="29" t="n">
        <f aca="false">Clean!AF463</f>
        <v>694.77</v>
      </c>
      <c r="E463" s="29" t="n">
        <f aca="false">Clean!AE463</f>
        <v>1066.7</v>
      </c>
      <c r="F463" s="22" t="n">
        <f aca="false">AVERAGEIFS(Clean!$V$2:$V$1001,Clean!$AA$2:$AA$1001,B463)</f>
        <v>0.752336448598131</v>
      </c>
      <c r="G463" s="29" t="n">
        <f aca="false">F463*C463*D463</f>
        <v>10072.4443079439</v>
      </c>
      <c r="H463" s="29" t="n">
        <f aca="false">G463*Model!$B$4</f>
        <v>10072.4443079439</v>
      </c>
      <c r="I463" s="0" t="str">
        <f aca="false">IF(E463&lt;Model!$B$5*H463,"Expedite","Standard")</f>
        <v>Expedite</v>
      </c>
      <c r="J463" s="29" t="n">
        <f aca="false">H463</f>
        <v>10072.4443079439</v>
      </c>
      <c r="K463" s="29" t="n">
        <f aca="false">E463+(1-Model!$B$5)*H463</f>
        <v>1066.7</v>
      </c>
      <c r="L463" s="29" t="n">
        <f aca="false">IF(I463="Expedite",K463,J463)</f>
        <v>1066.7</v>
      </c>
      <c r="M463" s="29" t="n">
        <f aca="false">J463-L463</f>
        <v>9005.74430794393</v>
      </c>
      <c r="N463" s="29" t="n">
        <f aca="false">IFERROR(E463/(F463*C463*Model!$B$5),"")</f>
        <v>73.5780845584325</v>
      </c>
    </row>
    <row r="464" customFormat="false" ht="15" hidden="false" customHeight="false" outlineLevel="0" collapsed="false">
      <c r="A464" s="0" t="str">
        <f aca="false">Clean!A464</f>
        <v>SHP0463</v>
      </c>
      <c r="B464" s="0" t="str">
        <f aca="false">Clean!AA464</f>
        <v>GATI Logistics</v>
      </c>
      <c r="C464" s="28" t="n">
        <f aca="false">Clean!J464</f>
        <v>16.4</v>
      </c>
      <c r="D464" s="29" t="n">
        <f aca="false">Clean!AF464</f>
        <v>1152.28</v>
      </c>
      <c r="E464" s="29" t="n">
        <f aca="false">Clean!AE464</f>
        <v>4560.55</v>
      </c>
      <c r="F464" s="22" t="n">
        <f aca="false">AVERAGEIFS(Clean!$V$2:$V$1001,Clean!$AA$2:$AA$1001,B464)</f>
        <v>0.751243781094527</v>
      </c>
      <c r="G464" s="29" t="n">
        <f aca="false">F464*C464*D464</f>
        <v>14196.5482189055</v>
      </c>
      <c r="H464" s="29" t="n">
        <f aca="false">G464*Model!$B$4</f>
        <v>14196.5482189055</v>
      </c>
      <c r="I464" s="0" t="str">
        <f aca="false">IF(E464&lt;Model!$B$5*H464,"Expedite","Standard")</f>
        <v>Expedite</v>
      </c>
      <c r="J464" s="29" t="n">
        <f aca="false">H464</f>
        <v>14196.5482189055</v>
      </c>
      <c r="K464" s="29" t="n">
        <f aca="false">E464+(1-Model!$B$5)*H464</f>
        <v>4560.55</v>
      </c>
      <c r="L464" s="29" t="n">
        <f aca="false">IF(I464="Expedite",K464,J464)</f>
        <v>4560.55</v>
      </c>
      <c r="M464" s="29" t="n">
        <f aca="false">J464-L464</f>
        <v>9635.99821890547</v>
      </c>
      <c r="N464" s="29" t="n">
        <f aca="false">IFERROR(E464/(F464*C464*Model!$B$5),"")</f>
        <v>370.162554514618</v>
      </c>
    </row>
    <row r="465" customFormat="false" ht="15" hidden="false" customHeight="false" outlineLevel="0" collapsed="false">
      <c r="A465" s="0" t="str">
        <f aca="false">Clean!A465</f>
        <v>SHP0464</v>
      </c>
      <c r="B465" s="0" t="str">
        <f aca="false">Clean!AA465</f>
        <v>VRL Cargo</v>
      </c>
      <c r="C465" s="28" t="n">
        <f aca="false">Clean!J465</f>
        <v>9.73</v>
      </c>
      <c r="D465" s="29" t="n">
        <f aca="false">Clean!AF465</f>
        <v>1494.08</v>
      </c>
      <c r="E465" s="29" t="n">
        <f aca="false">Clean!AE465</f>
        <v>4075.68</v>
      </c>
      <c r="F465" s="22" t="n">
        <f aca="false">AVERAGEIFS(Clean!$V$2:$V$1001,Clean!$AA$2:$AA$1001,B465)</f>
        <v>0.72020725388601</v>
      </c>
      <c r="G465" s="29" t="n">
        <f aca="false">F465*C465*D465</f>
        <v>10469.9397803109</v>
      </c>
      <c r="H465" s="29" t="n">
        <f aca="false">G465*Model!$B$4</f>
        <v>10469.9397803109</v>
      </c>
      <c r="I465" s="0" t="str">
        <f aca="false">IF(E465&lt;Model!$B$5*H465,"Expedite","Standard")</f>
        <v>Expedite</v>
      </c>
      <c r="J465" s="29" t="n">
        <f aca="false">H465</f>
        <v>10469.9397803109</v>
      </c>
      <c r="K465" s="29" t="n">
        <f aca="false">E465+(1-Model!$B$5)*H465</f>
        <v>4075.68</v>
      </c>
      <c r="L465" s="29" t="n">
        <f aca="false">IF(I465="Expedite",K465,J465)</f>
        <v>4075.68</v>
      </c>
      <c r="M465" s="29" t="n">
        <f aca="false">J465-L465</f>
        <v>6394.25978031088</v>
      </c>
      <c r="N465" s="29" t="n">
        <f aca="false">IFERROR(E465/(F465*C465*Model!$B$5),"")</f>
        <v>581.607163190311</v>
      </c>
    </row>
    <row r="466" customFormat="false" ht="15" hidden="false" customHeight="false" outlineLevel="0" collapsed="false">
      <c r="A466" s="0" t="str">
        <f aca="false">Clean!A466</f>
        <v>SHP0465</v>
      </c>
      <c r="B466" s="0" t="str">
        <f aca="false">Clean!AA466</f>
        <v>GATI Logistics</v>
      </c>
      <c r="C466" s="28" t="n">
        <f aca="false">Clean!J466</f>
        <v>1.21</v>
      </c>
      <c r="D466" s="29" t="n">
        <f aca="false">Clean!AF466</f>
        <v>1093.78</v>
      </c>
      <c r="E466" s="29" t="n">
        <f aca="false">Clean!AE466</f>
        <v>2431.24</v>
      </c>
      <c r="F466" s="22" t="n">
        <f aca="false">AVERAGEIFS(Clean!$V$2:$V$1001,Clean!$AA$2:$AA$1001,B466)</f>
        <v>0.751243781094527</v>
      </c>
      <c r="G466" s="29" t="n">
        <f aca="false">F466*C466*D466</f>
        <v>994.251461691542</v>
      </c>
      <c r="H466" s="29" t="n">
        <f aca="false">G466*Model!$B$4</f>
        <v>994.251461691542</v>
      </c>
      <c r="I466" s="0" t="str">
        <f aca="false">IF(E466&lt;Model!$B$5*H466,"Expedite","Standard")</f>
        <v>Standard</v>
      </c>
      <c r="J466" s="29" t="n">
        <f aca="false">H466</f>
        <v>994.251461691542</v>
      </c>
      <c r="K466" s="29" t="n">
        <f aca="false">E466+(1-Model!$B$5)*H466</f>
        <v>2431.24</v>
      </c>
      <c r="L466" s="29" t="n">
        <f aca="false">IF(I466="Expedite",K466,J466)</f>
        <v>994.251461691542</v>
      </c>
      <c r="M466" s="29" t="n">
        <f aca="false">J466-L466</f>
        <v>0</v>
      </c>
      <c r="N466" s="29" t="n">
        <f aca="false">IFERROR(E466/(F466*C466*Model!$B$5),"")</f>
        <v>2674.61682447595</v>
      </c>
    </row>
    <row r="467" customFormat="false" ht="15" hidden="false" customHeight="false" outlineLevel="0" collapsed="false">
      <c r="A467" s="0" t="str">
        <f aca="false">Clean!A467</f>
        <v>SHP0466</v>
      </c>
      <c r="B467" s="0" t="str">
        <f aca="false">Clean!AA467</f>
        <v>BlueDart</v>
      </c>
      <c r="C467" s="28" t="n">
        <f aca="false">Clean!J467</f>
        <v>11.94</v>
      </c>
      <c r="D467" s="29" t="n">
        <f aca="false">Clean!AF467</f>
        <v>754.54</v>
      </c>
      <c r="E467" s="29" t="n">
        <f aca="false">Clean!AE467</f>
        <v>4309.99</v>
      </c>
      <c r="F467" s="22" t="n">
        <f aca="false">AVERAGEIFS(Clean!$V$2:$V$1001,Clean!$AA$2:$AA$1001,B467)</f>
        <v>0.773869346733668</v>
      </c>
      <c r="G467" s="29" t="n">
        <f aca="false">F467*C467*D467</f>
        <v>6971.9496</v>
      </c>
      <c r="H467" s="29" t="n">
        <f aca="false">G467*Model!$B$4</f>
        <v>6971.9496</v>
      </c>
      <c r="I467" s="0" t="str">
        <f aca="false">IF(E467&lt;Model!$B$5*H467,"Expedite","Standard")</f>
        <v>Expedite</v>
      </c>
      <c r="J467" s="29" t="n">
        <f aca="false">H467</f>
        <v>6971.9496</v>
      </c>
      <c r="K467" s="29" t="n">
        <f aca="false">E467+(1-Model!$B$5)*H467</f>
        <v>4309.99</v>
      </c>
      <c r="L467" s="29" t="n">
        <f aca="false">IF(I467="Expedite",K467,J467)</f>
        <v>4309.99</v>
      </c>
      <c r="M467" s="29" t="n">
        <f aca="false">J467-L467</f>
        <v>2661.9596</v>
      </c>
      <c r="N467" s="29" t="n">
        <f aca="false">IFERROR(E467/(F467*C467*Model!$B$5),"")</f>
        <v>466.449134199134</v>
      </c>
    </row>
    <row r="468" customFormat="false" ht="15" hidden="false" customHeight="false" outlineLevel="0" collapsed="false">
      <c r="A468" s="0" t="str">
        <f aca="false">Clean!A468</f>
        <v>SHP0467</v>
      </c>
      <c r="B468" s="0" t="str">
        <f aca="false">Clean!AA468</f>
        <v>TCI Express</v>
      </c>
      <c r="C468" s="28" t="n">
        <f aca="false">Clean!J468</f>
        <v>9.99</v>
      </c>
      <c r="D468" s="29" t="n">
        <f aca="false">Clean!AF468</f>
        <v>940.54</v>
      </c>
      <c r="E468" s="29" t="n">
        <f aca="false">Clean!AE468</f>
        <v>1522.02</v>
      </c>
      <c r="F468" s="22" t="n">
        <f aca="false">AVERAGEIFS(Clean!$V$2:$V$1001,Clean!$AA$2:$AA$1001,B468)</f>
        <v>0.752336448598131</v>
      </c>
      <c r="G468" s="29" t="n">
        <f aca="false">F468*C468*D468</f>
        <v>7068.94920841122</v>
      </c>
      <c r="H468" s="29" t="n">
        <f aca="false">G468*Model!$B$4</f>
        <v>7068.94920841122</v>
      </c>
      <c r="I468" s="0" t="str">
        <f aca="false">IF(E468&lt;Model!$B$5*H468,"Expedite","Standard")</f>
        <v>Expedite</v>
      </c>
      <c r="J468" s="29" t="n">
        <f aca="false">H468</f>
        <v>7068.94920841122</v>
      </c>
      <c r="K468" s="29" t="n">
        <f aca="false">E468+(1-Model!$B$5)*H468</f>
        <v>1522.02</v>
      </c>
      <c r="L468" s="29" t="n">
        <f aca="false">IF(I468="Expedite",K468,J468)</f>
        <v>1522.02</v>
      </c>
      <c r="M468" s="29" t="n">
        <f aca="false">J468-L468</f>
        <v>5546.92920841122</v>
      </c>
      <c r="N468" s="29" t="n">
        <f aca="false">IFERROR(E468/(F468*C468*Model!$B$5),"")</f>
        <v>202.508272247403</v>
      </c>
    </row>
    <row r="469" customFormat="false" ht="15" hidden="false" customHeight="false" outlineLevel="0" collapsed="false">
      <c r="A469" s="0" t="str">
        <f aca="false">Clean!A469</f>
        <v>SHP0468</v>
      </c>
      <c r="B469" s="0" t="str">
        <f aca="false">Clean!AA469</f>
        <v>Delhivery</v>
      </c>
      <c r="C469" s="28" t="n">
        <f aca="false">Clean!J469</f>
        <v>7.03</v>
      </c>
      <c r="D469" s="29" t="n">
        <f aca="false">Clean!AF469</f>
        <v>1408.02</v>
      </c>
      <c r="E469" s="29" t="n">
        <f aca="false">Clean!AE469</f>
        <v>2662.06</v>
      </c>
      <c r="F469" s="22" t="n">
        <f aca="false">AVERAGEIFS(Clean!$V$2:$V$1001,Clean!$AA$2:$AA$1001,B469)</f>
        <v>0.72538860103627</v>
      </c>
      <c r="G469" s="29" t="n">
        <f aca="false">F469*C469*D469</f>
        <v>7180.17245595855</v>
      </c>
      <c r="H469" s="29" t="n">
        <f aca="false">G469*Model!$B$4</f>
        <v>7180.17245595855</v>
      </c>
      <c r="I469" s="0" t="str">
        <f aca="false">IF(E469&lt;Model!$B$5*H469,"Expedite","Standard")</f>
        <v>Expedite</v>
      </c>
      <c r="J469" s="29" t="n">
        <f aca="false">H469</f>
        <v>7180.17245595855</v>
      </c>
      <c r="K469" s="29" t="n">
        <f aca="false">E469+(1-Model!$B$5)*H469</f>
        <v>2662.06</v>
      </c>
      <c r="L469" s="29" t="n">
        <f aca="false">IF(I469="Expedite",K469,J469)</f>
        <v>2662.06</v>
      </c>
      <c r="M469" s="29" t="n">
        <f aca="false">J469-L469</f>
        <v>4518.11245595855</v>
      </c>
      <c r="N469" s="29" t="n">
        <f aca="false">IFERROR(E469/(F469*C469*Model!$B$5),"")</f>
        <v>522.025584230847</v>
      </c>
    </row>
    <row r="470" customFormat="false" ht="15" hidden="false" customHeight="false" outlineLevel="0" collapsed="false">
      <c r="A470" s="0" t="str">
        <f aca="false">Clean!A470</f>
        <v>SHP0469</v>
      </c>
      <c r="B470" s="0" t="str">
        <f aca="false">Clean!AA470</f>
        <v>VRL Cargo</v>
      </c>
      <c r="C470" s="28" t="n">
        <f aca="false">Clean!J470</f>
        <v>5.61</v>
      </c>
      <c r="D470" s="29" t="n">
        <f aca="false">Clean!AF470</f>
        <v>753.61</v>
      </c>
      <c r="E470" s="29" t="n">
        <f aca="false">Clean!AE470</f>
        <v>1501.5</v>
      </c>
      <c r="F470" s="22" t="n">
        <f aca="false">AVERAGEIFS(Clean!$V$2:$V$1001,Clean!$AA$2:$AA$1001,B470)</f>
        <v>0.72020725388601</v>
      </c>
      <c r="G470" s="29" t="n">
        <f aca="false">F470*C470*D470</f>
        <v>3044.85773005181</v>
      </c>
      <c r="H470" s="29" t="n">
        <f aca="false">G470*Model!$B$4</f>
        <v>3044.85773005181</v>
      </c>
      <c r="I470" s="0" t="str">
        <f aca="false">IF(E470&lt;Model!$B$5*H470,"Expedite","Standard")</f>
        <v>Expedite</v>
      </c>
      <c r="J470" s="29" t="n">
        <f aca="false">H470</f>
        <v>3044.85773005181</v>
      </c>
      <c r="K470" s="29" t="n">
        <f aca="false">E470+(1-Model!$B$5)*H470</f>
        <v>1501.5</v>
      </c>
      <c r="L470" s="29" t="n">
        <f aca="false">IF(I470="Expedite",K470,J470)</f>
        <v>1501.5</v>
      </c>
      <c r="M470" s="29" t="n">
        <f aca="false">J470-L470</f>
        <v>1543.35773005181</v>
      </c>
      <c r="N470" s="29" t="n">
        <f aca="false">IFERROR(E470/(F470*C470*Model!$B$5),"")</f>
        <v>371.625052898857</v>
      </c>
    </row>
    <row r="471" customFormat="false" ht="15" hidden="false" customHeight="false" outlineLevel="0" collapsed="false">
      <c r="A471" s="0" t="str">
        <f aca="false">Clean!A471</f>
        <v>SHP0470</v>
      </c>
      <c r="B471" s="0" t="str">
        <f aca="false">Clean!AA471</f>
        <v>BlueDart</v>
      </c>
      <c r="C471" s="28" t="n">
        <f aca="false">Clean!J471</f>
        <v>13.2</v>
      </c>
      <c r="D471" s="29" t="n">
        <f aca="false">Clean!AF471</f>
        <v>929.67</v>
      </c>
      <c r="E471" s="29" t="n">
        <f aca="false">Clean!AE471</f>
        <v>4240.64</v>
      </c>
      <c r="F471" s="22" t="n">
        <f aca="false">AVERAGEIFS(Clean!$V$2:$V$1001,Clean!$AA$2:$AA$1001,B471)</f>
        <v>0.773869346733668</v>
      </c>
      <c r="G471" s="29" t="n">
        <f aca="false">F471*C471*D471</f>
        <v>9496.64912562814</v>
      </c>
      <c r="H471" s="29" t="n">
        <f aca="false">G471*Model!$B$4</f>
        <v>9496.64912562814</v>
      </c>
      <c r="I471" s="0" t="str">
        <f aca="false">IF(E471&lt;Model!$B$5*H471,"Expedite","Standard")</f>
        <v>Expedite</v>
      </c>
      <c r="J471" s="29" t="n">
        <f aca="false">H471</f>
        <v>9496.64912562814</v>
      </c>
      <c r="K471" s="29" t="n">
        <f aca="false">E471+(1-Model!$B$5)*H471</f>
        <v>4240.64</v>
      </c>
      <c r="L471" s="29" t="n">
        <f aca="false">IF(I471="Expedite",K471,J471)</f>
        <v>4240.64</v>
      </c>
      <c r="M471" s="29" t="n">
        <f aca="false">J471-L471</f>
        <v>5256.00912562814</v>
      </c>
      <c r="N471" s="29" t="n">
        <f aca="false">IFERROR(E471/(F471*C471*Model!$B$5),"")</f>
        <v>415.135458480913</v>
      </c>
    </row>
    <row r="472" customFormat="false" ht="15" hidden="false" customHeight="false" outlineLevel="0" collapsed="false">
      <c r="A472" s="0" t="str">
        <f aca="false">Clean!A472</f>
        <v>SHP0471</v>
      </c>
      <c r="B472" s="0" t="str">
        <f aca="false">Clean!AA472</f>
        <v>Delhivery</v>
      </c>
      <c r="C472" s="28" t="n">
        <f aca="false">Clean!J472</f>
        <v>15.25</v>
      </c>
      <c r="D472" s="29" t="n">
        <f aca="false">Clean!AF472</f>
        <v>1087.99</v>
      </c>
      <c r="E472" s="29" t="n">
        <f aca="false">Clean!AE472</f>
        <v>3220.54</v>
      </c>
      <c r="F472" s="22" t="n">
        <f aca="false">AVERAGEIFS(Clean!$V$2:$V$1001,Clean!$AA$2:$AA$1001,B472)</f>
        <v>0.72538860103627</v>
      </c>
      <c r="G472" s="29" t="n">
        <f aca="false">F472*C472*D472</f>
        <v>12035.5370466321</v>
      </c>
      <c r="H472" s="29" t="n">
        <f aca="false">G472*Model!$B$4</f>
        <v>12035.5370466321</v>
      </c>
      <c r="I472" s="0" t="str">
        <f aca="false">IF(E472&lt;Model!$B$5*H472,"Expedite","Standard")</f>
        <v>Expedite</v>
      </c>
      <c r="J472" s="29" t="n">
        <f aca="false">H472</f>
        <v>12035.5370466321</v>
      </c>
      <c r="K472" s="29" t="n">
        <f aca="false">E472+(1-Model!$B$5)*H472</f>
        <v>3220.54</v>
      </c>
      <c r="L472" s="29" t="n">
        <f aca="false">IF(I472="Expedite",K472,J472)</f>
        <v>3220.54</v>
      </c>
      <c r="M472" s="29" t="n">
        <f aca="false">J472-L472</f>
        <v>8814.99704663213</v>
      </c>
      <c r="N472" s="29" t="n">
        <f aca="false">IFERROR(E472/(F472*C472*Model!$B$5),"")</f>
        <v>291.130782201405</v>
      </c>
    </row>
    <row r="473" customFormat="false" ht="15" hidden="false" customHeight="false" outlineLevel="0" collapsed="false">
      <c r="A473" s="0" t="str">
        <f aca="false">Clean!A473</f>
        <v>SHP0472</v>
      </c>
      <c r="B473" s="0" t="str">
        <f aca="false">Clean!AA473</f>
        <v>VRL Cargo</v>
      </c>
      <c r="C473" s="28" t="n">
        <f aca="false">Clean!J473</f>
        <v>9.1</v>
      </c>
      <c r="D473" s="29" t="n">
        <f aca="false">Clean!AF473</f>
        <v>900.31</v>
      </c>
      <c r="E473" s="29" t="n">
        <f aca="false">Clean!AE473</f>
        <v>2133.14</v>
      </c>
      <c r="F473" s="22" t="n">
        <f aca="false">AVERAGEIFS(Clean!$V$2:$V$1001,Clean!$AA$2:$AA$1001,B473)</f>
        <v>0.72020725388601</v>
      </c>
      <c r="G473" s="29" t="n">
        <f aca="false">F473*C473*D473</f>
        <v>5900.52911398964</v>
      </c>
      <c r="H473" s="29" t="n">
        <f aca="false">G473*Model!$B$4</f>
        <v>5900.52911398964</v>
      </c>
      <c r="I473" s="0" t="str">
        <f aca="false">IF(E473&lt;Model!$B$5*H473,"Expedite","Standard")</f>
        <v>Expedite</v>
      </c>
      <c r="J473" s="29" t="n">
        <f aca="false">H473</f>
        <v>5900.52911398964</v>
      </c>
      <c r="K473" s="29" t="n">
        <f aca="false">E473+(1-Model!$B$5)*H473</f>
        <v>2133.14</v>
      </c>
      <c r="L473" s="29" t="n">
        <f aca="false">IF(I473="Expedite",K473,J473)</f>
        <v>2133.14</v>
      </c>
      <c r="M473" s="29" t="n">
        <f aca="false">J473-L473</f>
        <v>3767.38911398964</v>
      </c>
      <c r="N473" s="29" t="n">
        <f aca="false">IFERROR(E473/(F473*C473*Model!$B$5),"")</f>
        <v>325.477128626769</v>
      </c>
    </row>
    <row r="474" customFormat="false" ht="15" hidden="false" customHeight="false" outlineLevel="0" collapsed="false">
      <c r="A474" s="0" t="str">
        <f aca="false">Clean!A474</f>
        <v>SHP0473</v>
      </c>
      <c r="B474" s="0" t="str">
        <f aca="false">Clean!AA474</f>
        <v>TCI Express</v>
      </c>
      <c r="C474" s="28" t="n">
        <f aca="false">Clean!J474</f>
        <v>16.43</v>
      </c>
      <c r="D474" s="29" t="n">
        <f aca="false">Clean!AF474</f>
        <v>958.52</v>
      </c>
      <c r="E474" s="29" t="n">
        <f aca="false">Clean!AE474</f>
        <v>4544.69</v>
      </c>
      <c r="F474" s="22" t="n">
        <f aca="false">AVERAGEIFS(Clean!$V$2:$V$1001,Clean!$AA$2:$AA$1001,B474)</f>
        <v>0.752336448598131</v>
      </c>
      <c r="G474" s="29" t="n">
        <f aca="false">F474*C474*D474</f>
        <v>11848.1582224299</v>
      </c>
      <c r="H474" s="29" t="n">
        <f aca="false">G474*Model!$B$4</f>
        <v>11848.1582224299</v>
      </c>
      <c r="I474" s="0" t="str">
        <f aca="false">IF(E474&lt;Model!$B$5*H474,"Expedite","Standard")</f>
        <v>Expedite</v>
      </c>
      <c r="J474" s="29" t="n">
        <f aca="false">H474</f>
        <v>11848.1582224299</v>
      </c>
      <c r="K474" s="29" t="n">
        <f aca="false">E474+(1-Model!$B$5)*H474</f>
        <v>4544.69</v>
      </c>
      <c r="L474" s="29" t="n">
        <f aca="false">IF(I474="Expedite",K474,J474)</f>
        <v>4544.69</v>
      </c>
      <c r="M474" s="29" t="n">
        <f aca="false">J474-L474</f>
        <v>7303.46822242991</v>
      </c>
      <c r="N474" s="29" t="n">
        <f aca="false">IFERROR(E474/(F474*C474*Model!$B$5),"")</f>
        <v>367.666955236407</v>
      </c>
    </row>
    <row r="475" customFormat="false" ht="15" hidden="false" customHeight="false" outlineLevel="0" collapsed="false">
      <c r="A475" s="0" t="str">
        <f aca="false">Clean!A475</f>
        <v>SHP0474</v>
      </c>
      <c r="B475" s="0" t="str">
        <f aca="false">Clean!AA475</f>
        <v>VRL Cargo</v>
      </c>
      <c r="C475" s="28" t="n">
        <f aca="false">Clean!J475</f>
        <v>11.73</v>
      </c>
      <c r="D475" s="29" t="n">
        <f aca="false">Clean!AF475</f>
        <v>1379.75</v>
      </c>
      <c r="E475" s="29" t="n">
        <f aca="false">Clean!AE475</f>
        <v>2148.88</v>
      </c>
      <c r="F475" s="22" t="n">
        <f aca="false">AVERAGEIFS(Clean!$V$2:$V$1001,Clean!$AA$2:$AA$1001,B475)</f>
        <v>0.72020725388601</v>
      </c>
      <c r="G475" s="29" t="n">
        <f aca="false">F475*C475*D475</f>
        <v>11656.1708937824</v>
      </c>
      <c r="H475" s="29" t="n">
        <f aca="false">G475*Model!$B$4</f>
        <v>11656.1708937824</v>
      </c>
      <c r="I475" s="0" t="str">
        <f aca="false">IF(E475&lt;Model!$B$5*H475,"Expedite","Standard")</f>
        <v>Expedite</v>
      </c>
      <c r="J475" s="29" t="n">
        <f aca="false">H475</f>
        <v>11656.1708937824</v>
      </c>
      <c r="K475" s="29" t="n">
        <f aca="false">E475+(1-Model!$B$5)*H475</f>
        <v>2148.88</v>
      </c>
      <c r="L475" s="29" t="n">
        <f aca="false">IF(I475="Expedite",K475,J475)</f>
        <v>2148.88</v>
      </c>
      <c r="M475" s="29" t="n">
        <f aca="false">J475-L475</f>
        <v>9507.29089378238</v>
      </c>
      <c r="N475" s="29" t="n">
        <f aca="false">IFERROR(E475/(F475*C475*Model!$B$5),"")</f>
        <v>254.364594258097</v>
      </c>
    </row>
    <row r="476" customFormat="false" ht="15" hidden="false" customHeight="false" outlineLevel="0" collapsed="false">
      <c r="A476" s="0" t="str">
        <f aca="false">Clean!A476</f>
        <v>SHP0475</v>
      </c>
      <c r="B476" s="0" t="str">
        <f aca="false">Clean!AA476</f>
        <v>TCI Express</v>
      </c>
      <c r="C476" s="28" t="n">
        <f aca="false">Clean!J476</f>
        <v>1.94</v>
      </c>
      <c r="D476" s="29" t="n">
        <f aca="false">Clean!AF476</f>
        <v>910.68</v>
      </c>
      <c r="E476" s="29" t="n">
        <f aca="false">Clean!AE476</f>
        <v>2250.39</v>
      </c>
      <c r="F476" s="22" t="n">
        <f aca="false">AVERAGEIFS(Clean!$V$2:$V$1001,Clean!$AA$2:$AA$1001,B476)</f>
        <v>0.752336448598131</v>
      </c>
      <c r="G476" s="29" t="n">
        <f aca="false">F476*C476*D476</f>
        <v>1329.16724859813</v>
      </c>
      <c r="H476" s="29" t="n">
        <f aca="false">G476*Model!$B$4</f>
        <v>1329.16724859813</v>
      </c>
      <c r="I476" s="0" t="str">
        <f aca="false">IF(E476&lt;Model!$B$5*H476,"Expedite","Standard")</f>
        <v>Standard</v>
      </c>
      <c r="J476" s="29" t="n">
        <f aca="false">H476</f>
        <v>1329.16724859813</v>
      </c>
      <c r="K476" s="29" t="n">
        <f aca="false">E476+(1-Model!$B$5)*H476</f>
        <v>2250.39</v>
      </c>
      <c r="L476" s="29" t="n">
        <f aca="false">IF(I476="Expedite",K476,J476)</f>
        <v>1329.16724859813</v>
      </c>
      <c r="M476" s="29" t="n">
        <f aca="false">J476-L476</f>
        <v>0</v>
      </c>
      <c r="N476" s="29" t="n">
        <f aca="false">IFERROR(E476/(F476*C476*Model!$B$5),"")</f>
        <v>1541.85650252929</v>
      </c>
    </row>
    <row r="477" customFormat="false" ht="15" hidden="false" customHeight="false" outlineLevel="0" collapsed="false">
      <c r="A477" s="0" t="str">
        <f aca="false">Clean!A477</f>
        <v>SHP0476</v>
      </c>
      <c r="B477" s="0" t="str">
        <f aca="false">Clean!AA477</f>
        <v>GATI Logistics</v>
      </c>
      <c r="C477" s="28" t="n">
        <f aca="false">Clean!J477</f>
        <v>4.98</v>
      </c>
      <c r="D477" s="29" t="n">
        <f aca="false">Clean!AF477</f>
        <v>651.89</v>
      </c>
      <c r="E477" s="29" t="n">
        <f aca="false">Clean!AE477</f>
        <v>1605.48</v>
      </c>
      <c r="F477" s="22" t="n">
        <f aca="false">AVERAGEIFS(Clean!$V$2:$V$1001,Clean!$AA$2:$AA$1001,B477)</f>
        <v>0.751243781094527</v>
      </c>
      <c r="G477" s="29" t="n">
        <f aca="false">F477*C477*D477</f>
        <v>2438.8469761194</v>
      </c>
      <c r="H477" s="29" t="n">
        <f aca="false">G477*Model!$B$4</f>
        <v>2438.8469761194</v>
      </c>
      <c r="I477" s="0" t="str">
        <f aca="false">IF(E477&lt;Model!$B$5*H477,"Expedite","Standard")</f>
        <v>Expedite</v>
      </c>
      <c r="J477" s="29" t="n">
        <f aca="false">H477</f>
        <v>2438.8469761194</v>
      </c>
      <c r="K477" s="29" t="n">
        <f aca="false">E477+(1-Model!$B$5)*H477</f>
        <v>1605.48</v>
      </c>
      <c r="L477" s="29" t="n">
        <f aca="false">IF(I477="Expedite",K477,J477)</f>
        <v>1605.48</v>
      </c>
      <c r="M477" s="29" t="n">
        <f aca="false">J477-L477</f>
        <v>833.366976119403</v>
      </c>
      <c r="N477" s="29" t="n">
        <f aca="false">IFERROR(E477/(F477*C477*Model!$B$5),"")</f>
        <v>429.135721694726</v>
      </c>
    </row>
    <row r="478" customFormat="false" ht="15" hidden="false" customHeight="false" outlineLevel="0" collapsed="false">
      <c r="A478" s="0" t="str">
        <f aca="false">Clean!A478</f>
        <v>SHP0477</v>
      </c>
      <c r="B478" s="0" t="str">
        <f aca="false">Clean!AA478</f>
        <v>BlueDart</v>
      </c>
      <c r="C478" s="28" t="n">
        <f aca="false">Clean!J478</f>
        <v>7.24</v>
      </c>
      <c r="D478" s="29" t="n">
        <f aca="false">Clean!AF478</f>
        <v>706.58</v>
      </c>
      <c r="E478" s="29" t="n">
        <f aca="false">Clean!AE478</f>
        <v>1588.91</v>
      </c>
      <c r="F478" s="22" t="n">
        <f aca="false">AVERAGEIFS(Clean!$V$2:$V$1001,Clean!$AA$2:$AA$1001,B478)</f>
        <v>0.773869346733668</v>
      </c>
      <c r="G478" s="29" t="n">
        <f aca="false">F478*C478*D478</f>
        <v>3958.83636582915</v>
      </c>
      <c r="H478" s="29" t="n">
        <f aca="false">G478*Model!$B$4</f>
        <v>3958.83636582915</v>
      </c>
      <c r="I478" s="0" t="str">
        <f aca="false">IF(E478&lt;Model!$B$5*H478,"Expedite","Standard")</f>
        <v>Expedite</v>
      </c>
      <c r="J478" s="29" t="n">
        <f aca="false">H478</f>
        <v>3958.83636582915</v>
      </c>
      <c r="K478" s="29" t="n">
        <f aca="false">E478+(1-Model!$B$5)*H478</f>
        <v>1588.91</v>
      </c>
      <c r="L478" s="29" t="n">
        <f aca="false">IF(I478="Expedite",K478,J478)</f>
        <v>1588.91</v>
      </c>
      <c r="M478" s="29" t="n">
        <f aca="false">J478-L478</f>
        <v>2369.92636582915</v>
      </c>
      <c r="N478" s="29" t="n">
        <f aca="false">IFERROR(E478/(F478*C478*Model!$B$5),"")</f>
        <v>283.591420320012</v>
      </c>
    </row>
    <row r="479" customFormat="false" ht="15" hidden="false" customHeight="false" outlineLevel="0" collapsed="false">
      <c r="A479" s="0" t="str">
        <f aca="false">Clean!A479</f>
        <v>SHP0478</v>
      </c>
      <c r="B479" s="0" t="str">
        <f aca="false">Clean!AA479</f>
        <v>Delhivery</v>
      </c>
      <c r="C479" s="28" t="n">
        <f aca="false">Clean!J479</f>
        <v>6.95</v>
      </c>
      <c r="D479" s="29" t="n">
        <f aca="false">Clean!AF479</f>
        <v>1325.21</v>
      </c>
      <c r="E479" s="29" t="n">
        <f aca="false">Clean!AE479</f>
        <v>4248.31</v>
      </c>
      <c r="F479" s="22" t="n">
        <f aca="false">AVERAGEIFS(Clean!$V$2:$V$1001,Clean!$AA$2:$AA$1001,B479)</f>
        <v>0.72538860103627</v>
      </c>
      <c r="G479" s="29" t="n">
        <f aca="false">F479*C479*D479</f>
        <v>6680.98098445596</v>
      </c>
      <c r="H479" s="29" t="n">
        <f aca="false">G479*Model!$B$4</f>
        <v>6680.98098445596</v>
      </c>
      <c r="I479" s="0" t="str">
        <f aca="false">IF(E479&lt;Model!$B$5*H479,"Expedite","Standard")</f>
        <v>Expedite</v>
      </c>
      <c r="J479" s="29" t="n">
        <f aca="false">H479</f>
        <v>6680.98098445596</v>
      </c>
      <c r="K479" s="29" t="n">
        <f aca="false">E479+(1-Model!$B$5)*H479</f>
        <v>4248.31</v>
      </c>
      <c r="L479" s="29" t="n">
        <f aca="false">IF(I479="Expedite",K479,J479)</f>
        <v>4248.31</v>
      </c>
      <c r="M479" s="29" t="n">
        <f aca="false">J479-L479</f>
        <v>2432.67098445596</v>
      </c>
      <c r="N479" s="29" t="n">
        <f aca="false">IFERROR(E479/(F479*C479*Model!$B$5),"")</f>
        <v>842.676084275437</v>
      </c>
    </row>
    <row r="480" customFormat="false" ht="15" hidden="false" customHeight="false" outlineLevel="0" collapsed="false">
      <c r="A480" s="0" t="str">
        <f aca="false">Clean!A480</f>
        <v>SHP0479</v>
      </c>
      <c r="B480" s="0" t="str">
        <f aca="false">Clean!AA480</f>
        <v>Delhivery</v>
      </c>
      <c r="C480" s="28" t="n">
        <f aca="false">Clean!J480</f>
        <v>16.11</v>
      </c>
      <c r="D480" s="29" t="n">
        <f aca="false">Clean!AF480</f>
        <v>609.01</v>
      </c>
      <c r="E480" s="29" t="n">
        <f aca="false">Clean!AE480</f>
        <v>2944.69</v>
      </c>
      <c r="F480" s="22" t="n">
        <f aca="false">AVERAGEIFS(Clean!$V$2:$V$1001,Clean!$AA$2:$AA$1001,B480)</f>
        <v>0.72538860103627</v>
      </c>
      <c r="G480" s="29" t="n">
        <f aca="false">F480*C480*D480</f>
        <v>7116.89717098446</v>
      </c>
      <c r="H480" s="29" t="n">
        <f aca="false">G480*Model!$B$4</f>
        <v>7116.89717098446</v>
      </c>
      <c r="I480" s="0" t="str">
        <f aca="false">IF(E480&lt;Model!$B$5*H480,"Expedite","Standard")</f>
        <v>Expedite</v>
      </c>
      <c r="J480" s="29" t="n">
        <f aca="false">H480</f>
        <v>7116.89717098446</v>
      </c>
      <c r="K480" s="29" t="n">
        <f aca="false">E480+(1-Model!$B$5)*H480</f>
        <v>2944.69</v>
      </c>
      <c r="L480" s="29" t="n">
        <f aca="false">IF(I480="Expedite",K480,J480)</f>
        <v>2944.69</v>
      </c>
      <c r="M480" s="29" t="n">
        <f aca="false">J480-L480</f>
        <v>4172.20717098446</v>
      </c>
      <c r="N480" s="29" t="n">
        <f aca="false">IFERROR(E480/(F480*C480*Model!$B$5),"")</f>
        <v>251.984202358783</v>
      </c>
    </row>
    <row r="481" customFormat="false" ht="15" hidden="false" customHeight="false" outlineLevel="0" collapsed="false">
      <c r="A481" s="0" t="str">
        <f aca="false">Clean!A481</f>
        <v>SHP0480</v>
      </c>
      <c r="B481" s="0" t="str">
        <f aca="false">Clean!AA481</f>
        <v>VRL Cargo</v>
      </c>
      <c r="C481" s="28" t="n">
        <f aca="false">Clean!J481</f>
        <v>5.72</v>
      </c>
      <c r="D481" s="29" t="n">
        <f aca="false">Clean!AF481</f>
        <v>1264.65</v>
      </c>
      <c r="E481" s="29" t="n">
        <f aca="false">Clean!AE481</f>
        <v>4428.92</v>
      </c>
      <c r="F481" s="22" t="n">
        <f aca="false">AVERAGEIFS(Clean!$V$2:$V$1001,Clean!$AA$2:$AA$1001,B481)</f>
        <v>0.72020725388601</v>
      </c>
      <c r="G481" s="29" t="n">
        <f aca="false">F481*C481*D481</f>
        <v>5209.83379274611</v>
      </c>
      <c r="H481" s="29" t="n">
        <f aca="false">G481*Model!$B$4</f>
        <v>5209.83379274611</v>
      </c>
      <c r="I481" s="0" t="str">
        <f aca="false">IF(E481&lt;Model!$B$5*H481,"Expedite","Standard")</f>
        <v>Expedite</v>
      </c>
      <c r="J481" s="29" t="n">
        <f aca="false">H481</f>
        <v>5209.83379274611</v>
      </c>
      <c r="K481" s="29" t="n">
        <f aca="false">E481+(1-Model!$B$5)*H481</f>
        <v>4428.92</v>
      </c>
      <c r="L481" s="29" t="n">
        <f aca="false">IF(I481="Expedite",K481,J481)</f>
        <v>4428.92</v>
      </c>
      <c r="M481" s="29" t="n">
        <f aca="false">J481-L481</f>
        <v>780.913792746114</v>
      </c>
      <c r="N481" s="29" t="n">
        <f aca="false">IFERROR(E481/(F481*C481*Model!$B$5),"")</f>
        <v>1075.08874578659</v>
      </c>
    </row>
    <row r="482" customFormat="false" ht="15" hidden="false" customHeight="false" outlineLevel="0" collapsed="false">
      <c r="A482" s="0" t="str">
        <f aca="false">Clean!A482</f>
        <v>SHP0481</v>
      </c>
      <c r="B482" s="0" t="str">
        <f aca="false">Clean!AA482</f>
        <v>TCI Express</v>
      </c>
      <c r="C482" s="28" t="n">
        <f aca="false">Clean!J482</f>
        <v>3.79</v>
      </c>
      <c r="D482" s="29" t="n">
        <f aca="false">Clean!AF482</f>
        <v>812.06</v>
      </c>
      <c r="E482" s="29" t="n">
        <f aca="false">Clean!AE482</f>
        <v>1479.81</v>
      </c>
      <c r="F482" s="22" t="n">
        <f aca="false">AVERAGEIFS(Clean!$V$2:$V$1001,Clean!$AA$2:$AA$1001,B482)</f>
        <v>0.752336448598131</v>
      </c>
      <c r="G482" s="29" t="n">
        <f aca="false">F482*C482*D482</f>
        <v>2315.47145514019</v>
      </c>
      <c r="H482" s="29" t="n">
        <f aca="false">G482*Model!$B$4</f>
        <v>2315.47145514019</v>
      </c>
      <c r="I482" s="0" t="str">
        <f aca="false">IF(E482&lt;Model!$B$5*H482,"Expedite","Standard")</f>
        <v>Expedite</v>
      </c>
      <c r="J482" s="29" t="n">
        <f aca="false">H482</f>
        <v>2315.47145514019</v>
      </c>
      <c r="K482" s="29" t="n">
        <f aca="false">E482+(1-Model!$B$5)*H482</f>
        <v>1479.81</v>
      </c>
      <c r="L482" s="29" t="n">
        <f aca="false">IF(I482="Expedite",K482,J482)</f>
        <v>1479.81</v>
      </c>
      <c r="M482" s="29" t="n">
        <f aca="false">J482-L482</f>
        <v>835.661455140187</v>
      </c>
      <c r="N482" s="29" t="n">
        <f aca="false">IFERROR(E482/(F482*C482*Model!$B$5),"")</f>
        <v>518.98480801062</v>
      </c>
    </row>
    <row r="483" customFormat="false" ht="15" hidden="false" customHeight="false" outlineLevel="0" collapsed="false">
      <c r="A483" s="0" t="str">
        <f aca="false">Clean!A483</f>
        <v>SHP0482</v>
      </c>
      <c r="B483" s="0" t="str">
        <f aca="false">Clean!AA483</f>
        <v>BlueDart</v>
      </c>
      <c r="C483" s="28" t="n">
        <f aca="false">Clean!J483</f>
        <v>16.25</v>
      </c>
      <c r="D483" s="29" t="n">
        <f aca="false">Clean!AF483</f>
        <v>1371.25</v>
      </c>
      <c r="E483" s="29" t="n">
        <f aca="false">Clean!AE483</f>
        <v>4774.3</v>
      </c>
      <c r="F483" s="22" t="n">
        <f aca="false">AVERAGEIFS(Clean!$V$2:$V$1001,Clean!$AA$2:$AA$1001,B483)</f>
        <v>0.773869346733668</v>
      </c>
      <c r="G483" s="29" t="n">
        <f aca="false">F483*C483*D483</f>
        <v>17243.9855527638</v>
      </c>
      <c r="H483" s="29" t="n">
        <f aca="false">G483*Model!$B$4</f>
        <v>17243.9855527638</v>
      </c>
      <c r="I483" s="0" t="str">
        <f aca="false">IF(E483&lt;Model!$B$5*H483,"Expedite","Standard")</f>
        <v>Expedite</v>
      </c>
      <c r="J483" s="29" t="n">
        <f aca="false">H483</f>
        <v>17243.9855527638</v>
      </c>
      <c r="K483" s="29" t="n">
        <f aca="false">E483+(1-Model!$B$5)*H483</f>
        <v>4774.3</v>
      </c>
      <c r="L483" s="29" t="n">
        <f aca="false">IF(I483="Expedite",K483,J483)</f>
        <v>4774.3</v>
      </c>
      <c r="M483" s="29" t="n">
        <f aca="false">J483-L483</f>
        <v>12469.6855527638</v>
      </c>
      <c r="N483" s="29" t="n">
        <f aca="false">IFERROR(E483/(F483*C483*Model!$B$5),"")</f>
        <v>379.654625374625</v>
      </c>
    </row>
    <row r="484" customFormat="false" ht="15" hidden="false" customHeight="false" outlineLevel="0" collapsed="false">
      <c r="A484" s="0" t="str">
        <f aca="false">Clean!A484</f>
        <v>SHP0483</v>
      </c>
      <c r="B484" s="0" t="str">
        <f aca="false">Clean!AA484</f>
        <v>GATI Logistics</v>
      </c>
      <c r="C484" s="28" t="n">
        <f aca="false">Clean!J484</f>
        <v>6.5</v>
      </c>
      <c r="D484" s="29" t="n">
        <f aca="false">Clean!AF484</f>
        <v>807.15</v>
      </c>
      <c r="E484" s="29" t="n">
        <f aca="false">Clean!AE484</f>
        <v>3553.4</v>
      </c>
      <c r="F484" s="22" t="n">
        <f aca="false">AVERAGEIFS(Clean!$V$2:$V$1001,Clean!$AA$2:$AA$1001,B484)</f>
        <v>0.751243781094527</v>
      </c>
      <c r="G484" s="29" t="n">
        <f aca="false">F484*C484*D484</f>
        <v>3941.38171641791</v>
      </c>
      <c r="H484" s="29" t="n">
        <f aca="false">G484*Model!$B$4</f>
        <v>3941.38171641791</v>
      </c>
      <c r="I484" s="0" t="str">
        <f aca="false">IF(E484&lt;Model!$B$5*H484,"Expedite","Standard")</f>
        <v>Expedite</v>
      </c>
      <c r="J484" s="29" t="n">
        <f aca="false">H484</f>
        <v>3941.38171641791</v>
      </c>
      <c r="K484" s="29" t="n">
        <f aca="false">E484+(1-Model!$B$5)*H484</f>
        <v>3553.4</v>
      </c>
      <c r="L484" s="29" t="n">
        <f aca="false">IF(I484="Expedite",K484,J484)</f>
        <v>3553.4</v>
      </c>
      <c r="M484" s="29" t="n">
        <f aca="false">J484-L484</f>
        <v>387.98171641791</v>
      </c>
      <c r="N484" s="29" t="n">
        <f aca="false">IFERROR(E484/(F484*C484*Model!$B$5),"")</f>
        <v>727.695771777891</v>
      </c>
    </row>
    <row r="485" customFormat="false" ht="15" hidden="false" customHeight="false" outlineLevel="0" collapsed="false">
      <c r="A485" s="0" t="str">
        <f aca="false">Clean!A485</f>
        <v>SHP0484</v>
      </c>
      <c r="B485" s="0" t="str">
        <f aca="false">Clean!AA485</f>
        <v>BlueDart</v>
      </c>
      <c r="C485" s="28" t="n">
        <f aca="false">Clean!J485</f>
        <v>17.33</v>
      </c>
      <c r="D485" s="29" t="n">
        <f aca="false">Clean!AF485</f>
        <v>689.2</v>
      </c>
      <c r="E485" s="29" t="n">
        <f aca="false">Clean!AE485</f>
        <v>3195.64</v>
      </c>
      <c r="F485" s="22" t="n">
        <f aca="false">AVERAGEIFS(Clean!$V$2:$V$1001,Clean!$AA$2:$AA$1001,B485)</f>
        <v>0.773869346733668</v>
      </c>
      <c r="G485" s="29" t="n">
        <f aca="false">F485*C485*D485</f>
        <v>9242.96856281407</v>
      </c>
      <c r="H485" s="29" t="n">
        <f aca="false">G485*Model!$B$4</f>
        <v>9242.96856281407</v>
      </c>
      <c r="I485" s="0" t="str">
        <f aca="false">IF(E485&lt;Model!$B$5*H485,"Expedite","Standard")</f>
        <v>Expedite</v>
      </c>
      <c r="J485" s="29" t="n">
        <f aca="false">H485</f>
        <v>9242.96856281407</v>
      </c>
      <c r="K485" s="29" t="n">
        <f aca="false">E485+(1-Model!$B$5)*H485</f>
        <v>3195.64</v>
      </c>
      <c r="L485" s="29" t="n">
        <f aca="false">IF(I485="Expedite",K485,J485)</f>
        <v>3195.64</v>
      </c>
      <c r="M485" s="29" t="n">
        <f aca="false">J485-L485</f>
        <v>6047.32856281407</v>
      </c>
      <c r="N485" s="29" t="n">
        <f aca="false">IFERROR(E485/(F485*C485*Model!$B$5),"")</f>
        <v>238.28222210565</v>
      </c>
    </row>
    <row r="486" customFormat="false" ht="15" hidden="false" customHeight="false" outlineLevel="0" collapsed="false">
      <c r="A486" s="0" t="str">
        <f aca="false">Clean!A486</f>
        <v>SHP0485</v>
      </c>
      <c r="B486" s="0" t="str">
        <f aca="false">Clean!AA486</f>
        <v>GATI Logistics</v>
      </c>
      <c r="C486" s="28" t="n">
        <f aca="false">Clean!J486</f>
        <v>14.69</v>
      </c>
      <c r="D486" s="29" t="n">
        <f aca="false">Clean!AF486</f>
        <v>639.25</v>
      </c>
      <c r="E486" s="29" t="n">
        <f aca="false">Clean!AE486</f>
        <v>2216.97</v>
      </c>
      <c r="F486" s="22" t="n">
        <f aca="false">AVERAGEIFS(Clean!$V$2:$V$1001,Clean!$AA$2:$AA$1001,B486)</f>
        <v>0.751243781094527</v>
      </c>
      <c r="G486" s="29" t="n">
        <f aca="false">F486*C486*D486</f>
        <v>7054.6167039801</v>
      </c>
      <c r="H486" s="29" t="n">
        <f aca="false">G486*Model!$B$4</f>
        <v>7054.6167039801</v>
      </c>
      <c r="I486" s="0" t="str">
        <f aca="false">IF(E486&lt;Model!$B$5*H486,"Expedite","Standard")</f>
        <v>Expedite</v>
      </c>
      <c r="J486" s="29" t="n">
        <f aca="false">H486</f>
        <v>7054.6167039801</v>
      </c>
      <c r="K486" s="29" t="n">
        <f aca="false">E486+(1-Model!$B$5)*H486</f>
        <v>2216.97</v>
      </c>
      <c r="L486" s="29" t="n">
        <f aca="false">IF(I486="Expedite",K486,J486)</f>
        <v>2216.97</v>
      </c>
      <c r="M486" s="29" t="n">
        <f aca="false">J486-L486</f>
        <v>4837.6467039801</v>
      </c>
      <c r="N486" s="29" t="n">
        <f aca="false">IFERROR(E486/(F486*C486*Model!$B$5),"")</f>
        <v>200.889450407765</v>
      </c>
    </row>
    <row r="487" customFormat="false" ht="15" hidden="false" customHeight="false" outlineLevel="0" collapsed="false">
      <c r="A487" s="0" t="str">
        <f aca="false">Clean!A487</f>
        <v>SHP0486</v>
      </c>
      <c r="B487" s="0" t="str">
        <f aca="false">Clean!AA487</f>
        <v>VRL Cargo</v>
      </c>
      <c r="C487" s="28" t="n">
        <f aca="false">Clean!J487</f>
        <v>12.63</v>
      </c>
      <c r="D487" s="29" t="n">
        <f aca="false">Clean!AF487</f>
        <v>1129.63</v>
      </c>
      <c r="E487" s="29" t="n">
        <f aca="false">Clean!AE487</f>
        <v>3780.75</v>
      </c>
      <c r="F487" s="22" t="n">
        <f aca="false">AVERAGEIFS(Clean!$V$2:$V$1001,Clean!$AA$2:$AA$1001,B487)</f>
        <v>0.72020725388601</v>
      </c>
      <c r="G487" s="29" t="n">
        <f aca="false">F487*C487*D487</f>
        <v>10275.3603062176</v>
      </c>
      <c r="H487" s="29" t="n">
        <f aca="false">G487*Model!$B$4</f>
        <v>10275.3603062176</v>
      </c>
      <c r="I487" s="0" t="str">
        <f aca="false">IF(E487&lt;Model!$B$5*H487,"Expedite","Standard")</f>
        <v>Expedite</v>
      </c>
      <c r="J487" s="29" t="n">
        <f aca="false">H487</f>
        <v>10275.3603062176</v>
      </c>
      <c r="K487" s="29" t="n">
        <f aca="false">E487+(1-Model!$B$5)*H487</f>
        <v>3780.75</v>
      </c>
      <c r="L487" s="29" t="n">
        <f aca="false">IF(I487="Expedite",K487,J487)</f>
        <v>3780.75</v>
      </c>
      <c r="M487" s="29" t="n">
        <f aca="false">J487-L487</f>
        <v>6494.61030621762</v>
      </c>
      <c r="N487" s="29" t="n">
        <f aca="false">IFERROR(E487/(F487*C487*Model!$B$5),"")</f>
        <v>415.639792204241</v>
      </c>
    </row>
    <row r="488" customFormat="false" ht="15" hidden="false" customHeight="false" outlineLevel="0" collapsed="false">
      <c r="A488" s="0" t="str">
        <f aca="false">Clean!A488</f>
        <v>SHP0487</v>
      </c>
      <c r="B488" s="0" t="str">
        <f aca="false">Clean!AA488</f>
        <v>TCI Express</v>
      </c>
      <c r="C488" s="28" t="n">
        <f aca="false">Clean!J488</f>
        <v>17.41</v>
      </c>
      <c r="D488" s="29" t="n">
        <f aca="false">Clean!AF488</f>
        <v>667.46</v>
      </c>
      <c r="E488" s="29" t="n">
        <f aca="false">Clean!AE488</f>
        <v>1686.39</v>
      </c>
      <c r="F488" s="22" t="n">
        <f aca="false">AVERAGEIFS(Clean!$V$2:$V$1001,Clean!$AA$2:$AA$1001,B488)</f>
        <v>0.752336448598131</v>
      </c>
      <c r="G488" s="29" t="n">
        <f aca="false">F488*C488*D488</f>
        <v>8742.50960093458</v>
      </c>
      <c r="H488" s="29" t="n">
        <f aca="false">G488*Model!$B$4</f>
        <v>8742.50960093458</v>
      </c>
      <c r="I488" s="0" t="str">
        <f aca="false">IF(E488&lt;Model!$B$5*H488,"Expedite","Standard")</f>
        <v>Expedite</v>
      </c>
      <c r="J488" s="29" t="n">
        <f aca="false">H488</f>
        <v>8742.50960093458</v>
      </c>
      <c r="K488" s="29" t="n">
        <f aca="false">E488+(1-Model!$B$5)*H488</f>
        <v>1686.39</v>
      </c>
      <c r="L488" s="29" t="n">
        <f aca="false">IF(I488="Expedite",K488,J488)</f>
        <v>1686.39</v>
      </c>
      <c r="M488" s="29" t="n">
        <f aca="false">J488-L488</f>
        <v>7056.11960093458</v>
      </c>
      <c r="N488" s="29" t="n">
        <f aca="false">IFERROR(E488/(F488*C488*Model!$B$5),"")</f>
        <v>128.749972351151</v>
      </c>
    </row>
    <row r="489" customFormat="false" ht="15" hidden="false" customHeight="false" outlineLevel="0" collapsed="false">
      <c r="A489" s="0" t="str">
        <f aca="false">Clean!A489</f>
        <v>SHP0488</v>
      </c>
      <c r="B489" s="0" t="str">
        <f aca="false">Clean!AA489</f>
        <v>TCI Express</v>
      </c>
      <c r="C489" s="28" t="n">
        <f aca="false">Clean!J489</f>
        <v>9.79</v>
      </c>
      <c r="D489" s="29" t="n">
        <f aca="false">Clean!AF489</f>
        <v>951.27</v>
      </c>
      <c r="E489" s="29" t="n">
        <f aca="false">Clean!AE489</f>
        <v>2896.03</v>
      </c>
      <c r="F489" s="22" t="n">
        <f aca="false">AVERAGEIFS(Clean!$V$2:$V$1001,Clean!$AA$2:$AA$1001,B489)</f>
        <v>0.752336448598131</v>
      </c>
      <c r="G489" s="29" t="n">
        <f aca="false">F489*C489*D489</f>
        <v>7006.45916495327</v>
      </c>
      <c r="H489" s="29" t="n">
        <f aca="false">G489*Model!$B$4</f>
        <v>7006.45916495327</v>
      </c>
      <c r="I489" s="0" t="str">
        <f aca="false">IF(E489&lt;Model!$B$5*H489,"Expedite","Standard")</f>
        <v>Expedite</v>
      </c>
      <c r="J489" s="29" t="n">
        <f aca="false">H489</f>
        <v>7006.45916495327</v>
      </c>
      <c r="K489" s="29" t="n">
        <f aca="false">E489+(1-Model!$B$5)*H489</f>
        <v>2896.03</v>
      </c>
      <c r="L489" s="29" t="n">
        <f aca="false">IF(I489="Expedite",K489,J489)</f>
        <v>2896.03</v>
      </c>
      <c r="M489" s="29" t="n">
        <f aca="false">J489-L489</f>
        <v>4110.42916495327</v>
      </c>
      <c r="N489" s="29" t="n">
        <f aca="false">IFERROR(E489/(F489*C489*Model!$B$5),"")</f>
        <v>393.195249303701</v>
      </c>
    </row>
    <row r="490" customFormat="false" ht="15" hidden="false" customHeight="false" outlineLevel="0" collapsed="false">
      <c r="A490" s="0" t="str">
        <f aca="false">Clean!A490</f>
        <v>SHP0489</v>
      </c>
      <c r="B490" s="0" t="str">
        <f aca="false">Clean!AA490</f>
        <v>Delhivery</v>
      </c>
      <c r="C490" s="28" t="n">
        <f aca="false">Clean!J490</f>
        <v>17.51</v>
      </c>
      <c r="D490" s="29" t="n">
        <f aca="false">Clean!AF490</f>
        <v>756.65</v>
      </c>
      <c r="E490" s="29" t="n">
        <f aca="false">Clean!AE490</f>
        <v>2832.11</v>
      </c>
      <c r="F490" s="22" t="n">
        <f aca="false">AVERAGEIFS(Clean!$V$2:$V$1001,Clean!$AA$2:$AA$1001,B490)</f>
        <v>0.72538860103627</v>
      </c>
      <c r="G490" s="29" t="n">
        <f aca="false">F490*C490*D490</f>
        <v>9610.63113989637</v>
      </c>
      <c r="H490" s="29" t="n">
        <f aca="false">G490*Model!$B$4</f>
        <v>9610.63113989637</v>
      </c>
      <c r="I490" s="0" t="str">
        <f aca="false">IF(E490&lt;Model!$B$5*H490,"Expedite","Standard")</f>
        <v>Expedite</v>
      </c>
      <c r="J490" s="29" t="n">
        <f aca="false">H490</f>
        <v>9610.63113989637</v>
      </c>
      <c r="K490" s="29" t="n">
        <f aca="false">E490+(1-Model!$B$5)*H490</f>
        <v>2832.11</v>
      </c>
      <c r="L490" s="29" t="n">
        <f aca="false">IF(I490="Expedite",K490,J490)</f>
        <v>2832.11</v>
      </c>
      <c r="M490" s="29" t="n">
        <f aca="false">J490-L490</f>
        <v>6778.52113989637</v>
      </c>
      <c r="N490" s="29" t="n">
        <f aca="false">IFERROR(E490/(F490*C490*Model!$B$5),"")</f>
        <v>222.973496777352</v>
      </c>
    </row>
    <row r="491" customFormat="false" ht="15" hidden="false" customHeight="false" outlineLevel="0" collapsed="false">
      <c r="A491" s="0" t="str">
        <f aca="false">Clean!A491</f>
        <v>SHP0490</v>
      </c>
      <c r="B491" s="0" t="str">
        <f aca="false">Clean!AA491</f>
        <v>Delhivery</v>
      </c>
      <c r="C491" s="28" t="n">
        <f aca="false">Clean!J491</f>
        <v>15.29</v>
      </c>
      <c r="D491" s="29" t="n">
        <f aca="false">Clean!AF491</f>
        <v>876.41</v>
      </c>
      <c r="E491" s="29" t="n">
        <f aca="false">Clean!AE491</f>
        <v>1006.58</v>
      </c>
      <c r="F491" s="22" t="n">
        <f aca="false">AVERAGEIFS(Clean!$V$2:$V$1001,Clean!$AA$2:$AA$1001,B491)</f>
        <v>0.72538860103627</v>
      </c>
      <c r="G491" s="29" t="n">
        <f aca="false">F491*C491*D491</f>
        <v>9720.43132642487</v>
      </c>
      <c r="H491" s="29" t="n">
        <f aca="false">G491*Model!$B$4</f>
        <v>9720.43132642487</v>
      </c>
      <c r="I491" s="0" t="str">
        <f aca="false">IF(E491&lt;Model!$B$5*H491,"Expedite","Standard")</f>
        <v>Expedite</v>
      </c>
      <c r="J491" s="29" t="n">
        <f aca="false">H491</f>
        <v>9720.43132642487</v>
      </c>
      <c r="K491" s="29" t="n">
        <f aca="false">E491+(1-Model!$B$5)*H491</f>
        <v>1006.58</v>
      </c>
      <c r="L491" s="29" t="n">
        <f aca="false">IF(I491="Expedite",K491,J491)</f>
        <v>1006.58</v>
      </c>
      <c r="M491" s="29" t="n">
        <f aca="false">J491-L491</f>
        <v>8713.85132642487</v>
      </c>
      <c r="N491" s="29" t="n">
        <f aca="false">IFERROR(E491/(F491*C491*Model!$B$5),"")</f>
        <v>90.7549004951883</v>
      </c>
    </row>
    <row r="492" customFormat="false" ht="15" hidden="false" customHeight="false" outlineLevel="0" collapsed="false">
      <c r="A492" s="0" t="str">
        <f aca="false">Clean!A492</f>
        <v>SHP0491</v>
      </c>
      <c r="B492" s="0" t="str">
        <f aca="false">Clean!AA492</f>
        <v>BlueDart</v>
      </c>
      <c r="C492" s="28" t="n">
        <f aca="false">Clean!J492</f>
        <v>11.84</v>
      </c>
      <c r="D492" s="29" t="n">
        <f aca="false">Clean!AF492</f>
        <v>1222.78</v>
      </c>
      <c r="E492" s="29" t="n">
        <f aca="false">Clean!AE492</f>
        <v>4504.77</v>
      </c>
      <c r="F492" s="22" t="n">
        <f aca="false">AVERAGEIFS(Clean!$V$2:$V$1001,Clean!$AA$2:$AA$1001,B492)</f>
        <v>0.773869346733668</v>
      </c>
      <c r="G492" s="29" t="n">
        <f aca="false">F492*C492*D492</f>
        <v>11203.8600040201</v>
      </c>
      <c r="H492" s="29" t="n">
        <f aca="false">G492*Model!$B$4</f>
        <v>11203.8600040201</v>
      </c>
      <c r="I492" s="0" t="str">
        <f aca="false">IF(E492&lt;Model!$B$5*H492,"Expedite","Standard")</f>
        <v>Expedite</v>
      </c>
      <c r="J492" s="29" t="n">
        <f aca="false">H492</f>
        <v>11203.8600040201</v>
      </c>
      <c r="K492" s="29" t="n">
        <f aca="false">E492+(1-Model!$B$5)*H492</f>
        <v>4504.77</v>
      </c>
      <c r="L492" s="29" t="n">
        <f aca="false">IF(I492="Expedite",K492,J492)</f>
        <v>4504.77</v>
      </c>
      <c r="M492" s="29" t="n">
        <f aca="false">J492-L492</f>
        <v>6699.0900040201</v>
      </c>
      <c r="N492" s="29" t="n">
        <f aca="false">IFERROR(E492/(F492*C492*Model!$B$5),"")</f>
        <v>491.646866224991</v>
      </c>
    </row>
    <row r="493" customFormat="false" ht="15" hidden="false" customHeight="false" outlineLevel="0" collapsed="false">
      <c r="A493" s="0" t="str">
        <f aca="false">Clean!A493</f>
        <v>SHP0492</v>
      </c>
      <c r="B493" s="0" t="str">
        <f aca="false">Clean!AA493</f>
        <v>TCI Express</v>
      </c>
      <c r="C493" s="28" t="n">
        <f aca="false">Clean!J493</f>
        <v>5.4</v>
      </c>
      <c r="D493" s="29" t="n">
        <f aca="false">Clean!AF493</f>
        <v>734.5</v>
      </c>
      <c r="E493" s="29" t="n">
        <f aca="false">Clean!AE493</f>
        <v>3844</v>
      </c>
      <c r="F493" s="22" t="n">
        <f aca="false">AVERAGEIFS(Clean!$V$2:$V$1001,Clean!$AA$2:$AA$1001,B493)</f>
        <v>0.752336448598131</v>
      </c>
      <c r="G493" s="29" t="n">
        <f aca="false">F493*C493*D493</f>
        <v>2983.99205607477</v>
      </c>
      <c r="H493" s="29" t="n">
        <f aca="false">G493*Model!$B$4</f>
        <v>2983.99205607477</v>
      </c>
      <c r="I493" s="0" t="str">
        <f aca="false">IF(E493&lt;Model!$B$5*H493,"Expedite","Standard")</f>
        <v>Standard</v>
      </c>
      <c r="J493" s="29" t="n">
        <f aca="false">H493</f>
        <v>2983.99205607477</v>
      </c>
      <c r="K493" s="29" t="n">
        <f aca="false">E493+(1-Model!$B$5)*H493</f>
        <v>3844</v>
      </c>
      <c r="L493" s="29" t="n">
        <f aca="false">IF(I493="Expedite",K493,J493)</f>
        <v>2983.99205607477</v>
      </c>
      <c r="M493" s="29" t="n">
        <f aca="false">J493-L493</f>
        <v>0</v>
      </c>
      <c r="N493" s="29" t="n">
        <f aca="false">IFERROR(E493/(F493*C493*Model!$B$5),"")</f>
        <v>946.188175753393</v>
      </c>
    </row>
    <row r="494" customFormat="false" ht="15" hidden="false" customHeight="false" outlineLevel="0" collapsed="false">
      <c r="A494" s="0" t="str">
        <f aca="false">Clean!A494</f>
        <v>SHP0493</v>
      </c>
      <c r="B494" s="0" t="str">
        <f aca="false">Clean!AA494</f>
        <v>Delhivery</v>
      </c>
      <c r="C494" s="28" t="n">
        <f aca="false">Clean!J494</f>
        <v>15.24</v>
      </c>
      <c r="D494" s="29" t="n">
        <f aca="false">Clean!AF494</f>
        <v>1315.07</v>
      </c>
      <c r="E494" s="29" t="n">
        <f aca="false">Clean!AE494</f>
        <v>3746.06</v>
      </c>
      <c r="F494" s="22" t="n">
        <f aca="false">AVERAGEIFS(Clean!$V$2:$V$1001,Clean!$AA$2:$AA$1001,B494)</f>
        <v>0.72538860103627</v>
      </c>
      <c r="G494" s="29" t="n">
        <f aca="false">F494*C494*D494</f>
        <v>14537.996642487</v>
      </c>
      <c r="H494" s="29" t="n">
        <f aca="false">G494*Model!$B$4</f>
        <v>14537.996642487</v>
      </c>
      <c r="I494" s="0" t="str">
        <f aca="false">IF(E494&lt;Model!$B$5*H494,"Expedite","Standard")</f>
        <v>Expedite</v>
      </c>
      <c r="J494" s="29" t="n">
        <f aca="false">H494</f>
        <v>14537.996642487</v>
      </c>
      <c r="K494" s="29" t="n">
        <f aca="false">E494+(1-Model!$B$5)*H494</f>
        <v>3746.06</v>
      </c>
      <c r="L494" s="29" t="n">
        <f aca="false">IF(I494="Expedite",K494,J494)</f>
        <v>3746.06</v>
      </c>
      <c r="M494" s="29" t="n">
        <f aca="false">J494-L494</f>
        <v>10791.936642487</v>
      </c>
      <c r="N494" s="29" t="n">
        <f aca="false">IFERROR(E494/(F494*C494*Model!$B$5),"")</f>
        <v>338.859008248969</v>
      </c>
    </row>
    <row r="495" customFormat="false" ht="15" hidden="false" customHeight="false" outlineLevel="0" collapsed="false">
      <c r="A495" s="0" t="str">
        <f aca="false">Clean!A495</f>
        <v>SHP0494</v>
      </c>
      <c r="B495" s="0" t="str">
        <f aca="false">Clean!AA495</f>
        <v>GATI Logistics</v>
      </c>
      <c r="C495" s="28" t="n">
        <f aca="false">Clean!J495</f>
        <v>17.67</v>
      </c>
      <c r="D495" s="29" t="n">
        <f aca="false">Clean!AF495</f>
        <v>1486.9</v>
      </c>
      <c r="E495" s="29" t="n">
        <f aca="false">Clean!AE495</f>
        <v>2932.93</v>
      </c>
      <c r="F495" s="22" t="n">
        <f aca="false">AVERAGEIFS(Clean!$V$2:$V$1001,Clean!$AA$2:$AA$1001,B495)</f>
        <v>0.751243781094527</v>
      </c>
      <c r="G495" s="29" t="n">
        <f aca="false">F495*C495*D495</f>
        <v>19737.820761194</v>
      </c>
      <c r="H495" s="29" t="n">
        <f aca="false">G495*Model!$B$4</f>
        <v>19737.820761194</v>
      </c>
      <c r="I495" s="0" t="str">
        <f aca="false">IF(E495&lt;Model!$B$5*H495,"Expedite","Standard")</f>
        <v>Expedite</v>
      </c>
      <c r="J495" s="29" t="n">
        <f aca="false">H495</f>
        <v>19737.820761194</v>
      </c>
      <c r="K495" s="29" t="n">
        <f aca="false">E495+(1-Model!$B$5)*H495</f>
        <v>2932.93</v>
      </c>
      <c r="L495" s="29" t="n">
        <f aca="false">IF(I495="Expedite",K495,J495)</f>
        <v>2932.93</v>
      </c>
      <c r="M495" s="29" t="n">
        <f aca="false">J495-L495</f>
        <v>16804.890761194</v>
      </c>
      <c r="N495" s="29" t="n">
        <f aca="false">IFERROR(E495/(F495*C495*Model!$B$5),"")</f>
        <v>220.945040983146</v>
      </c>
    </row>
    <row r="496" customFormat="false" ht="15" hidden="false" customHeight="false" outlineLevel="0" collapsed="false">
      <c r="A496" s="0" t="str">
        <f aca="false">Clean!A496</f>
        <v>SHP0495</v>
      </c>
      <c r="B496" s="0" t="str">
        <f aca="false">Clean!AA496</f>
        <v>GATI Logistics</v>
      </c>
      <c r="C496" s="28" t="n">
        <f aca="false">Clean!J496</f>
        <v>15.34</v>
      </c>
      <c r="D496" s="29" t="n">
        <f aca="false">Clean!AF496</f>
        <v>518.28</v>
      </c>
      <c r="E496" s="29" t="n">
        <f aca="false">Clean!AE496</f>
        <v>1487.52</v>
      </c>
      <c r="F496" s="22" t="n">
        <f aca="false">AVERAGEIFS(Clean!$V$2:$V$1001,Clean!$AA$2:$AA$1001,B496)</f>
        <v>0.751243781094527</v>
      </c>
      <c r="G496" s="29" t="n">
        <f aca="false">F496*C496*D496</f>
        <v>5972.6999761194</v>
      </c>
      <c r="H496" s="29" t="n">
        <f aca="false">G496*Model!$B$4</f>
        <v>5972.6999761194</v>
      </c>
      <c r="I496" s="0" t="str">
        <f aca="false">IF(E496&lt;Model!$B$5*H496,"Expedite","Standard")</f>
        <v>Expedite</v>
      </c>
      <c r="J496" s="29" t="n">
        <f aca="false">H496</f>
        <v>5972.6999761194</v>
      </c>
      <c r="K496" s="29" t="n">
        <f aca="false">E496+(1-Model!$B$5)*H496</f>
        <v>1487.52</v>
      </c>
      <c r="L496" s="29" t="n">
        <f aca="false">IF(I496="Expedite",K496,J496)</f>
        <v>1487.52</v>
      </c>
      <c r="M496" s="29" t="n">
        <f aca="false">J496-L496</f>
        <v>4485.1799761194</v>
      </c>
      <c r="N496" s="29" t="n">
        <f aca="false">IFERROR(E496/(F496*C496*Model!$B$5),"")</f>
        <v>129.079288878144</v>
      </c>
    </row>
    <row r="497" customFormat="false" ht="15" hidden="false" customHeight="false" outlineLevel="0" collapsed="false">
      <c r="A497" s="0" t="str">
        <f aca="false">Clean!A497</f>
        <v>SHP0496</v>
      </c>
      <c r="B497" s="0" t="str">
        <f aca="false">Clean!AA497</f>
        <v>VRL Cargo</v>
      </c>
      <c r="C497" s="28" t="n">
        <f aca="false">Clean!J497</f>
        <v>18.18</v>
      </c>
      <c r="D497" s="29" t="n">
        <f aca="false">Clean!AF497</f>
        <v>1055.55</v>
      </c>
      <c r="E497" s="29" t="n">
        <f aca="false">Clean!AE497</f>
        <v>1748.5</v>
      </c>
      <c r="F497" s="22" t="n">
        <f aca="false">AVERAGEIFS(Clean!$V$2:$V$1001,Clean!$AA$2:$AA$1001,B497)</f>
        <v>0.72020725388601</v>
      </c>
      <c r="G497" s="29" t="n">
        <f aca="false">F497*C497*D497</f>
        <v>13820.7044611399</v>
      </c>
      <c r="H497" s="29" t="n">
        <f aca="false">G497*Model!$B$4</f>
        <v>13820.7044611399</v>
      </c>
      <c r="I497" s="0" t="str">
        <f aca="false">IF(E497&lt;Model!$B$5*H497,"Expedite","Standard")</f>
        <v>Expedite</v>
      </c>
      <c r="J497" s="29" t="n">
        <f aca="false">H497</f>
        <v>13820.7044611399</v>
      </c>
      <c r="K497" s="29" t="n">
        <f aca="false">E497+(1-Model!$B$5)*H497</f>
        <v>1748.5</v>
      </c>
      <c r="L497" s="29" t="n">
        <f aca="false">IF(I497="Expedite",K497,J497)</f>
        <v>1748.5</v>
      </c>
      <c r="M497" s="29" t="n">
        <f aca="false">J497-L497</f>
        <v>12072.2044611399</v>
      </c>
      <c r="N497" s="29" t="n">
        <f aca="false">IFERROR(E497/(F497*C497*Model!$B$5),"")</f>
        <v>133.540890060229</v>
      </c>
    </row>
    <row r="498" customFormat="false" ht="15" hidden="false" customHeight="false" outlineLevel="0" collapsed="false">
      <c r="A498" s="0" t="str">
        <f aca="false">Clean!A498</f>
        <v>SHP0497</v>
      </c>
      <c r="B498" s="0" t="str">
        <f aca="false">Clean!AA498</f>
        <v>BlueDart</v>
      </c>
      <c r="C498" s="28" t="n">
        <f aca="false">Clean!J498</f>
        <v>6.54</v>
      </c>
      <c r="D498" s="29" t="n">
        <f aca="false">Clean!AF498</f>
        <v>1208.9</v>
      </c>
      <c r="E498" s="29" t="n">
        <f aca="false">Clean!AE498</f>
        <v>2357.29</v>
      </c>
      <c r="F498" s="22" t="n">
        <f aca="false">AVERAGEIFS(Clean!$V$2:$V$1001,Clean!$AA$2:$AA$1001,B498)</f>
        <v>0.773869346733668</v>
      </c>
      <c r="G498" s="29" t="n">
        <f aca="false">F498*C498*D498</f>
        <v>6118.37047236181</v>
      </c>
      <c r="H498" s="29" t="n">
        <f aca="false">G498*Model!$B$4</f>
        <v>6118.37047236181</v>
      </c>
      <c r="I498" s="0" t="str">
        <f aca="false">IF(E498&lt;Model!$B$5*H498,"Expedite","Standard")</f>
        <v>Expedite</v>
      </c>
      <c r="J498" s="29" t="n">
        <f aca="false">H498</f>
        <v>6118.37047236181</v>
      </c>
      <c r="K498" s="29" t="n">
        <f aca="false">E498+(1-Model!$B$5)*H498</f>
        <v>2357.29</v>
      </c>
      <c r="L498" s="29" t="n">
        <f aca="false">IF(I498="Expedite",K498,J498)</f>
        <v>2357.29</v>
      </c>
      <c r="M498" s="29" t="n">
        <f aca="false">J498-L498</f>
        <v>3761.08047236181</v>
      </c>
      <c r="N498" s="29" t="n">
        <f aca="false">IFERROR(E498/(F498*C498*Model!$B$5),"")</f>
        <v>465.765826680964</v>
      </c>
    </row>
    <row r="499" customFormat="false" ht="15" hidden="false" customHeight="false" outlineLevel="0" collapsed="false">
      <c r="A499" s="0" t="str">
        <f aca="false">Clean!A499</f>
        <v>SHP0498</v>
      </c>
      <c r="B499" s="0" t="str">
        <f aca="false">Clean!AA499</f>
        <v>TCI Express</v>
      </c>
      <c r="C499" s="28" t="n">
        <f aca="false">Clean!J499</f>
        <v>19.88</v>
      </c>
      <c r="D499" s="29" t="n">
        <f aca="false">Clean!AF499</f>
        <v>1260.89</v>
      </c>
      <c r="E499" s="29" t="n">
        <f aca="false">Clean!AE499</f>
        <v>1083.03</v>
      </c>
      <c r="F499" s="22" t="n">
        <f aca="false">AVERAGEIFS(Clean!$V$2:$V$1001,Clean!$AA$2:$AA$1001,B499)</f>
        <v>0.752336448598131</v>
      </c>
      <c r="G499" s="29" t="n">
        <f aca="false">F499*C499*D499</f>
        <v>18858.4364728972</v>
      </c>
      <c r="H499" s="29" t="n">
        <f aca="false">G499*Model!$B$4</f>
        <v>18858.4364728972</v>
      </c>
      <c r="I499" s="0" t="str">
        <f aca="false">IF(E499&lt;Model!$B$5*H499,"Expedite","Standard")</f>
        <v>Expedite</v>
      </c>
      <c r="J499" s="29" t="n">
        <f aca="false">H499</f>
        <v>18858.4364728972</v>
      </c>
      <c r="K499" s="29" t="n">
        <f aca="false">E499+(1-Model!$B$5)*H499</f>
        <v>1083.03</v>
      </c>
      <c r="L499" s="29" t="n">
        <f aca="false">IF(I499="Expedite",K499,J499)</f>
        <v>1083.03</v>
      </c>
      <c r="M499" s="29" t="n">
        <f aca="false">J499-L499</f>
        <v>17775.4064728972</v>
      </c>
      <c r="N499" s="29" t="n">
        <f aca="false">IFERROR(E499/(F499*C499*Model!$B$5),"")</f>
        <v>72.4122436482248</v>
      </c>
    </row>
    <row r="500" customFormat="false" ht="15" hidden="false" customHeight="false" outlineLevel="0" collapsed="false">
      <c r="A500" s="0" t="str">
        <f aca="false">Clean!A500</f>
        <v>SHP0499</v>
      </c>
      <c r="B500" s="0" t="str">
        <f aca="false">Clean!AA500</f>
        <v>GATI Logistics</v>
      </c>
      <c r="C500" s="28" t="n">
        <f aca="false">Clean!J500</f>
        <v>1.81</v>
      </c>
      <c r="D500" s="29" t="n">
        <f aca="false">Clean!AF500</f>
        <v>1336.42</v>
      </c>
      <c r="E500" s="29" t="n">
        <f aca="false">Clean!AE500</f>
        <v>1462.23</v>
      </c>
      <c r="F500" s="22" t="n">
        <f aca="false">AVERAGEIFS(Clean!$V$2:$V$1001,Clean!$AA$2:$AA$1001,B500)</f>
        <v>0.751243781094527</v>
      </c>
      <c r="G500" s="29" t="n">
        <f aca="false">F500*C500*D500</f>
        <v>1817.19875721393</v>
      </c>
      <c r="H500" s="29" t="n">
        <f aca="false">G500*Model!$B$4</f>
        <v>1817.19875721393</v>
      </c>
      <c r="I500" s="0" t="str">
        <f aca="false">IF(E500&lt;Model!$B$5*H500,"Expedite","Standard")</f>
        <v>Expedite</v>
      </c>
      <c r="J500" s="29" t="n">
        <f aca="false">H500</f>
        <v>1817.19875721393</v>
      </c>
      <c r="K500" s="29" t="n">
        <f aca="false">E500+(1-Model!$B$5)*H500</f>
        <v>1462.23</v>
      </c>
      <c r="L500" s="29" t="n">
        <f aca="false">IF(I500="Expedite",K500,J500)</f>
        <v>1462.23</v>
      </c>
      <c r="M500" s="29" t="n">
        <f aca="false">J500-L500</f>
        <v>354.968757213931</v>
      </c>
      <c r="N500" s="29" t="n">
        <f aca="false">IFERROR(E500/(F500*C500*Model!$B$5),"")</f>
        <v>1075.36581171563</v>
      </c>
    </row>
    <row r="501" customFormat="false" ht="15" hidden="false" customHeight="false" outlineLevel="0" collapsed="false">
      <c r="A501" s="0" t="str">
        <f aca="false">Clean!A501</f>
        <v>SHP0500</v>
      </c>
      <c r="B501" s="0" t="str">
        <f aca="false">Clean!AA501</f>
        <v>VRL Cargo</v>
      </c>
      <c r="C501" s="28" t="n">
        <f aca="false">Clean!J501</f>
        <v>10.55</v>
      </c>
      <c r="D501" s="29" t="n">
        <f aca="false">Clean!AF501</f>
        <v>893.32</v>
      </c>
      <c r="E501" s="29" t="n">
        <f aca="false">Clean!AE501</f>
        <v>2508.22</v>
      </c>
      <c r="F501" s="22" t="n">
        <f aca="false">AVERAGEIFS(Clean!$V$2:$V$1001,Clean!$AA$2:$AA$1001,B501)</f>
        <v>0.72020725388601</v>
      </c>
      <c r="G501" s="29" t="n">
        <f aca="false">F501*C501*D501</f>
        <v>6787.61198963731</v>
      </c>
      <c r="H501" s="29" t="n">
        <f aca="false">G501*Model!$B$4</f>
        <v>6787.61198963731</v>
      </c>
      <c r="I501" s="0" t="str">
        <f aca="false">IF(E501&lt;Model!$B$5*H501,"Expedite","Standard")</f>
        <v>Expedite</v>
      </c>
      <c r="J501" s="29" t="n">
        <f aca="false">H501</f>
        <v>6787.61198963731</v>
      </c>
      <c r="K501" s="29" t="n">
        <f aca="false">E501+(1-Model!$B$5)*H501</f>
        <v>2508.22</v>
      </c>
      <c r="L501" s="29" t="n">
        <f aca="false">IF(I501="Expedite",K501,J501)</f>
        <v>2508.22</v>
      </c>
      <c r="M501" s="29" t="n">
        <f aca="false">J501-L501</f>
        <v>4279.39198963731</v>
      </c>
      <c r="N501" s="29" t="n">
        <f aca="false">IFERROR(E501/(F501*C501*Model!$B$5),"")</f>
        <v>330.107715912578</v>
      </c>
    </row>
    <row r="502" customFormat="false" ht="15" hidden="false" customHeight="false" outlineLevel="0" collapsed="false">
      <c r="A502" s="0" t="str">
        <f aca="false">Clean!A502</f>
        <v>SHP0501</v>
      </c>
      <c r="B502" s="0" t="str">
        <f aca="false">Clean!AA502</f>
        <v>TCI Express</v>
      </c>
      <c r="C502" s="28" t="n">
        <f aca="false">Clean!J502</f>
        <v>11.35</v>
      </c>
      <c r="D502" s="29" t="n">
        <f aca="false">Clean!AF502</f>
        <v>655.77</v>
      </c>
      <c r="E502" s="29" t="n">
        <f aca="false">Clean!AE502</f>
        <v>3582.14</v>
      </c>
      <c r="F502" s="22" t="n">
        <f aca="false">AVERAGEIFS(Clean!$V$2:$V$1001,Clean!$AA$2:$AA$1001,B502)</f>
        <v>0.752336448598131</v>
      </c>
      <c r="G502" s="29" t="n">
        <f aca="false">F502*C502*D502</f>
        <v>5599.63228738318</v>
      </c>
      <c r="H502" s="29" t="n">
        <f aca="false">G502*Model!$B$4</f>
        <v>5599.63228738318</v>
      </c>
      <c r="I502" s="0" t="str">
        <f aca="false">IF(E502&lt;Model!$B$5*H502,"Expedite","Standard")</f>
        <v>Expedite</v>
      </c>
      <c r="J502" s="29" t="n">
        <f aca="false">H502</f>
        <v>5599.63228738318</v>
      </c>
      <c r="K502" s="29" t="n">
        <f aca="false">E502+(1-Model!$B$5)*H502</f>
        <v>3582.14</v>
      </c>
      <c r="L502" s="29" t="n">
        <f aca="false">IF(I502="Expedite",K502,J502)</f>
        <v>3582.14</v>
      </c>
      <c r="M502" s="29" t="n">
        <f aca="false">J502-L502</f>
        <v>2017.49228738318</v>
      </c>
      <c r="N502" s="29" t="n">
        <f aca="false">IFERROR(E502/(F502*C502*Model!$B$5),"")</f>
        <v>419.502536459901</v>
      </c>
    </row>
    <row r="503" customFormat="false" ht="15" hidden="false" customHeight="false" outlineLevel="0" collapsed="false">
      <c r="A503" s="0" t="str">
        <f aca="false">Clean!A503</f>
        <v>SHP0502</v>
      </c>
      <c r="B503" s="0" t="str">
        <f aca="false">Clean!AA503</f>
        <v>GATI Logistics</v>
      </c>
      <c r="C503" s="28" t="n">
        <f aca="false">Clean!J503</f>
        <v>11.39</v>
      </c>
      <c r="D503" s="29" t="n">
        <f aca="false">Clean!AF503</f>
        <v>1453.63</v>
      </c>
      <c r="E503" s="29" t="n">
        <f aca="false">Clean!AE503</f>
        <v>4822.6</v>
      </c>
      <c r="F503" s="22" t="n">
        <f aca="false">AVERAGEIFS(Clean!$V$2:$V$1001,Clean!$AA$2:$AA$1001,B503)</f>
        <v>0.751243781094527</v>
      </c>
      <c r="G503" s="29" t="n">
        <f aca="false">F503*C503*D503</f>
        <v>12438.2273666667</v>
      </c>
      <c r="H503" s="29" t="n">
        <f aca="false">G503*Model!$B$4</f>
        <v>12438.2273666667</v>
      </c>
      <c r="I503" s="0" t="str">
        <f aca="false">IF(E503&lt;Model!$B$5*H503,"Expedite","Standard")</f>
        <v>Expedite</v>
      </c>
      <c r="J503" s="29" t="n">
        <f aca="false">H503</f>
        <v>12438.2273666667</v>
      </c>
      <c r="K503" s="29" t="n">
        <f aca="false">E503+(1-Model!$B$5)*H503</f>
        <v>4822.6</v>
      </c>
      <c r="L503" s="29" t="n">
        <f aca="false">IF(I503="Expedite",K503,J503)</f>
        <v>4822.6</v>
      </c>
      <c r="M503" s="29" t="n">
        <f aca="false">J503-L503</f>
        <v>7615.62736666667</v>
      </c>
      <c r="N503" s="29" t="n">
        <f aca="false">IFERROR(E503/(F503*C503*Model!$B$5),"")</f>
        <v>563.607323724192</v>
      </c>
    </row>
    <row r="504" customFormat="false" ht="15" hidden="false" customHeight="false" outlineLevel="0" collapsed="false">
      <c r="A504" s="0" t="str">
        <f aca="false">Clean!A504</f>
        <v>SHP0503</v>
      </c>
      <c r="B504" s="0" t="str">
        <f aca="false">Clean!AA504</f>
        <v>TCI Express</v>
      </c>
      <c r="C504" s="28" t="n">
        <f aca="false">Clean!J504</f>
        <v>7.69</v>
      </c>
      <c r="D504" s="29" t="n">
        <f aca="false">Clean!AF504</f>
        <v>1267.97</v>
      </c>
      <c r="E504" s="29" t="n">
        <f aca="false">Clean!AE504</f>
        <v>2912.64</v>
      </c>
      <c r="F504" s="22" t="n">
        <f aca="false">AVERAGEIFS(Clean!$V$2:$V$1001,Clean!$AA$2:$AA$1001,B504)</f>
        <v>0.752336448598131</v>
      </c>
      <c r="G504" s="29" t="n">
        <f aca="false">F504*C504*D504</f>
        <v>7335.7989593458</v>
      </c>
      <c r="H504" s="29" t="n">
        <f aca="false">G504*Model!$B$4</f>
        <v>7335.7989593458</v>
      </c>
      <c r="I504" s="0" t="str">
        <f aca="false">IF(E504&lt;Model!$B$5*H504,"Expedite","Standard")</f>
        <v>Expedite</v>
      </c>
      <c r="J504" s="29" t="n">
        <f aca="false">H504</f>
        <v>7335.7989593458</v>
      </c>
      <c r="K504" s="29" t="n">
        <f aca="false">E504+(1-Model!$B$5)*H504</f>
        <v>2912.64</v>
      </c>
      <c r="L504" s="29" t="n">
        <f aca="false">IF(I504="Expedite",K504,J504)</f>
        <v>2912.64</v>
      </c>
      <c r="M504" s="29" t="n">
        <f aca="false">J504-L504</f>
        <v>4423.1589593458</v>
      </c>
      <c r="N504" s="29" t="n">
        <f aca="false">IFERROR(E504/(F504*C504*Model!$B$5),"")</f>
        <v>503.440751480102</v>
      </c>
    </row>
    <row r="505" customFormat="false" ht="15" hidden="false" customHeight="false" outlineLevel="0" collapsed="false">
      <c r="A505" s="0" t="str">
        <f aca="false">Clean!A505</f>
        <v>SHP0504</v>
      </c>
      <c r="B505" s="0" t="str">
        <f aca="false">Clean!AA505</f>
        <v>Delhivery</v>
      </c>
      <c r="C505" s="28" t="n">
        <f aca="false">Clean!J505</f>
        <v>12.94</v>
      </c>
      <c r="D505" s="29" t="n">
        <f aca="false">Clean!AF505</f>
        <v>1424.07</v>
      </c>
      <c r="E505" s="29" t="n">
        <f aca="false">Clean!AE505</f>
        <v>3786.25</v>
      </c>
      <c r="F505" s="22" t="n">
        <f aca="false">AVERAGEIFS(Clean!$V$2:$V$1001,Clean!$AA$2:$AA$1001,B505)</f>
        <v>0.72538860103627</v>
      </c>
      <c r="G505" s="29" t="n">
        <f aca="false">F505*C505*D505</f>
        <v>13367.0736373057</v>
      </c>
      <c r="H505" s="29" t="n">
        <f aca="false">G505*Model!$B$4</f>
        <v>13367.0736373057</v>
      </c>
      <c r="I505" s="0" t="str">
        <f aca="false">IF(E505&lt;Model!$B$5*H505,"Expedite","Standard")</f>
        <v>Expedite</v>
      </c>
      <c r="J505" s="29" t="n">
        <f aca="false">H505</f>
        <v>13367.0736373057</v>
      </c>
      <c r="K505" s="29" t="n">
        <f aca="false">E505+(1-Model!$B$5)*H505</f>
        <v>3786.25</v>
      </c>
      <c r="L505" s="29" t="n">
        <f aca="false">IF(I505="Expedite",K505,J505)</f>
        <v>3786.25</v>
      </c>
      <c r="M505" s="29" t="n">
        <f aca="false">J505-L505</f>
        <v>9580.8236373057</v>
      </c>
      <c r="N505" s="29" t="n">
        <f aca="false">IFERROR(E505/(F505*C505*Model!$B$5),"")</f>
        <v>403.370639213955</v>
      </c>
    </row>
    <row r="506" customFormat="false" ht="15" hidden="false" customHeight="false" outlineLevel="0" collapsed="false">
      <c r="A506" s="0" t="str">
        <f aca="false">Clean!A506</f>
        <v>SHP0505</v>
      </c>
      <c r="B506" s="0" t="str">
        <f aca="false">Clean!AA506</f>
        <v>VRL Cargo</v>
      </c>
      <c r="C506" s="28" t="n">
        <f aca="false">Clean!J506</f>
        <v>16.59</v>
      </c>
      <c r="D506" s="29" t="n">
        <f aca="false">Clean!AF506</f>
        <v>1467.74</v>
      </c>
      <c r="E506" s="29" t="n">
        <f aca="false">Clean!AE506</f>
        <v>2703.99</v>
      </c>
      <c r="F506" s="22" t="n">
        <f aca="false">AVERAGEIFS(Clean!$V$2:$V$1001,Clean!$AA$2:$AA$1001,B506)</f>
        <v>0.72020725388601</v>
      </c>
      <c r="G506" s="29" t="n">
        <f aca="false">F506*C506*D506</f>
        <v>17536.9073440415</v>
      </c>
      <c r="H506" s="29" t="n">
        <f aca="false">G506*Model!$B$4</f>
        <v>17536.9073440415</v>
      </c>
      <c r="I506" s="0" t="str">
        <f aca="false">IF(E506&lt;Model!$B$5*H506,"Expedite","Standard")</f>
        <v>Expedite</v>
      </c>
      <c r="J506" s="29" t="n">
        <f aca="false">H506</f>
        <v>17536.9073440415</v>
      </c>
      <c r="K506" s="29" t="n">
        <f aca="false">E506+(1-Model!$B$5)*H506</f>
        <v>2703.99</v>
      </c>
      <c r="L506" s="29" t="n">
        <f aca="false">IF(I506="Expedite",K506,J506)</f>
        <v>2703.99</v>
      </c>
      <c r="M506" s="29" t="n">
        <f aca="false">J506-L506</f>
        <v>14832.9173440415</v>
      </c>
      <c r="N506" s="29" t="n">
        <f aca="false">IFERROR(E506/(F506*C506*Model!$B$5),"")</f>
        <v>226.308676024822</v>
      </c>
    </row>
    <row r="507" customFormat="false" ht="15" hidden="false" customHeight="false" outlineLevel="0" collapsed="false">
      <c r="A507" s="0" t="str">
        <f aca="false">Clean!A507</f>
        <v>SHP0506</v>
      </c>
      <c r="B507" s="0" t="str">
        <f aca="false">Clean!AA507</f>
        <v>GATI Logistics</v>
      </c>
      <c r="C507" s="28" t="n">
        <f aca="false">Clean!J507</f>
        <v>13.5</v>
      </c>
      <c r="D507" s="29" t="n">
        <f aca="false">Clean!AF507</f>
        <v>971.31</v>
      </c>
      <c r="E507" s="29" t="n">
        <f aca="false">Clean!AE507</f>
        <v>1772.64</v>
      </c>
      <c r="F507" s="22" t="n">
        <f aca="false">AVERAGEIFS(Clean!$V$2:$V$1001,Clean!$AA$2:$AA$1001,B507)</f>
        <v>0.751243781094527</v>
      </c>
      <c r="G507" s="29" t="n">
        <f aca="false">F507*C507*D507</f>
        <v>9850.82305970149</v>
      </c>
      <c r="H507" s="29" t="n">
        <f aca="false">G507*Model!$B$4</f>
        <v>9850.82305970149</v>
      </c>
      <c r="I507" s="0" t="str">
        <f aca="false">IF(E507&lt;Model!$B$5*H507,"Expedite","Standard")</f>
        <v>Expedite</v>
      </c>
      <c r="J507" s="29" t="n">
        <f aca="false">H507</f>
        <v>9850.82305970149</v>
      </c>
      <c r="K507" s="29" t="n">
        <f aca="false">E507+(1-Model!$B$5)*H507</f>
        <v>1772.64</v>
      </c>
      <c r="L507" s="29" t="n">
        <f aca="false">IF(I507="Expedite",K507,J507)</f>
        <v>1772.64</v>
      </c>
      <c r="M507" s="29" t="n">
        <f aca="false">J507-L507</f>
        <v>8078.18305970149</v>
      </c>
      <c r="N507" s="29" t="n">
        <f aca="false">IFERROR(E507/(F507*C507*Model!$B$5),"")</f>
        <v>174.785695364238</v>
      </c>
    </row>
    <row r="508" customFormat="false" ht="15" hidden="false" customHeight="false" outlineLevel="0" collapsed="false">
      <c r="A508" s="0" t="str">
        <f aca="false">Clean!A508</f>
        <v>SHP0507</v>
      </c>
      <c r="B508" s="0" t="str">
        <f aca="false">Clean!AA508</f>
        <v>TCI Express</v>
      </c>
      <c r="C508" s="28" t="n">
        <f aca="false">Clean!J508</f>
        <v>9.98</v>
      </c>
      <c r="D508" s="29" t="n">
        <f aca="false">Clean!AF508</f>
        <v>1225.29</v>
      </c>
      <c r="E508" s="29" t="n">
        <f aca="false">Clean!AE508</f>
        <v>4414.62</v>
      </c>
      <c r="F508" s="22" t="n">
        <f aca="false">AVERAGEIFS(Clean!$V$2:$V$1001,Clean!$AA$2:$AA$1001,B508)</f>
        <v>0.752336448598131</v>
      </c>
      <c r="G508" s="29" t="n">
        <f aca="false">F508*C508*D508</f>
        <v>9199.86666448598</v>
      </c>
      <c r="H508" s="29" t="n">
        <f aca="false">G508*Model!$B$4</f>
        <v>9199.86666448598</v>
      </c>
      <c r="I508" s="0" t="str">
        <f aca="false">IF(E508&lt;Model!$B$5*H508,"Expedite","Standard")</f>
        <v>Expedite</v>
      </c>
      <c r="J508" s="29" t="n">
        <f aca="false">H508</f>
        <v>9199.86666448598</v>
      </c>
      <c r="K508" s="29" t="n">
        <f aca="false">E508+(1-Model!$B$5)*H508</f>
        <v>4414.62</v>
      </c>
      <c r="L508" s="29" t="n">
        <f aca="false">IF(I508="Expedite",K508,J508)</f>
        <v>4414.62</v>
      </c>
      <c r="M508" s="29" t="n">
        <f aca="false">J508-L508</f>
        <v>4785.24666448598</v>
      </c>
      <c r="N508" s="29" t="n">
        <f aca="false">IFERROR(E508/(F508*C508*Model!$B$5),"")</f>
        <v>587.963927855711</v>
      </c>
    </row>
    <row r="509" customFormat="false" ht="15" hidden="false" customHeight="false" outlineLevel="0" collapsed="false">
      <c r="A509" s="0" t="str">
        <f aca="false">Clean!A509</f>
        <v>SHP0508</v>
      </c>
      <c r="B509" s="0" t="str">
        <f aca="false">Clean!AA509</f>
        <v>Delhivery</v>
      </c>
      <c r="C509" s="28" t="n">
        <f aca="false">Clean!J509</f>
        <v>7.85</v>
      </c>
      <c r="D509" s="29" t="n">
        <f aca="false">Clean!AF509</f>
        <v>745.55</v>
      </c>
      <c r="E509" s="29" t="n">
        <f aca="false">Clean!AE509</f>
        <v>2589.09</v>
      </c>
      <c r="F509" s="22" t="n">
        <f aca="false">AVERAGEIFS(Clean!$V$2:$V$1001,Clean!$AA$2:$AA$1001,B509)</f>
        <v>0.72538860103627</v>
      </c>
      <c r="G509" s="29" t="n">
        <f aca="false">F509*C509*D509</f>
        <v>4245.38575129534</v>
      </c>
      <c r="H509" s="29" t="n">
        <f aca="false">G509*Model!$B$4</f>
        <v>4245.38575129534</v>
      </c>
      <c r="I509" s="0" t="str">
        <f aca="false">IF(E509&lt;Model!$B$5*H509,"Expedite","Standard")</f>
        <v>Expedite</v>
      </c>
      <c r="J509" s="29" t="n">
        <f aca="false">H509</f>
        <v>4245.38575129534</v>
      </c>
      <c r="K509" s="29" t="n">
        <f aca="false">E509+(1-Model!$B$5)*H509</f>
        <v>2589.09</v>
      </c>
      <c r="L509" s="29" t="n">
        <f aca="false">IF(I509="Expedite",K509,J509)</f>
        <v>2589.09</v>
      </c>
      <c r="M509" s="29" t="n">
        <f aca="false">J509-L509</f>
        <v>1656.29575129534</v>
      </c>
      <c r="N509" s="29" t="n">
        <f aca="false">IFERROR(E509/(F509*C509*Model!$B$5),"")</f>
        <v>454.680955414013</v>
      </c>
    </row>
    <row r="510" customFormat="false" ht="15" hidden="false" customHeight="false" outlineLevel="0" collapsed="false">
      <c r="A510" s="0" t="str">
        <f aca="false">Clean!A510</f>
        <v>SHP0509</v>
      </c>
      <c r="B510" s="0" t="str">
        <f aca="false">Clean!AA510</f>
        <v>Delhivery</v>
      </c>
      <c r="C510" s="28" t="n">
        <f aca="false">Clean!J510</f>
        <v>16.43</v>
      </c>
      <c r="D510" s="29" t="n">
        <f aca="false">Clean!AF510</f>
        <v>1228.87</v>
      </c>
      <c r="E510" s="29" t="n">
        <f aca="false">Clean!AE510</f>
        <v>4506.46</v>
      </c>
      <c r="F510" s="22" t="n">
        <f aca="false">AVERAGEIFS(Clean!$V$2:$V$1001,Clean!$AA$2:$AA$1001,B510)</f>
        <v>0.72538860103627</v>
      </c>
      <c r="G510" s="29" t="n">
        <f aca="false">F510*C510*D510</f>
        <v>14645.8382072539</v>
      </c>
      <c r="H510" s="29" t="n">
        <f aca="false">G510*Model!$B$4</f>
        <v>14645.8382072539</v>
      </c>
      <c r="I510" s="0" t="str">
        <f aca="false">IF(E510&lt;Model!$B$5*H510,"Expedite","Standard")</f>
        <v>Expedite</v>
      </c>
      <c r="J510" s="29" t="n">
        <f aca="false">H510</f>
        <v>14645.8382072539</v>
      </c>
      <c r="K510" s="29" t="n">
        <f aca="false">E510+(1-Model!$B$5)*H510</f>
        <v>4506.46</v>
      </c>
      <c r="L510" s="29" t="n">
        <f aca="false">IF(I510="Expedite",K510,J510)</f>
        <v>4506.46</v>
      </c>
      <c r="M510" s="29" t="n">
        <f aca="false">J510-L510</f>
        <v>10139.3782072539</v>
      </c>
      <c r="N510" s="29" t="n">
        <f aca="false">IFERROR(E510/(F510*C510*Model!$B$5),"")</f>
        <v>378.117894096166</v>
      </c>
    </row>
    <row r="511" customFormat="false" ht="15" hidden="false" customHeight="false" outlineLevel="0" collapsed="false">
      <c r="A511" s="0" t="str">
        <f aca="false">Clean!A511</f>
        <v>SHP0510</v>
      </c>
      <c r="B511" s="0" t="str">
        <f aca="false">Clean!AA511</f>
        <v>TCI Express</v>
      </c>
      <c r="C511" s="28" t="n">
        <f aca="false">Clean!J511</f>
        <v>6.73</v>
      </c>
      <c r="D511" s="29" t="n">
        <f aca="false">Clean!AF511</f>
        <v>1097.43</v>
      </c>
      <c r="E511" s="29" t="n">
        <f aca="false">Clean!AE511</f>
        <v>3951.71</v>
      </c>
      <c r="F511" s="22" t="n">
        <f aca="false">AVERAGEIFS(Clean!$V$2:$V$1001,Clean!$AA$2:$AA$1001,B511)</f>
        <v>0.752336448598131</v>
      </c>
      <c r="G511" s="29" t="n">
        <f aca="false">F511*C511*D511</f>
        <v>5556.53424252337</v>
      </c>
      <c r="H511" s="29" t="n">
        <f aca="false">G511*Model!$B$4</f>
        <v>5556.53424252337</v>
      </c>
      <c r="I511" s="0" t="str">
        <f aca="false">IF(E511&lt;Model!$B$5*H511,"Expedite","Standard")</f>
        <v>Expedite</v>
      </c>
      <c r="J511" s="29" t="n">
        <f aca="false">H511</f>
        <v>5556.53424252337</v>
      </c>
      <c r="K511" s="29" t="n">
        <f aca="false">E511+(1-Model!$B$5)*H511</f>
        <v>3951.71</v>
      </c>
      <c r="L511" s="29" t="n">
        <f aca="false">IF(I511="Expedite",K511,J511)</f>
        <v>3951.71</v>
      </c>
      <c r="M511" s="29" t="n">
        <f aca="false">J511-L511</f>
        <v>1604.82424252337</v>
      </c>
      <c r="N511" s="29" t="n">
        <f aca="false">IFERROR(E511/(F511*C511*Model!$B$5),"")</f>
        <v>780.473027973383</v>
      </c>
    </row>
    <row r="512" customFormat="false" ht="15" hidden="false" customHeight="false" outlineLevel="0" collapsed="false">
      <c r="A512" s="0" t="str">
        <f aca="false">Clean!A512</f>
        <v>SHP0511</v>
      </c>
      <c r="B512" s="0" t="str">
        <f aca="false">Clean!AA512</f>
        <v>Delhivery</v>
      </c>
      <c r="C512" s="28" t="n">
        <f aca="false">Clean!J512</f>
        <v>17.74</v>
      </c>
      <c r="D512" s="29" t="n">
        <f aca="false">Clean!AF512</f>
        <v>1124.24</v>
      </c>
      <c r="E512" s="29" t="n">
        <f aca="false">Clean!AE512</f>
        <v>2047</v>
      </c>
      <c r="F512" s="22" t="n">
        <f aca="false">AVERAGEIFS(Clean!$V$2:$V$1001,Clean!$AA$2:$AA$1001,B512)</f>
        <v>0.72538860103627</v>
      </c>
      <c r="G512" s="29" t="n">
        <f aca="false">F512*C512*D512</f>
        <v>14467.1630259067</v>
      </c>
      <c r="H512" s="29" t="n">
        <f aca="false">G512*Model!$B$4</f>
        <v>14467.1630259067</v>
      </c>
      <c r="I512" s="0" t="str">
        <f aca="false">IF(E512&lt;Model!$B$5*H512,"Expedite","Standard")</f>
        <v>Expedite</v>
      </c>
      <c r="J512" s="29" t="n">
        <f aca="false">H512</f>
        <v>14467.1630259067</v>
      </c>
      <c r="K512" s="29" t="n">
        <f aca="false">E512+(1-Model!$B$5)*H512</f>
        <v>2047</v>
      </c>
      <c r="L512" s="29" t="n">
        <f aca="false">IF(I512="Expedite",K512,J512)</f>
        <v>2047</v>
      </c>
      <c r="M512" s="29" t="n">
        <f aca="false">J512-L512</f>
        <v>12420.1630259067</v>
      </c>
      <c r="N512" s="29" t="n">
        <f aca="false">IFERROR(E512/(F512*C512*Model!$B$5),"")</f>
        <v>159.071911741021</v>
      </c>
    </row>
    <row r="513" customFormat="false" ht="15" hidden="false" customHeight="false" outlineLevel="0" collapsed="false">
      <c r="A513" s="0" t="str">
        <f aca="false">Clean!A513</f>
        <v>SHP0512</v>
      </c>
      <c r="B513" s="0" t="str">
        <f aca="false">Clean!AA513</f>
        <v>Delhivery</v>
      </c>
      <c r="C513" s="28" t="n">
        <f aca="false">Clean!J513</f>
        <v>16.76</v>
      </c>
      <c r="D513" s="29" t="n">
        <f aca="false">Clean!AF513</f>
        <v>1225.11</v>
      </c>
      <c r="E513" s="29" t="n">
        <f aca="false">Clean!AE513</f>
        <v>2248.77</v>
      </c>
      <c r="F513" s="22" t="n">
        <f aca="false">AVERAGEIFS(Clean!$V$2:$V$1001,Clean!$AA$2:$AA$1001,B513)</f>
        <v>0.72538860103627</v>
      </c>
      <c r="G513" s="29" t="n">
        <f aca="false">F513*C513*D513</f>
        <v>14894.2906943005</v>
      </c>
      <c r="H513" s="29" t="n">
        <f aca="false">G513*Model!$B$4</f>
        <v>14894.2906943005</v>
      </c>
      <c r="I513" s="0" t="str">
        <f aca="false">IF(E513&lt;Model!$B$5*H513,"Expedite","Standard")</f>
        <v>Expedite</v>
      </c>
      <c r="J513" s="29" t="n">
        <f aca="false">H513</f>
        <v>14894.2906943005</v>
      </c>
      <c r="K513" s="29" t="n">
        <f aca="false">E513+(1-Model!$B$5)*H513</f>
        <v>2248.77</v>
      </c>
      <c r="L513" s="29" t="n">
        <f aca="false">IF(I513="Expedite",K513,J513)</f>
        <v>2248.77</v>
      </c>
      <c r="M513" s="29" t="n">
        <f aca="false">J513-L513</f>
        <v>12645.5206943005</v>
      </c>
      <c r="N513" s="29" t="n">
        <f aca="false">IFERROR(E513/(F513*C513*Model!$B$5),"")</f>
        <v>184.969574667576</v>
      </c>
    </row>
    <row r="514" customFormat="false" ht="15" hidden="false" customHeight="false" outlineLevel="0" collapsed="false">
      <c r="A514" s="0" t="str">
        <f aca="false">Clean!A514</f>
        <v>SHP0513</v>
      </c>
      <c r="B514" s="0" t="str">
        <f aca="false">Clean!AA514</f>
        <v>GATI Logistics</v>
      </c>
      <c r="C514" s="28" t="n">
        <f aca="false">Clean!J514</f>
        <v>16.13</v>
      </c>
      <c r="D514" s="29" t="n">
        <f aca="false">Clean!AF514</f>
        <v>945.96</v>
      </c>
      <c r="E514" s="29" t="n">
        <f aca="false">Clean!AE514</f>
        <v>3979.3</v>
      </c>
      <c r="F514" s="22" t="n">
        <f aca="false">AVERAGEIFS(Clean!$V$2:$V$1001,Clean!$AA$2:$AA$1001,B514)</f>
        <v>0.751243781094527</v>
      </c>
      <c r="G514" s="29" t="n">
        <f aca="false">F514*C514*D514</f>
        <v>11462.7291283582</v>
      </c>
      <c r="H514" s="29" t="n">
        <f aca="false">G514*Model!$B$4</f>
        <v>11462.7291283582</v>
      </c>
      <c r="I514" s="0" t="str">
        <f aca="false">IF(E514&lt;Model!$B$5*H514,"Expedite","Standard")</f>
        <v>Expedite</v>
      </c>
      <c r="J514" s="29" t="n">
        <f aca="false">H514</f>
        <v>11462.7291283582</v>
      </c>
      <c r="K514" s="29" t="n">
        <f aca="false">E514+(1-Model!$B$5)*H514</f>
        <v>3979.3</v>
      </c>
      <c r="L514" s="29" t="n">
        <f aca="false">IF(I514="Expedite",K514,J514)</f>
        <v>3979.3</v>
      </c>
      <c r="M514" s="29" t="n">
        <f aca="false">J514-L514</f>
        <v>7483.42912835821</v>
      </c>
      <c r="N514" s="29" t="n">
        <f aca="false">IFERROR(E514/(F514*C514*Model!$B$5),"")</f>
        <v>328.3911349425</v>
      </c>
    </row>
    <row r="515" customFormat="false" ht="15" hidden="false" customHeight="false" outlineLevel="0" collapsed="false">
      <c r="A515" s="0" t="str">
        <f aca="false">Clean!A515</f>
        <v>SHP0514</v>
      </c>
      <c r="B515" s="0" t="str">
        <f aca="false">Clean!AA515</f>
        <v>GATI Logistics</v>
      </c>
      <c r="C515" s="28" t="n">
        <f aca="false">Clean!J515</f>
        <v>1.38</v>
      </c>
      <c r="D515" s="29" t="n">
        <f aca="false">Clean!AF515</f>
        <v>1249.37</v>
      </c>
      <c r="E515" s="29" t="n">
        <f aca="false">Clean!AE515</f>
        <v>1745.68</v>
      </c>
      <c r="F515" s="22" t="n">
        <f aca="false">AVERAGEIFS(Clean!$V$2:$V$1001,Clean!$AA$2:$AA$1001,B515)</f>
        <v>0.751243781094527</v>
      </c>
      <c r="G515" s="29" t="n">
        <f aca="false">F515*C515*D515</f>
        <v>1295.24239104478</v>
      </c>
      <c r="H515" s="29" t="n">
        <f aca="false">G515*Model!$B$4</f>
        <v>1295.24239104478</v>
      </c>
      <c r="I515" s="0" t="str">
        <f aca="false">IF(E515&lt;Model!$B$5*H515,"Expedite","Standard")</f>
        <v>Standard</v>
      </c>
      <c r="J515" s="29" t="n">
        <f aca="false">H515</f>
        <v>1295.24239104478</v>
      </c>
      <c r="K515" s="29" t="n">
        <f aca="false">E515+(1-Model!$B$5)*H515</f>
        <v>1745.68</v>
      </c>
      <c r="L515" s="29" t="n">
        <f aca="false">IF(I515="Expedite",K515,J515)</f>
        <v>1295.24239104478</v>
      </c>
      <c r="M515" s="29" t="n">
        <f aca="false">J515-L515</f>
        <v>0</v>
      </c>
      <c r="N515" s="29" t="n">
        <f aca="false">IFERROR(E515/(F515*C515*Model!$B$5),"")</f>
        <v>1683.85488050677</v>
      </c>
    </row>
    <row r="516" customFormat="false" ht="15" hidden="false" customHeight="false" outlineLevel="0" collapsed="false">
      <c r="A516" s="0" t="str">
        <f aca="false">Clean!A516</f>
        <v>SHP0515</v>
      </c>
      <c r="B516" s="0" t="str">
        <f aca="false">Clean!AA516</f>
        <v>TCI Express</v>
      </c>
      <c r="C516" s="28" t="n">
        <f aca="false">Clean!J516</f>
        <v>11.37</v>
      </c>
      <c r="D516" s="29" t="n">
        <f aca="false">Clean!AF516</f>
        <v>927.11</v>
      </c>
      <c r="E516" s="29" t="n">
        <f aca="false">Clean!AE516</f>
        <v>4828.54</v>
      </c>
      <c r="F516" s="22" t="n">
        <f aca="false">AVERAGEIFS(Clean!$V$2:$V$1001,Clean!$AA$2:$AA$1001,B516)</f>
        <v>0.752336448598131</v>
      </c>
      <c r="G516" s="29" t="n">
        <f aca="false">F516*C516*D516</f>
        <v>7930.55959205607</v>
      </c>
      <c r="H516" s="29" t="n">
        <f aca="false">G516*Model!$B$4</f>
        <v>7930.55959205607</v>
      </c>
      <c r="I516" s="0" t="str">
        <f aca="false">IF(E516&lt;Model!$B$5*H516,"Expedite","Standard")</f>
        <v>Expedite</v>
      </c>
      <c r="J516" s="29" t="n">
        <f aca="false">H516</f>
        <v>7930.55959205607</v>
      </c>
      <c r="K516" s="29" t="n">
        <f aca="false">E516+(1-Model!$B$5)*H516</f>
        <v>4828.54</v>
      </c>
      <c r="L516" s="29" t="n">
        <f aca="false">IF(I516="Expedite",K516,J516)</f>
        <v>4828.54</v>
      </c>
      <c r="M516" s="29" t="n">
        <f aca="false">J516-L516</f>
        <v>3102.01959205607</v>
      </c>
      <c r="N516" s="29" t="n">
        <f aca="false">IFERROR(E516/(F516*C516*Model!$B$5),"")</f>
        <v>564.473120394194</v>
      </c>
    </row>
    <row r="517" customFormat="false" ht="15" hidden="false" customHeight="false" outlineLevel="0" collapsed="false">
      <c r="A517" s="0" t="str">
        <f aca="false">Clean!A517</f>
        <v>SHP0516</v>
      </c>
      <c r="B517" s="0" t="str">
        <f aca="false">Clean!AA517</f>
        <v>VRL Cargo</v>
      </c>
      <c r="C517" s="28" t="n">
        <f aca="false">Clean!J517</f>
        <v>10.03</v>
      </c>
      <c r="D517" s="29" t="n">
        <f aca="false">Clean!AF517</f>
        <v>705.98</v>
      </c>
      <c r="E517" s="29" t="n">
        <f aca="false">Clean!AE517</f>
        <v>1493.8</v>
      </c>
      <c r="F517" s="22" t="n">
        <f aca="false">AVERAGEIFS(Clean!$V$2:$V$1001,Clean!$AA$2:$AA$1001,B517)</f>
        <v>0.72020725388601</v>
      </c>
      <c r="G517" s="29" t="n">
        <f aca="false">F517*C517*D517</f>
        <v>5099.77272849741</v>
      </c>
      <c r="H517" s="29" t="n">
        <f aca="false">G517*Model!$B$4</f>
        <v>5099.77272849741</v>
      </c>
      <c r="I517" s="0" t="str">
        <f aca="false">IF(E517&lt;Model!$B$5*H517,"Expedite","Standard")</f>
        <v>Expedite</v>
      </c>
      <c r="J517" s="29" t="n">
        <f aca="false">H517</f>
        <v>5099.77272849741</v>
      </c>
      <c r="K517" s="29" t="n">
        <f aca="false">E517+(1-Model!$B$5)*H517</f>
        <v>1493.8</v>
      </c>
      <c r="L517" s="29" t="n">
        <f aca="false">IF(I517="Expedite",K517,J517)</f>
        <v>1493.8</v>
      </c>
      <c r="M517" s="29" t="n">
        <f aca="false">J517-L517</f>
        <v>3605.97272849741</v>
      </c>
      <c r="N517" s="29" t="n">
        <f aca="false">IFERROR(E517/(F517*C517*Model!$B$5),"")</f>
        <v>206.792141560929</v>
      </c>
    </row>
    <row r="518" customFormat="false" ht="15" hidden="false" customHeight="false" outlineLevel="0" collapsed="false">
      <c r="A518" s="0" t="str">
        <f aca="false">Clean!A518</f>
        <v>SHP0517</v>
      </c>
      <c r="B518" s="0" t="str">
        <f aca="false">Clean!AA518</f>
        <v>VRL Cargo</v>
      </c>
      <c r="C518" s="28" t="n">
        <f aca="false">Clean!J518</f>
        <v>1.02</v>
      </c>
      <c r="D518" s="29" t="n">
        <f aca="false">Clean!AF518</f>
        <v>992.36</v>
      </c>
      <c r="E518" s="29" t="n">
        <f aca="false">Clean!AE518</f>
        <v>4754.86</v>
      </c>
      <c r="F518" s="22" t="n">
        <f aca="false">AVERAGEIFS(Clean!$V$2:$V$1001,Clean!$AA$2:$AA$1001,B518)</f>
        <v>0.72020725388601</v>
      </c>
      <c r="G518" s="29" t="n">
        <f aca="false">F518*C518*D518</f>
        <v>728.998967875648</v>
      </c>
      <c r="H518" s="29" t="n">
        <f aca="false">G518*Model!$B$4</f>
        <v>728.998967875648</v>
      </c>
      <c r="I518" s="0" t="str">
        <f aca="false">IF(E518&lt;Model!$B$5*H518,"Expedite","Standard")</f>
        <v>Standard</v>
      </c>
      <c r="J518" s="29" t="n">
        <f aca="false">H518</f>
        <v>728.998967875648</v>
      </c>
      <c r="K518" s="29" t="n">
        <f aca="false">E518+(1-Model!$B$5)*H518</f>
        <v>4754.86</v>
      </c>
      <c r="L518" s="29" t="n">
        <f aca="false">IF(I518="Expedite",K518,J518)</f>
        <v>728.998967875648</v>
      </c>
      <c r="M518" s="29" t="n">
        <f aca="false">J518-L518</f>
        <v>0</v>
      </c>
      <c r="N518" s="29" t="n">
        <f aca="false">IFERROR(E518/(F518*C518*Model!$B$5),"")</f>
        <v>6472.61941035407</v>
      </c>
    </row>
    <row r="519" customFormat="false" ht="15" hidden="false" customHeight="false" outlineLevel="0" collapsed="false">
      <c r="A519" s="0" t="str">
        <f aca="false">Clean!A519</f>
        <v>SHP0518</v>
      </c>
      <c r="B519" s="0" t="str">
        <f aca="false">Clean!AA519</f>
        <v>TCI Express</v>
      </c>
      <c r="C519" s="28" t="n">
        <f aca="false">Clean!J519</f>
        <v>14.32</v>
      </c>
      <c r="D519" s="29" t="n">
        <f aca="false">Clean!AF519</f>
        <v>678.42</v>
      </c>
      <c r="E519" s="29" t="n">
        <f aca="false">Clean!AE519</f>
        <v>2989.02</v>
      </c>
      <c r="F519" s="22" t="n">
        <f aca="false">AVERAGEIFS(Clean!$V$2:$V$1001,Clean!$AA$2:$AA$1001,B519)</f>
        <v>0.752336448598131</v>
      </c>
      <c r="G519" s="29" t="n">
        <f aca="false">F519*C519*D519</f>
        <v>7308.92933831776</v>
      </c>
      <c r="H519" s="29" t="n">
        <f aca="false">G519*Model!$B$4</f>
        <v>7308.92933831776</v>
      </c>
      <c r="I519" s="0" t="str">
        <f aca="false">IF(E519&lt;Model!$B$5*H519,"Expedite","Standard")</f>
        <v>Expedite</v>
      </c>
      <c r="J519" s="29" t="n">
        <f aca="false">H519</f>
        <v>7308.92933831776</v>
      </c>
      <c r="K519" s="29" t="n">
        <f aca="false">E519+(1-Model!$B$5)*H519</f>
        <v>2989.02</v>
      </c>
      <c r="L519" s="29" t="n">
        <f aca="false">IF(I519="Expedite",K519,J519)</f>
        <v>2989.02</v>
      </c>
      <c r="M519" s="29" t="n">
        <f aca="false">J519-L519</f>
        <v>4319.90933831776</v>
      </c>
      <c r="N519" s="29" t="n">
        <f aca="false">IFERROR(E519/(F519*C519*Model!$B$5),"")</f>
        <v>277.442954300982</v>
      </c>
    </row>
    <row r="520" customFormat="false" ht="15" hidden="false" customHeight="false" outlineLevel="0" collapsed="false">
      <c r="A520" s="0" t="str">
        <f aca="false">Clean!A520</f>
        <v>SHP0519</v>
      </c>
      <c r="B520" s="0" t="str">
        <f aca="false">Clean!AA520</f>
        <v>TCI Express</v>
      </c>
      <c r="C520" s="28" t="n">
        <f aca="false">Clean!J520</f>
        <v>3.05</v>
      </c>
      <c r="D520" s="29" t="n">
        <f aca="false">Clean!AF520</f>
        <v>1276.8</v>
      </c>
      <c r="E520" s="29" t="n">
        <f aca="false">Clean!AE520</f>
        <v>1352.54</v>
      </c>
      <c r="F520" s="22" t="n">
        <f aca="false">AVERAGEIFS(Clean!$V$2:$V$1001,Clean!$AA$2:$AA$1001,B520)</f>
        <v>0.752336448598131</v>
      </c>
      <c r="G520" s="29" t="n">
        <f aca="false">F520*C520*D520</f>
        <v>2929.77869158879</v>
      </c>
      <c r="H520" s="29" t="n">
        <f aca="false">G520*Model!$B$4</f>
        <v>2929.77869158879</v>
      </c>
      <c r="I520" s="0" t="str">
        <f aca="false">IF(E520&lt;Model!$B$5*H520,"Expedite","Standard")</f>
        <v>Expedite</v>
      </c>
      <c r="J520" s="29" t="n">
        <f aca="false">H520</f>
        <v>2929.77869158879</v>
      </c>
      <c r="K520" s="29" t="n">
        <f aca="false">E520+(1-Model!$B$5)*H520</f>
        <v>1352.54</v>
      </c>
      <c r="L520" s="29" t="n">
        <f aca="false">IF(I520="Expedite",K520,J520)</f>
        <v>1352.54</v>
      </c>
      <c r="M520" s="29" t="n">
        <f aca="false">J520-L520</f>
        <v>1577.23869158879</v>
      </c>
      <c r="N520" s="29" t="n">
        <f aca="false">IFERROR(E520/(F520*C520*Model!$B$5),"")</f>
        <v>589.43806129722</v>
      </c>
    </row>
    <row r="521" customFormat="false" ht="15" hidden="false" customHeight="false" outlineLevel="0" collapsed="false">
      <c r="A521" s="0" t="str">
        <f aca="false">Clean!A521</f>
        <v>SHP0520</v>
      </c>
      <c r="B521" s="0" t="str">
        <f aca="false">Clean!AA521</f>
        <v>GATI Logistics</v>
      </c>
      <c r="C521" s="28" t="n">
        <f aca="false">Clean!J521</f>
        <v>17.1</v>
      </c>
      <c r="D521" s="29" t="n">
        <f aca="false">Clean!AF521</f>
        <v>696.49</v>
      </c>
      <c r="E521" s="29" t="n">
        <f aca="false">Clean!AE521</f>
        <v>3541.29</v>
      </c>
      <c r="F521" s="22" t="n">
        <f aca="false">AVERAGEIFS(Clean!$V$2:$V$1001,Clean!$AA$2:$AA$1001,B521)</f>
        <v>0.751243781094527</v>
      </c>
      <c r="G521" s="29" t="n">
        <f aca="false">F521*C521*D521</f>
        <v>8947.29765671642</v>
      </c>
      <c r="H521" s="29" t="n">
        <f aca="false">G521*Model!$B$4</f>
        <v>8947.29765671642</v>
      </c>
      <c r="I521" s="0" t="str">
        <f aca="false">IF(E521&lt;Model!$B$5*H521,"Expedite","Standard")</f>
        <v>Expedite</v>
      </c>
      <c r="J521" s="29" t="n">
        <f aca="false">H521</f>
        <v>8947.29765671642</v>
      </c>
      <c r="K521" s="29" t="n">
        <f aca="false">E521+(1-Model!$B$5)*H521</f>
        <v>3541.29</v>
      </c>
      <c r="L521" s="29" t="n">
        <f aca="false">IF(I521="Expedite",K521,J521)</f>
        <v>3541.29</v>
      </c>
      <c r="M521" s="29" t="n">
        <f aca="false">J521-L521</f>
        <v>5406.00765671642</v>
      </c>
      <c r="N521" s="29" t="n">
        <f aca="false">IFERROR(E521/(F521*C521*Model!$B$5),"")</f>
        <v>275.666817706518</v>
      </c>
    </row>
    <row r="522" customFormat="false" ht="15" hidden="false" customHeight="false" outlineLevel="0" collapsed="false">
      <c r="A522" s="0" t="str">
        <f aca="false">Clean!A522</f>
        <v>SHP0521</v>
      </c>
      <c r="B522" s="0" t="str">
        <f aca="false">Clean!AA522</f>
        <v>Delhivery</v>
      </c>
      <c r="C522" s="28" t="n">
        <f aca="false">Clean!J522</f>
        <v>5.02</v>
      </c>
      <c r="D522" s="29" t="n">
        <f aca="false">Clean!AF522</f>
        <v>1430.17</v>
      </c>
      <c r="E522" s="29" t="n">
        <f aca="false">Clean!AE522</f>
        <v>3876.98</v>
      </c>
      <c r="F522" s="22" t="n">
        <f aca="false">AVERAGEIFS(Clean!$V$2:$V$1001,Clean!$AA$2:$AA$1001,B522)</f>
        <v>0.72538860103627</v>
      </c>
      <c r="G522" s="29" t="n">
        <f aca="false">F522*C522*D522</f>
        <v>5207.89365803109</v>
      </c>
      <c r="H522" s="29" t="n">
        <f aca="false">G522*Model!$B$4</f>
        <v>5207.89365803109</v>
      </c>
      <c r="I522" s="0" t="str">
        <f aca="false">IF(E522&lt;Model!$B$5*H522,"Expedite","Standard")</f>
        <v>Expedite</v>
      </c>
      <c r="J522" s="29" t="n">
        <f aca="false">H522</f>
        <v>5207.89365803109</v>
      </c>
      <c r="K522" s="29" t="n">
        <f aca="false">E522+(1-Model!$B$5)*H522</f>
        <v>3876.98</v>
      </c>
      <c r="L522" s="29" t="n">
        <f aca="false">IF(I522="Expedite",K522,J522)</f>
        <v>3876.98</v>
      </c>
      <c r="M522" s="29" t="n">
        <f aca="false">J522-L522</f>
        <v>1330.91365803109</v>
      </c>
      <c r="N522" s="29" t="n">
        <f aca="false">IFERROR(E522/(F522*C522*Model!$B$5),"")</f>
        <v>1064.68005122368</v>
      </c>
    </row>
    <row r="523" customFormat="false" ht="15" hidden="false" customHeight="false" outlineLevel="0" collapsed="false">
      <c r="A523" s="0" t="str">
        <f aca="false">Clean!A523</f>
        <v>SHP0522</v>
      </c>
      <c r="B523" s="0" t="str">
        <f aca="false">Clean!AA523</f>
        <v>GATI Logistics</v>
      </c>
      <c r="C523" s="28" t="n">
        <f aca="false">Clean!J523</f>
        <v>11.02</v>
      </c>
      <c r="D523" s="29" t="n">
        <f aca="false">Clean!AF523</f>
        <v>1064.42</v>
      </c>
      <c r="E523" s="29" t="n">
        <f aca="false">Clean!AE523</f>
        <v>3129.88</v>
      </c>
      <c r="F523" s="22" t="n">
        <f aca="false">AVERAGEIFS(Clean!$V$2:$V$1001,Clean!$AA$2:$AA$1001,B523)</f>
        <v>0.751243781094527</v>
      </c>
      <c r="G523" s="29" t="n">
        <f aca="false">F523*C523*D523</f>
        <v>8812.02073830846</v>
      </c>
      <c r="H523" s="29" t="n">
        <f aca="false">G523*Model!$B$4</f>
        <v>8812.02073830846</v>
      </c>
      <c r="I523" s="0" t="str">
        <f aca="false">IF(E523&lt;Model!$B$5*H523,"Expedite","Standard")</f>
        <v>Expedite</v>
      </c>
      <c r="J523" s="29" t="n">
        <f aca="false">H523</f>
        <v>8812.02073830846</v>
      </c>
      <c r="K523" s="29" t="n">
        <f aca="false">E523+(1-Model!$B$5)*H523</f>
        <v>3129.88</v>
      </c>
      <c r="L523" s="29" t="n">
        <f aca="false">IF(I523="Expedite",K523,J523)</f>
        <v>3129.88</v>
      </c>
      <c r="M523" s="29" t="n">
        <f aca="false">J523-L523</f>
        <v>5682.14073830846</v>
      </c>
      <c r="N523" s="29" t="n">
        <f aca="false">IFERROR(E523/(F523*C523*Model!$B$5),"")</f>
        <v>378.063893462819</v>
      </c>
    </row>
    <row r="524" customFormat="false" ht="15" hidden="false" customHeight="false" outlineLevel="0" collapsed="false">
      <c r="A524" s="0" t="str">
        <f aca="false">Clean!A524</f>
        <v>SHP0523</v>
      </c>
      <c r="B524" s="0" t="str">
        <f aca="false">Clean!AA524</f>
        <v>GATI Logistics</v>
      </c>
      <c r="C524" s="28" t="n">
        <f aca="false">Clean!J524</f>
        <v>12.41</v>
      </c>
      <c r="D524" s="29" t="n">
        <f aca="false">Clean!AF524</f>
        <v>524.76</v>
      </c>
      <c r="E524" s="29" t="n">
        <f aca="false">Clean!AE524</f>
        <v>2948.85</v>
      </c>
      <c r="F524" s="22" t="n">
        <f aca="false">AVERAGEIFS(Clean!$V$2:$V$1001,Clean!$AA$2:$AA$1001,B524)</f>
        <v>0.751243781094527</v>
      </c>
      <c r="G524" s="29" t="n">
        <f aca="false">F524*C524*D524</f>
        <v>4892.30354029851</v>
      </c>
      <c r="H524" s="29" t="n">
        <f aca="false">G524*Model!$B$4</f>
        <v>4892.30354029851</v>
      </c>
      <c r="I524" s="0" t="str">
        <f aca="false">IF(E524&lt;Model!$B$5*H524,"Expedite","Standard")</f>
        <v>Expedite</v>
      </c>
      <c r="J524" s="29" t="n">
        <f aca="false">H524</f>
        <v>4892.30354029851</v>
      </c>
      <c r="K524" s="29" t="n">
        <f aca="false">E524+(1-Model!$B$5)*H524</f>
        <v>2948.85</v>
      </c>
      <c r="L524" s="29" t="n">
        <f aca="false">IF(I524="Expedite",K524,J524)</f>
        <v>2948.85</v>
      </c>
      <c r="M524" s="29" t="n">
        <f aca="false">J524-L524</f>
        <v>1943.45354029851</v>
      </c>
      <c r="N524" s="29" t="n">
        <f aca="false">IFERROR(E524/(F524*C524*Model!$B$5),"")</f>
        <v>316.300596079854</v>
      </c>
    </row>
    <row r="525" customFormat="false" ht="15" hidden="false" customHeight="false" outlineLevel="0" collapsed="false">
      <c r="A525" s="0" t="str">
        <f aca="false">Clean!A525</f>
        <v>SHP0524</v>
      </c>
      <c r="B525" s="0" t="str">
        <f aca="false">Clean!AA525</f>
        <v>Delhivery</v>
      </c>
      <c r="C525" s="28" t="n">
        <f aca="false">Clean!J525</f>
        <v>5.73</v>
      </c>
      <c r="D525" s="29" t="n">
        <f aca="false">Clean!AF525</f>
        <v>1274.42</v>
      </c>
      <c r="E525" s="29" t="n">
        <f aca="false">Clean!AE525</f>
        <v>2029.92</v>
      </c>
      <c r="F525" s="22" t="n">
        <f aca="false">AVERAGEIFS(Clean!$V$2:$V$1001,Clean!$AA$2:$AA$1001,B525)</f>
        <v>0.72538860103627</v>
      </c>
      <c r="G525" s="29" t="n">
        <f aca="false">F525*C525*D525</f>
        <v>5297.09701554404</v>
      </c>
      <c r="H525" s="29" t="n">
        <f aca="false">G525*Model!$B$4</f>
        <v>5297.09701554404</v>
      </c>
      <c r="I525" s="0" t="str">
        <f aca="false">IF(E525&lt;Model!$B$5*H525,"Expedite","Standard")</f>
        <v>Expedite</v>
      </c>
      <c r="J525" s="29" t="n">
        <f aca="false">H525</f>
        <v>5297.09701554404</v>
      </c>
      <c r="K525" s="29" t="n">
        <f aca="false">E525+(1-Model!$B$5)*H525</f>
        <v>2029.92</v>
      </c>
      <c r="L525" s="29" t="n">
        <f aca="false">IF(I525="Expedite",K525,J525)</f>
        <v>2029.92</v>
      </c>
      <c r="M525" s="29" t="n">
        <f aca="false">J525-L525</f>
        <v>3267.17701554404</v>
      </c>
      <c r="N525" s="29" t="n">
        <f aca="false">IFERROR(E525/(F525*C525*Model!$B$5),"")</f>
        <v>488.37516828721</v>
      </c>
    </row>
    <row r="526" customFormat="false" ht="15" hidden="false" customHeight="false" outlineLevel="0" collapsed="false">
      <c r="A526" s="0" t="str">
        <f aca="false">Clean!A526</f>
        <v>SHP0525</v>
      </c>
      <c r="B526" s="0" t="str">
        <f aca="false">Clean!AA526</f>
        <v>BlueDart</v>
      </c>
      <c r="C526" s="28" t="n">
        <f aca="false">Clean!J526</f>
        <v>8.33</v>
      </c>
      <c r="D526" s="29" t="n">
        <f aca="false">Clean!AF526</f>
        <v>787.88</v>
      </c>
      <c r="E526" s="29" t="n">
        <f aca="false">Clean!AE526</f>
        <v>2551.34</v>
      </c>
      <c r="F526" s="22" t="n">
        <f aca="false">AVERAGEIFS(Clean!$V$2:$V$1001,Clean!$AA$2:$AA$1001,B526)</f>
        <v>0.773869346733668</v>
      </c>
      <c r="G526" s="29" t="n">
        <f aca="false">F526*C526*D526</f>
        <v>5078.93578693467</v>
      </c>
      <c r="H526" s="29" t="n">
        <f aca="false">G526*Model!$B$4</f>
        <v>5078.93578693467</v>
      </c>
      <c r="I526" s="0" t="str">
        <f aca="false">IF(E526&lt;Model!$B$5*H526,"Expedite","Standard")</f>
        <v>Expedite</v>
      </c>
      <c r="J526" s="29" t="n">
        <f aca="false">H526</f>
        <v>5078.93578693467</v>
      </c>
      <c r="K526" s="29" t="n">
        <f aca="false">E526+(1-Model!$B$5)*H526</f>
        <v>2551.34</v>
      </c>
      <c r="L526" s="29" t="n">
        <f aca="false">IF(I526="Expedite",K526,J526)</f>
        <v>2551.34</v>
      </c>
      <c r="M526" s="29" t="n">
        <f aca="false">J526-L526</f>
        <v>2527.59578693467</v>
      </c>
      <c r="N526" s="29" t="n">
        <f aca="false">IFERROR(E526/(F526*C526*Model!$B$5),"")</f>
        <v>395.781684102212</v>
      </c>
    </row>
    <row r="527" customFormat="false" ht="15" hidden="false" customHeight="false" outlineLevel="0" collapsed="false">
      <c r="A527" s="0" t="str">
        <f aca="false">Clean!A527</f>
        <v>SHP0526</v>
      </c>
      <c r="B527" s="0" t="str">
        <f aca="false">Clean!AA527</f>
        <v>Delhivery</v>
      </c>
      <c r="C527" s="28" t="n">
        <f aca="false">Clean!J527</f>
        <v>14.77</v>
      </c>
      <c r="D527" s="29" t="n">
        <f aca="false">Clean!AF527</f>
        <v>1240.66</v>
      </c>
      <c r="E527" s="29" t="n">
        <f aca="false">Clean!AE527</f>
        <v>3211.26</v>
      </c>
      <c r="F527" s="22" t="n">
        <f aca="false">AVERAGEIFS(Clean!$V$2:$V$1001,Clean!$AA$2:$AA$1001,B527)</f>
        <v>0.72538860103627</v>
      </c>
      <c r="G527" s="29" t="n">
        <f aca="false">F527*C527*D527</f>
        <v>13292.4183834197</v>
      </c>
      <c r="H527" s="29" t="n">
        <f aca="false">G527*Model!$B$4</f>
        <v>13292.4183834197</v>
      </c>
      <c r="I527" s="0" t="str">
        <f aca="false">IF(E527&lt;Model!$B$5*H527,"Expedite","Standard")</f>
        <v>Expedite</v>
      </c>
      <c r="J527" s="29" t="n">
        <f aca="false">H527</f>
        <v>13292.4183834197</v>
      </c>
      <c r="K527" s="29" t="n">
        <f aca="false">E527+(1-Model!$B$5)*H527</f>
        <v>3211.26</v>
      </c>
      <c r="L527" s="29" t="n">
        <f aca="false">IF(I527="Expedite",K527,J527)</f>
        <v>3211.26</v>
      </c>
      <c r="M527" s="29" t="n">
        <f aca="false">J527-L527</f>
        <v>10081.1583834197</v>
      </c>
      <c r="N527" s="29" t="n">
        <f aca="false">IFERROR(E527/(F527*C527*Model!$B$5),"")</f>
        <v>299.72588258052</v>
      </c>
    </row>
    <row r="528" customFormat="false" ht="15" hidden="false" customHeight="false" outlineLevel="0" collapsed="false">
      <c r="A528" s="0" t="str">
        <f aca="false">Clean!A528</f>
        <v>SHP0527</v>
      </c>
      <c r="B528" s="0" t="str">
        <f aca="false">Clean!AA528</f>
        <v>GATI Logistics</v>
      </c>
      <c r="C528" s="28" t="n">
        <f aca="false">Clean!J528</f>
        <v>10.22</v>
      </c>
      <c r="D528" s="29" t="n">
        <f aca="false">Clean!AF528</f>
        <v>1337.47</v>
      </c>
      <c r="E528" s="29" t="n">
        <f aca="false">Clean!AE528</f>
        <v>1424.64</v>
      </c>
      <c r="F528" s="22" t="n">
        <f aca="false">AVERAGEIFS(Clean!$V$2:$V$1001,Clean!$AA$2:$AA$1001,B528)</f>
        <v>0.751243781094527</v>
      </c>
      <c r="G528" s="29" t="n">
        <f aca="false">F528*C528*D528</f>
        <v>10268.7087233831</v>
      </c>
      <c r="H528" s="29" t="n">
        <f aca="false">G528*Model!$B$4</f>
        <v>10268.7087233831</v>
      </c>
      <c r="I528" s="0" t="str">
        <f aca="false">IF(E528&lt;Model!$B$5*H528,"Expedite","Standard")</f>
        <v>Expedite</v>
      </c>
      <c r="J528" s="29" t="n">
        <f aca="false">H528</f>
        <v>10268.7087233831</v>
      </c>
      <c r="K528" s="29" t="n">
        <f aca="false">E528+(1-Model!$B$5)*H528</f>
        <v>1424.64</v>
      </c>
      <c r="L528" s="29" t="n">
        <f aca="false">IF(I528="Expedite",K528,J528)</f>
        <v>1424.64</v>
      </c>
      <c r="M528" s="29" t="n">
        <f aca="false">J528-L528</f>
        <v>8844.06872338309</v>
      </c>
      <c r="N528" s="29" t="n">
        <f aca="false">IFERROR(E528/(F528*C528*Model!$B$5),"")</f>
        <v>185.555293477275</v>
      </c>
    </row>
    <row r="529" customFormat="false" ht="15" hidden="false" customHeight="false" outlineLevel="0" collapsed="false">
      <c r="A529" s="0" t="str">
        <f aca="false">Clean!A529</f>
        <v>SHP0528</v>
      </c>
      <c r="B529" s="0" t="str">
        <f aca="false">Clean!AA529</f>
        <v>GATI Logistics</v>
      </c>
      <c r="C529" s="28" t="n">
        <f aca="false">Clean!J529</f>
        <v>5.56</v>
      </c>
      <c r="D529" s="29" t="n">
        <f aca="false">Clean!AF529</f>
        <v>536.46</v>
      </c>
      <c r="E529" s="29" t="n">
        <f aca="false">Clean!AE529</f>
        <v>1476.84</v>
      </c>
      <c r="F529" s="22" t="n">
        <f aca="false">AVERAGEIFS(Clean!$V$2:$V$1001,Clean!$AA$2:$AA$1001,B529)</f>
        <v>0.751243781094527</v>
      </c>
      <c r="G529" s="29" t="n">
        <f aca="false">F529*C529*D529</f>
        <v>2240.74804776119</v>
      </c>
      <c r="H529" s="29" t="n">
        <f aca="false">G529*Model!$B$4</f>
        <v>2240.74804776119</v>
      </c>
      <c r="I529" s="0" t="str">
        <f aca="false">IF(E529&lt;Model!$B$5*H529,"Expedite","Standard")</f>
        <v>Expedite</v>
      </c>
      <c r="J529" s="29" t="n">
        <f aca="false">H529</f>
        <v>2240.74804776119</v>
      </c>
      <c r="K529" s="29" t="n">
        <f aca="false">E529+(1-Model!$B$5)*H529</f>
        <v>1476.84</v>
      </c>
      <c r="L529" s="29" t="n">
        <f aca="false">IF(I529="Expedite",K529,J529)</f>
        <v>1476.84</v>
      </c>
      <c r="M529" s="29" t="n">
        <f aca="false">J529-L529</f>
        <v>763.908047761194</v>
      </c>
      <c r="N529" s="29" t="n">
        <f aca="false">IFERROR(E529/(F529*C529*Model!$B$5),"")</f>
        <v>353.571918624041</v>
      </c>
    </row>
    <row r="530" customFormat="false" ht="15" hidden="false" customHeight="false" outlineLevel="0" collapsed="false">
      <c r="A530" s="0" t="str">
        <f aca="false">Clean!A530</f>
        <v>SHP0529</v>
      </c>
      <c r="B530" s="0" t="str">
        <f aca="false">Clean!AA530</f>
        <v>BlueDart</v>
      </c>
      <c r="C530" s="28" t="n">
        <f aca="false">Clean!J530</f>
        <v>2</v>
      </c>
      <c r="D530" s="29" t="n">
        <f aca="false">Clean!AF530</f>
        <v>846.2</v>
      </c>
      <c r="E530" s="29" t="n">
        <f aca="false">Clean!AE530</f>
        <v>4443.2</v>
      </c>
      <c r="F530" s="22" t="n">
        <f aca="false">AVERAGEIFS(Clean!$V$2:$V$1001,Clean!$AA$2:$AA$1001,B530)</f>
        <v>0.773869346733668</v>
      </c>
      <c r="G530" s="29" t="n">
        <f aca="false">F530*C530*D530</f>
        <v>1309.69648241206</v>
      </c>
      <c r="H530" s="29" t="n">
        <f aca="false">G530*Model!$B$4</f>
        <v>1309.69648241206</v>
      </c>
      <c r="I530" s="0" t="str">
        <f aca="false">IF(E530&lt;Model!$B$5*H530,"Expedite","Standard")</f>
        <v>Standard</v>
      </c>
      <c r="J530" s="29" t="n">
        <f aca="false">H530</f>
        <v>1309.69648241206</v>
      </c>
      <c r="K530" s="29" t="n">
        <f aca="false">E530+(1-Model!$B$5)*H530</f>
        <v>4443.2</v>
      </c>
      <c r="L530" s="29" t="n">
        <f aca="false">IF(I530="Expedite",K530,J530)</f>
        <v>1309.69648241206</v>
      </c>
      <c r="M530" s="29" t="n">
        <f aca="false">J530-L530</f>
        <v>0</v>
      </c>
      <c r="N530" s="29" t="n">
        <f aca="false">IFERROR(E530/(F530*C530*Model!$B$5),"")</f>
        <v>2870.76883116883</v>
      </c>
    </row>
    <row r="531" customFormat="false" ht="15" hidden="false" customHeight="false" outlineLevel="0" collapsed="false">
      <c r="A531" s="0" t="str">
        <f aca="false">Clean!A531</f>
        <v>SHP0530</v>
      </c>
      <c r="B531" s="0" t="str">
        <f aca="false">Clean!AA531</f>
        <v>GATI Logistics</v>
      </c>
      <c r="C531" s="28" t="n">
        <f aca="false">Clean!J531</f>
        <v>13.42</v>
      </c>
      <c r="D531" s="29" t="n">
        <f aca="false">Clean!AF531</f>
        <v>1470.07</v>
      </c>
      <c r="E531" s="29" t="n">
        <f aca="false">Clean!AE531</f>
        <v>4865.1</v>
      </c>
      <c r="F531" s="22" t="n">
        <f aca="false">AVERAGEIFS(Clean!$V$2:$V$1001,Clean!$AA$2:$AA$1001,B531)</f>
        <v>0.751243781094527</v>
      </c>
      <c r="G531" s="29" t="n">
        <f aca="false">F531*C531*D531</f>
        <v>14820.7922855721</v>
      </c>
      <c r="H531" s="29" t="n">
        <f aca="false">G531*Model!$B$4</f>
        <v>14820.7922855721</v>
      </c>
      <c r="I531" s="0" t="str">
        <f aca="false">IF(E531&lt;Model!$B$5*H531,"Expedite","Standard")</f>
        <v>Expedite</v>
      </c>
      <c r="J531" s="29" t="n">
        <f aca="false">H531</f>
        <v>14820.7922855721</v>
      </c>
      <c r="K531" s="29" t="n">
        <f aca="false">E531+(1-Model!$B$5)*H531</f>
        <v>4865.1</v>
      </c>
      <c r="L531" s="29" t="n">
        <f aca="false">IF(I531="Expedite",K531,J531)</f>
        <v>4865.1</v>
      </c>
      <c r="M531" s="29" t="n">
        <f aca="false">J531-L531</f>
        <v>9955.69228557214</v>
      </c>
      <c r="N531" s="29" t="n">
        <f aca="false">IFERROR(E531/(F531*C531*Model!$B$5),"")</f>
        <v>482.567828979185</v>
      </c>
    </row>
    <row r="532" customFormat="false" ht="15" hidden="false" customHeight="false" outlineLevel="0" collapsed="false">
      <c r="A532" s="0" t="str">
        <f aca="false">Clean!A532</f>
        <v>SHP0531</v>
      </c>
      <c r="B532" s="0" t="str">
        <f aca="false">Clean!AA532</f>
        <v>GATI Logistics</v>
      </c>
      <c r="C532" s="28" t="n">
        <f aca="false">Clean!J532</f>
        <v>17.44</v>
      </c>
      <c r="D532" s="29" t="n">
        <f aca="false">Clean!AF532</f>
        <v>818.04</v>
      </c>
      <c r="E532" s="29" t="n">
        <f aca="false">Clean!AE532</f>
        <v>2127.67</v>
      </c>
      <c r="F532" s="22" t="n">
        <f aca="false">AVERAGEIFS(Clean!$V$2:$V$1001,Clean!$AA$2:$AA$1001,B532)</f>
        <v>0.751243781094527</v>
      </c>
      <c r="G532" s="29" t="n">
        <f aca="false">F532*C532*D532</f>
        <v>10717.7077492537</v>
      </c>
      <c r="H532" s="29" t="n">
        <f aca="false">G532*Model!$B$4</f>
        <v>10717.7077492537</v>
      </c>
      <c r="I532" s="0" t="str">
        <f aca="false">IF(E532&lt;Model!$B$5*H532,"Expedite","Standard")</f>
        <v>Expedite</v>
      </c>
      <c r="J532" s="29" t="n">
        <f aca="false">H532</f>
        <v>10717.7077492537</v>
      </c>
      <c r="K532" s="29" t="n">
        <f aca="false">E532+(1-Model!$B$5)*H532</f>
        <v>2127.67</v>
      </c>
      <c r="L532" s="29" t="n">
        <f aca="false">IF(I532="Expedite",K532,J532)</f>
        <v>2127.67</v>
      </c>
      <c r="M532" s="29" t="n">
        <f aca="false">J532-L532</f>
        <v>8590.03774925373</v>
      </c>
      <c r="N532" s="29" t="n">
        <f aca="false">IFERROR(E532/(F532*C532*Model!$B$5),"")</f>
        <v>162.396587733155</v>
      </c>
    </row>
    <row r="533" customFormat="false" ht="15" hidden="false" customHeight="false" outlineLevel="0" collapsed="false">
      <c r="A533" s="0" t="str">
        <f aca="false">Clean!A533</f>
        <v>SHP0532</v>
      </c>
      <c r="B533" s="0" t="str">
        <f aca="false">Clean!AA533</f>
        <v>GATI Logistics</v>
      </c>
      <c r="C533" s="28" t="n">
        <f aca="false">Clean!J533</f>
        <v>18.57</v>
      </c>
      <c r="D533" s="29" t="n">
        <f aca="false">Clean!AF533</f>
        <v>720.32</v>
      </c>
      <c r="E533" s="29" t="n">
        <f aca="false">Clean!AE533</f>
        <v>2269.56</v>
      </c>
      <c r="F533" s="22" t="n">
        <f aca="false">AVERAGEIFS(Clean!$V$2:$V$1001,Clean!$AA$2:$AA$1001,B533)</f>
        <v>0.751243781094527</v>
      </c>
      <c r="G533" s="29" t="n">
        <f aca="false">F533*C533*D533</f>
        <v>10048.894041791</v>
      </c>
      <c r="H533" s="29" t="n">
        <f aca="false">G533*Model!$B$4</f>
        <v>10048.894041791</v>
      </c>
      <c r="I533" s="0" t="str">
        <f aca="false">IF(E533&lt;Model!$B$5*H533,"Expedite","Standard")</f>
        <v>Expedite</v>
      </c>
      <c r="J533" s="29" t="n">
        <f aca="false">H533</f>
        <v>10048.894041791</v>
      </c>
      <c r="K533" s="29" t="n">
        <f aca="false">E533+(1-Model!$B$5)*H533</f>
        <v>2269.56</v>
      </c>
      <c r="L533" s="29" t="n">
        <f aca="false">IF(I533="Expedite",K533,J533)</f>
        <v>2269.56</v>
      </c>
      <c r="M533" s="29" t="n">
        <f aca="false">J533-L533</f>
        <v>7779.33404179105</v>
      </c>
      <c r="N533" s="29" t="n">
        <f aca="false">IFERROR(E533/(F533*C533*Model!$B$5),"")</f>
        <v>162.685510704084</v>
      </c>
    </row>
    <row r="534" customFormat="false" ht="15" hidden="false" customHeight="false" outlineLevel="0" collapsed="false">
      <c r="A534" s="0" t="str">
        <f aca="false">Clean!A534</f>
        <v>SHP0533</v>
      </c>
      <c r="B534" s="0" t="str">
        <f aca="false">Clean!AA534</f>
        <v>BlueDart</v>
      </c>
      <c r="C534" s="28" t="n">
        <f aca="false">Clean!J534</f>
        <v>10.79</v>
      </c>
      <c r="D534" s="29" t="n">
        <f aca="false">Clean!AF534</f>
        <v>845.86</v>
      </c>
      <c r="E534" s="29" t="n">
        <f aca="false">Clean!AE534</f>
        <v>4403.81</v>
      </c>
      <c r="F534" s="22" t="n">
        <f aca="false">AVERAGEIFS(Clean!$V$2:$V$1001,Clean!$AA$2:$AA$1001,B534)</f>
        <v>0.773869346733668</v>
      </c>
      <c r="G534" s="29" t="n">
        <f aca="false">F534*C534*D534</f>
        <v>7062.97350552764</v>
      </c>
      <c r="H534" s="29" t="n">
        <f aca="false">G534*Model!$B$4</f>
        <v>7062.97350552764</v>
      </c>
      <c r="I534" s="0" t="str">
        <f aca="false">IF(E534&lt;Model!$B$5*H534,"Expedite","Standard")</f>
        <v>Expedite</v>
      </c>
      <c r="J534" s="29" t="n">
        <f aca="false">H534</f>
        <v>7062.97350552764</v>
      </c>
      <c r="K534" s="29" t="n">
        <f aca="false">E534+(1-Model!$B$5)*H534</f>
        <v>4403.81</v>
      </c>
      <c r="L534" s="29" t="n">
        <f aca="false">IF(I534="Expedite",K534,J534)</f>
        <v>4403.81</v>
      </c>
      <c r="M534" s="29" t="n">
        <f aca="false">J534-L534</f>
        <v>2659.16350552764</v>
      </c>
      <c r="N534" s="29" t="n">
        <f aca="false">IFERROR(E534/(F534*C534*Model!$B$5),"")</f>
        <v>527.399221260667</v>
      </c>
    </row>
    <row r="535" customFormat="false" ht="15" hidden="false" customHeight="false" outlineLevel="0" collapsed="false">
      <c r="A535" s="0" t="str">
        <f aca="false">Clean!A535</f>
        <v>SHP0534</v>
      </c>
      <c r="B535" s="0" t="str">
        <f aca="false">Clean!AA535</f>
        <v>Delhivery</v>
      </c>
      <c r="C535" s="28" t="n">
        <f aca="false">Clean!J535</f>
        <v>1.67</v>
      </c>
      <c r="D535" s="29" t="n">
        <f aca="false">Clean!AF535</f>
        <v>631.29</v>
      </c>
      <c r="E535" s="29" t="n">
        <f aca="false">Clean!AE535</f>
        <v>3494.02</v>
      </c>
      <c r="F535" s="22" t="n">
        <f aca="false">AVERAGEIFS(Clean!$V$2:$V$1001,Clean!$AA$2:$AA$1001,B535)</f>
        <v>0.72538860103627</v>
      </c>
      <c r="G535" s="29" t="n">
        <f aca="false">F535*C535*D535</f>
        <v>764.744051813472</v>
      </c>
      <c r="H535" s="29" t="n">
        <f aca="false">G535*Model!$B$4</f>
        <v>764.744051813472</v>
      </c>
      <c r="I535" s="0" t="str">
        <f aca="false">IF(E535&lt;Model!$B$5*H535,"Expedite","Standard")</f>
        <v>Standard</v>
      </c>
      <c r="J535" s="29" t="n">
        <f aca="false">H535</f>
        <v>764.744051813472</v>
      </c>
      <c r="K535" s="29" t="n">
        <f aca="false">E535+(1-Model!$B$5)*H535</f>
        <v>3494.02</v>
      </c>
      <c r="L535" s="29" t="n">
        <f aca="false">IF(I535="Expedite",K535,J535)</f>
        <v>764.744051813472</v>
      </c>
      <c r="M535" s="29" t="n">
        <f aca="false">J535-L535</f>
        <v>0</v>
      </c>
      <c r="N535" s="29" t="n">
        <f aca="false">IFERROR(E535/(F535*C535*Model!$B$5),"")</f>
        <v>2884.28511548332</v>
      </c>
    </row>
    <row r="536" customFormat="false" ht="15" hidden="false" customHeight="false" outlineLevel="0" collapsed="false">
      <c r="A536" s="0" t="str">
        <f aca="false">Clean!A536</f>
        <v>SHP0535</v>
      </c>
      <c r="B536" s="0" t="str">
        <f aca="false">Clean!AA536</f>
        <v>VRL Cargo</v>
      </c>
      <c r="C536" s="28" t="n">
        <f aca="false">Clean!J536</f>
        <v>6.88</v>
      </c>
      <c r="D536" s="29" t="n">
        <f aca="false">Clean!AF536</f>
        <v>1116.62</v>
      </c>
      <c r="E536" s="29" t="n">
        <f aca="false">Clean!AE536</f>
        <v>1903.16</v>
      </c>
      <c r="F536" s="22" t="n">
        <f aca="false">AVERAGEIFS(Clean!$V$2:$V$1001,Clean!$AA$2:$AA$1001,B536)</f>
        <v>0.72020725388601</v>
      </c>
      <c r="G536" s="29" t="n">
        <f aca="false">F536*C536*D536</f>
        <v>5532.88102797927</v>
      </c>
      <c r="H536" s="29" t="n">
        <f aca="false">G536*Model!$B$4</f>
        <v>5532.88102797927</v>
      </c>
      <c r="I536" s="0" t="str">
        <f aca="false">IF(E536&lt;Model!$B$5*H536,"Expedite","Standard")</f>
        <v>Expedite</v>
      </c>
      <c r="J536" s="29" t="n">
        <f aca="false">H536</f>
        <v>5532.88102797927</v>
      </c>
      <c r="K536" s="29" t="n">
        <f aca="false">E536+(1-Model!$B$5)*H536</f>
        <v>1903.16</v>
      </c>
      <c r="L536" s="29" t="n">
        <f aca="false">IF(I536="Expedite",K536,J536)</f>
        <v>1903.16</v>
      </c>
      <c r="M536" s="29" t="n">
        <f aca="false">J536-L536</f>
        <v>3629.72102797927</v>
      </c>
      <c r="N536" s="29" t="n">
        <f aca="false">IFERROR(E536/(F536*C536*Model!$B$5),"")</f>
        <v>384.086791032291</v>
      </c>
    </row>
    <row r="537" customFormat="false" ht="15" hidden="false" customHeight="false" outlineLevel="0" collapsed="false">
      <c r="A537" s="0" t="str">
        <f aca="false">Clean!A537</f>
        <v>SHP0536</v>
      </c>
      <c r="B537" s="0" t="str">
        <f aca="false">Clean!AA537</f>
        <v>TCI Express</v>
      </c>
      <c r="C537" s="28" t="n">
        <f aca="false">Clean!J537</f>
        <v>1.77</v>
      </c>
      <c r="D537" s="29" t="n">
        <f aca="false">Clean!AF537</f>
        <v>703.53</v>
      </c>
      <c r="E537" s="29" t="n">
        <f aca="false">Clean!AE537</f>
        <v>1521.41</v>
      </c>
      <c r="F537" s="22" t="n">
        <f aca="false">AVERAGEIFS(Clean!$V$2:$V$1001,Clean!$AA$2:$AA$1001,B537)</f>
        <v>0.752336448598131</v>
      </c>
      <c r="G537" s="29" t="n">
        <f aca="false">F537*C537*D537</f>
        <v>936.84553317757</v>
      </c>
      <c r="H537" s="29" t="n">
        <f aca="false">G537*Model!$B$4</f>
        <v>936.84553317757</v>
      </c>
      <c r="I537" s="0" t="str">
        <f aca="false">IF(E537&lt;Model!$B$5*H537,"Expedite","Standard")</f>
        <v>Standard</v>
      </c>
      <c r="J537" s="29" t="n">
        <f aca="false">H537</f>
        <v>936.84553317757</v>
      </c>
      <c r="K537" s="29" t="n">
        <f aca="false">E537+(1-Model!$B$5)*H537</f>
        <v>1521.41</v>
      </c>
      <c r="L537" s="29" t="n">
        <f aca="false">IF(I537="Expedite",K537,J537)</f>
        <v>936.84553317757</v>
      </c>
      <c r="M537" s="29" t="n">
        <f aca="false">J537-L537</f>
        <v>0</v>
      </c>
      <c r="N537" s="29" t="n">
        <f aca="false">IFERROR(E537/(F537*C537*Model!$B$5),"")</f>
        <v>1142.51233463172</v>
      </c>
    </row>
    <row r="538" customFormat="false" ht="15" hidden="false" customHeight="false" outlineLevel="0" collapsed="false">
      <c r="A538" s="0" t="str">
        <f aca="false">Clean!A538</f>
        <v>SHP0537</v>
      </c>
      <c r="B538" s="0" t="str">
        <f aca="false">Clean!AA538</f>
        <v>TCI Express</v>
      </c>
      <c r="C538" s="28" t="n">
        <f aca="false">Clean!J538</f>
        <v>15.61</v>
      </c>
      <c r="D538" s="29" t="n">
        <f aca="false">Clean!AF538</f>
        <v>887.97</v>
      </c>
      <c r="E538" s="29" t="n">
        <f aca="false">Clean!AE538</f>
        <v>4652.92</v>
      </c>
      <c r="F538" s="22" t="n">
        <f aca="false">AVERAGEIFS(Clean!$V$2:$V$1001,Clean!$AA$2:$AA$1001,B538)</f>
        <v>0.752336448598131</v>
      </c>
      <c r="G538" s="29" t="n">
        <f aca="false">F538*C538*D538</f>
        <v>10428.2947836449</v>
      </c>
      <c r="H538" s="29" t="n">
        <f aca="false">G538*Model!$B$4</f>
        <v>10428.2947836449</v>
      </c>
      <c r="I538" s="0" t="str">
        <f aca="false">IF(E538&lt;Model!$B$5*H538,"Expedite","Standard")</f>
        <v>Expedite</v>
      </c>
      <c r="J538" s="29" t="n">
        <f aca="false">H538</f>
        <v>10428.2947836449</v>
      </c>
      <c r="K538" s="29" t="n">
        <f aca="false">E538+(1-Model!$B$5)*H538</f>
        <v>4652.92</v>
      </c>
      <c r="L538" s="29" t="n">
        <f aca="false">IF(I538="Expedite",K538,J538)</f>
        <v>4652.92</v>
      </c>
      <c r="M538" s="29" t="n">
        <f aca="false">J538-L538</f>
        <v>5775.37478364486</v>
      </c>
      <c r="N538" s="29" t="n">
        <f aca="false">IFERROR(E538/(F538*C538*Model!$B$5),"")</f>
        <v>396.19644995842</v>
      </c>
    </row>
    <row r="539" customFormat="false" ht="15" hidden="false" customHeight="false" outlineLevel="0" collapsed="false">
      <c r="A539" s="0" t="str">
        <f aca="false">Clean!A539</f>
        <v>SHP0538</v>
      </c>
      <c r="B539" s="0" t="str">
        <f aca="false">Clean!AA539</f>
        <v>VRL Cargo</v>
      </c>
      <c r="C539" s="28" t="n">
        <f aca="false">Clean!J539</f>
        <v>16.76</v>
      </c>
      <c r="D539" s="29" t="n">
        <f aca="false">Clean!AF539</f>
        <v>1438.18</v>
      </c>
      <c r="E539" s="29" t="n">
        <f aca="false">Clean!AE539</f>
        <v>2453.62</v>
      </c>
      <c r="F539" s="22" t="n">
        <f aca="false">AVERAGEIFS(Clean!$V$2:$V$1001,Clean!$AA$2:$AA$1001,B539)</f>
        <v>0.72020725388601</v>
      </c>
      <c r="G539" s="29" t="n">
        <f aca="false">F539*C539*D539</f>
        <v>17359.8013222798</v>
      </c>
      <c r="H539" s="29" t="n">
        <f aca="false">G539*Model!$B$4</f>
        <v>17359.8013222798</v>
      </c>
      <c r="I539" s="0" t="str">
        <f aca="false">IF(E539&lt;Model!$B$5*H539,"Expedite","Standard")</f>
        <v>Expedite</v>
      </c>
      <c r="J539" s="29" t="n">
        <f aca="false">H539</f>
        <v>17359.8013222798</v>
      </c>
      <c r="K539" s="29" t="n">
        <f aca="false">E539+(1-Model!$B$5)*H539</f>
        <v>2453.62</v>
      </c>
      <c r="L539" s="29" t="n">
        <f aca="false">IF(I539="Expedite",K539,J539)</f>
        <v>2453.62</v>
      </c>
      <c r="M539" s="29" t="n">
        <f aca="false">J539-L539</f>
        <v>14906.1813222798</v>
      </c>
      <c r="N539" s="29" t="n">
        <f aca="false">IFERROR(E539/(F539*C539*Model!$B$5),"")</f>
        <v>203.271174945485</v>
      </c>
    </row>
    <row r="540" customFormat="false" ht="15" hidden="false" customHeight="false" outlineLevel="0" collapsed="false">
      <c r="A540" s="0" t="str">
        <f aca="false">Clean!A540</f>
        <v>SHP0539</v>
      </c>
      <c r="B540" s="0" t="str">
        <f aca="false">Clean!AA540</f>
        <v>GATI Logistics</v>
      </c>
      <c r="C540" s="28" t="n">
        <f aca="false">Clean!J540</f>
        <v>6.24</v>
      </c>
      <c r="D540" s="29" t="n">
        <f aca="false">Clean!AF540</f>
        <v>1454.55</v>
      </c>
      <c r="E540" s="29" t="n">
        <f aca="false">Clean!AE540</f>
        <v>1813.95</v>
      </c>
      <c r="F540" s="22" t="n">
        <f aca="false">AVERAGEIFS(Clean!$V$2:$V$1001,Clean!$AA$2:$AA$1001,B540)</f>
        <v>0.751243781094527</v>
      </c>
      <c r="G540" s="29" t="n">
        <f aca="false">F540*C540*D540</f>
        <v>6818.58304477612</v>
      </c>
      <c r="H540" s="29" t="n">
        <f aca="false">G540*Model!$B$4</f>
        <v>6818.58304477612</v>
      </c>
      <c r="I540" s="0" t="str">
        <f aca="false">IF(E540&lt;Model!$B$5*H540,"Expedite","Standard")</f>
        <v>Expedite</v>
      </c>
      <c r="J540" s="29" t="n">
        <f aca="false">H540</f>
        <v>6818.58304477612</v>
      </c>
      <c r="K540" s="29" t="n">
        <f aca="false">E540+(1-Model!$B$5)*H540</f>
        <v>1813.95</v>
      </c>
      <c r="L540" s="29" t="n">
        <f aca="false">IF(I540="Expedite",K540,J540)</f>
        <v>1813.95</v>
      </c>
      <c r="M540" s="29" t="n">
        <f aca="false">J540-L540</f>
        <v>5004.63304477612</v>
      </c>
      <c r="N540" s="29" t="n">
        <f aca="false">IFERROR(E540/(F540*C540*Model!$B$5),"")</f>
        <v>386.954438359654</v>
      </c>
    </row>
    <row r="541" customFormat="false" ht="15" hidden="false" customHeight="false" outlineLevel="0" collapsed="false">
      <c r="A541" s="0" t="str">
        <f aca="false">Clean!A541</f>
        <v>SHP0540</v>
      </c>
      <c r="B541" s="0" t="str">
        <f aca="false">Clean!AA541</f>
        <v>TCI Express</v>
      </c>
      <c r="C541" s="28" t="n">
        <f aca="false">Clean!J541</f>
        <v>18.45</v>
      </c>
      <c r="D541" s="29" t="n">
        <f aca="false">Clean!AF541</f>
        <v>680.66</v>
      </c>
      <c r="E541" s="29" t="n">
        <f aca="false">Clean!AE541</f>
        <v>4478.13</v>
      </c>
      <c r="F541" s="22" t="n">
        <f aca="false">AVERAGEIFS(Clean!$V$2:$V$1001,Clean!$AA$2:$AA$1001,B541)</f>
        <v>0.752336448598131</v>
      </c>
      <c r="G541" s="29" t="n">
        <f aca="false">F541*C541*D541</f>
        <v>9447.97428504673</v>
      </c>
      <c r="H541" s="29" t="n">
        <f aca="false">G541*Model!$B$4</f>
        <v>9447.97428504673</v>
      </c>
      <c r="I541" s="0" t="str">
        <f aca="false">IF(E541&lt;Model!$B$5*H541,"Expedite","Standard")</f>
        <v>Expedite</v>
      </c>
      <c r="J541" s="29" t="n">
        <f aca="false">H541</f>
        <v>9447.97428504673</v>
      </c>
      <c r="K541" s="29" t="n">
        <f aca="false">E541+(1-Model!$B$5)*H541</f>
        <v>4478.13</v>
      </c>
      <c r="L541" s="29" t="n">
        <f aca="false">IF(I541="Expedite",K541,J541)</f>
        <v>4478.13</v>
      </c>
      <c r="M541" s="29" t="n">
        <f aca="false">J541-L541</f>
        <v>4969.84428504673</v>
      </c>
      <c r="N541" s="29" t="n">
        <f aca="false">IFERROR(E541/(F541*C541*Model!$B$5),"")</f>
        <v>322.617724587184</v>
      </c>
    </row>
    <row r="542" customFormat="false" ht="15" hidden="false" customHeight="false" outlineLevel="0" collapsed="false">
      <c r="A542" s="0" t="str">
        <f aca="false">Clean!A542</f>
        <v>SHP0541</v>
      </c>
      <c r="B542" s="0" t="str">
        <f aca="false">Clean!AA542</f>
        <v>BlueDart</v>
      </c>
      <c r="C542" s="28" t="n">
        <f aca="false">Clean!J542</f>
        <v>19.01</v>
      </c>
      <c r="D542" s="29" t="n">
        <f aca="false">Clean!AF542</f>
        <v>558.46</v>
      </c>
      <c r="E542" s="29" t="n">
        <f aca="false">Clean!AE542</f>
        <v>1913.33</v>
      </c>
      <c r="F542" s="22" t="n">
        <f aca="false">AVERAGEIFS(Clean!$V$2:$V$1001,Clean!$AA$2:$AA$1001,B542)</f>
        <v>0.773869346733668</v>
      </c>
      <c r="G542" s="29" t="n">
        <f aca="false">F542*C542*D542</f>
        <v>8215.64818291457</v>
      </c>
      <c r="H542" s="29" t="n">
        <f aca="false">G542*Model!$B$4</f>
        <v>8215.64818291457</v>
      </c>
      <c r="I542" s="0" t="str">
        <f aca="false">IF(E542&lt;Model!$B$5*H542,"Expedite","Standard")</f>
        <v>Expedite</v>
      </c>
      <c r="J542" s="29" t="n">
        <f aca="false">H542</f>
        <v>8215.64818291457</v>
      </c>
      <c r="K542" s="29" t="n">
        <f aca="false">E542+(1-Model!$B$5)*H542</f>
        <v>1913.33</v>
      </c>
      <c r="L542" s="29" t="n">
        <f aca="false">IF(I542="Expedite",K542,J542)</f>
        <v>1913.33</v>
      </c>
      <c r="M542" s="29" t="n">
        <f aca="false">J542-L542</f>
        <v>6302.31818291457</v>
      </c>
      <c r="N542" s="29" t="n">
        <f aca="false">IFERROR(E542/(F542*C542*Model!$B$5),"")</f>
        <v>130.058912943973</v>
      </c>
    </row>
    <row r="543" customFormat="false" ht="15" hidden="false" customHeight="false" outlineLevel="0" collapsed="false">
      <c r="A543" s="0" t="str">
        <f aca="false">Clean!A543</f>
        <v>SHP0542</v>
      </c>
      <c r="B543" s="0" t="str">
        <f aca="false">Clean!AA543</f>
        <v>VRL Cargo</v>
      </c>
      <c r="C543" s="28" t="n">
        <f aca="false">Clean!J543</f>
        <v>6.7</v>
      </c>
      <c r="D543" s="29" t="n">
        <f aca="false">Clean!AF543</f>
        <v>1384.34</v>
      </c>
      <c r="E543" s="29" t="n">
        <f aca="false">Clean!AE543</f>
        <v>3333.23</v>
      </c>
      <c r="F543" s="22" t="n">
        <f aca="false">AVERAGEIFS(Clean!$V$2:$V$1001,Clean!$AA$2:$AA$1001,B543)</f>
        <v>0.72020725388601</v>
      </c>
      <c r="G543" s="29" t="n">
        <f aca="false">F543*C543*D543</f>
        <v>6679.97845595855</v>
      </c>
      <c r="H543" s="29" t="n">
        <f aca="false">G543*Model!$B$4</f>
        <v>6679.97845595855</v>
      </c>
      <c r="I543" s="0" t="str">
        <f aca="false">IF(E543&lt;Model!$B$5*H543,"Expedite","Standard")</f>
        <v>Expedite</v>
      </c>
      <c r="J543" s="29" t="n">
        <f aca="false">H543</f>
        <v>6679.97845595855</v>
      </c>
      <c r="K543" s="29" t="n">
        <f aca="false">E543+(1-Model!$B$5)*H543</f>
        <v>3333.23</v>
      </c>
      <c r="L543" s="29" t="n">
        <f aca="false">IF(I543="Expedite",K543,J543)</f>
        <v>3333.23</v>
      </c>
      <c r="M543" s="29" t="n">
        <f aca="false">J543-L543</f>
        <v>3346.74845595855</v>
      </c>
      <c r="N543" s="29" t="n">
        <f aca="false">IFERROR(E543/(F543*C543*Model!$B$5),"")</f>
        <v>690.769236551058</v>
      </c>
    </row>
    <row r="544" customFormat="false" ht="15" hidden="false" customHeight="false" outlineLevel="0" collapsed="false">
      <c r="A544" s="0" t="str">
        <f aca="false">Clean!A544</f>
        <v>SHP0543</v>
      </c>
      <c r="B544" s="0" t="str">
        <f aca="false">Clean!AA544</f>
        <v>BlueDart</v>
      </c>
      <c r="C544" s="28" t="n">
        <f aca="false">Clean!J544</f>
        <v>3.88</v>
      </c>
      <c r="D544" s="29" t="n">
        <f aca="false">Clean!AF544</f>
        <v>1297.39</v>
      </c>
      <c r="E544" s="29" t="n">
        <f aca="false">Clean!AE544</f>
        <v>1524.23</v>
      </c>
      <c r="F544" s="22" t="n">
        <f aca="false">AVERAGEIFS(Clean!$V$2:$V$1001,Clean!$AA$2:$AA$1001,B544)</f>
        <v>0.773869346733668</v>
      </c>
      <c r="G544" s="29" t="n">
        <f aca="false">F544*C544*D544</f>
        <v>3895.56016482412</v>
      </c>
      <c r="H544" s="29" t="n">
        <f aca="false">G544*Model!$B$4</f>
        <v>3895.56016482412</v>
      </c>
      <c r="I544" s="0" t="str">
        <f aca="false">IF(E544&lt;Model!$B$5*H544,"Expedite","Standard")</f>
        <v>Expedite</v>
      </c>
      <c r="J544" s="29" t="n">
        <f aca="false">H544</f>
        <v>3895.56016482412</v>
      </c>
      <c r="K544" s="29" t="n">
        <f aca="false">E544+(1-Model!$B$5)*H544</f>
        <v>1524.23</v>
      </c>
      <c r="L544" s="29" t="n">
        <f aca="false">IF(I544="Expedite",K544,J544)</f>
        <v>1524.23</v>
      </c>
      <c r="M544" s="29" t="n">
        <f aca="false">J544-L544</f>
        <v>2371.33016482412</v>
      </c>
      <c r="N544" s="29" t="n">
        <f aca="false">IFERROR(E544/(F544*C544*Model!$B$5),"")</f>
        <v>507.63450595796</v>
      </c>
    </row>
    <row r="545" customFormat="false" ht="15" hidden="false" customHeight="false" outlineLevel="0" collapsed="false">
      <c r="A545" s="0" t="str">
        <f aca="false">Clean!A545</f>
        <v>SHP0544</v>
      </c>
      <c r="B545" s="0" t="str">
        <f aca="false">Clean!AA545</f>
        <v>BlueDart</v>
      </c>
      <c r="C545" s="28" t="n">
        <f aca="false">Clean!J545</f>
        <v>10.65</v>
      </c>
      <c r="D545" s="29" t="n">
        <f aca="false">Clean!AF545</f>
        <v>1036.16</v>
      </c>
      <c r="E545" s="29" t="n">
        <f aca="false">Clean!AE545</f>
        <v>2438.88</v>
      </c>
      <c r="F545" s="22" t="n">
        <f aca="false">AVERAGEIFS(Clean!$V$2:$V$1001,Clean!$AA$2:$AA$1001,B545)</f>
        <v>0.773869346733668</v>
      </c>
      <c r="G545" s="29" t="n">
        <f aca="false">F545*C545*D545</f>
        <v>8539.72872361809</v>
      </c>
      <c r="H545" s="29" t="n">
        <f aca="false">G545*Model!$B$4</f>
        <v>8539.72872361809</v>
      </c>
      <c r="I545" s="0" t="str">
        <f aca="false">IF(E545&lt;Model!$B$5*H545,"Expedite","Standard")</f>
        <v>Expedite</v>
      </c>
      <c r="J545" s="29" t="n">
        <f aca="false">H545</f>
        <v>8539.72872361809</v>
      </c>
      <c r="K545" s="29" t="n">
        <f aca="false">E545+(1-Model!$B$5)*H545</f>
        <v>2438.88</v>
      </c>
      <c r="L545" s="29" t="n">
        <f aca="false">IF(I545="Expedite",K545,J545)</f>
        <v>2438.88</v>
      </c>
      <c r="M545" s="29" t="n">
        <f aca="false">J545-L545</f>
        <v>6100.84872361809</v>
      </c>
      <c r="N545" s="29" t="n">
        <f aca="false">IFERROR(E545/(F545*C545*Model!$B$5),"")</f>
        <v>295.919224437534</v>
      </c>
    </row>
    <row r="546" customFormat="false" ht="15" hidden="false" customHeight="false" outlineLevel="0" collapsed="false">
      <c r="A546" s="0" t="str">
        <f aca="false">Clean!A546</f>
        <v>SHP0545</v>
      </c>
      <c r="B546" s="0" t="str">
        <f aca="false">Clean!AA546</f>
        <v>BlueDart</v>
      </c>
      <c r="C546" s="28" t="n">
        <f aca="false">Clean!J546</f>
        <v>14.63</v>
      </c>
      <c r="D546" s="29" t="n">
        <f aca="false">Clean!AF546</f>
        <v>568.75</v>
      </c>
      <c r="E546" s="29" t="n">
        <f aca="false">Clean!AE546</f>
        <v>2922.24</v>
      </c>
      <c r="F546" s="22" t="n">
        <f aca="false">AVERAGEIFS(Clean!$V$2:$V$1001,Clean!$AA$2:$AA$1001,B546)</f>
        <v>0.773869346733668</v>
      </c>
      <c r="G546" s="29" t="n">
        <f aca="false">F546*C546*D546</f>
        <v>6439.22173366834</v>
      </c>
      <c r="H546" s="29" t="n">
        <f aca="false">G546*Model!$B$4</f>
        <v>6439.22173366834</v>
      </c>
      <c r="I546" s="0" t="str">
        <f aca="false">IF(E546&lt;Model!$B$5*H546,"Expedite","Standard")</f>
        <v>Expedite</v>
      </c>
      <c r="J546" s="29" t="n">
        <f aca="false">H546</f>
        <v>6439.22173366834</v>
      </c>
      <c r="K546" s="29" t="n">
        <f aca="false">E546+(1-Model!$B$5)*H546</f>
        <v>2922.24</v>
      </c>
      <c r="L546" s="29" t="n">
        <f aca="false">IF(I546="Expedite",K546,J546)</f>
        <v>2922.24</v>
      </c>
      <c r="M546" s="29" t="n">
        <f aca="false">J546-L546</f>
        <v>3516.98173366834</v>
      </c>
      <c r="N546" s="29" t="n">
        <f aca="false">IFERROR(E546/(F546*C546*Model!$B$5),"")</f>
        <v>258.109453089631</v>
      </c>
    </row>
    <row r="547" customFormat="false" ht="15" hidden="false" customHeight="false" outlineLevel="0" collapsed="false">
      <c r="A547" s="0" t="str">
        <f aca="false">Clean!A547</f>
        <v>SHP0546</v>
      </c>
      <c r="B547" s="0" t="str">
        <f aca="false">Clean!AA547</f>
        <v>GATI Logistics</v>
      </c>
      <c r="C547" s="28" t="n">
        <f aca="false">Clean!J547</f>
        <v>11.44</v>
      </c>
      <c r="D547" s="29" t="n">
        <f aca="false">Clean!AF547</f>
        <v>811.38</v>
      </c>
      <c r="E547" s="29" t="n">
        <f aca="false">Clean!AE547</f>
        <v>4290.81</v>
      </c>
      <c r="F547" s="22" t="n">
        <f aca="false">AVERAGEIFS(Clean!$V$2:$V$1001,Clean!$AA$2:$AA$1001,B547)</f>
        <v>0.751243781094527</v>
      </c>
      <c r="G547" s="29" t="n">
        <f aca="false">F547*C547*D547</f>
        <v>6973.18540895522</v>
      </c>
      <c r="H547" s="29" t="n">
        <f aca="false">G547*Model!$B$4</f>
        <v>6973.18540895522</v>
      </c>
      <c r="I547" s="0" t="str">
        <f aca="false">IF(E547&lt;Model!$B$5*H547,"Expedite","Standard")</f>
        <v>Expedite</v>
      </c>
      <c r="J547" s="29" t="n">
        <f aca="false">H547</f>
        <v>6973.18540895522</v>
      </c>
      <c r="K547" s="29" t="n">
        <f aca="false">E547+(1-Model!$B$5)*H547</f>
        <v>4290.81</v>
      </c>
      <c r="L547" s="29" t="n">
        <f aca="false">IF(I547="Expedite",K547,J547)</f>
        <v>4290.81</v>
      </c>
      <c r="M547" s="29" t="n">
        <f aca="false">J547-L547</f>
        <v>2682.37540895522</v>
      </c>
      <c r="N547" s="29" t="n">
        <f aca="false">IFERROR(E547/(F547*C547*Model!$B$5),"")</f>
        <v>499.266434724216</v>
      </c>
    </row>
    <row r="548" customFormat="false" ht="15" hidden="false" customHeight="false" outlineLevel="0" collapsed="false">
      <c r="A548" s="0" t="str">
        <f aca="false">Clean!A548</f>
        <v>SHP0547</v>
      </c>
      <c r="B548" s="0" t="str">
        <f aca="false">Clean!AA548</f>
        <v>BlueDart</v>
      </c>
      <c r="C548" s="28" t="n">
        <f aca="false">Clean!J548</f>
        <v>8.63</v>
      </c>
      <c r="D548" s="29" t="n">
        <f aca="false">Clean!AF548</f>
        <v>701.41</v>
      </c>
      <c r="E548" s="29" t="n">
        <f aca="false">Clean!AE548</f>
        <v>4893.04</v>
      </c>
      <c r="F548" s="22" t="n">
        <f aca="false">AVERAGEIFS(Clean!$V$2:$V$1001,Clean!$AA$2:$AA$1001,B548)</f>
        <v>0.773869346733668</v>
      </c>
      <c r="G548" s="29" t="n">
        <f aca="false">F548*C548*D548</f>
        <v>4684.36139798995</v>
      </c>
      <c r="H548" s="29" t="n">
        <f aca="false">G548*Model!$B$4</f>
        <v>4684.36139798995</v>
      </c>
      <c r="I548" s="0" t="str">
        <f aca="false">IF(E548&lt;Model!$B$5*H548,"Expedite","Standard")</f>
        <v>Standard</v>
      </c>
      <c r="J548" s="29" t="n">
        <f aca="false">H548</f>
        <v>4684.36139798995</v>
      </c>
      <c r="K548" s="29" t="n">
        <f aca="false">E548+(1-Model!$B$5)*H548</f>
        <v>4893.04</v>
      </c>
      <c r="L548" s="29" t="n">
        <f aca="false">IF(I548="Expedite",K548,J548)</f>
        <v>4684.36139798995</v>
      </c>
      <c r="M548" s="29" t="n">
        <f aca="false">J548-L548</f>
        <v>0</v>
      </c>
      <c r="N548" s="29" t="n">
        <f aca="false">IFERROR(E548/(F548*C548*Model!$B$5),"")</f>
        <v>732.65636333539</v>
      </c>
    </row>
    <row r="549" customFormat="false" ht="15" hidden="false" customHeight="false" outlineLevel="0" collapsed="false">
      <c r="A549" s="0" t="str">
        <f aca="false">Clean!A549</f>
        <v>SHP0548</v>
      </c>
      <c r="B549" s="0" t="str">
        <f aca="false">Clean!AA549</f>
        <v>Delhivery</v>
      </c>
      <c r="C549" s="28" t="n">
        <f aca="false">Clean!J549</f>
        <v>1.18</v>
      </c>
      <c r="D549" s="29" t="n">
        <f aca="false">Clean!AF549</f>
        <v>552.48</v>
      </c>
      <c r="E549" s="29" t="n">
        <f aca="false">Clean!AE549</f>
        <v>2316.92</v>
      </c>
      <c r="F549" s="22" t="n">
        <f aca="false">AVERAGEIFS(Clean!$V$2:$V$1001,Clean!$AA$2:$AA$1001,B549)</f>
        <v>0.72538860103627</v>
      </c>
      <c r="G549" s="29" t="n">
        <f aca="false">F549*C549*D549</f>
        <v>472.899979274611</v>
      </c>
      <c r="H549" s="29" t="n">
        <f aca="false">G549*Model!$B$4</f>
        <v>472.899979274611</v>
      </c>
      <c r="I549" s="0" t="str">
        <f aca="false">IF(E549&lt;Model!$B$5*H549,"Expedite","Standard")</f>
        <v>Standard</v>
      </c>
      <c r="J549" s="29" t="n">
        <f aca="false">H549</f>
        <v>472.899979274611</v>
      </c>
      <c r="K549" s="29" t="n">
        <f aca="false">E549+(1-Model!$B$5)*H549</f>
        <v>2316.92</v>
      </c>
      <c r="L549" s="29" t="n">
        <f aca="false">IF(I549="Expedite",K549,J549)</f>
        <v>472.899979274611</v>
      </c>
      <c r="M549" s="29" t="n">
        <f aca="false">J549-L549</f>
        <v>0</v>
      </c>
      <c r="N549" s="29" t="n">
        <f aca="false">IFERROR(E549/(F549*C549*Model!$B$5),"")</f>
        <v>2706.81331719128</v>
      </c>
    </row>
    <row r="550" customFormat="false" ht="15" hidden="false" customHeight="false" outlineLevel="0" collapsed="false">
      <c r="A550" s="0" t="str">
        <f aca="false">Clean!A550</f>
        <v>SHP0549</v>
      </c>
      <c r="B550" s="0" t="str">
        <f aca="false">Clean!AA550</f>
        <v>GATI Logistics</v>
      </c>
      <c r="C550" s="28" t="n">
        <f aca="false">Clean!J550</f>
        <v>9.55</v>
      </c>
      <c r="D550" s="29" t="n">
        <f aca="false">Clean!AF550</f>
        <v>521.85</v>
      </c>
      <c r="E550" s="29" t="n">
        <f aca="false">Clean!AE550</f>
        <v>1157.45</v>
      </c>
      <c r="F550" s="22" t="n">
        <f aca="false">AVERAGEIFS(Clean!$V$2:$V$1001,Clean!$AA$2:$AA$1001,B550)</f>
        <v>0.751243781094527</v>
      </c>
      <c r="G550" s="29" t="n">
        <f aca="false">F550*C550*D550</f>
        <v>3743.94921641791</v>
      </c>
      <c r="H550" s="29" t="n">
        <f aca="false">G550*Model!$B$4</f>
        <v>3743.94921641791</v>
      </c>
      <c r="I550" s="0" t="str">
        <f aca="false">IF(E550&lt;Model!$B$5*H550,"Expedite","Standard")</f>
        <v>Expedite</v>
      </c>
      <c r="J550" s="29" t="n">
        <f aca="false">H550</f>
        <v>3743.94921641791</v>
      </c>
      <c r="K550" s="29" t="n">
        <f aca="false">E550+(1-Model!$B$5)*H550</f>
        <v>1157.45</v>
      </c>
      <c r="L550" s="29" t="n">
        <f aca="false">IF(I550="Expedite",K550,J550)</f>
        <v>1157.45</v>
      </c>
      <c r="M550" s="29" t="n">
        <f aca="false">J550-L550</f>
        <v>2586.49921641791</v>
      </c>
      <c r="N550" s="29" t="n">
        <f aca="false">IFERROR(E550/(F550*C550*Model!$B$5),"")</f>
        <v>161.331056482091</v>
      </c>
    </row>
    <row r="551" customFormat="false" ht="15" hidden="false" customHeight="false" outlineLevel="0" collapsed="false">
      <c r="A551" s="0" t="str">
        <f aca="false">Clean!A551</f>
        <v>SHP0550</v>
      </c>
      <c r="B551" s="0" t="str">
        <f aca="false">Clean!AA551</f>
        <v>GATI Logistics</v>
      </c>
      <c r="C551" s="28" t="n">
        <f aca="false">Clean!J551</f>
        <v>15.72</v>
      </c>
      <c r="D551" s="29" t="n">
        <f aca="false">Clean!AF551</f>
        <v>510.51</v>
      </c>
      <c r="E551" s="29" t="n">
        <f aca="false">Clean!AE551</f>
        <v>4134.01</v>
      </c>
      <c r="F551" s="22" t="n">
        <f aca="false">AVERAGEIFS(Clean!$V$2:$V$1001,Clean!$AA$2:$AA$1001,B551)</f>
        <v>0.751243781094527</v>
      </c>
      <c r="G551" s="29" t="n">
        <f aca="false">F551*C551*D551</f>
        <v>6028.89451343284</v>
      </c>
      <c r="H551" s="29" t="n">
        <f aca="false">G551*Model!$B$4</f>
        <v>6028.89451343284</v>
      </c>
      <c r="I551" s="0" t="str">
        <f aca="false">IF(E551&lt;Model!$B$5*H551,"Expedite","Standard")</f>
        <v>Expedite</v>
      </c>
      <c r="J551" s="29" t="n">
        <f aca="false">H551</f>
        <v>6028.89451343284</v>
      </c>
      <c r="K551" s="29" t="n">
        <f aca="false">E551+(1-Model!$B$5)*H551</f>
        <v>4134.01</v>
      </c>
      <c r="L551" s="29" t="n">
        <f aca="false">IF(I551="Expedite",K551,J551)</f>
        <v>4134.01</v>
      </c>
      <c r="M551" s="29" t="n">
        <f aca="false">J551-L551</f>
        <v>1894.88451343284</v>
      </c>
      <c r="N551" s="29" t="n">
        <f aca="false">IFERROR(E551/(F551*C551*Model!$B$5),"")</f>
        <v>350.056455689803</v>
      </c>
    </row>
    <row r="552" customFormat="false" ht="15" hidden="false" customHeight="false" outlineLevel="0" collapsed="false">
      <c r="A552" s="0" t="str">
        <f aca="false">Clean!A552</f>
        <v>SHP0551</v>
      </c>
      <c r="B552" s="0" t="str">
        <f aca="false">Clean!AA552</f>
        <v>TCI Express</v>
      </c>
      <c r="C552" s="28" t="n">
        <f aca="false">Clean!J552</f>
        <v>15.48</v>
      </c>
      <c r="D552" s="29" t="n">
        <f aca="false">Clean!AF552</f>
        <v>1462.06</v>
      </c>
      <c r="E552" s="29" t="n">
        <f aca="false">Clean!AE552</f>
        <v>4707.63</v>
      </c>
      <c r="F552" s="22" t="n">
        <f aca="false">AVERAGEIFS(Clean!$V$2:$V$1001,Clean!$AA$2:$AA$1001,B552)</f>
        <v>0.752336448598131</v>
      </c>
      <c r="G552" s="29" t="n">
        <f aca="false">F552*C552*D552</f>
        <v>17027.3967140187</v>
      </c>
      <c r="H552" s="29" t="n">
        <f aca="false">G552*Model!$B$4</f>
        <v>17027.3967140187</v>
      </c>
      <c r="I552" s="0" t="str">
        <f aca="false">IF(E552&lt;Model!$B$5*H552,"Expedite","Standard")</f>
        <v>Expedite</v>
      </c>
      <c r="J552" s="29" t="n">
        <f aca="false">H552</f>
        <v>17027.3967140187</v>
      </c>
      <c r="K552" s="29" t="n">
        <f aca="false">E552+(1-Model!$B$5)*H552</f>
        <v>4707.63</v>
      </c>
      <c r="L552" s="29" t="n">
        <f aca="false">IF(I552="Expedite",K552,J552)</f>
        <v>4707.63</v>
      </c>
      <c r="M552" s="29" t="n">
        <f aca="false">J552-L552</f>
        <v>12319.7667140187</v>
      </c>
      <c r="N552" s="29" t="n">
        <f aca="false">IFERROR(E552/(F552*C552*Model!$B$5),"")</f>
        <v>404.221363570706</v>
      </c>
    </row>
    <row r="553" customFormat="false" ht="15" hidden="false" customHeight="false" outlineLevel="0" collapsed="false">
      <c r="A553" s="0" t="str">
        <f aca="false">Clean!A553</f>
        <v>SHP0552</v>
      </c>
      <c r="B553" s="0" t="str">
        <f aca="false">Clean!AA553</f>
        <v>GATI Logistics</v>
      </c>
      <c r="C553" s="28" t="n">
        <f aca="false">Clean!J553</f>
        <v>10.67</v>
      </c>
      <c r="D553" s="29" t="n">
        <f aca="false">Clean!AF553</f>
        <v>779.01</v>
      </c>
      <c r="E553" s="29" t="n">
        <f aca="false">Clean!AE553</f>
        <v>2130.2</v>
      </c>
      <c r="F553" s="22" t="n">
        <f aca="false">AVERAGEIFS(Clean!$V$2:$V$1001,Clean!$AA$2:$AA$1001,B553)</f>
        <v>0.751243781094527</v>
      </c>
      <c r="G553" s="29" t="n">
        <f aca="false">F553*C553*D553</f>
        <v>6244.36587910448</v>
      </c>
      <c r="H553" s="29" t="n">
        <f aca="false">G553*Model!$B$4</f>
        <v>6244.36587910448</v>
      </c>
      <c r="I553" s="0" t="str">
        <f aca="false">IF(E553&lt;Model!$B$5*H553,"Expedite","Standard")</f>
        <v>Expedite</v>
      </c>
      <c r="J553" s="29" t="n">
        <f aca="false">H553</f>
        <v>6244.36587910448</v>
      </c>
      <c r="K553" s="29" t="n">
        <f aca="false">E553+(1-Model!$B$5)*H553</f>
        <v>2130.2</v>
      </c>
      <c r="L553" s="29" t="n">
        <f aca="false">IF(I553="Expedite",K553,J553)</f>
        <v>2130.2</v>
      </c>
      <c r="M553" s="29" t="n">
        <f aca="false">J553-L553</f>
        <v>4114.16587910448</v>
      </c>
      <c r="N553" s="29" t="n">
        <f aca="false">IFERROR(E553/(F553*C553*Model!$B$5),"")</f>
        <v>265.751100132202</v>
      </c>
    </row>
    <row r="554" customFormat="false" ht="15" hidden="false" customHeight="false" outlineLevel="0" collapsed="false">
      <c r="A554" s="0" t="str">
        <f aca="false">Clean!A554</f>
        <v>SHP0553</v>
      </c>
      <c r="B554" s="0" t="str">
        <f aca="false">Clean!AA554</f>
        <v>TCI Express</v>
      </c>
      <c r="C554" s="28" t="n">
        <f aca="false">Clean!J554</f>
        <v>8.69</v>
      </c>
      <c r="D554" s="29" t="n">
        <f aca="false">Clean!AF554</f>
        <v>816.46</v>
      </c>
      <c r="E554" s="29" t="n">
        <f aca="false">Clean!AE554</f>
        <v>2035.17</v>
      </c>
      <c r="F554" s="22" t="n">
        <f aca="false">AVERAGEIFS(Clean!$V$2:$V$1001,Clean!$AA$2:$AA$1001,B554)</f>
        <v>0.752336448598131</v>
      </c>
      <c r="G554" s="29" t="n">
        <f aca="false">F554*C554*D554</f>
        <v>5337.85524018692</v>
      </c>
      <c r="H554" s="29" t="n">
        <f aca="false">G554*Model!$B$4</f>
        <v>5337.85524018692</v>
      </c>
      <c r="I554" s="0" t="str">
        <f aca="false">IF(E554&lt;Model!$B$5*H554,"Expedite","Standard")</f>
        <v>Expedite</v>
      </c>
      <c r="J554" s="29" t="n">
        <f aca="false">H554</f>
        <v>5337.85524018692</v>
      </c>
      <c r="K554" s="29" t="n">
        <f aca="false">E554+(1-Model!$B$5)*H554</f>
        <v>2035.17</v>
      </c>
      <c r="L554" s="29" t="n">
        <f aca="false">IF(I554="Expedite",K554,J554)</f>
        <v>2035.17</v>
      </c>
      <c r="M554" s="29" t="n">
        <f aca="false">J554-L554</f>
        <v>3302.68524018692</v>
      </c>
      <c r="N554" s="29" t="n">
        <f aca="false">IFERROR(E554/(F554*C554*Model!$B$5),"")</f>
        <v>311.292611626128</v>
      </c>
    </row>
    <row r="555" customFormat="false" ht="15" hidden="false" customHeight="false" outlineLevel="0" collapsed="false">
      <c r="A555" s="0" t="str">
        <f aca="false">Clean!A555</f>
        <v>SHP0554</v>
      </c>
      <c r="B555" s="0" t="str">
        <f aca="false">Clean!AA555</f>
        <v>BlueDart</v>
      </c>
      <c r="C555" s="28" t="n">
        <f aca="false">Clean!J555</f>
        <v>2.65</v>
      </c>
      <c r="D555" s="29" t="n">
        <f aca="false">Clean!AF555</f>
        <v>1310.68</v>
      </c>
      <c r="E555" s="29" t="n">
        <f aca="false">Clean!AE555</f>
        <v>1024.74</v>
      </c>
      <c r="F555" s="22" t="n">
        <f aca="false">AVERAGEIFS(Clean!$V$2:$V$1001,Clean!$AA$2:$AA$1001,B555)</f>
        <v>0.773869346733668</v>
      </c>
      <c r="G555" s="29" t="n">
        <f aca="false">F555*C555*D555</f>
        <v>2687.88194974874</v>
      </c>
      <c r="H555" s="29" t="n">
        <f aca="false">G555*Model!$B$4</f>
        <v>2687.88194974874</v>
      </c>
      <c r="I555" s="0" t="str">
        <f aca="false">IF(E555&lt;Model!$B$5*H555,"Expedite","Standard")</f>
        <v>Expedite</v>
      </c>
      <c r="J555" s="29" t="n">
        <f aca="false">H555</f>
        <v>2687.88194974874</v>
      </c>
      <c r="K555" s="29" t="n">
        <f aca="false">E555+(1-Model!$B$5)*H555</f>
        <v>1024.74</v>
      </c>
      <c r="L555" s="29" t="n">
        <f aca="false">IF(I555="Expedite",K555,J555)</f>
        <v>1024.74</v>
      </c>
      <c r="M555" s="29" t="n">
        <f aca="false">J555-L555</f>
        <v>1663.14194974874</v>
      </c>
      <c r="N555" s="29" t="n">
        <f aca="false">IFERROR(E555/(F555*C555*Model!$B$5),"")</f>
        <v>499.689438863024</v>
      </c>
    </row>
    <row r="556" customFormat="false" ht="15" hidden="false" customHeight="false" outlineLevel="0" collapsed="false">
      <c r="A556" s="0" t="str">
        <f aca="false">Clean!A556</f>
        <v>SHP0555</v>
      </c>
      <c r="B556" s="0" t="str">
        <f aca="false">Clean!AA556</f>
        <v>GATI Logistics</v>
      </c>
      <c r="C556" s="28" t="n">
        <f aca="false">Clean!J556</f>
        <v>19.02</v>
      </c>
      <c r="D556" s="29" t="n">
        <f aca="false">Clean!AF556</f>
        <v>787.51</v>
      </c>
      <c r="E556" s="29" t="n">
        <f aca="false">Clean!AE556</f>
        <v>4981.69</v>
      </c>
      <c r="F556" s="22" t="n">
        <f aca="false">AVERAGEIFS(Clean!$V$2:$V$1001,Clean!$AA$2:$AA$1001,B556)</f>
        <v>0.751243781094527</v>
      </c>
      <c r="G556" s="29" t="n">
        <f aca="false">F556*C556*D556</f>
        <v>11252.4600507463</v>
      </c>
      <c r="H556" s="29" t="n">
        <f aca="false">G556*Model!$B$4</f>
        <v>11252.4600507463</v>
      </c>
      <c r="I556" s="0" t="str">
        <f aca="false">IF(E556&lt;Model!$B$5*H556,"Expedite","Standard")</f>
        <v>Expedite</v>
      </c>
      <c r="J556" s="29" t="n">
        <f aca="false">H556</f>
        <v>11252.4600507463</v>
      </c>
      <c r="K556" s="29" t="n">
        <f aca="false">E556+(1-Model!$B$5)*H556</f>
        <v>4981.69</v>
      </c>
      <c r="L556" s="29" t="n">
        <f aca="false">IF(I556="Expedite",K556,J556)</f>
        <v>4981.69</v>
      </c>
      <c r="M556" s="29" t="n">
        <f aca="false">J556-L556</f>
        <v>6270.77005074627</v>
      </c>
      <c r="N556" s="29" t="n">
        <f aca="false">IFERROR(E556/(F556*C556*Model!$B$5),"")</f>
        <v>348.646489230576</v>
      </c>
    </row>
    <row r="557" customFormat="false" ht="15" hidden="false" customHeight="false" outlineLevel="0" collapsed="false">
      <c r="A557" s="0" t="str">
        <f aca="false">Clean!A557</f>
        <v>SHP0556</v>
      </c>
      <c r="B557" s="0" t="str">
        <f aca="false">Clean!AA557</f>
        <v>GATI Logistics</v>
      </c>
      <c r="C557" s="28" t="n">
        <f aca="false">Clean!J557</f>
        <v>11.23</v>
      </c>
      <c r="D557" s="29" t="n">
        <f aca="false">Clean!AF557</f>
        <v>1103.25</v>
      </c>
      <c r="E557" s="29" t="n">
        <f aca="false">Clean!AE557</f>
        <v>2993.33</v>
      </c>
      <c r="F557" s="22" t="n">
        <f aca="false">AVERAGEIFS(Clean!$V$2:$V$1001,Clean!$AA$2:$AA$1001,B557)</f>
        <v>0.751243781094527</v>
      </c>
      <c r="G557" s="29" t="n">
        <f aca="false">F557*C557*D557</f>
        <v>9307.53294776119</v>
      </c>
      <c r="H557" s="29" t="n">
        <f aca="false">G557*Model!$B$4</f>
        <v>9307.53294776119</v>
      </c>
      <c r="I557" s="0" t="str">
        <f aca="false">IF(E557&lt;Model!$B$5*H557,"Expedite","Standard")</f>
        <v>Expedite</v>
      </c>
      <c r="J557" s="29" t="n">
        <f aca="false">H557</f>
        <v>9307.53294776119</v>
      </c>
      <c r="K557" s="29" t="n">
        <f aca="false">E557+(1-Model!$B$5)*H557</f>
        <v>2993.33</v>
      </c>
      <c r="L557" s="29" t="n">
        <f aca="false">IF(I557="Expedite",K557,J557)</f>
        <v>2993.33</v>
      </c>
      <c r="M557" s="29" t="n">
        <f aca="false">J557-L557</f>
        <v>6314.20294776119</v>
      </c>
      <c r="N557" s="29" t="n">
        <f aca="false">IFERROR(E557/(F557*C557*Model!$B$5),"")</f>
        <v>354.808448278912</v>
      </c>
    </row>
    <row r="558" customFormat="false" ht="15" hidden="false" customHeight="false" outlineLevel="0" collapsed="false">
      <c r="A558" s="0" t="str">
        <f aca="false">Clean!A558</f>
        <v>SHP0557</v>
      </c>
      <c r="B558" s="0" t="str">
        <f aca="false">Clean!AA558</f>
        <v>Delhivery</v>
      </c>
      <c r="C558" s="28" t="n">
        <f aca="false">Clean!J558</f>
        <v>5.32</v>
      </c>
      <c r="D558" s="29" t="n">
        <f aca="false">Clean!AF558</f>
        <v>884.52</v>
      </c>
      <c r="E558" s="29" t="n">
        <f aca="false">Clean!AE558</f>
        <v>1681.85</v>
      </c>
      <c r="F558" s="22" t="n">
        <f aca="false">AVERAGEIFS(Clean!$V$2:$V$1001,Clean!$AA$2:$AA$1001,B558)</f>
        <v>0.72538860103627</v>
      </c>
      <c r="G558" s="29" t="n">
        <f aca="false">F558*C558*D558</f>
        <v>3413.42225906736</v>
      </c>
      <c r="H558" s="29" t="n">
        <f aca="false">G558*Model!$B$4</f>
        <v>3413.42225906736</v>
      </c>
      <c r="I558" s="0" t="str">
        <f aca="false">IF(E558&lt;Model!$B$5*H558,"Expedite","Standard")</f>
        <v>Expedite</v>
      </c>
      <c r="J558" s="29" t="n">
        <f aca="false">H558</f>
        <v>3413.42225906736</v>
      </c>
      <c r="K558" s="29" t="n">
        <f aca="false">E558+(1-Model!$B$5)*H558</f>
        <v>1681.85</v>
      </c>
      <c r="L558" s="29" t="n">
        <f aca="false">IF(I558="Expedite",K558,J558)</f>
        <v>1681.85</v>
      </c>
      <c r="M558" s="29" t="n">
        <f aca="false">J558-L558</f>
        <v>1731.57225906736</v>
      </c>
      <c r="N558" s="29" t="n">
        <f aca="false">IFERROR(E558/(F558*C558*Model!$B$5),"")</f>
        <v>435.817736305048</v>
      </c>
    </row>
    <row r="559" customFormat="false" ht="15" hidden="false" customHeight="false" outlineLevel="0" collapsed="false">
      <c r="A559" s="0" t="str">
        <f aca="false">Clean!A559</f>
        <v>SHP0558</v>
      </c>
      <c r="B559" s="0" t="str">
        <f aca="false">Clean!AA559</f>
        <v>BlueDart</v>
      </c>
      <c r="C559" s="28" t="n">
        <f aca="false">Clean!J559</f>
        <v>7.59</v>
      </c>
      <c r="D559" s="29" t="n">
        <f aca="false">Clean!AF559</f>
        <v>1205.49</v>
      </c>
      <c r="E559" s="29" t="n">
        <f aca="false">Clean!AE559</f>
        <v>2351.93</v>
      </c>
      <c r="F559" s="22" t="n">
        <f aca="false">AVERAGEIFS(Clean!$V$2:$V$1001,Clean!$AA$2:$AA$1001,B559)</f>
        <v>0.773869346733668</v>
      </c>
      <c r="G559" s="29" t="n">
        <f aca="false">F559*C559*D559</f>
        <v>7080.64844924623</v>
      </c>
      <c r="H559" s="29" t="n">
        <f aca="false">G559*Model!$B$4</f>
        <v>7080.64844924623</v>
      </c>
      <c r="I559" s="0" t="str">
        <f aca="false">IF(E559&lt;Model!$B$5*H559,"Expedite","Standard")</f>
        <v>Expedite</v>
      </c>
      <c r="J559" s="29" t="n">
        <f aca="false">H559</f>
        <v>7080.64844924623</v>
      </c>
      <c r="K559" s="29" t="n">
        <f aca="false">E559+(1-Model!$B$5)*H559</f>
        <v>2351.93</v>
      </c>
      <c r="L559" s="29" t="n">
        <f aca="false">IF(I559="Expedite",K559,J559)</f>
        <v>2351.93</v>
      </c>
      <c r="M559" s="29" t="n">
        <f aca="false">J559-L559</f>
        <v>4728.71844924623</v>
      </c>
      <c r="N559" s="29" t="n">
        <f aca="false">IFERROR(E559/(F559*C559*Model!$B$5),"")</f>
        <v>400.419271769074</v>
      </c>
    </row>
    <row r="560" customFormat="false" ht="15" hidden="false" customHeight="false" outlineLevel="0" collapsed="false">
      <c r="A560" s="0" t="str">
        <f aca="false">Clean!A560</f>
        <v>SHP0559</v>
      </c>
      <c r="B560" s="0" t="str">
        <f aca="false">Clean!AA560</f>
        <v>Delhivery</v>
      </c>
      <c r="C560" s="28" t="n">
        <f aca="false">Clean!J560</f>
        <v>4.56</v>
      </c>
      <c r="D560" s="29" t="n">
        <f aca="false">Clean!AF560</f>
        <v>1372.52</v>
      </c>
      <c r="E560" s="29" t="n">
        <f aca="false">Clean!AE560</f>
        <v>3617.39</v>
      </c>
      <c r="F560" s="22" t="n">
        <f aca="false">AVERAGEIFS(Clean!$V$2:$V$1001,Clean!$AA$2:$AA$1001,B560)</f>
        <v>0.72538860103627</v>
      </c>
      <c r="G560" s="29" t="n">
        <f aca="false">F560*C560*D560</f>
        <v>4539.98325388601</v>
      </c>
      <c r="H560" s="29" t="n">
        <f aca="false">G560*Model!$B$4</f>
        <v>4539.98325388601</v>
      </c>
      <c r="I560" s="0" t="str">
        <f aca="false">IF(E560&lt;Model!$B$5*H560,"Expedite","Standard")</f>
        <v>Expedite</v>
      </c>
      <c r="J560" s="29" t="n">
        <f aca="false">H560</f>
        <v>4539.98325388601</v>
      </c>
      <c r="K560" s="29" t="n">
        <f aca="false">E560+(1-Model!$B$5)*H560</f>
        <v>3617.39</v>
      </c>
      <c r="L560" s="29" t="n">
        <f aca="false">IF(I560="Expedite",K560,J560)</f>
        <v>3617.39</v>
      </c>
      <c r="M560" s="29" t="n">
        <f aca="false">J560-L560</f>
        <v>922.59325388601</v>
      </c>
      <c r="N560" s="29" t="n">
        <f aca="false">IFERROR(E560/(F560*C560*Model!$B$5),"")</f>
        <v>1093.60317982456</v>
      </c>
    </row>
    <row r="561" customFormat="false" ht="15" hidden="false" customHeight="false" outlineLevel="0" collapsed="false">
      <c r="A561" s="0" t="str">
        <f aca="false">Clean!A561</f>
        <v>SHP0560</v>
      </c>
      <c r="B561" s="0" t="str">
        <f aca="false">Clean!AA561</f>
        <v>Delhivery</v>
      </c>
      <c r="C561" s="28" t="n">
        <f aca="false">Clean!J561</f>
        <v>5.64</v>
      </c>
      <c r="D561" s="29" t="n">
        <f aca="false">Clean!AF561</f>
        <v>1081.22</v>
      </c>
      <c r="E561" s="29" t="n">
        <f aca="false">Clean!AE561</f>
        <v>2049.94</v>
      </c>
      <c r="F561" s="22" t="n">
        <f aca="false">AVERAGEIFS(Clean!$V$2:$V$1001,Clean!$AA$2:$AA$1001,B561)</f>
        <v>0.72538860103627</v>
      </c>
      <c r="G561" s="29" t="n">
        <f aca="false">F561*C561*D561</f>
        <v>4423.47830051813</v>
      </c>
      <c r="H561" s="29" t="n">
        <f aca="false">G561*Model!$B$4</f>
        <v>4423.47830051813</v>
      </c>
      <c r="I561" s="0" t="str">
        <f aca="false">IF(E561&lt;Model!$B$5*H561,"Expedite","Standard")</f>
        <v>Expedite</v>
      </c>
      <c r="J561" s="29" t="n">
        <f aca="false">H561</f>
        <v>4423.47830051813</v>
      </c>
      <c r="K561" s="29" t="n">
        <f aca="false">E561+(1-Model!$B$5)*H561</f>
        <v>2049.94</v>
      </c>
      <c r="L561" s="29" t="n">
        <f aca="false">IF(I561="Expedite",K561,J561)</f>
        <v>2049.94</v>
      </c>
      <c r="M561" s="29" t="n">
        <f aca="false">J561-L561</f>
        <v>2373.53830051813</v>
      </c>
      <c r="N561" s="29" t="n">
        <f aca="false">IFERROR(E561/(F561*C561*Model!$B$5),"")</f>
        <v>501.061828774063</v>
      </c>
    </row>
    <row r="562" customFormat="false" ht="15" hidden="false" customHeight="false" outlineLevel="0" collapsed="false">
      <c r="A562" s="0" t="str">
        <f aca="false">Clean!A562</f>
        <v>SHP0561</v>
      </c>
      <c r="B562" s="0" t="str">
        <f aca="false">Clean!AA562</f>
        <v>TCI Express</v>
      </c>
      <c r="C562" s="28" t="n">
        <f aca="false">Clean!J562</f>
        <v>14.65</v>
      </c>
      <c r="D562" s="29" t="n">
        <f aca="false">Clean!AF562</f>
        <v>660.63</v>
      </c>
      <c r="E562" s="29" t="n">
        <f aca="false">Clean!AE562</f>
        <v>4556.05</v>
      </c>
      <c r="F562" s="22" t="n">
        <f aca="false">AVERAGEIFS(Clean!$V$2:$V$1001,Clean!$AA$2:$AA$1001,B562)</f>
        <v>0.752336448598131</v>
      </c>
      <c r="G562" s="29" t="n">
        <f aca="false">F562*C562*D562</f>
        <v>7281.28481074767</v>
      </c>
      <c r="H562" s="29" t="n">
        <f aca="false">G562*Model!$B$4</f>
        <v>7281.28481074767</v>
      </c>
      <c r="I562" s="0" t="str">
        <f aca="false">IF(E562&lt;Model!$B$5*H562,"Expedite","Standard")</f>
        <v>Expedite</v>
      </c>
      <c r="J562" s="29" t="n">
        <f aca="false">H562</f>
        <v>7281.28481074767</v>
      </c>
      <c r="K562" s="29" t="n">
        <f aca="false">E562+(1-Model!$B$5)*H562</f>
        <v>4556.05</v>
      </c>
      <c r="L562" s="29" t="n">
        <f aca="false">IF(I562="Expedite",K562,J562)</f>
        <v>4556.05</v>
      </c>
      <c r="M562" s="29" t="n">
        <f aca="false">J562-L562</f>
        <v>2725.23481074766</v>
      </c>
      <c r="N562" s="29" t="n">
        <f aca="false">IFERROR(E562/(F562*C562*Model!$B$5),"")</f>
        <v>413.369809000912</v>
      </c>
    </row>
    <row r="563" customFormat="false" ht="15" hidden="false" customHeight="false" outlineLevel="0" collapsed="false">
      <c r="A563" s="0" t="str">
        <f aca="false">Clean!A563</f>
        <v>SHP0562</v>
      </c>
      <c r="B563" s="0" t="str">
        <f aca="false">Clean!AA563</f>
        <v>VRL Cargo</v>
      </c>
      <c r="C563" s="28" t="n">
        <f aca="false">Clean!J563</f>
        <v>4.29</v>
      </c>
      <c r="D563" s="29" t="n">
        <f aca="false">Clean!AF563</f>
        <v>1247.3</v>
      </c>
      <c r="E563" s="29" t="n">
        <f aca="false">Clean!AE563</f>
        <v>1555.88</v>
      </c>
      <c r="F563" s="22" t="n">
        <f aca="false">AVERAGEIFS(Clean!$V$2:$V$1001,Clean!$AA$2:$AA$1001,B563)</f>
        <v>0.72020725388601</v>
      </c>
      <c r="G563" s="29" t="n">
        <f aca="false">F563*C563*D563</f>
        <v>3853.76923834197</v>
      </c>
      <c r="H563" s="29" t="n">
        <f aca="false">G563*Model!$B$4</f>
        <v>3853.76923834197</v>
      </c>
      <c r="I563" s="0" t="str">
        <f aca="false">IF(E563&lt;Model!$B$5*H563,"Expedite","Standard")</f>
        <v>Expedite</v>
      </c>
      <c r="J563" s="29" t="n">
        <f aca="false">H563</f>
        <v>3853.76923834197</v>
      </c>
      <c r="K563" s="29" t="n">
        <f aca="false">E563+(1-Model!$B$5)*H563</f>
        <v>1555.88</v>
      </c>
      <c r="L563" s="29" t="n">
        <f aca="false">IF(I563="Expedite",K563,J563)</f>
        <v>1555.88</v>
      </c>
      <c r="M563" s="29" t="n">
        <f aca="false">J563-L563</f>
        <v>2297.88923834197</v>
      </c>
      <c r="N563" s="29" t="n">
        <f aca="false">IFERROR(E563/(F563*C563*Model!$B$5),"")</f>
        <v>503.57169928393</v>
      </c>
    </row>
    <row r="564" customFormat="false" ht="15" hidden="false" customHeight="false" outlineLevel="0" collapsed="false">
      <c r="A564" s="0" t="str">
        <f aca="false">Clean!A564</f>
        <v>SHP0563</v>
      </c>
      <c r="B564" s="0" t="str">
        <f aca="false">Clean!AA564</f>
        <v>Delhivery</v>
      </c>
      <c r="C564" s="28" t="n">
        <f aca="false">Clean!J564</f>
        <v>1.91</v>
      </c>
      <c r="D564" s="29" t="n">
        <f aca="false">Clean!AF564</f>
        <v>502.71</v>
      </c>
      <c r="E564" s="29" t="n">
        <f aca="false">Clean!AE564</f>
        <v>2620.43</v>
      </c>
      <c r="F564" s="22" t="n">
        <f aca="false">AVERAGEIFS(Clean!$V$2:$V$1001,Clean!$AA$2:$AA$1001,B564)</f>
        <v>0.72538860103627</v>
      </c>
      <c r="G564" s="29" t="n">
        <f aca="false">F564*C564*D564</f>
        <v>696.500797927461</v>
      </c>
      <c r="H564" s="29" t="n">
        <f aca="false">G564*Model!$B$4</f>
        <v>696.500797927461</v>
      </c>
      <c r="I564" s="0" t="str">
        <f aca="false">IF(E564&lt;Model!$B$5*H564,"Expedite","Standard")</f>
        <v>Standard</v>
      </c>
      <c r="J564" s="29" t="n">
        <f aca="false">H564</f>
        <v>696.500797927461</v>
      </c>
      <c r="K564" s="29" t="n">
        <f aca="false">E564+(1-Model!$B$5)*H564</f>
        <v>2620.43</v>
      </c>
      <c r="L564" s="29" t="n">
        <f aca="false">IF(I564="Expedite",K564,J564)</f>
        <v>696.500797927461</v>
      </c>
      <c r="M564" s="29" t="n">
        <f aca="false">J564-L564</f>
        <v>0</v>
      </c>
      <c r="N564" s="29" t="n">
        <f aca="false">IFERROR(E564/(F564*C564*Model!$B$5),"")</f>
        <v>1891.33504113687</v>
      </c>
    </row>
    <row r="565" customFormat="false" ht="15" hidden="false" customHeight="false" outlineLevel="0" collapsed="false">
      <c r="A565" s="0" t="str">
        <f aca="false">Clean!A565</f>
        <v>SHP0564</v>
      </c>
      <c r="B565" s="0" t="str">
        <f aca="false">Clean!AA565</f>
        <v>VRL Cargo</v>
      </c>
      <c r="C565" s="28" t="n">
        <f aca="false">Clean!J565</f>
        <v>17.15</v>
      </c>
      <c r="D565" s="29" t="n">
        <f aca="false">Clean!AF565</f>
        <v>895.42</v>
      </c>
      <c r="E565" s="29" t="n">
        <f aca="false">Clean!AE565</f>
        <v>2113.07</v>
      </c>
      <c r="F565" s="22" t="n">
        <f aca="false">AVERAGEIFS(Clean!$V$2:$V$1001,Clean!$AA$2:$AA$1001,B565)</f>
        <v>0.72020725388601</v>
      </c>
      <c r="G565" s="29" t="n">
        <f aca="false">F565*C565*D565</f>
        <v>11059.8288445596</v>
      </c>
      <c r="H565" s="29" t="n">
        <f aca="false">G565*Model!$B$4</f>
        <v>11059.8288445596</v>
      </c>
      <c r="I565" s="0" t="str">
        <f aca="false">IF(E565&lt;Model!$B$5*H565,"Expedite","Standard")</f>
        <v>Expedite</v>
      </c>
      <c r="J565" s="29" t="n">
        <f aca="false">H565</f>
        <v>11059.8288445596</v>
      </c>
      <c r="K565" s="29" t="n">
        <f aca="false">E565+(1-Model!$B$5)*H565</f>
        <v>2113.07</v>
      </c>
      <c r="L565" s="29" t="n">
        <f aca="false">IF(I565="Expedite",K565,J565)</f>
        <v>2113.07</v>
      </c>
      <c r="M565" s="29" t="n">
        <f aca="false">J565-L565</f>
        <v>8946.75884455959</v>
      </c>
      <c r="N565" s="29" t="n">
        <f aca="false">IFERROR(E565/(F565*C565*Model!$B$5),"")</f>
        <v>171.077253182876</v>
      </c>
    </row>
    <row r="566" customFormat="false" ht="15" hidden="false" customHeight="false" outlineLevel="0" collapsed="false">
      <c r="A566" s="0" t="str">
        <f aca="false">Clean!A566</f>
        <v>SHP0565</v>
      </c>
      <c r="B566" s="0" t="str">
        <f aca="false">Clean!AA566</f>
        <v>BlueDart</v>
      </c>
      <c r="C566" s="28" t="n">
        <f aca="false">Clean!J566</f>
        <v>14.06</v>
      </c>
      <c r="D566" s="29" t="n">
        <f aca="false">Clean!AF566</f>
        <v>1120.23</v>
      </c>
      <c r="E566" s="29" t="n">
        <f aca="false">Clean!AE566</f>
        <v>2391.29</v>
      </c>
      <c r="F566" s="22" t="n">
        <f aca="false">AVERAGEIFS(Clean!$V$2:$V$1001,Clean!$AA$2:$AA$1001,B566)</f>
        <v>0.773869346733668</v>
      </c>
      <c r="G566" s="29" t="n">
        <f aca="false">F566*C566*D566</f>
        <v>12188.7779155779</v>
      </c>
      <c r="H566" s="29" t="n">
        <f aca="false">G566*Model!$B$4</f>
        <v>12188.7779155779</v>
      </c>
      <c r="I566" s="0" t="str">
        <f aca="false">IF(E566&lt;Model!$B$5*H566,"Expedite","Standard")</f>
        <v>Expedite</v>
      </c>
      <c r="J566" s="29" t="n">
        <f aca="false">H566</f>
        <v>12188.7779155779</v>
      </c>
      <c r="K566" s="29" t="n">
        <f aca="false">E566+(1-Model!$B$5)*H566</f>
        <v>2391.29</v>
      </c>
      <c r="L566" s="29" t="n">
        <f aca="false">IF(I566="Expedite",K566,J566)</f>
        <v>2391.29</v>
      </c>
      <c r="M566" s="29" t="n">
        <f aca="false">J566-L566</f>
        <v>9797.48791557789</v>
      </c>
      <c r="N566" s="29" t="n">
        <f aca="false">IFERROR(E566/(F566*C566*Model!$B$5),"")</f>
        <v>219.775502946556</v>
      </c>
    </row>
    <row r="567" customFormat="false" ht="15" hidden="false" customHeight="false" outlineLevel="0" collapsed="false">
      <c r="A567" s="0" t="str">
        <f aca="false">Clean!A567</f>
        <v>SHP0566</v>
      </c>
      <c r="B567" s="0" t="str">
        <f aca="false">Clean!AA567</f>
        <v>BlueDart</v>
      </c>
      <c r="C567" s="28" t="n">
        <f aca="false">Clean!J567</f>
        <v>11.35</v>
      </c>
      <c r="D567" s="29" t="n">
        <f aca="false">Clean!AF567</f>
        <v>717.45</v>
      </c>
      <c r="E567" s="29" t="n">
        <f aca="false">Clean!AE567</f>
        <v>3816.13</v>
      </c>
      <c r="F567" s="22" t="n">
        <f aca="false">AVERAGEIFS(Clean!$V$2:$V$1001,Clean!$AA$2:$AA$1001,B567)</f>
        <v>0.773869346733668</v>
      </c>
      <c r="G567" s="29" t="n">
        <f aca="false">F567*C567*D567</f>
        <v>6301.6625879397</v>
      </c>
      <c r="H567" s="29" t="n">
        <f aca="false">G567*Model!$B$4</f>
        <v>6301.6625879397</v>
      </c>
      <c r="I567" s="0" t="str">
        <f aca="false">IF(E567&lt;Model!$B$5*H567,"Expedite","Standard")</f>
        <v>Expedite</v>
      </c>
      <c r="J567" s="29" t="n">
        <f aca="false">H567</f>
        <v>6301.6625879397</v>
      </c>
      <c r="K567" s="29" t="n">
        <f aca="false">E567+(1-Model!$B$5)*H567</f>
        <v>3816.13</v>
      </c>
      <c r="L567" s="29" t="n">
        <f aca="false">IF(I567="Expedite",K567,J567)</f>
        <v>3816.13</v>
      </c>
      <c r="M567" s="29" t="n">
        <f aca="false">J567-L567</f>
        <v>2485.5325879397</v>
      </c>
      <c r="N567" s="29" t="n">
        <f aca="false">IFERROR(E567/(F567*C567*Model!$B$5),"")</f>
        <v>434.469860976028</v>
      </c>
    </row>
    <row r="568" customFormat="false" ht="15" hidden="false" customHeight="false" outlineLevel="0" collapsed="false">
      <c r="A568" s="0" t="str">
        <f aca="false">Clean!A568</f>
        <v>SHP0567</v>
      </c>
      <c r="B568" s="0" t="str">
        <f aca="false">Clean!AA568</f>
        <v>Delhivery</v>
      </c>
      <c r="C568" s="28" t="n">
        <f aca="false">Clean!J568</f>
        <v>7.97</v>
      </c>
      <c r="D568" s="29" t="n">
        <f aca="false">Clean!AF568</f>
        <v>1005.93</v>
      </c>
      <c r="E568" s="29" t="n">
        <f aca="false">Clean!AE568</f>
        <v>2067.18</v>
      </c>
      <c r="F568" s="22" t="n">
        <f aca="false">AVERAGEIFS(Clean!$V$2:$V$1001,Clean!$AA$2:$AA$1001,B568)</f>
        <v>0.72538860103627</v>
      </c>
      <c r="G568" s="29" t="n">
        <f aca="false">F568*C568*D568</f>
        <v>5815.6305388601</v>
      </c>
      <c r="H568" s="29" t="n">
        <f aca="false">G568*Model!$B$4</f>
        <v>5815.6305388601</v>
      </c>
      <c r="I568" s="0" t="str">
        <f aca="false">IF(E568&lt;Model!$B$5*H568,"Expedite","Standard")</f>
        <v>Expedite</v>
      </c>
      <c r="J568" s="29" t="n">
        <f aca="false">H568</f>
        <v>5815.6305388601</v>
      </c>
      <c r="K568" s="29" t="n">
        <f aca="false">E568+(1-Model!$B$5)*H568</f>
        <v>2067.18</v>
      </c>
      <c r="L568" s="29" t="n">
        <f aca="false">IF(I568="Expedite",K568,J568)</f>
        <v>2067.18</v>
      </c>
      <c r="M568" s="29" t="n">
        <f aca="false">J568-L568</f>
        <v>3748.4505388601</v>
      </c>
      <c r="N568" s="29" t="n">
        <f aca="false">IFERROR(E568/(F568*C568*Model!$B$5),"")</f>
        <v>357.560261695644</v>
      </c>
    </row>
    <row r="569" customFormat="false" ht="15" hidden="false" customHeight="false" outlineLevel="0" collapsed="false">
      <c r="A569" s="0" t="str">
        <f aca="false">Clean!A569</f>
        <v>SHP0568</v>
      </c>
      <c r="B569" s="0" t="str">
        <f aca="false">Clean!AA569</f>
        <v>Delhivery</v>
      </c>
      <c r="C569" s="28" t="n">
        <f aca="false">Clean!J569</f>
        <v>15.78</v>
      </c>
      <c r="D569" s="29" t="n">
        <f aca="false">Clean!AF569</f>
        <v>1201.57</v>
      </c>
      <c r="E569" s="29" t="n">
        <f aca="false">Clean!AE569</f>
        <v>1243.62</v>
      </c>
      <c r="F569" s="22" t="n">
        <f aca="false">AVERAGEIFS(Clean!$V$2:$V$1001,Clean!$AA$2:$AA$1001,B569)</f>
        <v>0.72538860103627</v>
      </c>
      <c r="G569" s="29" t="n">
        <f aca="false">F569*C569*D569</f>
        <v>13753.929761658</v>
      </c>
      <c r="H569" s="29" t="n">
        <f aca="false">G569*Model!$B$4</f>
        <v>13753.929761658</v>
      </c>
      <c r="I569" s="0" t="str">
        <f aca="false">IF(E569&lt;Model!$B$5*H569,"Expedite","Standard")</f>
        <v>Expedite</v>
      </c>
      <c r="J569" s="29" t="n">
        <f aca="false">H569</f>
        <v>13753.929761658</v>
      </c>
      <c r="K569" s="29" t="n">
        <f aca="false">E569+(1-Model!$B$5)*H569</f>
        <v>1243.62</v>
      </c>
      <c r="L569" s="29" t="n">
        <f aca="false">IF(I569="Expedite",K569,J569)</f>
        <v>1243.62</v>
      </c>
      <c r="M569" s="29" t="n">
        <f aca="false">J569-L569</f>
        <v>12510.309761658</v>
      </c>
      <c r="N569" s="29" t="n">
        <f aca="false">IFERROR(E569/(F569*C569*Model!$B$5),"")</f>
        <v>108.645057034221</v>
      </c>
    </row>
    <row r="570" customFormat="false" ht="15" hidden="false" customHeight="false" outlineLevel="0" collapsed="false">
      <c r="A570" s="0" t="str">
        <f aca="false">Clean!A570</f>
        <v>SHP0569</v>
      </c>
      <c r="B570" s="0" t="str">
        <f aca="false">Clean!AA570</f>
        <v>GATI Logistics</v>
      </c>
      <c r="C570" s="28" t="n">
        <f aca="false">Clean!J570</f>
        <v>1.19</v>
      </c>
      <c r="D570" s="29" t="n">
        <f aca="false">Clean!AF570</f>
        <v>1227.02</v>
      </c>
      <c r="E570" s="29" t="n">
        <f aca="false">Clean!AE570</f>
        <v>2785.31</v>
      </c>
      <c r="F570" s="22" t="n">
        <f aca="false">AVERAGEIFS(Clean!$V$2:$V$1001,Clean!$AA$2:$AA$1001,B570)</f>
        <v>0.751243781094527</v>
      </c>
      <c r="G570" s="29" t="n">
        <f aca="false">F570*C570*D570</f>
        <v>1096.93146169154</v>
      </c>
      <c r="H570" s="29" t="n">
        <f aca="false">G570*Model!$B$4</f>
        <v>1096.93146169154</v>
      </c>
      <c r="I570" s="0" t="str">
        <f aca="false">IF(E570&lt;Model!$B$5*H570,"Expedite","Standard")</f>
        <v>Standard</v>
      </c>
      <c r="J570" s="29" t="n">
        <f aca="false">H570</f>
        <v>1096.93146169154</v>
      </c>
      <c r="K570" s="29" t="n">
        <f aca="false">E570+(1-Model!$B$5)*H570</f>
        <v>2785.31</v>
      </c>
      <c r="L570" s="29" t="n">
        <f aca="false">IF(I570="Expedite",K570,J570)</f>
        <v>1096.93146169154</v>
      </c>
      <c r="M570" s="29" t="n">
        <f aca="false">J570-L570</f>
        <v>0</v>
      </c>
      <c r="N570" s="29" t="n">
        <f aca="false">IFERROR(E570/(F570*C570*Model!$B$5),"")</f>
        <v>3115.62863821025</v>
      </c>
    </row>
    <row r="571" customFormat="false" ht="15" hidden="false" customHeight="false" outlineLevel="0" collapsed="false">
      <c r="A571" s="0" t="str">
        <f aca="false">Clean!A571</f>
        <v>SHP0570</v>
      </c>
      <c r="B571" s="0" t="str">
        <f aca="false">Clean!AA571</f>
        <v>Delhivery</v>
      </c>
      <c r="C571" s="28" t="n">
        <f aca="false">Clean!J571</f>
        <v>14.17</v>
      </c>
      <c r="D571" s="29" t="n">
        <f aca="false">Clean!AF571</f>
        <v>1251.8</v>
      </c>
      <c r="E571" s="29" t="n">
        <f aca="false">Clean!AE571</f>
        <v>1625.45</v>
      </c>
      <c r="F571" s="22" t="n">
        <f aca="false">AVERAGEIFS(Clean!$V$2:$V$1001,Clean!$AA$2:$AA$1001,B571)</f>
        <v>0.72538860103627</v>
      </c>
      <c r="G571" s="29" t="n">
        <f aca="false">F571*C571*D571</f>
        <v>12866.947357513</v>
      </c>
      <c r="H571" s="29" t="n">
        <f aca="false">G571*Model!$B$4</f>
        <v>12866.947357513</v>
      </c>
      <c r="I571" s="0" t="str">
        <f aca="false">IF(E571&lt;Model!$B$5*H571,"Expedite","Standard")</f>
        <v>Expedite</v>
      </c>
      <c r="J571" s="29" t="n">
        <f aca="false">H571</f>
        <v>12866.947357513</v>
      </c>
      <c r="K571" s="29" t="n">
        <f aca="false">E571+(1-Model!$B$5)*H571</f>
        <v>1625.45</v>
      </c>
      <c r="L571" s="29" t="n">
        <f aca="false">IF(I571="Expedite",K571,J571)</f>
        <v>1625.45</v>
      </c>
      <c r="M571" s="29" t="n">
        <f aca="false">J571-L571</f>
        <v>11241.497357513</v>
      </c>
      <c r="N571" s="29" t="n">
        <f aca="false">IFERROR(E571/(F571*C571*Model!$B$5),"")</f>
        <v>158.136833350136</v>
      </c>
    </row>
    <row r="572" customFormat="false" ht="15" hidden="false" customHeight="false" outlineLevel="0" collapsed="false">
      <c r="A572" s="0" t="str">
        <f aca="false">Clean!A572</f>
        <v>SHP0571</v>
      </c>
      <c r="B572" s="0" t="str">
        <f aca="false">Clean!AA572</f>
        <v>GATI Logistics</v>
      </c>
      <c r="C572" s="28" t="n">
        <f aca="false">Clean!J572</f>
        <v>11.8</v>
      </c>
      <c r="D572" s="29" t="n">
        <f aca="false">Clean!AF572</f>
        <v>551.17</v>
      </c>
      <c r="E572" s="29" t="n">
        <f aca="false">Clean!AE572</f>
        <v>3074.99</v>
      </c>
      <c r="F572" s="22" t="n">
        <f aca="false">AVERAGEIFS(Clean!$V$2:$V$1001,Clean!$AA$2:$AA$1001,B572)</f>
        <v>0.751243781094527</v>
      </c>
      <c r="G572" s="29" t="n">
        <f aca="false">F572*C572*D572</f>
        <v>4885.94381094527</v>
      </c>
      <c r="H572" s="29" t="n">
        <f aca="false">G572*Model!$B$4</f>
        <v>4885.94381094527</v>
      </c>
      <c r="I572" s="0" t="str">
        <f aca="false">IF(E572&lt;Model!$B$5*H572,"Expedite","Standard")</f>
        <v>Expedite</v>
      </c>
      <c r="J572" s="29" t="n">
        <f aca="false">H572</f>
        <v>4885.94381094527</v>
      </c>
      <c r="K572" s="29" t="n">
        <f aca="false">E572+(1-Model!$B$5)*H572</f>
        <v>3074.99</v>
      </c>
      <c r="L572" s="29" t="n">
        <f aca="false">IF(I572="Expedite",K572,J572)</f>
        <v>3074.99</v>
      </c>
      <c r="M572" s="29" t="n">
        <f aca="false">J572-L572</f>
        <v>1810.95381094527</v>
      </c>
      <c r="N572" s="29" t="n">
        <f aca="false">IFERROR(E572/(F572*C572*Model!$B$5),"")</f>
        <v>346.881238073858</v>
      </c>
    </row>
    <row r="573" customFormat="false" ht="15" hidden="false" customHeight="false" outlineLevel="0" collapsed="false">
      <c r="A573" s="0" t="str">
        <f aca="false">Clean!A573</f>
        <v>SHP0572</v>
      </c>
      <c r="B573" s="0" t="str">
        <f aca="false">Clean!AA573</f>
        <v>TCI Express</v>
      </c>
      <c r="C573" s="28" t="n">
        <f aca="false">Clean!J573</f>
        <v>5.42</v>
      </c>
      <c r="D573" s="29" t="n">
        <f aca="false">Clean!AF573</f>
        <v>963.99</v>
      </c>
      <c r="E573" s="29" t="n">
        <f aca="false">Clean!AE573</f>
        <v>2032.43</v>
      </c>
      <c r="F573" s="22" t="n">
        <f aca="false">AVERAGEIFS(Clean!$V$2:$V$1001,Clean!$AA$2:$AA$1001,B573)</f>
        <v>0.752336448598131</v>
      </c>
      <c r="G573" s="29" t="n">
        <f aca="false">F573*C573*D573</f>
        <v>3930.82688691589</v>
      </c>
      <c r="H573" s="29" t="n">
        <f aca="false">G573*Model!$B$4</f>
        <v>3930.82688691589</v>
      </c>
      <c r="I573" s="0" t="str">
        <f aca="false">IF(E573&lt;Model!$B$5*H573,"Expedite","Standard")</f>
        <v>Expedite</v>
      </c>
      <c r="J573" s="29" t="n">
        <f aca="false">H573</f>
        <v>3930.82688691589</v>
      </c>
      <c r="K573" s="29" t="n">
        <f aca="false">E573+(1-Model!$B$5)*H573</f>
        <v>2032.43</v>
      </c>
      <c r="L573" s="29" t="n">
        <f aca="false">IF(I573="Expedite",K573,J573)</f>
        <v>2032.43</v>
      </c>
      <c r="M573" s="29" t="n">
        <f aca="false">J573-L573</f>
        <v>1898.39688691589</v>
      </c>
      <c r="N573" s="29" t="n">
        <f aca="false">IFERROR(E573/(F573*C573*Model!$B$5),"")</f>
        <v>498.430038275538</v>
      </c>
    </row>
    <row r="574" customFormat="false" ht="15" hidden="false" customHeight="false" outlineLevel="0" collapsed="false">
      <c r="A574" s="0" t="str">
        <f aca="false">Clean!A574</f>
        <v>SHP0573</v>
      </c>
      <c r="B574" s="0" t="str">
        <f aca="false">Clean!AA574</f>
        <v>Delhivery</v>
      </c>
      <c r="C574" s="28" t="n">
        <f aca="false">Clean!J574</f>
        <v>3.53</v>
      </c>
      <c r="D574" s="29" t="n">
        <f aca="false">Clean!AF574</f>
        <v>1143.91</v>
      </c>
      <c r="E574" s="29" t="n">
        <f aca="false">Clean!AE574</f>
        <v>1455.86</v>
      </c>
      <c r="F574" s="22" t="n">
        <f aca="false">AVERAGEIFS(Clean!$V$2:$V$1001,Clean!$AA$2:$AA$1001,B574)</f>
        <v>0.72538860103627</v>
      </c>
      <c r="G574" s="29" t="n">
        <f aca="false">F574*C574*D574</f>
        <v>2929.12083937824</v>
      </c>
      <c r="H574" s="29" t="n">
        <f aca="false">G574*Model!$B$4</f>
        <v>2929.12083937824</v>
      </c>
      <c r="I574" s="0" t="str">
        <f aca="false">IF(E574&lt;Model!$B$5*H574,"Expedite","Standard")</f>
        <v>Expedite</v>
      </c>
      <c r="J574" s="29" t="n">
        <f aca="false">H574</f>
        <v>2929.12083937824</v>
      </c>
      <c r="K574" s="29" t="n">
        <f aca="false">E574+(1-Model!$B$5)*H574</f>
        <v>1455.86</v>
      </c>
      <c r="L574" s="29" t="n">
        <f aca="false">IF(I574="Expedite",K574,J574)</f>
        <v>1455.86</v>
      </c>
      <c r="M574" s="29" t="n">
        <f aca="false">J574-L574</f>
        <v>1473.26083937824</v>
      </c>
      <c r="N574" s="29" t="n">
        <f aca="false">IFERROR(E574/(F574*C574*Model!$B$5),"")</f>
        <v>568.557223796034</v>
      </c>
    </row>
    <row r="575" customFormat="false" ht="15" hidden="false" customHeight="false" outlineLevel="0" collapsed="false">
      <c r="A575" s="0" t="str">
        <f aca="false">Clean!A575</f>
        <v>SHP0574</v>
      </c>
      <c r="B575" s="0" t="str">
        <f aca="false">Clean!AA575</f>
        <v>BlueDart</v>
      </c>
      <c r="C575" s="28" t="n">
        <f aca="false">Clean!J575</f>
        <v>16.85</v>
      </c>
      <c r="D575" s="29" t="n">
        <f aca="false">Clean!AF575</f>
        <v>1366.18</v>
      </c>
      <c r="E575" s="29" t="n">
        <f aca="false">Clean!AE575</f>
        <v>1341.07</v>
      </c>
      <c r="F575" s="22" t="n">
        <f aca="false">AVERAGEIFS(Clean!$V$2:$V$1001,Clean!$AA$2:$AA$1001,B575)</f>
        <v>0.773869346733668</v>
      </c>
      <c r="G575" s="29" t="n">
        <f aca="false">F575*C575*D575</f>
        <v>17814.5752864322</v>
      </c>
      <c r="H575" s="29" t="n">
        <f aca="false">G575*Model!$B$4</f>
        <v>17814.5752864322</v>
      </c>
      <c r="I575" s="0" t="str">
        <f aca="false">IF(E575&lt;Model!$B$5*H575,"Expedite","Standard")</f>
        <v>Expedite</v>
      </c>
      <c r="J575" s="29" t="n">
        <f aca="false">H575</f>
        <v>17814.5752864322</v>
      </c>
      <c r="K575" s="29" t="n">
        <f aca="false">E575+(1-Model!$B$5)*H575</f>
        <v>1341.07</v>
      </c>
      <c r="L575" s="29" t="n">
        <f aca="false">IF(I575="Expedite",K575,J575)</f>
        <v>1341.07</v>
      </c>
      <c r="M575" s="29" t="n">
        <f aca="false">J575-L575</f>
        <v>16473.5052864322</v>
      </c>
      <c r="N575" s="29" t="n">
        <f aca="false">IFERROR(E575/(F575*C575*Model!$B$5),"")</f>
        <v>102.845169370689</v>
      </c>
    </row>
    <row r="576" customFormat="false" ht="15" hidden="false" customHeight="false" outlineLevel="0" collapsed="false">
      <c r="A576" s="0" t="str">
        <f aca="false">Clean!A576</f>
        <v>SHP0575</v>
      </c>
      <c r="B576" s="0" t="str">
        <f aca="false">Clean!AA576</f>
        <v>Delhivery</v>
      </c>
      <c r="C576" s="28" t="n">
        <f aca="false">Clean!J576</f>
        <v>10.48</v>
      </c>
      <c r="D576" s="29" t="n">
        <f aca="false">Clean!AF576</f>
        <v>1024.2</v>
      </c>
      <c r="E576" s="29" t="n">
        <f aca="false">Clean!AE576</f>
        <v>2954.17</v>
      </c>
      <c r="F576" s="22" t="n">
        <f aca="false">AVERAGEIFS(Clean!$V$2:$V$1001,Clean!$AA$2:$AA$1001,B576)</f>
        <v>0.72538860103627</v>
      </c>
      <c r="G576" s="29" t="n">
        <f aca="false">F576*C576*D576</f>
        <v>7786.04269430052</v>
      </c>
      <c r="H576" s="29" t="n">
        <f aca="false">G576*Model!$B$4</f>
        <v>7786.04269430052</v>
      </c>
      <c r="I576" s="0" t="str">
        <f aca="false">IF(E576&lt;Model!$B$5*H576,"Expedite","Standard")</f>
        <v>Expedite</v>
      </c>
      <c r="J576" s="29" t="n">
        <f aca="false">H576</f>
        <v>7786.04269430052</v>
      </c>
      <c r="K576" s="29" t="n">
        <f aca="false">E576+(1-Model!$B$5)*H576</f>
        <v>2954.17</v>
      </c>
      <c r="L576" s="29" t="n">
        <f aca="false">IF(I576="Expedite",K576,J576)</f>
        <v>2954.17</v>
      </c>
      <c r="M576" s="29" t="n">
        <f aca="false">J576-L576</f>
        <v>4831.87269430052</v>
      </c>
      <c r="N576" s="29" t="n">
        <f aca="false">IFERROR(E576/(F576*C576*Model!$B$5),"")</f>
        <v>388.600606597601</v>
      </c>
    </row>
    <row r="577" customFormat="false" ht="15" hidden="false" customHeight="false" outlineLevel="0" collapsed="false">
      <c r="A577" s="0" t="str">
        <f aca="false">Clean!A577</f>
        <v>SHP0576</v>
      </c>
      <c r="B577" s="0" t="str">
        <f aca="false">Clean!AA577</f>
        <v>Delhivery</v>
      </c>
      <c r="C577" s="28" t="n">
        <f aca="false">Clean!J577</f>
        <v>13.67</v>
      </c>
      <c r="D577" s="29" t="n">
        <f aca="false">Clean!AF577</f>
        <v>815.74</v>
      </c>
      <c r="E577" s="29" t="n">
        <f aca="false">Clean!AE577</f>
        <v>3572.42</v>
      </c>
      <c r="F577" s="22" t="n">
        <f aca="false">AVERAGEIFS(Clean!$V$2:$V$1001,Clean!$AA$2:$AA$1001,B577)</f>
        <v>0.72538860103627</v>
      </c>
      <c r="G577" s="29" t="n">
        <f aca="false">F577*C577*D577</f>
        <v>8088.92855958549</v>
      </c>
      <c r="H577" s="29" t="n">
        <f aca="false">G577*Model!$B$4</f>
        <v>8088.92855958549</v>
      </c>
      <c r="I577" s="0" t="str">
        <f aca="false">IF(E577&lt;Model!$B$5*H577,"Expedite","Standard")</f>
        <v>Expedite</v>
      </c>
      <c r="J577" s="29" t="n">
        <f aca="false">H577</f>
        <v>8088.92855958549</v>
      </c>
      <c r="K577" s="29" t="n">
        <f aca="false">E577+(1-Model!$B$5)*H577</f>
        <v>3572.42</v>
      </c>
      <c r="L577" s="29" t="n">
        <f aca="false">IF(I577="Expedite",K577,J577)</f>
        <v>3572.42</v>
      </c>
      <c r="M577" s="29" t="n">
        <f aca="false">J577-L577</f>
        <v>4516.50855958549</v>
      </c>
      <c r="N577" s="29" t="n">
        <f aca="false">IFERROR(E577/(F577*C577*Model!$B$5),"")</f>
        <v>360.265994356777</v>
      </c>
    </row>
    <row r="578" customFormat="false" ht="15" hidden="false" customHeight="false" outlineLevel="0" collapsed="false">
      <c r="A578" s="0" t="str">
        <f aca="false">Clean!A578</f>
        <v>SHP0577</v>
      </c>
      <c r="B578" s="0" t="str">
        <f aca="false">Clean!AA578</f>
        <v>BlueDart</v>
      </c>
      <c r="C578" s="28" t="n">
        <f aca="false">Clean!J578</f>
        <v>12.81</v>
      </c>
      <c r="D578" s="29" t="n">
        <f aca="false">Clean!AF578</f>
        <v>612.5</v>
      </c>
      <c r="E578" s="29" t="n">
        <f aca="false">Clean!AE578</f>
        <v>3841.41</v>
      </c>
      <c r="F578" s="22" t="n">
        <f aca="false">AVERAGEIFS(Clean!$V$2:$V$1001,Clean!$AA$2:$AA$1001,B578)</f>
        <v>0.773869346733668</v>
      </c>
      <c r="G578" s="29" t="n">
        <f aca="false">F578*C578*D578</f>
        <v>6071.8756281407</v>
      </c>
      <c r="H578" s="29" t="n">
        <f aca="false">G578*Model!$B$4</f>
        <v>6071.8756281407</v>
      </c>
      <c r="I578" s="0" t="str">
        <f aca="false">IF(E578&lt;Model!$B$5*H578,"Expedite","Standard")</f>
        <v>Expedite</v>
      </c>
      <c r="J578" s="29" t="n">
        <f aca="false">H578</f>
        <v>6071.8756281407</v>
      </c>
      <c r="K578" s="29" t="n">
        <f aca="false">E578+(1-Model!$B$5)*H578</f>
        <v>3841.41</v>
      </c>
      <c r="L578" s="29" t="n">
        <f aca="false">IF(I578="Expedite",K578,J578)</f>
        <v>3841.41</v>
      </c>
      <c r="M578" s="29" t="n">
        <f aca="false">J578-L578</f>
        <v>2230.4656281407</v>
      </c>
      <c r="N578" s="29" t="n">
        <f aca="false">IFERROR(E578/(F578*C578*Model!$B$5),"")</f>
        <v>387.501946531221</v>
      </c>
    </row>
    <row r="579" customFormat="false" ht="15" hidden="false" customHeight="false" outlineLevel="0" collapsed="false">
      <c r="A579" s="0" t="str">
        <f aca="false">Clean!A579</f>
        <v>SHP0578</v>
      </c>
      <c r="B579" s="0" t="str">
        <f aca="false">Clean!AA579</f>
        <v>GATI Logistics</v>
      </c>
      <c r="C579" s="28" t="n">
        <f aca="false">Clean!J579</f>
        <v>14.98</v>
      </c>
      <c r="D579" s="29" t="n">
        <f aca="false">Clean!AF579</f>
        <v>1430.67</v>
      </c>
      <c r="E579" s="29" t="n">
        <f aca="false">Clean!AE579</f>
        <v>2116.52</v>
      </c>
      <c r="F579" s="22" t="n">
        <f aca="false">AVERAGEIFS(Clean!$V$2:$V$1001,Clean!$AA$2:$AA$1001,B579)</f>
        <v>0.751243781094527</v>
      </c>
      <c r="G579" s="29" t="n">
        <f aca="false">F579*C579*D579</f>
        <v>16100.2334656716</v>
      </c>
      <c r="H579" s="29" t="n">
        <f aca="false">G579*Model!$B$4</f>
        <v>16100.2334656716</v>
      </c>
      <c r="I579" s="0" t="str">
        <f aca="false">IF(E579&lt;Model!$B$5*H579,"Expedite","Standard")</f>
        <v>Expedite</v>
      </c>
      <c r="J579" s="29" t="n">
        <f aca="false">H579</f>
        <v>16100.2334656716</v>
      </c>
      <c r="K579" s="29" t="n">
        <f aca="false">E579+(1-Model!$B$5)*H579</f>
        <v>2116.52</v>
      </c>
      <c r="L579" s="29" t="n">
        <f aca="false">IF(I579="Expedite",K579,J579)</f>
        <v>2116.52</v>
      </c>
      <c r="M579" s="29" t="n">
        <f aca="false">J579-L579</f>
        <v>13983.7134656716</v>
      </c>
      <c r="N579" s="29" t="n">
        <f aca="false">IFERROR(E579/(F579*C579*Model!$B$5),"")</f>
        <v>188.074394999072</v>
      </c>
    </row>
    <row r="580" customFormat="false" ht="15" hidden="false" customHeight="false" outlineLevel="0" collapsed="false">
      <c r="A580" s="0" t="str">
        <f aca="false">Clean!A580</f>
        <v>SHP0579</v>
      </c>
      <c r="B580" s="0" t="str">
        <f aca="false">Clean!AA580</f>
        <v>GATI Logistics</v>
      </c>
      <c r="C580" s="28" t="n">
        <f aca="false">Clean!J580</f>
        <v>1.47</v>
      </c>
      <c r="D580" s="29" t="n">
        <f aca="false">Clean!AF580</f>
        <v>1147.34</v>
      </c>
      <c r="E580" s="29" t="n">
        <f aca="false">Clean!AE580</f>
        <v>3585.24</v>
      </c>
      <c r="F580" s="22" t="n">
        <f aca="false">AVERAGEIFS(Clean!$V$2:$V$1001,Clean!$AA$2:$AA$1001,B580)</f>
        <v>0.751243781094527</v>
      </c>
      <c r="G580" s="29" t="n">
        <f aca="false">F580*C580*D580</f>
        <v>1267.04009850746</v>
      </c>
      <c r="H580" s="29" t="n">
        <f aca="false">G580*Model!$B$4</f>
        <v>1267.04009850746</v>
      </c>
      <c r="I580" s="0" t="str">
        <f aca="false">IF(E580&lt;Model!$B$5*H580,"Expedite","Standard")</f>
        <v>Standard</v>
      </c>
      <c r="J580" s="29" t="n">
        <f aca="false">H580</f>
        <v>1267.04009850746</v>
      </c>
      <c r="K580" s="29" t="n">
        <f aca="false">E580+(1-Model!$B$5)*H580</f>
        <v>3585.24</v>
      </c>
      <c r="L580" s="29" t="n">
        <f aca="false">IF(I580="Expedite",K580,J580)</f>
        <v>1267.04009850746</v>
      </c>
      <c r="M580" s="29" t="n">
        <f aca="false">J580-L580</f>
        <v>0</v>
      </c>
      <c r="N580" s="29" t="n">
        <f aca="false">IFERROR(E580/(F580*C580*Model!$B$5),"")</f>
        <v>3246.53439654007</v>
      </c>
    </row>
    <row r="581" customFormat="false" ht="15" hidden="false" customHeight="false" outlineLevel="0" collapsed="false">
      <c r="A581" s="0" t="str">
        <f aca="false">Clean!A581</f>
        <v>SHP0580</v>
      </c>
      <c r="B581" s="0" t="str">
        <f aca="false">Clean!AA581</f>
        <v>TCI Express</v>
      </c>
      <c r="C581" s="28" t="n">
        <f aca="false">Clean!J581</f>
        <v>3.44</v>
      </c>
      <c r="D581" s="29" t="n">
        <f aca="false">Clean!AF581</f>
        <v>1326.39</v>
      </c>
      <c r="E581" s="29" t="n">
        <f aca="false">Clean!AE581</f>
        <v>2449.17</v>
      </c>
      <c r="F581" s="22" t="n">
        <f aca="false">AVERAGEIFS(Clean!$V$2:$V$1001,Clean!$AA$2:$AA$1001,B581)</f>
        <v>0.752336448598131</v>
      </c>
      <c r="G581" s="29" t="n">
        <f aca="false">F581*C581*D581</f>
        <v>3432.7469046729</v>
      </c>
      <c r="H581" s="29" t="n">
        <f aca="false">G581*Model!$B$4</f>
        <v>3432.7469046729</v>
      </c>
      <c r="I581" s="0" t="str">
        <f aca="false">IF(E581&lt;Model!$B$5*H581,"Expedite","Standard")</f>
        <v>Expedite</v>
      </c>
      <c r="J581" s="29" t="n">
        <f aca="false">H581</f>
        <v>3432.7469046729</v>
      </c>
      <c r="K581" s="29" t="n">
        <f aca="false">E581+(1-Model!$B$5)*H581</f>
        <v>2449.17</v>
      </c>
      <c r="L581" s="29" t="n">
        <f aca="false">IF(I581="Expedite",K581,J581)</f>
        <v>2449.17</v>
      </c>
      <c r="M581" s="29" t="n">
        <f aca="false">J581-L581</f>
        <v>983.576904672897</v>
      </c>
      <c r="N581" s="29" t="n">
        <f aca="false">IFERROR(E581/(F581*C581*Model!$B$5),"")</f>
        <v>946.342589917666</v>
      </c>
    </row>
    <row r="582" customFormat="false" ht="15" hidden="false" customHeight="false" outlineLevel="0" collapsed="false">
      <c r="A582" s="0" t="str">
        <f aca="false">Clean!A582</f>
        <v>SHP0581</v>
      </c>
      <c r="B582" s="0" t="str">
        <f aca="false">Clean!AA582</f>
        <v>TCI Express</v>
      </c>
      <c r="C582" s="28" t="n">
        <f aca="false">Clean!J582</f>
        <v>14.33</v>
      </c>
      <c r="D582" s="29" t="n">
        <f aca="false">Clean!AF582</f>
        <v>566.06</v>
      </c>
      <c r="E582" s="29" t="n">
        <f aca="false">Clean!AE582</f>
        <v>3101.27</v>
      </c>
      <c r="F582" s="22" t="n">
        <f aca="false">AVERAGEIFS(Clean!$V$2:$V$1001,Clean!$AA$2:$AA$1001,B582)</f>
        <v>0.752336448598131</v>
      </c>
      <c r="G582" s="29" t="n">
        <f aca="false">F582*C582*D582</f>
        <v>6102.68227943925</v>
      </c>
      <c r="H582" s="29" t="n">
        <f aca="false">G582*Model!$B$4</f>
        <v>6102.68227943925</v>
      </c>
      <c r="I582" s="0" t="str">
        <f aca="false">IF(E582&lt;Model!$B$5*H582,"Expedite","Standard")</f>
        <v>Expedite</v>
      </c>
      <c r="J582" s="29" t="n">
        <f aca="false">H582</f>
        <v>6102.68227943925</v>
      </c>
      <c r="K582" s="29" t="n">
        <f aca="false">E582+(1-Model!$B$5)*H582</f>
        <v>3101.27</v>
      </c>
      <c r="L582" s="29" t="n">
        <f aca="false">IF(I582="Expedite",K582,J582)</f>
        <v>3101.27</v>
      </c>
      <c r="M582" s="29" t="n">
        <f aca="false">J582-L582</f>
        <v>3001.41227943925</v>
      </c>
      <c r="N582" s="29" t="n">
        <f aca="false">IFERROR(E582/(F582*C582*Model!$B$5),"")</f>
        <v>287.66119811194</v>
      </c>
    </row>
    <row r="583" customFormat="false" ht="15" hidden="false" customHeight="false" outlineLevel="0" collapsed="false">
      <c r="A583" s="0" t="str">
        <f aca="false">Clean!A583</f>
        <v>SHP0582</v>
      </c>
      <c r="B583" s="0" t="str">
        <f aca="false">Clean!AA583</f>
        <v>VRL Cargo</v>
      </c>
      <c r="C583" s="28" t="n">
        <f aca="false">Clean!J583</f>
        <v>19.48</v>
      </c>
      <c r="D583" s="29" t="n">
        <f aca="false">Clean!AF583</f>
        <v>557.09</v>
      </c>
      <c r="E583" s="29" t="n">
        <f aca="false">Clean!AE583</f>
        <v>2227.72</v>
      </c>
      <c r="F583" s="22" t="n">
        <f aca="false">AVERAGEIFS(Clean!$V$2:$V$1001,Clean!$AA$2:$AA$1001,B583)</f>
        <v>0.72020725388601</v>
      </c>
      <c r="G583" s="29" t="n">
        <f aca="false">F583*C583*D583</f>
        <v>7815.77064663213</v>
      </c>
      <c r="H583" s="29" t="n">
        <f aca="false">G583*Model!$B$4</f>
        <v>7815.77064663213</v>
      </c>
      <c r="I583" s="0" t="str">
        <f aca="false">IF(E583&lt;Model!$B$5*H583,"Expedite","Standard")</f>
        <v>Expedite</v>
      </c>
      <c r="J583" s="29" t="n">
        <f aca="false">H583</f>
        <v>7815.77064663213</v>
      </c>
      <c r="K583" s="29" t="n">
        <f aca="false">E583+(1-Model!$B$5)*H583</f>
        <v>2227.72</v>
      </c>
      <c r="L583" s="29" t="n">
        <f aca="false">IF(I583="Expedite",K583,J583)</f>
        <v>2227.72</v>
      </c>
      <c r="M583" s="29" t="n">
        <f aca="false">J583-L583</f>
        <v>5588.05064663213</v>
      </c>
      <c r="N583" s="29" t="n">
        <f aca="false">IFERROR(E583/(F583*C583*Model!$B$5),"")</f>
        <v>158.786713544975</v>
      </c>
    </row>
    <row r="584" customFormat="false" ht="15" hidden="false" customHeight="false" outlineLevel="0" collapsed="false">
      <c r="A584" s="0" t="str">
        <f aca="false">Clean!A584</f>
        <v>SHP0583</v>
      </c>
      <c r="B584" s="0" t="str">
        <f aca="false">Clean!AA584</f>
        <v>GATI Logistics</v>
      </c>
      <c r="C584" s="28" t="n">
        <f aca="false">Clean!J584</f>
        <v>7.52</v>
      </c>
      <c r="D584" s="29" t="n">
        <f aca="false">Clean!AF584</f>
        <v>1170.77</v>
      </c>
      <c r="E584" s="29" t="n">
        <f aca="false">Clean!AE584</f>
        <v>1307.88</v>
      </c>
      <c r="F584" s="22" t="n">
        <f aca="false">AVERAGEIFS(Clean!$V$2:$V$1001,Clean!$AA$2:$AA$1001,B584)</f>
        <v>0.751243781094527</v>
      </c>
      <c r="G584" s="29" t="n">
        <f aca="false">F584*C584*D584</f>
        <v>6614.09328557214</v>
      </c>
      <c r="H584" s="29" t="n">
        <f aca="false">G584*Model!$B$4</f>
        <v>6614.09328557214</v>
      </c>
      <c r="I584" s="0" t="str">
        <f aca="false">IF(E584&lt;Model!$B$5*H584,"Expedite","Standard")</f>
        <v>Expedite</v>
      </c>
      <c r="J584" s="29" t="n">
        <f aca="false">H584</f>
        <v>6614.09328557214</v>
      </c>
      <c r="K584" s="29" t="n">
        <f aca="false">E584+(1-Model!$B$5)*H584</f>
        <v>1307.88</v>
      </c>
      <c r="L584" s="29" t="n">
        <f aca="false">IF(I584="Expedite",K584,J584)</f>
        <v>1307.88</v>
      </c>
      <c r="M584" s="29" t="n">
        <f aca="false">J584-L584</f>
        <v>5306.21328557214</v>
      </c>
      <c r="N584" s="29" t="n">
        <f aca="false">IFERROR(E584/(F584*C584*Model!$B$5),"")</f>
        <v>231.509687191771</v>
      </c>
    </row>
    <row r="585" customFormat="false" ht="15" hidden="false" customHeight="false" outlineLevel="0" collapsed="false">
      <c r="A585" s="0" t="str">
        <f aca="false">Clean!A585</f>
        <v>SHP0584</v>
      </c>
      <c r="B585" s="0" t="str">
        <f aca="false">Clean!AA585</f>
        <v>VRL Cargo</v>
      </c>
      <c r="C585" s="28" t="n">
        <f aca="false">Clean!J585</f>
        <v>16.6</v>
      </c>
      <c r="D585" s="29" t="n">
        <f aca="false">Clean!AF585</f>
        <v>833.9</v>
      </c>
      <c r="E585" s="29" t="n">
        <f aca="false">Clean!AE585</f>
        <v>3686.64</v>
      </c>
      <c r="F585" s="22" t="n">
        <f aca="false">AVERAGEIFS(Clean!$V$2:$V$1001,Clean!$AA$2:$AA$1001,B585)</f>
        <v>0.72020725388601</v>
      </c>
      <c r="G585" s="29" t="n">
        <f aca="false">F585*C585*D585</f>
        <v>9969.64176165803</v>
      </c>
      <c r="H585" s="29" t="n">
        <f aca="false">G585*Model!$B$4</f>
        <v>9969.64176165803</v>
      </c>
      <c r="I585" s="0" t="str">
        <f aca="false">IF(E585&lt;Model!$B$5*H585,"Expedite","Standard")</f>
        <v>Expedite</v>
      </c>
      <c r="J585" s="29" t="n">
        <f aca="false">H585</f>
        <v>9969.64176165803</v>
      </c>
      <c r="K585" s="29" t="n">
        <f aca="false">E585+(1-Model!$B$5)*H585</f>
        <v>3686.64</v>
      </c>
      <c r="L585" s="29" t="n">
        <f aca="false">IF(I585="Expedite",K585,J585)</f>
        <v>3686.64</v>
      </c>
      <c r="M585" s="29" t="n">
        <f aca="false">J585-L585</f>
        <v>6283.00176165803</v>
      </c>
      <c r="N585" s="29" t="n">
        <f aca="false">IFERROR(E585/(F585*C585*Model!$B$5),"")</f>
        <v>308.365051573199</v>
      </c>
    </row>
    <row r="586" customFormat="false" ht="15" hidden="false" customHeight="false" outlineLevel="0" collapsed="false">
      <c r="A586" s="0" t="str">
        <f aca="false">Clean!A586</f>
        <v>SHP0585</v>
      </c>
      <c r="B586" s="0" t="str">
        <f aca="false">Clean!AA586</f>
        <v>BlueDart</v>
      </c>
      <c r="C586" s="28" t="n">
        <f aca="false">Clean!J586</f>
        <v>5.83</v>
      </c>
      <c r="D586" s="29" t="n">
        <f aca="false">Clean!AF586</f>
        <v>1256.65</v>
      </c>
      <c r="E586" s="29" t="n">
        <f aca="false">Clean!AE586</f>
        <v>1365.41</v>
      </c>
      <c r="F586" s="22" t="n">
        <f aca="false">AVERAGEIFS(Clean!$V$2:$V$1001,Clean!$AA$2:$AA$1001,B586)</f>
        <v>0.773869346733668</v>
      </c>
      <c r="G586" s="29" t="n">
        <f aca="false">F586*C586*D586</f>
        <v>5669.5753919598</v>
      </c>
      <c r="H586" s="29" t="n">
        <f aca="false">G586*Model!$B$4</f>
        <v>5669.5753919598</v>
      </c>
      <c r="I586" s="0" t="str">
        <f aca="false">IF(E586&lt;Model!$B$5*H586,"Expedite","Standard")</f>
        <v>Expedite</v>
      </c>
      <c r="J586" s="29" t="n">
        <f aca="false">H586</f>
        <v>5669.5753919598</v>
      </c>
      <c r="K586" s="29" t="n">
        <f aca="false">E586+(1-Model!$B$5)*H586</f>
        <v>1365.41</v>
      </c>
      <c r="L586" s="29" t="n">
        <f aca="false">IF(I586="Expedite",K586,J586)</f>
        <v>1365.41</v>
      </c>
      <c r="M586" s="29" t="n">
        <f aca="false">J586-L586</f>
        <v>4304.1653919598</v>
      </c>
      <c r="N586" s="29" t="n">
        <f aca="false">IFERROR(E586/(F586*C586*Model!$B$5),"")</f>
        <v>302.640384486868</v>
      </c>
    </row>
    <row r="587" customFormat="false" ht="15" hidden="false" customHeight="false" outlineLevel="0" collapsed="false">
      <c r="A587" s="0" t="str">
        <f aca="false">Clean!A587</f>
        <v>SHP0586</v>
      </c>
      <c r="B587" s="0" t="str">
        <f aca="false">Clean!AA587</f>
        <v>TCI Express</v>
      </c>
      <c r="C587" s="28" t="n">
        <f aca="false">Clean!J587</f>
        <v>12.07</v>
      </c>
      <c r="D587" s="29" t="n">
        <f aca="false">Clean!AF587</f>
        <v>1025.45</v>
      </c>
      <c r="E587" s="29" t="n">
        <f aca="false">Clean!AE587</f>
        <v>1499.48</v>
      </c>
      <c r="F587" s="22" t="n">
        <f aca="false">AVERAGEIFS(Clean!$V$2:$V$1001,Clean!$AA$2:$AA$1001,B587)</f>
        <v>0.752336448598131</v>
      </c>
      <c r="G587" s="29" t="n">
        <f aca="false">F587*C587*D587</f>
        <v>9311.80477336449</v>
      </c>
      <c r="H587" s="29" t="n">
        <f aca="false">G587*Model!$B$4</f>
        <v>9311.80477336449</v>
      </c>
      <c r="I587" s="0" t="str">
        <f aca="false">IF(E587&lt;Model!$B$5*H587,"Expedite","Standard")</f>
        <v>Expedite</v>
      </c>
      <c r="J587" s="29" t="n">
        <f aca="false">H587</f>
        <v>9311.80477336449</v>
      </c>
      <c r="K587" s="29" t="n">
        <f aca="false">E587+(1-Model!$B$5)*H587</f>
        <v>1499.48</v>
      </c>
      <c r="L587" s="29" t="n">
        <f aca="false">IF(I587="Expedite",K587,J587)</f>
        <v>1499.48</v>
      </c>
      <c r="M587" s="29" t="n">
        <f aca="false">J587-L587</f>
        <v>7812.32477336449</v>
      </c>
      <c r="N587" s="29" t="n">
        <f aca="false">IFERROR(E587/(F587*C587*Model!$B$5),"")</f>
        <v>165.128222017527</v>
      </c>
    </row>
    <row r="588" customFormat="false" ht="15" hidden="false" customHeight="false" outlineLevel="0" collapsed="false">
      <c r="A588" s="0" t="str">
        <f aca="false">Clean!A588</f>
        <v>SHP0587</v>
      </c>
      <c r="B588" s="0" t="str">
        <f aca="false">Clean!AA588</f>
        <v>TCI Express</v>
      </c>
      <c r="C588" s="28" t="n">
        <f aca="false">Clean!J588</f>
        <v>3.08</v>
      </c>
      <c r="D588" s="29" t="n">
        <f aca="false">Clean!AF588</f>
        <v>1338.4</v>
      </c>
      <c r="E588" s="29" t="n">
        <f aca="false">Clean!AE588</f>
        <v>2041.61</v>
      </c>
      <c r="F588" s="22" t="n">
        <f aca="false">AVERAGEIFS(Clean!$V$2:$V$1001,Clean!$AA$2:$AA$1001,B588)</f>
        <v>0.752336448598131</v>
      </c>
      <c r="G588" s="29" t="n">
        <f aca="false">F588*C588*D588</f>
        <v>3101.33547663551</v>
      </c>
      <c r="H588" s="29" t="n">
        <f aca="false">G588*Model!$B$4</f>
        <v>3101.33547663551</v>
      </c>
      <c r="I588" s="0" t="str">
        <f aca="false">IF(E588&lt;Model!$B$5*H588,"Expedite","Standard")</f>
        <v>Expedite</v>
      </c>
      <c r="J588" s="29" t="n">
        <f aca="false">H588</f>
        <v>3101.33547663551</v>
      </c>
      <c r="K588" s="29" t="n">
        <f aca="false">E588+(1-Model!$B$5)*H588</f>
        <v>2041.61</v>
      </c>
      <c r="L588" s="29" t="n">
        <f aca="false">IF(I588="Expedite",K588,J588)</f>
        <v>2041.61</v>
      </c>
      <c r="M588" s="29" t="n">
        <f aca="false">J588-L588</f>
        <v>1059.72547663551</v>
      </c>
      <c r="N588" s="29" t="n">
        <f aca="false">IFERROR(E588/(F588*C588*Model!$B$5),"")</f>
        <v>881.069089295797</v>
      </c>
    </row>
    <row r="589" customFormat="false" ht="15" hidden="false" customHeight="false" outlineLevel="0" collapsed="false">
      <c r="A589" s="0" t="str">
        <f aca="false">Clean!A589</f>
        <v>SHP0588</v>
      </c>
      <c r="B589" s="0" t="str">
        <f aca="false">Clean!AA589</f>
        <v>TCI Express</v>
      </c>
      <c r="C589" s="28" t="n">
        <f aca="false">Clean!J589</f>
        <v>14.6</v>
      </c>
      <c r="D589" s="29" t="n">
        <f aca="false">Clean!AF589</f>
        <v>1259.24</v>
      </c>
      <c r="E589" s="29" t="n">
        <f aca="false">Clean!AE589</f>
        <v>2223.25</v>
      </c>
      <c r="F589" s="22" t="n">
        <f aca="false">AVERAGEIFS(Clean!$V$2:$V$1001,Clean!$AA$2:$AA$1001,B589)</f>
        <v>0.752336448598131</v>
      </c>
      <c r="G589" s="29" t="n">
        <f aca="false">F589*C589*D589</f>
        <v>13831.6333831776</v>
      </c>
      <c r="H589" s="29" t="n">
        <f aca="false">G589*Model!$B$4</f>
        <v>13831.6333831776</v>
      </c>
      <c r="I589" s="0" t="str">
        <f aca="false">IF(E589&lt;Model!$B$5*H589,"Expedite","Standard")</f>
        <v>Expedite</v>
      </c>
      <c r="J589" s="29" t="n">
        <f aca="false">H589</f>
        <v>13831.6333831776</v>
      </c>
      <c r="K589" s="29" t="n">
        <f aca="false">E589+(1-Model!$B$5)*H589</f>
        <v>2223.25</v>
      </c>
      <c r="L589" s="29" t="n">
        <f aca="false">IF(I589="Expedite",K589,J589)</f>
        <v>2223.25</v>
      </c>
      <c r="M589" s="29" t="n">
        <f aca="false">J589-L589</f>
        <v>11608.3833831776</v>
      </c>
      <c r="N589" s="29" t="n">
        <f aca="false">IFERROR(E589/(F589*C589*Model!$B$5),"")</f>
        <v>202.405981451544</v>
      </c>
    </row>
    <row r="590" customFormat="false" ht="15" hidden="false" customHeight="false" outlineLevel="0" collapsed="false">
      <c r="A590" s="0" t="str">
        <f aca="false">Clean!A590</f>
        <v>SHP0589</v>
      </c>
      <c r="B590" s="0" t="str">
        <f aca="false">Clean!AA590</f>
        <v>GATI Logistics</v>
      </c>
      <c r="C590" s="28" t="n">
        <f aca="false">Clean!J590</f>
        <v>12.78</v>
      </c>
      <c r="D590" s="29" t="n">
        <f aca="false">Clean!AF590</f>
        <v>1172.83</v>
      </c>
      <c r="E590" s="29" t="n">
        <f aca="false">Clean!AE590</f>
        <v>4236.78</v>
      </c>
      <c r="F590" s="22" t="n">
        <f aca="false">AVERAGEIFS(Clean!$V$2:$V$1001,Clean!$AA$2:$AA$1001,B590)</f>
        <v>0.751243781094527</v>
      </c>
      <c r="G590" s="29" t="n">
        <f aca="false">F590*C590*D590</f>
        <v>11260.2182955224</v>
      </c>
      <c r="H590" s="29" t="n">
        <f aca="false">G590*Model!$B$4</f>
        <v>11260.2182955224</v>
      </c>
      <c r="I590" s="0" t="str">
        <f aca="false">IF(E590&lt;Model!$B$5*H590,"Expedite","Standard")</f>
        <v>Expedite</v>
      </c>
      <c r="J590" s="29" t="n">
        <f aca="false">H590</f>
        <v>11260.2182955224</v>
      </c>
      <c r="K590" s="29" t="n">
        <f aca="false">E590+(1-Model!$B$5)*H590</f>
        <v>4236.78</v>
      </c>
      <c r="L590" s="29" t="n">
        <f aca="false">IF(I590="Expedite",K590,J590)</f>
        <v>4236.78</v>
      </c>
      <c r="M590" s="29" t="n">
        <f aca="false">J590-L590</f>
        <v>7023.43829552239</v>
      </c>
      <c r="N590" s="29" t="n">
        <f aca="false">IFERROR(E590/(F590*C590*Model!$B$5),"")</f>
        <v>441.290084880142</v>
      </c>
    </row>
    <row r="591" customFormat="false" ht="15" hidden="false" customHeight="false" outlineLevel="0" collapsed="false">
      <c r="A591" s="0" t="str">
        <f aca="false">Clean!A591</f>
        <v>SHP0590</v>
      </c>
      <c r="B591" s="0" t="str">
        <f aca="false">Clean!AA591</f>
        <v>VRL Cargo</v>
      </c>
      <c r="C591" s="28" t="n">
        <f aca="false">Clean!J591</f>
        <v>10.45</v>
      </c>
      <c r="D591" s="29" t="n">
        <f aca="false">Clean!AF591</f>
        <v>709.92</v>
      </c>
      <c r="E591" s="29" t="n">
        <f aca="false">Clean!AE591</f>
        <v>4815.75</v>
      </c>
      <c r="F591" s="22" t="n">
        <f aca="false">AVERAGEIFS(Clean!$V$2:$V$1001,Clean!$AA$2:$AA$1001,B591)</f>
        <v>0.72020725388601</v>
      </c>
      <c r="G591" s="29" t="n">
        <f aca="false">F591*C591*D591</f>
        <v>5342.975626943</v>
      </c>
      <c r="H591" s="29" t="n">
        <f aca="false">G591*Model!$B$4</f>
        <v>5342.975626943</v>
      </c>
      <c r="I591" s="0" t="str">
        <f aca="false">IF(E591&lt;Model!$B$5*H591,"Expedite","Standard")</f>
        <v>Expedite</v>
      </c>
      <c r="J591" s="29" t="n">
        <f aca="false">H591</f>
        <v>5342.975626943</v>
      </c>
      <c r="K591" s="29" t="n">
        <f aca="false">E591+(1-Model!$B$5)*H591</f>
        <v>4815.75</v>
      </c>
      <c r="L591" s="29" t="n">
        <f aca="false">IF(I591="Expedite",K591,J591)</f>
        <v>4815.75</v>
      </c>
      <c r="M591" s="29" t="n">
        <f aca="false">J591-L591</f>
        <v>527.225626943005</v>
      </c>
      <c r="N591" s="29" t="n">
        <f aca="false">IFERROR(E591/(F591*C591*Model!$B$5),"")</f>
        <v>639.867646552615</v>
      </c>
    </row>
    <row r="592" customFormat="false" ht="15" hidden="false" customHeight="false" outlineLevel="0" collapsed="false">
      <c r="A592" s="0" t="str">
        <f aca="false">Clean!A592</f>
        <v>SHP0591</v>
      </c>
      <c r="B592" s="0" t="str">
        <f aca="false">Clean!AA592</f>
        <v>BlueDart</v>
      </c>
      <c r="C592" s="28" t="n">
        <f aca="false">Clean!J592</f>
        <v>15.99</v>
      </c>
      <c r="D592" s="29" t="n">
        <f aca="false">Clean!AF592</f>
        <v>1411.79</v>
      </c>
      <c r="E592" s="29" t="n">
        <f aca="false">Clean!AE592</f>
        <v>3002.48</v>
      </c>
      <c r="F592" s="22" t="n">
        <f aca="false">AVERAGEIFS(Clean!$V$2:$V$1001,Clean!$AA$2:$AA$1001,B592)</f>
        <v>0.773869346733668</v>
      </c>
      <c r="G592" s="29" t="n">
        <f aca="false">F592*C592*D592</f>
        <v>17469.7306703518</v>
      </c>
      <c r="H592" s="29" t="n">
        <f aca="false">G592*Model!$B$4</f>
        <v>17469.7306703518</v>
      </c>
      <c r="I592" s="0" t="str">
        <f aca="false">IF(E592&lt;Model!$B$5*H592,"Expedite","Standard")</f>
        <v>Expedite</v>
      </c>
      <c r="J592" s="29" t="n">
        <f aca="false">H592</f>
        <v>17469.7306703518</v>
      </c>
      <c r="K592" s="29" t="n">
        <f aca="false">E592+(1-Model!$B$5)*H592</f>
        <v>3002.48</v>
      </c>
      <c r="L592" s="29" t="n">
        <f aca="false">IF(I592="Expedite",K592,J592)</f>
        <v>3002.48</v>
      </c>
      <c r="M592" s="29" t="n">
        <f aca="false">J592-L592</f>
        <v>14467.2506703518</v>
      </c>
      <c r="N592" s="29" t="n">
        <f aca="false">IFERROR(E592/(F592*C592*Model!$B$5),"")</f>
        <v>242.640903811636</v>
      </c>
    </row>
    <row r="593" customFormat="false" ht="15" hidden="false" customHeight="false" outlineLevel="0" collapsed="false">
      <c r="A593" s="0" t="str">
        <f aca="false">Clean!A593</f>
        <v>SHP0592</v>
      </c>
      <c r="B593" s="0" t="str">
        <f aca="false">Clean!AA593</f>
        <v>Delhivery</v>
      </c>
      <c r="C593" s="28" t="n">
        <f aca="false">Clean!J593</f>
        <v>3.79</v>
      </c>
      <c r="D593" s="29" t="n">
        <f aca="false">Clean!AF593</f>
        <v>947.97</v>
      </c>
      <c r="E593" s="29" t="n">
        <f aca="false">Clean!AE593</f>
        <v>2237.85</v>
      </c>
      <c r="F593" s="22" t="n">
        <f aca="false">AVERAGEIFS(Clean!$V$2:$V$1001,Clean!$AA$2:$AA$1001,B593)</f>
        <v>0.72538860103627</v>
      </c>
      <c r="G593" s="29" t="n">
        <f aca="false">F593*C593*D593</f>
        <v>2606.1807357513</v>
      </c>
      <c r="H593" s="29" t="n">
        <f aca="false">G593*Model!$B$4</f>
        <v>2606.1807357513</v>
      </c>
      <c r="I593" s="0" t="str">
        <f aca="false">IF(E593&lt;Model!$B$5*H593,"Expedite","Standard")</f>
        <v>Expedite</v>
      </c>
      <c r="J593" s="29" t="n">
        <f aca="false">H593</f>
        <v>2606.1807357513</v>
      </c>
      <c r="K593" s="29" t="n">
        <f aca="false">E593+(1-Model!$B$5)*H593</f>
        <v>2237.85</v>
      </c>
      <c r="L593" s="29" t="n">
        <f aca="false">IF(I593="Expedite",K593,J593)</f>
        <v>2237.85</v>
      </c>
      <c r="M593" s="29" t="n">
        <f aca="false">J593-L593</f>
        <v>368.330735751295</v>
      </c>
      <c r="N593" s="29" t="n">
        <f aca="false">IFERROR(E593/(F593*C593*Model!$B$5),"")</f>
        <v>813.993686392763</v>
      </c>
    </row>
    <row r="594" customFormat="false" ht="15" hidden="false" customHeight="false" outlineLevel="0" collapsed="false">
      <c r="A594" s="0" t="str">
        <f aca="false">Clean!A594</f>
        <v>SHP0593</v>
      </c>
      <c r="B594" s="0" t="str">
        <f aca="false">Clean!AA594</f>
        <v>VRL Cargo</v>
      </c>
      <c r="C594" s="28" t="n">
        <f aca="false">Clean!J594</f>
        <v>8.7</v>
      </c>
      <c r="D594" s="29" t="n">
        <f aca="false">Clean!AF594</f>
        <v>696.67</v>
      </c>
      <c r="E594" s="29" t="n">
        <f aca="false">Clean!AE594</f>
        <v>4514.99</v>
      </c>
      <c r="F594" s="22" t="n">
        <f aca="false">AVERAGEIFS(Clean!$V$2:$V$1001,Clean!$AA$2:$AA$1001,B594)</f>
        <v>0.72020725388601</v>
      </c>
      <c r="G594" s="29" t="n">
        <f aca="false">F594*C594*D594</f>
        <v>4365.19705181347</v>
      </c>
      <c r="H594" s="29" t="n">
        <f aca="false">G594*Model!$B$4</f>
        <v>4365.19705181347</v>
      </c>
      <c r="I594" s="0" t="str">
        <f aca="false">IF(E594&lt;Model!$B$5*H594,"Expedite","Standard")</f>
        <v>Standard</v>
      </c>
      <c r="J594" s="29" t="n">
        <f aca="false">H594</f>
        <v>4365.19705181347</v>
      </c>
      <c r="K594" s="29" t="n">
        <f aca="false">E594+(1-Model!$B$5)*H594</f>
        <v>4514.99</v>
      </c>
      <c r="L594" s="29" t="n">
        <f aca="false">IF(I594="Expedite",K594,J594)</f>
        <v>4365.19705181347</v>
      </c>
      <c r="M594" s="29" t="n">
        <f aca="false">J594-L594</f>
        <v>0</v>
      </c>
      <c r="N594" s="29" t="n">
        <f aca="false">IFERROR(E594/(F594*C594*Model!$B$5),"")</f>
        <v>720.576424377739</v>
      </c>
    </row>
    <row r="595" customFormat="false" ht="15" hidden="false" customHeight="false" outlineLevel="0" collapsed="false">
      <c r="A595" s="0" t="str">
        <f aca="false">Clean!A595</f>
        <v>SHP0594</v>
      </c>
      <c r="B595" s="0" t="str">
        <f aca="false">Clean!AA595</f>
        <v>VRL Cargo</v>
      </c>
      <c r="C595" s="28" t="n">
        <f aca="false">Clean!J595</f>
        <v>19</v>
      </c>
      <c r="D595" s="29" t="n">
        <f aca="false">Clean!AF595</f>
        <v>801.59</v>
      </c>
      <c r="E595" s="29" t="n">
        <f aca="false">Clean!AE595</f>
        <v>3707.28</v>
      </c>
      <c r="F595" s="22" t="n">
        <f aca="false">AVERAGEIFS(Clean!$V$2:$V$1001,Clean!$AA$2:$AA$1001,B595)</f>
        <v>0.72020725388601</v>
      </c>
      <c r="G595" s="29" t="n">
        <f aca="false">F595*C595*D595</f>
        <v>10968.9077202073</v>
      </c>
      <c r="H595" s="29" t="n">
        <f aca="false">G595*Model!$B$4</f>
        <v>10968.9077202073</v>
      </c>
      <c r="I595" s="0" t="str">
        <f aca="false">IF(E595&lt;Model!$B$5*H595,"Expedite","Standard")</f>
        <v>Expedite</v>
      </c>
      <c r="J595" s="29" t="n">
        <f aca="false">H595</f>
        <v>10968.9077202073</v>
      </c>
      <c r="K595" s="29" t="n">
        <f aca="false">E595+(1-Model!$B$5)*H595</f>
        <v>3707.28</v>
      </c>
      <c r="L595" s="29" t="n">
        <f aca="false">IF(I595="Expedite",K595,J595)</f>
        <v>3707.28</v>
      </c>
      <c r="M595" s="29" t="n">
        <f aca="false">J595-L595</f>
        <v>7261.62772020725</v>
      </c>
      <c r="N595" s="29" t="n">
        <f aca="false">IFERROR(E595/(F595*C595*Model!$B$5),"")</f>
        <v>270.922014388489</v>
      </c>
    </row>
    <row r="596" customFormat="false" ht="15" hidden="false" customHeight="false" outlineLevel="0" collapsed="false">
      <c r="A596" s="0" t="str">
        <f aca="false">Clean!A596</f>
        <v>SHP0595</v>
      </c>
      <c r="B596" s="0" t="str">
        <f aca="false">Clean!AA596</f>
        <v>BlueDart</v>
      </c>
      <c r="C596" s="28" t="n">
        <f aca="false">Clean!J596</f>
        <v>4.58</v>
      </c>
      <c r="D596" s="29" t="n">
        <f aca="false">Clean!AF596</f>
        <v>1143.43</v>
      </c>
      <c r="E596" s="29" t="n">
        <f aca="false">Clean!AE596</f>
        <v>1521.28</v>
      </c>
      <c r="F596" s="22" t="n">
        <f aca="false">AVERAGEIFS(Clean!$V$2:$V$1001,Clean!$AA$2:$AA$1001,B596)</f>
        <v>0.773869346733668</v>
      </c>
      <c r="G596" s="29" t="n">
        <f aca="false">F596*C596*D596</f>
        <v>4052.68365628141</v>
      </c>
      <c r="H596" s="29" t="n">
        <f aca="false">G596*Model!$B$4</f>
        <v>4052.68365628141</v>
      </c>
      <c r="I596" s="0" t="str">
        <f aca="false">IF(E596&lt;Model!$B$5*H596,"Expedite","Standard")</f>
        <v>Expedite</v>
      </c>
      <c r="J596" s="29" t="n">
        <f aca="false">H596</f>
        <v>4052.68365628141</v>
      </c>
      <c r="K596" s="29" t="n">
        <f aca="false">E596+(1-Model!$B$5)*H596</f>
        <v>1521.28</v>
      </c>
      <c r="L596" s="29" t="n">
        <f aca="false">IF(I596="Expedite",K596,J596)</f>
        <v>1521.28</v>
      </c>
      <c r="M596" s="29" t="n">
        <f aca="false">J596-L596</f>
        <v>2531.40365628141</v>
      </c>
      <c r="N596" s="29" t="n">
        <f aca="false">IFERROR(E596/(F596*C596*Model!$B$5),"")</f>
        <v>429.216128849317</v>
      </c>
    </row>
    <row r="597" customFormat="false" ht="15" hidden="false" customHeight="false" outlineLevel="0" collapsed="false">
      <c r="A597" s="0" t="str">
        <f aca="false">Clean!A597</f>
        <v>SHP0596</v>
      </c>
      <c r="B597" s="0" t="str">
        <f aca="false">Clean!AA597</f>
        <v>Delhivery</v>
      </c>
      <c r="C597" s="28" t="n">
        <f aca="false">Clean!J597</f>
        <v>4.75</v>
      </c>
      <c r="D597" s="29" t="n">
        <f aca="false">Clean!AF597</f>
        <v>1037.28</v>
      </c>
      <c r="E597" s="29" t="n">
        <f aca="false">Clean!AE597</f>
        <v>3623.28</v>
      </c>
      <c r="F597" s="22" t="n">
        <f aca="false">AVERAGEIFS(Clean!$V$2:$V$1001,Clean!$AA$2:$AA$1001,B597)</f>
        <v>0.72538860103627</v>
      </c>
      <c r="G597" s="29" t="n">
        <f aca="false">F597*C597*D597</f>
        <v>3574.04766839378</v>
      </c>
      <c r="H597" s="29" t="n">
        <f aca="false">G597*Model!$B$4</f>
        <v>3574.04766839378</v>
      </c>
      <c r="I597" s="0" t="str">
        <f aca="false">IF(E597&lt;Model!$B$5*H597,"Expedite","Standard")</f>
        <v>Standard</v>
      </c>
      <c r="J597" s="29" t="n">
        <f aca="false">H597</f>
        <v>3574.04766839378</v>
      </c>
      <c r="K597" s="29" t="n">
        <f aca="false">E597+(1-Model!$B$5)*H597</f>
        <v>3623.28</v>
      </c>
      <c r="L597" s="29" t="n">
        <f aca="false">IF(I597="Expedite",K597,J597)</f>
        <v>3574.04766839378</v>
      </c>
      <c r="M597" s="29" t="n">
        <f aca="false">J597-L597</f>
        <v>0</v>
      </c>
      <c r="N597" s="29" t="n">
        <f aca="false">IFERROR(E597/(F597*C597*Model!$B$5),"")</f>
        <v>1051.56848120301</v>
      </c>
    </row>
    <row r="598" customFormat="false" ht="15" hidden="false" customHeight="false" outlineLevel="0" collapsed="false">
      <c r="A598" s="0" t="str">
        <f aca="false">Clean!A598</f>
        <v>SHP0597</v>
      </c>
      <c r="B598" s="0" t="str">
        <f aca="false">Clean!AA598</f>
        <v>VRL Cargo</v>
      </c>
      <c r="C598" s="28" t="n">
        <f aca="false">Clean!J598</f>
        <v>13.87</v>
      </c>
      <c r="D598" s="29" t="n">
        <f aca="false">Clean!AF598</f>
        <v>663.62</v>
      </c>
      <c r="E598" s="29" t="n">
        <f aca="false">Clean!AE598</f>
        <v>4966.5</v>
      </c>
      <c r="F598" s="22" t="n">
        <f aca="false">AVERAGEIFS(Clean!$V$2:$V$1001,Clean!$AA$2:$AA$1001,B598)</f>
        <v>0.72020725388601</v>
      </c>
      <c r="G598" s="29" t="n">
        <f aca="false">F598*C598*D598</f>
        <v>6629.08241761658</v>
      </c>
      <c r="H598" s="29" t="n">
        <f aca="false">G598*Model!$B$4</f>
        <v>6629.08241761658</v>
      </c>
      <c r="I598" s="0" t="str">
        <f aca="false">IF(E598&lt;Model!$B$5*H598,"Expedite","Standard")</f>
        <v>Expedite</v>
      </c>
      <c r="J598" s="29" t="n">
        <f aca="false">H598</f>
        <v>6629.08241761658</v>
      </c>
      <c r="K598" s="29" t="n">
        <f aca="false">E598+(1-Model!$B$5)*H598</f>
        <v>4966.5</v>
      </c>
      <c r="L598" s="29" t="n">
        <f aca="false">IF(I598="Expedite",K598,J598)</f>
        <v>4966.5</v>
      </c>
      <c r="M598" s="29" t="n">
        <f aca="false">J598-L598</f>
        <v>1662.58241761658</v>
      </c>
      <c r="N598" s="29" t="n">
        <f aca="false">IFERROR(E598/(F598*C598*Model!$B$5),"")</f>
        <v>497.183248354453</v>
      </c>
    </row>
    <row r="599" customFormat="false" ht="15" hidden="false" customHeight="false" outlineLevel="0" collapsed="false">
      <c r="A599" s="0" t="str">
        <f aca="false">Clean!A599</f>
        <v>SHP0598</v>
      </c>
      <c r="B599" s="0" t="str">
        <f aca="false">Clean!AA599</f>
        <v>Delhivery</v>
      </c>
      <c r="C599" s="28" t="n">
        <f aca="false">Clean!J599</f>
        <v>14.14</v>
      </c>
      <c r="D599" s="29" t="n">
        <f aca="false">Clean!AF599</f>
        <v>607.03</v>
      </c>
      <c r="E599" s="29" t="n">
        <f aca="false">Clean!AE599</f>
        <v>4194.22</v>
      </c>
      <c r="F599" s="22" t="n">
        <f aca="false">AVERAGEIFS(Clean!$V$2:$V$1001,Clean!$AA$2:$AA$1001,B599)</f>
        <v>0.72538860103627</v>
      </c>
      <c r="G599" s="29" t="n">
        <f aca="false">F599*C599*D599</f>
        <v>6226.30356476684</v>
      </c>
      <c r="H599" s="29" t="n">
        <f aca="false">G599*Model!$B$4</f>
        <v>6226.30356476684</v>
      </c>
      <c r="I599" s="0" t="str">
        <f aca="false">IF(E599&lt;Model!$B$5*H599,"Expedite","Standard")</f>
        <v>Expedite</v>
      </c>
      <c r="J599" s="29" t="n">
        <f aca="false">H599</f>
        <v>6226.30356476684</v>
      </c>
      <c r="K599" s="29" t="n">
        <f aca="false">E599+(1-Model!$B$5)*H599</f>
        <v>4194.22</v>
      </c>
      <c r="L599" s="29" t="n">
        <f aca="false">IF(I599="Expedite",K599,J599)</f>
        <v>4194.22</v>
      </c>
      <c r="M599" s="29" t="n">
        <f aca="false">J599-L599</f>
        <v>2032.08356476684</v>
      </c>
      <c r="N599" s="29" t="n">
        <f aca="false">IFERROR(E599/(F599*C599*Model!$B$5),"")</f>
        <v>408.913144069509</v>
      </c>
    </row>
    <row r="600" customFormat="false" ht="15" hidden="false" customHeight="false" outlineLevel="0" collapsed="false">
      <c r="A600" s="0" t="str">
        <f aca="false">Clean!A600</f>
        <v>SHP0599</v>
      </c>
      <c r="B600" s="0" t="str">
        <f aca="false">Clean!AA600</f>
        <v>VRL Cargo</v>
      </c>
      <c r="C600" s="28" t="n">
        <f aca="false">Clean!J600</f>
        <v>15.83</v>
      </c>
      <c r="D600" s="29" t="n">
        <f aca="false">Clean!AF600</f>
        <v>1440.75</v>
      </c>
      <c r="E600" s="29" t="n">
        <f aca="false">Clean!AE600</f>
        <v>4744.71</v>
      </c>
      <c r="F600" s="22" t="n">
        <f aca="false">AVERAGEIFS(Clean!$V$2:$V$1001,Clean!$AA$2:$AA$1001,B600)</f>
        <v>0.72020725388601</v>
      </c>
      <c r="G600" s="29" t="n">
        <f aca="false">F600*C600*D600</f>
        <v>16425.8190544041</v>
      </c>
      <c r="H600" s="29" t="n">
        <f aca="false">G600*Model!$B$4</f>
        <v>16425.8190544041</v>
      </c>
      <c r="I600" s="0" t="str">
        <f aca="false">IF(E600&lt;Model!$B$5*H600,"Expedite","Standard")</f>
        <v>Expedite</v>
      </c>
      <c r="J600" s="29" t="n">
        <f aca="false">H600</f>
        <v>16425.8190544041</v>
      </c>
      <c r="K600" s="29" t="n">
        <f aca="false">E600+(1-Model!$B$5)*H600</f>
        <v>4744.71</v>
      </c>
      <c r="L600" s="29" t="n">
        <f aca="false">IF(I600="Expedite",K600,J600)</f>
        <v>4744.71</v>
      </c>
      <c r="M600" s="29" t="n">
        <f aca="false">J600-L600</f>
        <v>11681.1090544041</v>
      </c>
      <c r="N600" s="29" t="n">
        <f aca="false">IFERROR(E600/(F600*C600*Model!$B$5),"")</f>
        <v>416.170475874512</v>
      </c>
    </row>
    <row r="601" customFormat="false" ht="15" hidden="false" customHeight="false" outlineLevel="0" collapsed="false">
      <c r="A601" s="0" t="str">
        <f aca="false">Clean!A601</f>
        <v>SHP0600</v>
      </c>
      <c r="B601" s="0" t="str">
        <f aca="false">Clean!AA601</f>
        <v>TCI Express</v>
      </c>
      <c r="C601" s="28" t="n">
        <f aca="false">Clean!J601</f>
        <v>4.32</v>
      </c>
      <c r="D601" s="29" t="n">
        <f aca="false">Clean!AF601</f>
        <v>1133.18</v>
      </c>
      <c r="E601" s="29" t="n">
        <f aca="false">Clean!AE601</f>
        <v>4648.83</v>
      </c>
      <c r="F601" s="22" t="n">
        <f aca="false">AVERAGEIFS(Clean!$V$2:$V$1001,Clean!$AA$2:$AA$1001,B601)</f>
        <v>0.752336448598131</v>
      </c>
      <c r="G601" s="29" t="n">
        <f aca="false">F601*C601*D601</f>
        <v>3682.9409046729</v>
      </c>
      <c r="H601" s="29" t="n">
        <f aca="false">G601*Model!$B$4</f>
        <v>3682.9409046729</v>
      </c>
      <c r="I601" s="0" t="str">
        <f aca="false">IF(E601&lt;Model!$B$5*H601,"Expedite","Standard")</f>
        <v>Standard</v>
      </c>
      <c r="J601" s="29" t="n">
        <f aca="false">H601</f>
        <v>3682.9409046729</v>
      </c>
      <c r="K601" s="29" t="n">
        <f aca="false">E601+(1-Model!$B$5)*H601</f>
        <v>4648.83</v>
      </c>
      <c r="L601" s="29" t="n">
        <f aca="false">IF(I601="Expedite",K601,J601)</f>
        <v>3682.9409046729</v>
      </c>
      <c r="M601" s="29" t="n">
        <f aca="false">J601-L601</f>
        <v>0</v>
      </c>
      <c r="N601" s="29" t="n">
        <f aca="false">IFERROR(E601/(F601*C601*Model!$B$5),"")</f>
        <v>1430.36809868875</v>
      </c>
    </row>
    <row r="602" customFormat="false" ht="15" hidden="false" customHeight="false" outlineLevel="0" collapsed="false">
      <c r="A602" s="0" t="str">
        <f aca="false">Clean!A602</f>
        <v>SHP0601</v>
      </c>
      <c r="B602" s="0" t="str">
        <f aca="false">Clean!AA602</f>
        <v>GATI Logistics</v>
      </c>
      <c r="C602" s="28" t="n">
        <f aca="false">Clean!J602</f>
        <v>14.7</v>
      </c>
      <c r="D602" s="29" t="n">
        <f aca="false">Clean!AF602</f>
        <v>1152.28</v>
      </c>
      <c r="E602" s="29" t="n">
        <f aca="false">Clean!AE602</f>
        <v>1940.13</v>
      </c>
      <c r="F602" s="22" t="n">
        <f aca="false">AVERAGEIFS(Clean!$V$2:$V$1001,Clean!$AA$2:$AA$1001,B602)</f>
        <v>0.751243781094527</v>
      </c>
      <c r="G602" s="29" t="n">
        <f aca="false">F602*C602*D602</f>
        <v>12724.9548059701</v>
      </c>
      <c r="H602" s="29" t="n">
        <f aca="false">G602*Model!$B$4</f>
        <v>12724.9548059701</v>
      </c>
      <c r="I602" s="0" t="str">
        <f aca="false">IF(E602&lt;Model!$B$5*H602,"Expedite","Standard")</f>
        <v>Expedite</v>
      </c>
      <c r="J602" s="29" t="n">
        <f aca="false">H602</f>
        <v>12724.9548059701</v>
      </c>
      <c r="K602" s="29" t="n">
        <f aca="false">E602+(1-Model!$B$5)*H602</f>
        <v>1940.13</v>
      </c>
      <c r="L602" s="29" t="n">
        <f aca="false">IF(I602="Expedite",K602,J602)</f>
        <v>1940.13</v>
      </c>
      <c r="M602" s="29" t="n">
        <f aca="false">J602-L602</f>
        <v>10784.8248059701</v>
      </c>
      <c r="N602" s="29" t="n">
        <f aca="false">IFERROR(E602/(F602*C602*Model!$B$5),"")</f>
        <v>175.684160021625</v>
      </c>
    </row>
    <row r="603" customFormat="false" ht="15" hidden="false" customHeight="false" outlineLevel="0" collapsed="false">
      <c r="A603" s="0" t="str">
        <f aca="false">Clean!A603</f>
        <v>SHP0602</v>
      </c>
      <c r="B603" s="0" t="str">
        <f aca="false">Clean!AA603</f>
        <v>BlueDart</v>
      </c>
      <c r="C603" s="28" t="n">
        <f aca="false">Clean!J603</f>
        <v>8.7</v>
      </c>
      <c r="D603" s="29" t="n">
        <f aca="false">Clean!AF603</f>
        <v>1499.35</v>
      </c>
      <c r="E603" s="29" t="n">
        <f aca="false">Clean!AE603</f>
        <v>4278.71</v>
      </c>
      <c r="F603" s="22" t="n">
        <f aca="false">AVERAGEIFS(Clean!$V$2:$V$1001,Clean!$AA$2:$AA$1001,B603)</f>
        <v>0.773869346733668</v>
      </c>
      <c r="G603" s="29" t="n">
        <f aca="false">F603*C603*D603</f>
        <v>10094.6187437186</v>
      </c>
      <c r="H603" s="29" t="n">
        <f aca="false">G603*Model!$B$4</f>
        <v>10094.6187437186</v>
      </c>
      <c r="I603" s="0" t="str">
        <f aca="false">IF(E603&lt;Model!$B$5*H603,"Expedite","Standard")</f>
        <v>Expedite</v>
      </c>
      <c r="J603" s="29" t="n">
        <f aca="false">H603</f>
        <v>10094.6187437186</v>
      </c>
      <c r="K603" s="29" t="n">
        <f aca="false">E603+(1-Model!$B$5)*H603</f>
        <v>4278.71</v>
      </c>
      <c r="L603" s="29" t="n">
        <f aca="false">IF(I603="Expedite",K603,J603)</f>
        <v>4278.71</v>
      </c>
      <c r="M603" s="29" t="n">
        <f aca="false">J603-L603</f>
        <v>5815.90874371859</v>
      </c>
      <c r="N603" s="29" t="n">
        <f aca="false">IFERROR(E603/(F603*C603*Model!$B$5),"")</f>
        <v>635.515218689357</v>
      </c>
    </row>
    <row r="604" customFormat="false" ht="15" hidden="false" customHeight="false" outlineLevel="0" collapsed="false">
      <c r="A604" s="0" t="str">
        <f aca="false">Clean!A604</f>
        <v>SHP0603</v>
      </c>
      <c r="B604" s="0" t="str">
        <f aca="false">Clean!AA604</f>
        <v>GATI Logistics</v>
      </c>
      <c r="C604" s="28" t="n">
        <f aca="false">Clean!J604</f>
        <v>5.02</v>
      </c>
      <c r="D604" s="29" t="n">
        <f aca="false">Clean!AF604</f>
        <v>1464.35</v>
      </c>
      <c r="E604" s="29" t="n">
        <f aca="false">Clean!AE604</f>
        <v>4909.75</v>
      </c>
      <c r="F604" s="22" t="n">
        <f aca="false">AVERAGEIFS(Clean!$V$2:$V$1001,Clean!$AA$2:$AA$1001,B604)</f>
        <v>0.751243781094527</v>
      </c>
      <c r="G604" s="29" t="n">
        <f aca="false">F604*C604*D604</f>
        <v>5522.42083084577</v>
      </c>
      <c r="H604" s="29" t="n">
        <f aca="false">G604*Model!$B$4</f>
        <v>5522.42083084577</v>
      </c>
      <c r="I604" s="0" t="str">
        <f aca="false">IF(E604&lt;Model!$B$5*H604,"Expedite","Standard")</f>
        <v>Expedite</v>
      </c>
      <c r="J604" s="29" t="n">
        <f aca="false">H604</f>
        <v>5522.42083084577</v>
      </c>
      <c r="K604" s="29" t="n">
        <f aca="false">E604+(1-Model!$B$5)*H604</f>
        <v>4909.75</v>
      </c>
      <c r="L604" s="29" t="n">
        <f aca="false">IF(I604="Expedite",K604,J604)</f>
        <v>4909.75</v>
      </c>
      <c r="M604" s="29" t="n">
        <f aca="false">J604-L604</f>
        <v>612.67083084577</v>
      </c>
      <c r="N604" s="29" t="n">
        <f aca="false">IFERROR(E604/(F604*C604*Model!$B$5),"")</f>
        <v>1301.89144085908</v>
      </c>
    </row>
    <row r="605" customFormat="false" ht="15" hidden="false" customHeight="false" outlineLevel="0" collapsed="false">
      <c r="A605" s="0" t="str">
        <f aca="false">Clean!A605</f>
        <v>SHP0604</v>
      </c>
      <c r="B605" s="0" t="str">
        <f aca="false">Clean!AA605</f>
        <v>GATI Logistics</v>
      </c>
      <c r="C605" s="28" t="n">
        <f aca="false">Clean!J605</f>
        <v>4.11</v>
      </c>
      <c r="D605" s="29" t="n">
        <f aca="false">Clean!AF605</f>
        <v>842.23</v>
      </c>
      <c r="E605" s="29" t="n">
        <f aca="false">Clean!AE605</f>
        <v>1353.59</v>
      </c>
      <c r="F605" s="22" t="n">
        <f aca="false">AVERAGEIFS(Clean!$V$2:$V$1001,Clean!$AA$2:$AA$1001,B605)</f>
        <v>0.751243781094527</v>
      </c>
      <c r="G605" s="29" t="n">
        <f aca="false">F605*C605*D605</f>
        <v>2600.47940447761</v>
      </c>
      <c r="H605" s="29" t="n">
        <f aca="false">G605*Model!$B$4</f>
        <v>2600.47940447761</v>
      </c>
      <c r="I605" s="0" t="str">
        <f aca="false">IF(E605&lt;Model!$B$5*H605,"Expedite","Standard")</f>
        <v>Expedite</v>
      </c>
      <c r="J605" s="29" t="n">
        <f aca="false">H605</f>
        <v>2600.47940447761</v>
      </c>
      <c r="K605" s="29" t="n">
        <f aca="false">E605+(1-Model!$B$5)*H605</f>
        <v>1353.59</v>
      </c>
      <c r="L605" s="29" t="n">
        <f aca="false">IF(I605="Expedite",K605,J605)</f>
        <v>1353.59</v>
      </c>
      <c r="M605" s="29" t="n">
        <f aca="false">J605-L605</f>
        <v>1246.88940447761</v>
      </c>
      <c r="N605" s="29" t="n">
        <f aca="false">IFERROR(E605/(F605*C605*Model!$B$5),"")</f>
        <v>438.393822207183</v>
      </c>
    </row>
    <row r="606" customFormat="false" ht="15" hidden="false" customHeight="false" outlineLevel="0" collapsed="false">
      <c r="A606" s="0" t="str">
        <f aca="false">Clean!A606</f>
        <v>SHP0605</v>
      </c>
      <c r="B606" s="0" t="str">
        <f aca="false">Clean!AA606</f>
        <v>BlueDart</v>
      </c>
      <c r="C606" s="28" t="n">
        <f aca="false">Clean!J606</f>
        <v>19.65</v>
      </c>
      <c r="D606" s="29" t="n">
        <f aca="false">Clean!AF606</f>
        <v>1342.95</v>
      </c>
      <c r="E606" s="29" t="n">
        <f aca="false">Clean!AE606</f>
        <v>2986.97</v>
      </c>
      <c r="F606" s="22" t="n">
        <f aca="false">AVERAGEIFS(Clean!$V$2:$V$1001,Clean!$AA$2:$AA$1001,B606)</f>
        <v>0.773869346733668</v>
      </c>
      <c r="G606" s="29" t="n">
        <f aca="false">F606*C606*D606</f>
        <v>20421.613040201</v>
      </c>
      <c r="H606" s="29" t="n">
        <f aca="false">G606*Model!$B$4</f>
        <v>20421.613040201</v>
      </c>
      <c r="I606" s="0" t="str">
        <f aca="false">IF(E606&lt;Model!$B$5*H606,"Expedite","Standard")</f>
        <v>Expedite</v>
      </c>
      <c r="J606" s="29" t="n">
        <f aca="false">H606</f>
        <v>20421.613040201</v>
      </c>
      <c r="K606" s="29" t="n">
        <f aca="false">E606+(1-Model!$B$5)*H606</f>
        <v>2986.97</v>
      </c>
      <c r="L606" s="29" t="n">
        <f aca="false">IF(I606="Expedite",K606,J606)</f>
        <v>2986.97</v>
      </c>
      <c r="M606" s="29" t="n">
        <f aca="false">J606-L606</f>
        <v>17434.643040201</v>
      </c>
      <c r="N606" s="29" t="n">
        <f aca="false">IFERROR(E606/(F606*C606*Model!$B$5),"")</f>
        <v>196.42676382142</v>
      </c>
    </row>
    <row r="607" customFormat="false" ht="15" hidden="false" customHeight="false" outlineLevel="0" collapsed="false">
      <c r="A607" s="0" t="str">
        <f aca="false">Clean!A607</f>
        <v>SHP0606</v>
      </c>
      <c r="B607" s="0" t="str">
        <f aca="false">Clean!AA607</f>
        <v>Delhivery</v>
      </c>
      <c r="C607" s="28" t="n">
        <f aca="false">Clean!J607</f>
        <v>9.47</v>
      </c>
      <c r="D607" s="29" t="n">
        <f aca="false">Clean!AF607</f>
        <v>861.54</v>
      </c>
      <c r="E607" s="29" t="n">
        <f aca="false">Clean!AE607</f>
        <v>1282.79</v>
      </c>
      <c r="F607" s="22" t="n">
        <f aca="false">AVERAGEIFS(Clean!$V$2:$V$1001,Clean!$AA$2:$AA$1001,B607)</f>
        <v>0.72538860103627</v>
      </c>
      <c r="G607" s="29" t="n">
        <f aca="false">F607*C607*D607</f>
        <v>5918.28876683938</v>
      </c>
      <c r="H607" s="29" t="n">
        <f aca="false">G607*Model!$B$4</f>
        <v>5918.28876683938</v>
      </c>
      <c r="I607" s="0" t="str">
        <f aca="false">IF(E607&lt;Model!$B$5*H607,"Expedite","Standard")</f>
        <v>Expedite</v>
      </c>
      <c r="J607" s="29" t="n">
        <f aca="false">H607</f>
        <v>5918.28876683938</v>
      </c>
      <c r="K607" s="29" t="n">
        <f aca="false">E607+(1-Model!$B$5)*H607</f>
        <v>1282.79</v>
      </c>
      <c r="L607" s="29" t="n">
        <f aca="false">IF(I607="Expedite",K607,J607)</f>
        <v>1282.79</v>
      </c>
      <c r="M607" s="29" t="n">
        <f aca="false">J607-L607</f>
        <v>4635.49876683938</v>
      </c>
      <c r="N607" s="29" t="n">
        <f aca="false">IFERROR(E607/(F607*C607*Model!$B$5),"")</f>
        <v>186.738927440036</v>
      </c>
    </row>
    <row r="608" customFormat="false" ht="15" hidden="false" customHeight="false" outlineLevel="0" collapsed="false">
      <c r="A608" s="0" t="str">
        <f aca="false">Clean!A608</f>
        <v>SHP0607</v>
      </c>
      <c r="B608" s="0" t="str">
        <f aca="false">Clean!AA608</f>
        <v>Delhivery</v>
      </c>
      <c r="C608" s="28" t="n">
        <f aca="false">Clean!J608</f>
        <v>11.16</v>
      </c>
      <c r="D608" s="29" t="n">
        <f aca="false">Clean!AF608</f>
        <v>1130.02</v>
      </c>
      <c r="E608" s="29" t="n">
        <f aca="false">Clean!AE608</f>
        <v>3417.22</v>
      </c>
      <c r="F608" s="22" t="n">
        <f aca="false">AVERAGEIFS(Clean!$V$2:$V$1001,Clean!$AA$2:$AA$1001,B608)</f>
        <v>0.72538860103627</v>
      </c>
      <c r="G608" s="29" t="n">
        <f aca="false">F608*C608*D608</f>
        <v>9147.89247668394</v>
      </c>
      <c r="H608" s="29" t="n">
        <f aca="false">G608*Model!$B$4</f>
        <v>9147.89247668394</v>
      </c>
      <c r="I608" s="0" t="str">
        <f aca="false">IF(E608&lt;Model!$B$5*H608,"Expedite","Standard")</f>
        <v>Expedite</v>
      </c>
      <c r="J608" s="29" t="n">
        <f aca="false">H608</f>
        <v>9147.89247668394</v>
      </c>
      <c r="K608" s="29" t="n">
        <f aca="false">E608+(1-Model!$B$5)*H608</f>
        <v>3417.22</v>
      </c>
      <c r="L608" s="29" t="n">
        <f aca="false">IF(I608="Expedite",K608,J608)</f>
        <v>3417.22</v>
      </c>
      <c r="M608" s="29" t="n">
        <f aca="false">J608-L608</f>
        <v>5730.67247668394</v>
      </c>
      <c r="N608" s="29" t="n">
        <f aca="false">IFERROR(E608/(F608*C608*Model!$B$5),"")</f>
        <v>422.122030209933</v>
      </c>
    </row>
    <row r="609" customFormat="false" ht="15" hidden="false" customHeight="false" outlineLevel="0" collapsed="false">
      <c r="A609" s="0" t="str">
        <f aca="false">Clean!A609</f>
        <v>SHP0608</v>
      </c>
      <c r="B609" s="0" t="str">
        <f aca="false">Clean!AA609</f>
        <v>VRL Cargo</v>
      </c>
      <c r="C609" s="28" t="n">
        <f aca="false">Clean!J609</f>
        <v>8.93</v>
      </c>
      <c r="D609" s="29" t="n">
        <f aca="false">Clean!AF609</f>
        <v>672.76</v>
      </c>
      <c r="E609" s="29" t="n">
        <f aca="false">Clean!AE609</f>
        <v>2381.06</v>
      </c>
      <c r="F609" s="22" t="n">
        <f aca="false">AVERAGEIFS(Clean!$V$2:$V$1001,Clean!$AA$2:$AA$1001,B609)</f>
        <v>0.72020725388601</v>
      </c>
      <c r="G609" s="29" t="n">
        <f aca="false">F609*C609*D609</f>
        <v>4326.82282487047</v>
      </c>
      <c r="H609" s="29" t="n">
        <f aca="false">G609*Model!$B$4</f>
        <v>4326.82282487047</v>
      </c>
      <c r="I609" s="0" t="str">
        <f aca="false">IF(E609&lt;Model!$B$5*H609,"Expedite","Standard")</f>
        <v>Expedite</v>
      </c>
      <c r="J609" s="29" t="n">
        <f aca="false">H609</f>
        <v>4326.82282487047</v>
      </c>
      <c r="K609" s="29" t="n">
        <f aca="false">E609+(1-Model!$B$5)*H609</f>
        <v>2381.06</v>
      </c>
      <c r="L609" s="29" t="n">
        <f aca="false">IF(I609="Expedite",K609,J609)</f>
        <v>2381.06</v>
      </c>
      <c r="M609" s="29" t="n">
        <f aca="false">J609-L609</f>
        <v>1945.76282487047</v>
      </c>
      <c r="N609" s="29" t="n">
        <f aca="false">IFERROR(E609/(F609*C609*Model!$B$5),"")</f>
        <v>370.221289485769</v>
      </c>
    </row>
    <row r="610" customFormat="false" ht="15" hidden="false" customHeight="false" outlineLevel="0" collapsed="false">
      <c r="A610" s="0" t="str">
        <f aca="false">Clean!A610</f>
        <v>SHP0609</v>
      </c>
      <c r="B610" s="0" t="str">
        <f aca="false">Clean!AA610</f>
        <v>BlueDart</v>
      </c>
      <c r="C610" s="28" t="n">
        <f aca="false">Clean!J610</f>
        <v>12.82</v>
      </c>
      <c r="D610" s="29" t="n">
        <f aca="false">Clean!AF610</f>
        <v>935.29</v>
      </c>
      <c r="E610" s="29" t="n">
        <f aca="false">Clean!AE610</f>
        <v>3528.48</v>
      </c>
      <c r="F610" s="22" t="n">
        <f aca="false">AVERAGEIFS(Clean!$V$2:$V$1001,Clean!$AA$2:$AA$1001,B610)</f>
        <v>0.773869346733668</v>
      </c>
      <c r="G610" s="29" t="n">
        <f aca="false">F610*C610*D610</f>
        <v>9279.01678994975</v>
      </c>
      <c r="H610" s="29" t="n">
        <f aca="false">G610*Model!$B$4</f>
        <v>9279.01678994975</v>
      </c>
      <c r="I610" s="0" t="str">
        <f aca="false">IF(E610&lt;Model!$B$5*H610,"Expedite","Standard")</f>
        <v>Expedite</v>
      </c>
      <c r="J610" s="29" t="n">
        <f aca="false">H610</f>
        <v>9279.01678994975</v>
      </c>
      <c r="K610" s="29" t="n">
        <f aca="false">E610+(1-Model!$B$5)*H610</f>
        <v>3528.48</v>
      </c>
      <c r="L610" s="29" t="n">
        <f aca="false">IF(I610="Expedite",K610,J610)</f>
        <v>3528.48</v>
      </c>
      <c r="M610" s="29" t="n">
        <f aca="false">J610-L610</f>
        <v>5750.53678994975</v>
      </c>
      <c r="N610" s="29" t="n">
        <f aca="false">IFERROR(E610/(F610*C610*Model!$B$5),"")</f>
        <v>355.657515651275</v>
      </c>
    </row>
    <row r="611" customFormat="false" ht="15" hidden="false" customHeight="false" outlineLevel="0" collapsed="false">
      <c r="A611" s="0" t="str">
        <f aca="false">Clean!A611</f>
        <v>SHP0610</v>
      </c>
      <c r="B611" s="0" t="str">
        <f aca="false">Clean!AA611</f>
        <v>GATI Logistics</v>
      </c>
      <c r="C611" s="28" t="n">
        <f aca="false">Clean!J611</f>
        <v>10.98</v>
      </c>
      <c r="D611" s="29" t="n">
        <f aca="false">Clean!AF611</f>
        <v>1482.26</v>
      </c>
      <c r="E611" s="29" t="n">
        <f aca="false">Clean!AE611</f>
        <v>2076.76</v>
      </c>
      <c r="F611" s="22" t="n">
        <f aca="false">AVERAGEIFS(Clean!$V$2:$V$1001,Clean!$AA$2:$AA$1001,B611)</f>
        <v>0.751243781094527</v>
      </c>
      <c r="G611" s="29" t="n">
        <f aca="false">F611*C611*D611</f>
        <v>12226.6539044776</v>
      </c>
      <c r="H611" s="29" t="n">
        <f aca="false">G611*Model!$B$4</f>
        <v>12226.6539044776</v>
      </c>
      <c r="I611" s="0" t="str">
        <f aca="false">IF(E611&lt;Model!$B$5*H611,"Expedite","Standard")</f>
        <v>Expedite</v>
      </c>
      <c r="J611" s="29" t="n">
        <f aca="false">H611</f>
        <v>12226.6539044776</v>
      </c>
      <c r="K611" s="29" t="n">
        <f aca="false">E611+(1-Model!$B$5)*H611</f>
        <v>2076.76</v>
      </c>
      <c r="L611" s="29" t="n">
        <f aca="false">IF(I611="Expedite",K611,J611)</f>
        <v>2076.76</v>
      </c>
      <c r="M611" s="29" t="n">
        <f aca="false">J611-L611</f>
        <v>10149.8939044776</v>
      </c>
      <c r="N611" s="29" t="n">
        <f aca="false">IFERROR(E611/(F611*C611*Model!$B$5),"")</f>
        <v>251.769478522057</v>
      </c>
    </row>
    <row r="612" customFormat="false" ht="15" hidden="false" customHeight="false" outlineLevel="0" collapsed="false">
      <c r="A612" s="0" t="str">
        <f aca="false">Clean!A612</f>
        <v>SHP0611</v>
      </c>
      <c r="B612" s="0" t="str">
        <f aca="false">Clean!AA612</f>
        <v>BlueDart</v>
      </c>
      <c r="C612" s="28" t="n">
        <f aca="false">Clean!J612</f>
        <v>8.28</v>
      </c>
      <c r="D612" s="29" t="n">
        <f aca="false">Clean!AF612</f>
        <v>1041.24</v>
      </c>
      <c r="E612" s="29" t="n">
        <f aca="false">Clean!AE612</f>
        <v>1116.68</v>
      </c>
      <c r="F612" s="22" t="n">
        <f aca="false">AVERAGEIFS(Clean!$V$2:$V$1001,Clean!$AA$2:$AA$1001,B612)</f>
        <v>0.773869346733668</v>
      </c>
      <c r="G612" s="29" t="n">
        <f aca="false">F612*C612*D612</f>
        <v>6671.88918994975</v>
      </c>
      <c r="H612" s="29" t="n">
        <f aca="false">G612*Model!$B$4</f>
        <v>6671.88918994975</v>
      </c>
      <c r="I612" s="0" t="str">
        <f aca="false">IF(E612&lt;Model!$B$5*H612,"Expedite","Standard")</f>
        <v>Expedite</v>
      </c>
      <c r="J612" s="29" t="n">
        <f aca="false">H612</f>
        <v>6671.88918994975</v>
      </c>
      <c r="K612" s="29" t="n">
        <f aca="false">E612+(1-Model!$B$5)*H612</f>
        <v>1116.68</v>
      </c>
      <c r="L612" s="29" t="n">
        <f aca="false">IF(I612="Expedite",K612,J612)</f>
        <v>1116.68</v>
      </c>
      <c r="M612" s="29" t="n">
        <f aca="false">J612-L612</f>
        <v>5555.20918994975</v>
      </c>
      <c r="N612" s="29" t="n">
        <f aca="false">IFERROR(E612/(F612*C612*Model!$B$5),"")</f>
        <v>174.273260555869</v>
      </c>
    </row>
    <row r="613" customFormat="false" ht="15" hidden="false" customHeight="false" outlineLevel="0" collapsed="false">
      <c r="A613" s="0" t="str">
        <f aca="false">Clean!A613</f>
        <v>SHP0612</v>
      </c>
      <c r="B613" s="0" t="str">
        <f aca="false">Clean!AA613</f>
        <v>VRL Cargo</v>
      </c>
      <c r="C613" s="28" t="n">
        <f aca="false">Clean!J613</f>
        <v>2.01</v>
      </c>
      <c r="D613" s="29" t="n">
        <f aca="false">Clean!AF613</f>
        <v>1065.85</v>
      </c>
      <c r="E613" s="29" t="n">
        <f aca="false">Clean!AE613</f>
        <v>2943.54</v>
      </c>
      <c r="F613" s="22" t="n">
        <f aca="false">AVERAGEIFS(Clean!$V$2:$V$1001,Clean!$AA$2:$AA$1001,B613)</f>
        <v>0.72020725388601</v>
      </c>
      <c r="G613" s="29" t="n">
        <f aca="false">F613*C613*D613</f>
        <v>1542.94213212435</v>
      </c>
      <c r="H613" s="29" t="n">
        <f aca="false">G613*Model!$B$4</f>
        <v>1542.94213212435</v>
      </c>
      <c r="I613" s="0" t="str">
        <f aca="false">IF(E613&lt;Model!$B$5*H613,"Expedite","Standard")</f>
        <v>Standard</v>
      </c>
      <c r="J613" s="29" t="n">
        <f aca="false">H613</f>
        <v>1542.94213212435</v>
      </c>
      <c r="K613" s="29" t="n">
        <f aca="false">E613+(1-Model!$B$5)*H613</f>
        <v>2943.54</v>
      </c>
      <c r="L613" s="29" t="n">
        <f aca="false">IF(I613="Expedite",K613,J613)</f>
        <v>1542.94213212435</v>
      </c>
      <c r="M613" s="29" t="n">
        <f aca="false">J613-L613</f>
        <v>0</v>
      </c>
      <c r="N613" s="29" t="n">
        <f aca="false">IFERROR(E613/(F613*C613*Model!$B$5),"")</f>
        <v>2033.3699130248</v>
      </c>
    </row>
    <row r="614" customFormat="false" ht="15" hidden="false" customHeight="false" outlineLevel="0" collapsed="false">
      <c r="A614" s="0" t="str">
        <f aca="false">Clean!A614</f>
        <v>SHP0613</v>
      </c>
      <c r="B614" s="0" t="str">
        <f aca="false">Clean!AA614</f>
        <v>Delhivery</v>
      </c>
      <c r="C614" s="28" t="n">
        <f aca="false">Clean!J614</f>
        <v>18.42</v>
      </c>
      <c r="D614" s="29" t="n">
        <f aca="false">Clean!AF614</f>
        <v>1331.72</v>
      </c>
      <c r="E614" s="29" t="n">
        <f aca="false">Clean!AE614</f>
        <v>2001.36</v>
      </c>
      <c r="F614" s="22" t="n">
        <f aca="false">AVERAGEIFS(Clean!$V$2:$V$1001,Clean!$AA$2:$AA$1001,B614)</f>
        <v>0.72538860103627</v>
      </c>
      <c r="G614" s="29" t="n">
        <f aca="false">F614*C614*D614</f>
        <v>17793.9872331606</v>
      </c>
      <c r="H614" s="29" t="n">
        <f aca="false">G614*Model!$B$4</f>
        <v>17793.9872331606</v>
      </c>
      <c r="I614" s="0" t="str">
        <f aca="false">IF(E614&lt;Model!$B$5*H614,"Expedite","Standard")</f>
        <v>Expedite</v>
      </c>
      <c r="J614" s="29" t="n">
        <f aca="false">H614</f>
        <v>17793.9872331606</v>
      </c>
      <c r="K614" s="29" t="n">
        <f aca="false">E614+(1-Model!$B$5)*H614</f>
        <v>2001.36</v>
      </c>
      <c r="L614" s="29" t="n">
        <f aca="false">IF(I614="Expedite",K614,J614)</f>
        <v>2001.36</v>
      </c>
      <c r="M614" s="29" t="n">
        <f aca="false">J614-L614</f>
        <v>15792.6272331606</v>
      </c>
      <c r="N614" s="29" t="n">
        <f aca="false">IFERROR(E614/(F614*C614*Model!$B$5),"")</f>
        <v>149.783806421591</v>
      </c>
    </row>
    <row r="615" customFormat="false" ht="15" hidden="false" customHeight="false" outlineLevel="0" collapsed="false">
      <c r="A615" s="0" t="str">
        <f aca="false">Clean!A615</f>
        <v>SHP0614</v>
      </c>
      <c r="B615" s="0" t="str">
        <f aca="false">Clean!AA615</f>
        <v>VRL Cargo</v>
      </c>
      <c r="C615" s="28" t="n">
        <f aca="false">Clean!J615</f>
        <v>9.8</v>
      </c>
      <c r="D615" s="29" t="n">
        <f aca="false">Clean!AF615</f>
        <v>958.71</v>
      </c>
      <c r="E615" s="29" t="n">
        <f aca="false">Clean!AE615</f>
        <v>4719.74</v>
      </c>
      <c r="F615" s="22" t="n">
        <f aca="false">AVERAGEIFS(Clean!$V$2:$V$1001,Clean!$AA$2:$AA$1001,B615)</f>
        <v>0.72020725388601</v>
      </c>
      <c r="G615" s="29" t="n">
        <f aca="false">F615*C615*D615</f>
        <v>6766.60498445596</v>
      </c>
      <c r="H615" s="29" t="n">
        <f aca="false">G615*Model!$B$4</f>
        <v>6766.60498445596</v>
      </c>
      <c r="I615" s="0" t="str">
        <f aca="false">IF(E615&lt;Model!$B$5*H615,"Expedite","Standard")</f>
        <v>Expedite</v>
      </c>
      <c r="J615" s="29" t="n">
        <f aca="false">H615</f>
        <v>6766.60498445596</v>
      </c>
      <c r="K615" s="29" t="n">
        <f aca="false">E615+(1-Model!$B$5)*H615</f>
        <v>4719.74</v>
      </c>
      <c r="L615" s="29" t="n">
        <f aca="false">IF(I615="Expedite",K615,J615)</f>
        <v>4719.74</v>
      </c>
      <c r="M615" s="29" t="n">
        <f aca="false">J615-L615</f>
        <v>2046.86498445596</v>
      </c>
      <c r="N615" s="29" t="n">
        <f aca="false">IFERROR(E615/(F615*C615*Model!$B$5),"")</f>
        <v>668.704903832036</v>
      </c>
    </row>
    <row r="616" customFormat="false" ht="15" hidden="false" customHeight="false" outlineLevel="0" collapsed="false">
      <c r="A616" s="0" t="str">
        <f aca="false">Clean!A616</f>
        <v>SHP0615</v>
      </c>
      <c r="B616" s="0" t="str">
        <f aca="false">Clean!AA616</f>
        <v>VRL Cargo</v>
      </c>
      <c r="C616" s="28" t="n">
        <f aca="false">Clean!J616</f>
        <v>4.45</v>
      </c>
      <c r="D616" s="29" t="n">
        <f aca="false">Clean!AF616</f>
        <v>528.23</v>
      </c>
      <c r="E616" s="29" t="n">
        <f aca="false">Clean!AE616</f>
        <v>2528.22</v>
      </c>
      <c r="F616" s="22" t="n">
        <f aca="false">AVERAGEIFS(Clean!$V$2:$V$1001,Clean!$AA$2:$AA$1001,B616)</f>
        <v>0.72020725388601</v>
      </c>
      <c r="G616" s="29" t="n">
        <f aca="false">F616*C616*D616</f>
        <v>1692.93609585492</v>
      </c>
      <c r="H616" s="29" t="n">
        <f aca="false">G616*Model!$B$4</f>
        <v>1692.93609585492</v>
      </c>
      <c r="I616" s="0" t="str">
        <f aca="false">IF(E616&lt;Model!$B$5*H616,"Expedite","Standard")</f>
        <v>Standard</v>
      </c>
      <c r="J616" s="29" t="n">
        <f aca="false">H616</f>
        <v>1692.93609585492</v>
      </c>
      <c r="K616" s="29" t="n">
        <f aca="false">E616+(1-Model!$B$5)*H616</f>
        <v>2528.22</v>
      </c>
      <c r="L616" s="29" t="n">
        <f aca="false">IF(I616="Expedite",K616,J616)</f>
        <v>1692.93609585492</v>
      </c>
      <c r="M616" s="29" t="n">
        <f aca="false">J616-L616</f>
        <v>0</v>
      </c>
      <c r="N616" s="29" t="n">
        <f aca="false">IFERROR(E616/(F616*C616*Model!$B$5),"")</f>
        <v>788.855322932665</v>
      </c>
    </row>
    <row r="617" customFormat="false" ht="15" hidden="false" customHeight="false" outlineLevel="0" collapsed="false">
      <c r="A617" s="0" t="str">
        <f aca="false">Clean!A617</f>
        <v>SHP0616</v>
      </c>
      <c r="B617" s="0" t="str">
        <f aca="false">Clean!AA617</f>
        <v>VRL Cargo</v>
      </c>
      <c r="C617" s="28" t="n">
        <f aca="false">Clean!J617</f>
        <v>17.25</v>
      </c>
      <c r="D617" s="29" t="n">
        <f aca="false">Clean!AF617</f>
        <v>1464.49</v>
      </c>
      <c r="E617" s="29" t="n">
        <f aca="false">Clean!AE617</f>
        <v>4848.85</v>
      </c>
      <c r="F617" s="22" t="n">
        <f aca="false">AVERAGEIFS(Clean!$V$2:$V$1001,Clean!$AA$2:$AA$1001,B617)</f>
        <v>0.72020725388601</v>
      </c>
      <c r="G617" s="29" t="n">
        <f aca="false">F617*C617*D617</f>
        <v>18194.2015414508</v>
      </c>
      <c r="H617" s="29" t="n">
        <f aca="false">G617*Model!$B$4</f>
        <v>18194.2015414508</v>
      </c>
      <c r="I617" s="0" t="str">
        <f aca="false">IF(E617&lt;Model!$B$5*H617,"Expedite","Standard")</f>
        <v>Expedite</v>
      </c>
      <c r="J617" s="29" t="n">
        <f aca="false">H617</f>
        <v>18194.2015414508</v>
      </c>
      <c r="K617" s="29" t="n">
        <f aca="false">E617+(1-Model!$B$5)*H617</f>
        <v>4848.85</v>
      </c>
      <c r="L617" s="29" t="n">
        <f aca="false">IF(I617="Expedite",K617,J617)</f>
        <v>4848.85</v>
      </c>
      <c r="M617" s="29" t="n">
        <f aca="false">J617-L617</f>
        <v>13345.3515414508</v>
      </c>
      <c r="N617" s="29" t="n">
        <f aca="false">IFERROR(E617/(F617*C617*Model!$B$5),"")</f>
        <v>390.294255030758</v>
      </c>
    </row>
    <row r="618" customFormat="false" ht="15" hidden="false" customHeight="false" outlineLevel="0" collapsed="false">
      <c r="A618" s="0" t="str">
        <f aca="false">Clean!A618</f>
        <v>SHP0617</v>
      </c>
      <c r="B618" s="0" t="str">
        <f aca="false">Clean!AA618</f>
        <v>GATI Logistics</v>
      </c>
      <c r="C618" s="28" t="n">
        <f aca="false">Clean!J618</f>
        <v>6.5</v>
      </c>
      <c r="D618" s="29" t="n">
        <f aca="false">Clean!AF618</f>
        <v>720.7</v>
      </c>
      <c r="E618" s="29" t="n">
        <f aca="false">Clean!AE618</f>
        <v>2627.59</v>
      </c>
      <c r="F618" s="22" t="n">
        <f aca="false">AVERAGEIFS(Clean!$V$2:$V$1001,Clean!$AA$2:$AA$1001,B618)</f>
        <v>0.751243781094527</v>
      </c>
      <c r="G618" s="29" t="n">
        <f aca="false">F618*C618*D618</f>
        <v>3519.23905472637</v>
      </c>
      <c r="H618" s="29" t="n">
        <f aca="false">G618*Model!$B$4</f>
        <v>3519.23905472637</v>
      </c>
      <c r="I618" s="0" t="str">
        <f aca="false">IF(E618&lt;Model!$B$5*H618,"Expedite","Standard")</f>
        <v>Expedite</v>
      </c>
      <c r="J618" s="29" t="n">
        <f aca="false">H618</f>
        <v>3519.23905472637</v>
      </c>
      <c r="K618" s="29" t="n">
        <f aca="false">E618+(1-Model!$B$5)*H618</f>
        <v>2627.59</v>
      </c>
      <c r="L618" s="29" t="n">
        <f aca="false">IF(I618="Expedite",K618,J618)</f>
        <v>2627.59</v>
      </c>
      <c r="M618" s="29" t="n">
        <f aca="false">J618-L618</f>
        <v>891.649054726368</v>
      </c>
      <c r="N618" s="29" t="n">
        <f aca="false">IFERROR(E618/(F618*C618*Model!$B$5),"")</f>
        <v>538.100448293429</v>
      </c>
    </row>
    <row r="619" customFormat="false" ht="15" hidden="false" customHeight="false" outlineLevel="0" collapsed="false">
      <c r="A619" s="0" t="str">
        <f aca="false">Clean!A619</f>
        <v>SHP0618</v>
      </c>
      <c r="B619" s="0" t="str">
        <f aca="false">Clean!AA619</f>
        <v>VRL Cargo</v>
      </c>
      <c r="C619" s="28" t="n">
        <f aca="false">Clean!J619</f>
        <v>11.13</v>
      </c>
      <c r="D619" s="29" t="n">
        <f aca="false">Clean!AF619</f>
        <v>1425.06</v>
      </c>
      <c r="E619" s="29" t="n">
        <f aca="false">Clean!AE619</f>
        <v>1827.19</v>
      </c>
      <c r="F619" s="22" t="n">
        <f aca="false">AVERAGEIFS(Clean!$V$2:$V$1001,Clean!$AA$2:$AA$1001,B619)</f>
        <v>0.72020725388601</v>
      </c>
      <c r="G619" s="29" t="n">
        <f aca="false">F619*C619*D619</f>
        <v>11423.1480528497</v>
      </c>
      <c r="H619" s="29" t="n">
        <f aca="false">G619*Model!$B$4</f>
        <v>11423.1480528497</v>
      </c>
      <c r="I619" s="0" t="str">
        <f aca="false">IF(E619&lt;Model!$B$5*H619,"Expedite","Standard")</f>
        <v>Expedite</v>
      </c>
      <c r="J619" s="29" t="n">
        <f aca="false">H619</f>
        <v>11423.1480528497</v>
      </c>
      <c r="K619" s="29" t="n">
        <f aca="false">E619+(1-Model!$B$5)*H619</f>
        <v>1827.19</v>
      </c>
      <c r="L619" s="29" t="n">
        <f aca="false">IF(I619="Expedite",K619,J619)</f>
        <v>1827.19</v>
      </c>
      <c r="M619" s="29" t="n">
        <f aca="false">J619-L619</f>
        <v>9595.95805284974</v>
      </c>
      <c r="N619" s="29" t="n">
        <f aca="false">IFERROR(E619/(F619*C619*Model!$B$5),"")</f>
        <v>227.94551636319</v>
      </c>
    </row>
    <row r="620" customFormat="false" ht="15" hidden="false" customHeight="false" outlineLevel="0" collapsed="false">
      <c r="A620" s="0" t="str">
        <f aca="false">Clean!A620</f>
        <v>SHP0619</v>
      </c>
      <c r="B620" s="0" t="str">
        <f aca="false">Clean!AA620</f>
        <v>BlueDart</v>
      </c>
      <c r="C620" s="28" t="n">
        <f aca="false">Clean!J620</f>
        <v>7.96</v>
      </c>
      <c r="D620" s="29" t="n">
        <f aca="false">Clean!AF620</f>
        <v>531.51</v>
      </c>
      <c r="E620" s="29" t="n">
        <f aca="false">Clean!AE620</f>
        <v>3968.09</v>
      </c>
      <c r="F620" s="22" t="n">
        <f aca="false">AVERAGEIFS(Clean!$V$2:$V$1001,Clean!$AA$2:$AA$1001,B620)</f>
        <v>0.773869346733668</v>
      </c>
      <c r="G620" s="29" t="n">
        <f aca="false">F620*C620*D620</f>
        <v>3274.1016</v>
      </c>
      <c r="H620" s="29" t="n">
        <f aca="false">G620*Model!$B$4</f>
        <v>3274.1016</v>
      </c>
      <c r="I620" s="0" t="str">
        <f aca="false">IF(E620&lt;Model!$B$5*H620,"Expedite","Standard")</f>
        <v>Standard</v>
      </c>
      <c r="J620" s="29" t="n">
        <f aca="false">H620</f>
        <v>3274.1016</v>
      </c>
      <c r="K620" s="29" t="n">
        <f aca="false">E620+(1-Model!$B$5)*H620</f>
        <v>3968.09</v>
      </c>
      <c r="L620" s="29" t="n">
        <f aca="false">IF(I620="Expedite",K620,J620)</f>
        <v>3274.1016</v>
      </c>
      <c r="M620" s="29" t="n">
        <f aca="false">J620-L620</f>
        <v>0</v>
      </c>
      <c r="N620" s="29" t="n">
        <f aca="false">IFERROR(E620/(F620*C620*Model!$B$5),"")</f>
        <v>644.170454545455</v>
      </c>
    </row>
    <row r="621" customFormat="false" ht="15" hidden="false" customHeight="false" outlineLevel="0" collapsed="false">
      <c r="A621" s="0" t="str">
        <f aca="false">Clean!A621</f>
        <v>SHP0620</v>
      </c>
      <c r="B621" s="0" t="str">
        <f aca="false">Clean!AA621</f>
        <v>Delhivery</v>
      </c>
      <c r="C621" s="28" t="n">
        <f aca="false">Clean!J621</f>
        <v>3.31</v>
      </c>
      <c r="D621" s="29" t="n">
        <f aca="false">Clean!AF621</f>
        <v>1020.23</v>
      </c>
      <c r="E621" s="29" t="n">
        <f aca="false">Clean!AE621</f>
        <v>1557.21</v>
      </c>
      <c r="F621" s="22" t="n">
        <f aca="false">AVERAGEIFS(Clean!$V$2:$V$1001,Clean!$AA$2:$AA$1001,B621)</f>
        <v>0.72538860103627</v>
      </c>
      <c r="G621" s="29" t="n">
        <f aca="false">F621*C621*D621</f>
        <v>2449.60923316062</v>
      </c>
      <c r="H621" s="29" t="n">
        <f aca="false">G621*Model!$B$4</f>
        <v>2449.60923316062</v>
      </c>
      <c r="I621" s="0" t="str">
        <f aca="false">IF(E621&lt;Model!$B$5*H621,"Expedite","Standard")</f>
        <v>Expedite</v>
      </c>
      <c r="J621" s="29" t="n">
        <f aca="false">H621</f>
        <v>2449.60923316062</v>
      </c>
      <c r="K621" s="29" t="n">
        <f aca="false">E621+(1-Model!$B$5)*H621</f>
        <v>1557.21</v>
      </c>
      <c r="L621" s="29" t="n">
        <f aca="false">IF(I621="Expedite",K621,J621)</f>
        <v>1557.21</v>
      </c>
      <c r="M621" s="29" t="n">
        <f aca="false">J621-L621</f>
        <v>892.399233160622</v>
      </c>
      <c r="N621" s="29" t="n">
        <f aca="false">IFERROR(E621/(F621*C621*Model!$B$5),"")</f>
        <v>648.557466551575</v>
      </c>
    </row>
    <row r="622" customFormat="false" ht="15" hidden="false" customHeight="false" outlineLevel="0" collapsed="false">
      <c r="A622" s="0" t="str">
        <f aca="false">Clean!A622</f>
        <v>SHP0621</v>
      </c>
      <c r="B622" s="0" t="str">
        <f aca="false">Clean!AA622</f>
        <v>TCI Express</v>
      </c>
      <c r="C622" s="28" t="n">
        <f aca="false">Clean!J622</f>
        <v>1.71</v>
      </c>
      <c r="D622" s="29" t="n">
        <f aca="false">Clean!AF622</f>
        <v>1440.88</v>
      </c>
      <c r="E622" s="29" t="n">
        <f aca="false">Clean!AE622</f>
        <v>1591.41</v>
      </c>
      <c r="F622" s="22" t="n">
        <f aca="false">AVERAGEIFS(Clean!$V$2:$V$1001,Clean!$AA$2:$AA$1001,B622)</f>
        <v>0.752336448598131</v>
      </c>
      <c r="G622" s="29" t="n">
        <f aca="false">F622*C622*D622</f>
        <v>1853.68538691589</v>
      </c>
      <c r="H622" s="29" t="n">
        <f aca="false">G622*Model!$B$4</f>
        <v>1853.68538691589</v>
      </c>
      <c r="I622" s="0" t="str">
        <f aca="false">IF(E622&lt;Model!$B$5*H622,"Expedite","Standard")</f>
        <v>Expedite</v>
      </c>
      <c r="J622" s="29" t="n">
        <f aca="false">H622</f>
        <v>1853.68538691589</v>
      </c>
      <c r="K622" s="29" t="n">
        <f aca="false">E622+(1-Model!$B$5)*H622</f>
        <v>1591.41</v>
      </c>
      <c r="L622" s="29" t="n">
        <f aca="false">IF(I622="Expedite",K622,J622)</f>
        <v>1591.41</v>
      </c>
      <c r="M622" s="29" t="n">
        <f aca="false">J622-L622</f>
        <v>262.275386915888</v>
      </c>
      <c r="N622" s="29" t="n">
        <f aca="false">IFERROR(E622/(F622*C622*Model!$B$5),"")</f>
        <v>1237.01187751989</v>
      </c>
    </row>
    <row r="623" customFormat="false" ht="15" hidden="false" customHeight="false" outlineLevel="0" collapsed="false">
      <c r="A623" s="0" t="str">
        <f aca="false">Clean!A623</f>
        <v>SHP0622</v>
      </c>
      <c r="B623" s="0" t="str">
        <f aca="false">Clean!AA623</f>
        <v>VRL Cargo</v>
      </c>
      <c r="C623" s="28" t="n">
        <f aca="false">Clean!J623</f>
        <v>4.47</v>
      </c>
      <c r="D623" s="29" t="n">
        <f aca="false">Clean!AF623</f>
        <v>544.59</v>
      </c>
      <c r="E623" s="29" t="n">
        <f aca="false">Clean!AE623</f>
        <v>4841.47</v>
      </c>
      <c r="F623" s="22" t="n">
        <f aca="false">AVERAGEIFS(Clean!$V$2:$V$1001,Clean!$AA$2:$AA$1001,B623)</f>
        <v>0.72020725388601</v>
      </c>
      <c r="G623" s="29" t="n">
        <f aca="false">F623*C623*D623</f>
        <v>1753.21297772021</v>
      </c>
      <c r="H623" s="29" t="n">
        <f aca="false">G623*Model!$B$4</f>
        <v>1753.21297772021</v>
      </c>
      <c r="I623" s="0" t="str">
        <f aca="false">IF(E623&lt;Model!$B$5*H623,"Expedite","Standard")</f>
        <v>Standard</v>
      </c>
      <c r="J623" s="29" t="n">
        <f aca="false">H623</f>
        <v>1753.21297772021</v>
      </c>
      <c r="K623" s="29" t="n">
        <f aca="false">E623+(1-Model!$B$5)*H623</f>
        <v>4841.47</v>
      </c>
      <c r="L623" s="29" t="n">
        <f aca="false">IF(I623="Expedite",K623,J623)</f>
        <v>1753.21297772021</v>
      </c>
      <c r="M623" s="29" t="n">
        <f aca="false">J623-L623</f>
        <v>0</v>
      </c>
      <c r="N623" s="29" t="n">
        <f aca="false">IFERROR(E623/(F623*C623*Model!$B$5),"")</f>
        <v>1503.8766999823</v>
      </c>
    </row>
    <row r="624" customFormat="false" ht="15" hidden="false" customHeight="false" outlineLevel="0" collapsed="false">
      <c r="A624" s="0" t="str">
        <f aca="false">Clean!A624</f>
        <v>SHP0623</v>
      </c>
      <c r="B624" s="0" t="str">
        <f aca="false">Clean!AA624</f>
        <v>BlueDart</v>
      </c>
      <c r="C624" s="28" t="n">
        <f aca="false">Clean!J624</f>
        <v>3.72</v>
      </c>
      <c r="D624" s="29" t="n">
        <f aca="false">Clean!AF624</f>
        <v>998.97</v>
      </c>
      <c r="E624" s="29" t="n">
        <f aca="false">Clean!AE624</f>
        <v>2838.25</v>
      </c>
      <c r="F624" s="22" t="n">
        <f aca="false">AVERAGEIFS(Clean!$V$2:$V$1001,Clean!$AA$2:$AA$1001,B624)</f>
        <v>0.773869346733668</v>
      </c>
      <c r="G624" s="29" t="n">
        <f aca="false">F624*C624*D624</f>
        <v>2875.8288120603</v>
      </c>
      <c r="H624" s="29" t="n">
        <f aca="false">G624*Model!$B$4</f>
        <v>2875.8288120603</v>
      </c>
      <c r="I624" s="0" t="str">
        <f aca="false">IF(E624&lt;Model!$B$5*H624,"Expedite","Standard")</f>
        <v>Expedite</v>
      </c>
      <c r="J624" s="29" t="n">
        <f aca="false">H624</f>
        <v>2875.8288120603</v>
      </c>
      <c r="K624" s="29" t="n">
        <f aca="false">E624+(1-Model!$B$5)*H624</f>
        <v>2838.25</v>
      </c>
      <c r="L624" s="29" t="n">
        <f aca="false">IF(I624="Expedite",K624,J624)</f>
        <v>2838.25</v>
      </c>
      <c r="M624" s="29" t="n">
        <f aca="false">J624-L624</f>
        <v>37.578812060302</v>
      </c>
      <c r="N624" s="29" t="n">
        <f aca="false">IFERROR(E624/(F624*C624*Model!$B$5),"")</f>
        <v>985.916335009077</v>
      </c>
    </row>
    <row r="625" customFormat="false" ht="15" hidden="false" customHeight="false" outlineLevel="0" collapsed="false">
      <c r="A625" s="0" t="str">
        <f aca="false">Clean!A625</f>
        <v>SHP0624</v>
      </c>
      <c r="B625" s="0" t="str">
        <f aca="false">Clean!AA625</f>
        <v>VRL Cargo</v>
      </c>
      <c r="C625" s="28" t="n">
        <f aca="false">Clean!J625</f>
        <v>2.37</v>
      </c>
      <c r="D625" s="29" t="n">
        <f aca="false">Clean!AF625</f>
        <v>1359.94</v>
      </c>
      <c r="E625" s="29" t="n">
        <f aca="false">Clean!AE625</f>
        <v>3146.1</v>
      </c>
      <c r="F625" s="22" t="n">
        <f aca="false">AVERAGEIFS(Clean!$V$2:$V$1001,Clean!$AA$2:$AA$1001,B625)</f>
        <v>0.72020725388601</v>
      </c>
      <c r="G625" s="29" t="n">
        <f aca="false">F625*C625*D625</f>
        <v>2321.26960725389</v>
      </c>
      <c r="H625" s="29" t="n">
        <f aca="false">G625*Model!$B$4</f>
        <v>2321.26960725389</v>
      </c>
      <c r="I625" s="0" t="str">
        <f aca="false">IF(E625&lt;Model!$B$5*H625,"Expedite","Standard")</f>
        <v>Standard</v>
      </c>
      <c r="J625" s="29" t="n">
        <f aca="false">H625</f>
        <v>2321.26960725389</v>
      </c>
      <c r="K625" s="29" t="n">
        <f aca="false">E625+(1-Model!$B$5)*H625</f>
        <v>3146.1</v>
      </c>
      <c r="L625" s="29" t="n">
        <f aca="false">IF(I625="Expedite",K625,J625)</f>
        <v>2321.26960725389</v>
      </c>
      <c r="M625" s="29" t="n">
        <f aca="false">J625-L625</f>
        <v>0</v>
      </c>
      <c r="N625" s="29" t="n">
        <f aca="false">IFERROR(E625/(F625*C625*Model!$B$5),"")</f>
        <v>1843.17548492851</v>
      </c>
    </row>
    <row r="626" customFormat="false" ht="15" hidden="false" customHeight="false" outlineLevel="0" collapsed="false">
      <c r="A626" s="0" t="str">
        <f aca="false">Clean!A626</f>
        <v>SHP0625</v>
      </c>
      <c r="B626" s="0" t="str">
        <f aca="false">Clean!AA626</f>
        <v>GATI Logistics</v>
      </c>
      <c r="C626" s="28" t="n">
        <f aca="false">Clean!J626</f>
        <v>5.05</v>
      </c>
      <c r="D626" s="29" t="n">
        <f aca="false">Clean!AF626</f>
        <v>1122.3</v>
      </c>
      <c r="E626" s="29" t="n">
        <f aca="false">Clean!AE626</f>
        <v>1477.8</v>
      </c>
      <c r="F626" s="22" t="n">
        <f aca="false">AVERAGEIFS(Clean!$V$2:$V$1001,Clean!$AA$2:$AA$1001,B626)</f>
        <v>0.751243781094527</v>
      </c>
      <c r="G626" s="29" t="n">
        <f aca="false">F626*C626*D626</f>
        <v>4257.76052238806</v>
      </c>
      <c r="H626" s="29" t="n">
        <f aca="false">G626*Model!$B$4</f>
        <v>4257.76052238806</v>
      </c>
      <c r="I626" s="0" t="str">
        <f aca="false">IF(E626&lt;Model!$B$5*H626,"Expedite","Standard")</f>
        <v>Expedite</v>
      </c>
      <c r="J626" s="29" t="n">
        <f aca="false">H626</f>
        <v>4257.76052238806</v>
      </c>
      <c r="K626" s="29" t="n">
        <f aca="false">E626+(1-Model!$B$5)*H626</f>
        <v>1477.8</v>
      </c>
      <c r="L626" s="29" t="n">
        <f aca="false">IF(I626="Expedite",K626,J626)</f>
        <v>1477.8</v>
      </c>
      <c r="M626" s="29" t="n">
        <f aca="false">J626-L626</f>
        <v>2779.96052238806</v>
      </c>
      <c r="N626" s="29" t="n">
        <f aca="false">IFERROR(E626/(F626*C626*Model!$B$5),"")</f>
        <v>389.532227394925</v>
      </c>
    </row>
    <row r="627" customFormat="false" ht="15" hidden="false" customHeight="false" outlineLevel="0" collapsed="false">
      <c r="A627" s="0" t="str">
        <f aca="false">Clean!A627</f>
        <v>SHP0626</v>
      </c>
      <c r="B627" s="0" t="str">
        <f aca="false">Clean!AA627</f>
        <v>Delhivery</v>
      </c>
      <c r="C627" s="28" t="n">
        <f aca="false">Clean!J627</f>
        <v>18.75</v>
      </c>
      <c r="D627" s="29" t="n">
        <f aca="false">Clean!AF627</f>
        <v>760.68</v>
      </c>
      <c r="E627" s="29" t="n">
        <f aca="false">Clean!AE627</f>
        <v>4260.06</v>
      </c>
      <c r="F627" s="22" t="n">
        <f aca="false">AVERAGEIFS(Clean!$V$2:$V$1001,Clean!$AA$2:$AA$1001,B627)</f>
        <v>0.72538860103627</v>
      </c>
      <c r="G627" s="29" t="n">
        <f aca="false">F627*C627*D627</f>
        <v>10346.0362694301</v>
      </c>
      <c r="H627" s="29" t="n">
        <f aca="false">G627*Model!$B$4</f>
        <v>10346.0362694301</v>
      </c>
      <c r="I627" s="0" t="str">
        <f aca="false">IF(E627&lt;Model!$B$5*H627,"Expedite","Standard")</f>
        <v>Expedite</v>
      </c>
      <c r="J627" s="29" t="n">
        <f aca="false">H627</f>
        <v>10346.0362694301</v>
      </c>
      <c r="K627" s="29" t="n">
        <f aca="false">E627+(1-Model!$B$5)*H627</f>
        <v>4260.06</v>
      </c>
      <c r="L627" s="29" t="n">
        <f aca="false">IF(I627="Expedite",K627,J627)</f>
        <v>4260.06</v>
      </c>
      <c r="M627" s="29" t="n">
        <f aca="false">J627-L627</f>
        <v>6085.97626943005</v>
      </c>
      <c r="N627" s="29" t="n">
        <f aca="false">IFERROR(E627/(F627*C627*Model!$B$5),"")</f>
        <v>313.21584</v>
      </c>
    </row>
    <row r="628" customFormat="false" ht="15" hidden="false" customHeight="false" outlineLevel="0" collapsed="false">
      <c r="A628" s="0" t="str">
        <f aca="false">Clean!A628</f>
        <v>SHP0627</v>
      </c>
      <c r="B628" s="0" t="str">
        <f aca="false">Clean!AA628</f>
        <v>BlueDart</v>
      </c>
      <c r="C628" s="28" t="n">
        <f aca="false">Clean!J628</f>
        <v>6.64</v>
      </c>
      <c r="D628" s="29" t="n">
        <f aca="false">Clean!AF628</f>
        <v>733.69</v>
      </c>
      <c r="E628" s="29" t="n">
        <f aca="false">Clean!AE628</f>
        <v>4155.66</v>
      </c>
      <c r="F628" s="22" t="n">
        <f aca="false">AVERAGEIFS(Clean!$V$2:$V$1001,Clean!$AA$2:$AA$1001,B628)</f>
        <v>0.773869346733668</v>
      </c>
      <c r="G628" s="29" t="n">
        <f aca="false">F628*C628*D628</f>
        <v>3770.06053467337</v>
      </c>
      <c r="H628" s="29" t="n">
        <f aca="false">G628*Model!$B$4</f>
        <v>3770.06053467337</v>
      </c>
      <c r="I628" s="0" t="str">
        <f aca="false">IF(E628&lt;Model!$B$5*H628,"Expedite","Standard")</f>
        <v>Standard</v>
      </c>
      <c r="J628" s="29" t="n">
        <f aca="false">H628</f>
        <v>3770.06053467337</v>
      </c>
      <c r="K628" s="29" t="n">
        <f aca="false">E628+(1-Model!$B$5)*H628</f>
        <v>4155.66</v>
      </c>
      <c r="L628" s="29" t="n">
        <f aca="false">IF(I628="Expedite",K628,J628)</f>
        <v>3770.06053467337</v>
      </c>
      <c r="M628" s="29" t="n">
        <f aca="false">J628-L628</f>
        <v>0</v>
      </c>
      <c r="N628" s="29" t="n">
        <f aca="false">IFERROR(E628/(F628*C628*Model!$B$5),"")</f>
        <v>808.731360506963</v>
      </c>
    </row>
    <row r="629" customFormat="false" ht="15" hidden="false" customHeight="false" outlineLevel="0" collapsed="false">
      <c r="A629" s="0" t="str">
        <f aca="false">Clean!A629</f>
        <v>SHP0628</v>
      </c>
      <c r="B629" s="0" t="str">
        <f aca="false">Clean!AA629</f>
        <v>BlueDart</v>
      </c>
      <c r="C629" s="28" t="n">
        <f aca="false">Clean!J629</f>
        <v>13.14</v>
      </c>
      <c r="D629" s="29" t="n">
        <f aca="false">Clean!AF629</f>
        <v>789.14</v>
      </c>
      <c r="E629" s="29" t="n">
        <f aca="false">Clean!AE629</f>
        <v>1178.04</v>
      </c>
      <c r="F629" s="22" t="n">
        <f aca="false">AVERAGEIFS(Clean!$V$2:$V$1001,Clean!$AA$2:$AA$1001,B629)</f>
        <v>0.773869346733668</v>
      </c>
      <c r="G629" s="29" t="n">
        <f aca="false">F629*C629*D629</f>
        <v>8024.48310753769</v>
      </c>
      <c r="H629" s="29" t="n">
        <f aca="false">G629*Model!$B$4</f>
        <v>8024.48310753769</v>
      </c>
      <c r="I629" s="0" t="str">
        <f aca="false">IF(E629&lt;Model!$B$5*H629,"Expedite","Standard")</f>
        <v>Expedite</v>
      </c>
      <c r="J629" s="29" t="n">
        <f aca="false">H629</f>
        <v>8024.48310753769</v>
      </c>
      <c r="K629" s="29" t="n">
        <f aca="false">E629+(1-Model!$B$5)*H629</f>
        <v>1178.04</v>
      </c>
      <c r="L629" s="29" t="n">
        <f aca="false">IF(I629="Expedite",K629,J629)</f>
        <v>1178.04</v>
      </c>
      <c r="M629" s="29" t="n">
        <f aca="false">J629-L629</f>
        <v>6846.44310753769</v>
      </c>
      <c r="N629" s="29" t="n">
        <f aca="false">IFERROR(E629/(F629*C629*Model!$B$5),"")</f>
        <v>115.85026389136</v>
      </c>
    </row>
    <row r="630" customFormat="false" ht="15" hidden="false" customHeight="false" outlineLevel="0" collapsed="false">
      <c r="A630" s="0" t="str">
        <f aca="false">Clean!A630</f>
        <v>SHP0629</v>
      </c>
      <c r="B630" s="0" t="str">
        <f aca="false">Clean!AA630</f>
        <v>Delhivery</v>
      </c>
      <c r="C630" s="28" t="n">
        <f aca="false">Clean!J630</f>
        <v>9.57</v>
      </c>
      <c r="D630" s="29" t="n">
        <f aca="false">Clean!AF630</f>
        <v>858.73</v>
      </c>
      <c r="E630" s="29" t="n">
        <f aca="false">Clean!AE630</f>
        <v>2445.95</v>
      </c>
      <c r="F630" s="22" t="n">
        <f aca="false">AVERAGEIFS(Clean!$V$2:$V$1001,Clean!$AA$2:$AA$1001,B630)</f>
        <v>0.72538860103627</v>
      </c>
      <c r="G630" s="29" t="n">
        <f aca="false">F630*C630*D630</f>
        <v>5961.27696373057</v>
      </c>
      <c r="H630" s="29" t="n">
        <f aca="false">G630*Model!$B$4</f>
        <v>5961.27696373057</v>
      </c>
      <c r="I630" s="0" t="str">
        <f aca="false">IF(E630&lt;Model!$B$5*H630,"Expedite","Standard")</f>
        <v>Expedite</v>
      </c>
      <c r="J630" s="29" t="n">
        <f aca="false">H630</f>
        <v>5961.27696373057</v>
      </c>
      <c r="K630" s="29" t="n">
        <f aca="false">E630+(1-Model!$B$5)*H630</f>
        <v>2445.95</v>
      </c>
      <c r="L630" s="29" t="n">
        <f aca="false">IF(I630="Expedite",K630,J630)</f>
        <v>2445.95</v>
      </c>
      <c r="M630" s="29" t="n">
        <f aca="false">J630-L630</f>
        <v>3515.32696373057</v>
      </c>
      <c r="N630" s="29" t="n">
        <f aca="false">IFERROR(E630/(F630*C630*Model!$B$5),"")</f>
        <v>352.342401851023</v>
      </c>
    </row>
    <row r="631" customFormat="false" ht="15" hidden="false" customHeight="false" outlineLevel="0" collapsed="false">
      <c r="A631" s="0" t="str">
        <f aca="false">Clean!A631</f>
        <v>SHP0630</v>
      </c>
      <c r="B631" s="0" t="str">
        <f aca="false">Clean!AA631</f>
        <v>TCI Express</v>
      </c>
      <c r="C631" s="28" t="n">
        <f aca="false">Clean!J631</f>
        <v>11.06</v>
      </c>
      <c r="D631" s="29" t="n">
        <f aca="false">Clean!AF631</f>
        <v>903.52</v>
      </c>
      <c r="E631" s="29" t="n">
        <f aca="false">Clean!AE631</f>
        <v>4327.77</v>
      </c>
      <c r="F631" s="22" t="n">
        <f aca="false">AVERAGEIFS(Clean!$V$2:$V$1001,Clean!$AA$2:$AA$1001,B631)</f>
        <v>0.752336448598131</v>
      </c>
      <c r="G631" s="29" t="n">
        <f aca="false">F631*C631*D631</f>
        <v>7518.04637009346</v>
      </c>
      <c r="H631" s="29" t="n">
        <f aca="false">G631*Model!$B$4</f>
        <v>7518.04637009346</v>
      </c>
      <c r="I631" s="0" t="str">
        <f aca="false">IF(E631&lt;Model!$B$5*H631,"Expedite","Standard")</f>
        <v>Expedite</v>
      </c>
      <c r="J631" s="29" t="n">
        <f aca="false">H631</f>
        <v>7518.04637009346</v>
      </c>
      <c r="K631" s="29" t="n">
        <f aca="false">E631+(1-Model!$B$5)*H631</f>
        <v>4327.77</v>
      </c>
      <c r="L631" s="29" t="n">
        <f aca="false">IF(I631="Expedite",K631,J631)</f>
        <v>4327.77</v>
      </c>
      <c r="M631" s="29" t="n">
        <f aca="false">J631-L631</f>
        <v>3190.27637009346</v>
      </c>
      <c r="N631" s="29" t="n">
        <f aca="false">IFERROR(E631/(F631*C631*Model!$B$5),"")</f>
        <v>520.112082036998</v>
      </c>
    </row>
    <row r="632" customFormat="false" ht="15" hidden="false" customHeight="false" outlineLevel="0" collapsed="false">
      <c r="A632" s="0" t="str">
        <f aca="false">Clean!A632</f>
        <v>SHP0631</v>
      </c>
      <c r="B632" s="0" t="str">
        <f aca="false">Clean!AA632</f>
        <v>GATI Logistics</v>
      </c>
      <c r="C632" s="28" t="n">
        <f aca="false">Clean!J632</f>
        <v>7.33</v>
      </c>
      <c r="D632" s="29" t="n">
        <f aca="false">Clean!AF632</f>
        <v>1449.28</v>
      </c>
      <c r="E632" s="29" t="n">
        <f aca="false">Clean!AE632</f>
        <v>1955.38</v>
      </c>
      <c r="F632" s="22" t="n">
        <f aca="false">AVERAGEIFS(Clean!$V$2:$V$1001,Clean!$AA$2:$AA$1001,B632)</f>
        <v>0.751243781094527</v>
      </c>
      <c r="G632" s="29" t="n">
        <f aca="false">F632*C632*D632</f>
        <v>7980.62976318408</v>
      </c>
      <c r="H632" s="29" t="n">
        <f aca="false">G632*Model!$B$4</f>
        <v>7980.62976318408</v>
      </c>
      <c r="I632" s="0" t="str">
        <f aca="false">IF(E632&lt;Model!$B$5*H632,"Expedite","Standard")</f>
        <v>Expedite</v>
      </c>
      <c r="J632" s="29" t="n">
        <f aca="false">H632</f>
        <v>7980.62976318408</v>
      </c>
      <c r="K632" s="29" t="n">
        <f aca="false">E632+(1-Model!$B$5)*H632</f>
        <v>1955.38</v>
      </c>
      <c r="L632" s="29" t="n">
        <f aca="false">IF(I632="Expedite",K632,J632)</f>
        <v>1955.38</v>
      </c>
      <c r="M632" s="29" t="n">
        <f aca="false">J632-L632</f>
        <v>6025.24976318408</v>
      </c>
      <c r="N632" s="29" t="n">
        <f aca="false">IFERROR(E632/(F632*C632*Model!$B$5),"")</f>
        <v>355.096428539161</v>
      </c>
    </row>
    <row r="633" customFormat="false" ht="15" hidden="false" customHeight="false" outlineLevel="0" collapsed="false">
      <c r="A633" s="0" t="str">
        <f aca="false">Clean!A633</f>
        <v>SHP0632</v>
      </c>
      <c r="B633" s="0" t="str">
        <f aca="false">Clean!AA633</f>
        <v>Delhivery</v>
      </c>
      <c r="C633" s="28" t="n">
        <f aca="false">Clean!J633</f>
        <v>6.8</v>
      </c>
      <c r="D633" s="29" t="n">
        <f aca="false">Clean!AF633</f>
        <v>856.56</v>
      </c>
      <c r="E633" s="29" t="n">
        <f aca="false">Clean!AE633</f>
        <v>3206.85</v>
      </c>
      <c r="F633" s="22" t="n">
        <f aca="false">AVERAGEIFS(Clean!$V$2:$V$1001,Clean!$AA$2:$AA$1001,B633)</f>
        <v>0.72538860103627</v>
      </c>
      <c r="G633" s="29" t="n">
        <f aca="false">F633*C633*D633</f>
        <v>4225.10424870466</v>
      </c>
      <c r="H633" s="29" t="n">
        <f aca="false">G633*Model!$B$4</f>
        <v>4225.10424870466</v>
      </c>
      <c r="I633" s="0" t="str">
        <f aca="false">IF(E633&lt;Model!$B$5*H633,"Expedite","Standard")</f>
        <v>Expedite</v>
      </c>
      <c r="J633" s="29" t="n">
        <f aca="false">H633</f>
        <v>4225.10424870466</v>
      </c>
      <c r="K633" s="29" t="n">
        <f aca="false">E633+(1-Model!$B$5)*H633</f>
        <v>3206.85</v>
      </c>
      <c r="L633" s="29" t="n">
        <f aca="false">IF(I633="Expedite",K633,J633)</f>
        <v>3206.85</v>
      </c>
      <c r="M633" s="29" t="n">
        <f aca="false">J633-L633</f>
        <v>1018.25424870466</v>
      </c>
      <c r="N633" s="29" t="n">
        <f aca="false">IFERROR(E633/(F633*C633*Model!$B$5),"")</f>
        <v>650.128203781513</v>
      </c>
    </row>
    <row r="634" customFormat="false" ht="15" hidden="false" customHeight="false" outlineLevel="0" collapsed="false">
      <c r="A634" s="0" t="str">
        <f aca="false">Clean!A634</f>
        <v>SHP0633</v>
      </c>
      <c r="B634" s="0" t="str">
        <f aca="false">Clean!AA634</f>
        <v>Delhivery</v>
      </c>
      <c r="C634" s="28" t="n">
        <f aca="false">Clean!J634</f>
        <v>9.5</v>
      </c>
      <c r="D634" s="29" t="n">
        <f aca="false">Clean!AF634</f>
        <v>521.15</v>
      </c>
      <c r="E634" s="29" t="n">
        <f aca="false">Clean!AE634</f>
        <v>3837.18</v>
      </c>
      <c r="F634" s="22" t="n">
        <f aca="false">AVERAGEIFS(Clean!$V$2:$V$1001,Clean!$AA$2:$AA$1001,B634)</f>
        <v>0.72538860103627</v>
      </c>
      <c r="G634" s="29" t="n">
        <f aca="false">F634*C634*D634</f>
        <v>3591.34455958549</v>
      </c>
      <c r="H634" s="29" t="n">
        <f aca="false">G634*Model!$B$4</f>
        <v>3591.34455958549</v>
      </c>
      <c r="I634" s="0" t="str">
        <f aca="false">IF(E634&lt;Model!$B$5*H634,"Expedite","Standard")</f>
        <v>Standard</v>
      </c>
      <c r="J634" s="29" t="n">
        <f aca="false">H634</f>
        <v>3591.34455958549</v>
      </c>
      <c r="K634" s="29" t="n">
        <f aca="false">E634+(1-Model!$B$5)*H634</f>
        <v>3837.18</v>
      </c>
      <c r="L634" s="29" t="n">
        <f aca="false">IF(I634="Expedite",K634,J634)</f>
        <v>3591.34455958549</v>
      </c>
      <c r="M634" s="29" t="n">
        <f aca="false">J634-L634</f>
        <v>0</v>
      </c>
      <c r="N634" s="29" t="n">
        <f aca="false">IFERROR(E634/(F634*C634*Model!$B$5),"")</f>
        <v>556.823864661654</v>
      </c>
    </row>
    <row r="635" customFormat="false" ht="15" hidden="false" customHeight="false" outlineLevel="0" collapsed="false">
      <c r="A635" s="0" t="str">
        <f aca="false">Clean!A635</f>
        <v>SHP0634</v>
      </c>
      <c r="B635" s="0" t="str">
        <f aca="false">Clean!AA635</f>
        <v>BlueDart</v>
      </c>
      <c r="C635" s="28" t="n">
        <f aca="false">Clean!J635</f>
        <v>8.96</v>
      </c>
      <c r="D635" s="29" t="n">
        <f aca="false">Clean!AF635</f>
        <v>1352.54</v>
      </c>
      <c r="E635" s="29" t="n">
        <f aca="false">Clean!AE635</f>
        <v>1209.12</v>
      </c>
      <c r="F635" s="22" t="n">
        <f aca="false">AVERAGEIFS(Clean!$V$2:$V$1001,Clean!$AA$2:$AA$1001,B635)</f>
        <v>0.773869346733668</v>
      </c>
      <c r="G635" s="29" t="n">
        <f aca="false">F635*C635*D635</f>
        <v>9378.33564623116</v>
      </c>
      <c r="H635" s="29" t="n">
        <f aca="false">G635*Model!$B$4</f>
        <v>9378.33564623116</v>
      </c>
      <c r="I635" s="0" t="str">
        <f aca="false">IF(E635&lt;Model!$B$5*H635,"Expedite","Standard")</f>
        <v>Expedite</v>
      </c>
      <c r="J635" s="29" t="n">
        <f aca="false">H635</f>
        <v>9378.33564623116</v>
      </c>
      <c r="K635" s="29" t="n">
        <f aca="false">E635+(1-Model!$B$5)*H635</f>
        <v>1209.12</v>
      </c>
      <c r="L635" s="29" t="n">
        <f aca="false">IF(I635="Expedite",K635,J635)</f>
        <v>1209.12</v>
      </c>
      <c r="M635" s="29" t="n">
        <f aca="false">J635-L635</f>
        <v>8169.21564623116</v>
      </c>
      <c r="N635" s="29" t="n">
        <f aca="false">IFERROR(E635/(F635*C635*Model!$B$5),"")</f>
        <v>174.378826530612</v>
      </c>
    </row>
    <row r="636" customFormat="false" ht="15" hidden="false" customHeight="false" outlineLevel="0" collapsed="false">
      <c r="A636" s="0" t="str">
        <f aca="false">Clean!A636</f>
        <v>SHP0635</v>
      </c>
      <c r="B636" s="0" t="str">
        <f aca="false">Clean!AA636</f>
        <v>VRL Cargo</v>
      </c>
      <c r="C636" s="28" t="n">
        <f aca="false">Clean!J636</f>
        <v>4.77</v>
      </c>
      <c r="D636" s="29" t="n">
        <f aca="false">Clean!AF636</f>
        <v>581.94</v>
      </c>
      <c r="E636" s="29" t="n">
        <f aca="false">Clean!AE636</f>
        <v>2972.12</v>
      </c>
      <c r="F636" s="22" t="n">
        <f aca="false">AVERAGEIFS(Clean!$V$2:$V$1001,Clean!$AA$2:$AA$1001,B636)</f>
        <v>0.72020725388601</v>
      </c>
      <c r="G636" s="29" t="n">
        <f aca="false">F636*C636*D636</f>
        <v>1999.19004248705</v>
      </c>
      <c r="H636" s="29" t="n">
        <f aca="false">G636*Model!$B$4</f>
        <v>1999.19004248705</v>
      </c>
      <c r="I636" s="0" t="str">
        <f aca="false">IF(E636&lt;Model!$B$5*H636,"Expedite","Standard")</f>
        <v>Standard</v>
      </c>
      <c r="J636" s="29" t="n">
        <f aca="false">H636</f>
        <v>1999.19004248705</v>
      </c>
      <c r="K636" s="29" t="n">
        <f aca="false">E636+(1-Model!$B$5)*H636</f>
        <v>2972.12</v>
      </c>
      <c r="L636" s="29" t="n">
        <f aca="false">IF(I636="Expedite",K636,J636)</f>
        <v>1999.19004248705</v>
      </c>
      <c r="M636" s="29" t="n">
        <f aca="false">J636-L636</f>
        <v>0</v>
      </c>
      <c r="N636" s="29" t="n">
        <f aca="false">IFERROR(E636/(F636*C636*Model!$B$5),"")</f>
        <v>865.148123011025</v>
      </c>
    </row>
    <row r="637" customFormat="false" ht="15" hidden="false" customHeight="false" outlineLevel="0" collapsed="false">
      <c r="A637" s="0" t="str">
        <f aca="false">Clean!A637</f>
        <v>SHP0636</v>
      </c>
      <c r="B637" s="0" t="str">
        <f aca="false">Clean!AA637</f>
        <v>BlueDart</v>
      </c>
      <c r="C637" s="28" t="n">
        <f aca="false">Clean!J637</f>
        <v>4.72</v>
      </c>
      <c r="D637" s="29" t="n">
        <f aca="false">Clean!AF637</f>
        <v>1202.4</v>
      </c>
      <c r="E637" s="29" t="n">
        <f aca="false">Clean!AE637</f>
        <v>2078.97</v>
      </c>
      <c r="F637" s="22" t="n">
        <f aca="false">AVERAGEIFS(Clean!$V$2:$V$1001,Clean!$AA$2:$AA$1001,B637)</f>
        <v>0.773869346733668</v>
      </c>
      <c r="G637" s="29" t="n">
        <f aca="false">F637*C637*D637</f>
        <v>4391.9623718593</v>
      </c>
      <c r="H637" s="29" t="n">
        <f aca="false">G637*Model!$B$4</f>
        <v>4391.9623718593</v>
      </c>
      <c r="I637" s="0" t="str">
        <f aca="false">IF(E637&lt;Model!$B$5*H637,"Expedite","Standard")</f>
        <v>Expedite</v>
      </c>
      <c r="J637" s="29" t="n">
        <f aca="false">H637</f>
        <v>4391.9623718593</v>
      </c>
      <c r="K637" s="29" t="n">
        <f aca="false">E637+(1-Model!$B$5)*H637</f>
        <v>2078.97</v>
      </c>
      <c r="L637" s="29" t="n">
        <f aca="false">IF(I637="Expedite",K637,J637)</f>
        <v>2078.97</v>
      </c>
      <c r="M637" s="29" t="n">
        <f aca="false">J637-L637</f>
        <v>2312.9923718593</v>
      </c>
      <c r="N637" s="29" t="n">
        <f aca="false">IFERROR(E637/(F637*C637*Model!$B$5),"")</f>
        <v>569.165515628439</v>
      </c>
    </row>
    <row r="638" customFormat="false" ht="15" hidden="false" customHeight="false" outlineLevel="0" collapsed="false">
      <c r="A638" s="0" t="str">
        <f aca="false">Clean!A638</f>
        <v>SHP0637</v>
      </c>
      <c r="B638" s="0" t="str">
        <f aca="false">Clean!AA638</f>
        <v>Delhivery</v>
      </c>
      <c r="C638" s="28" t="n">
        <f aca="false">Clean!J638</f>
        <v>13.52</v>
      </c>
      <c r="D638" s="29" t="n">
        <f aca="false">Clean!AF638</f>
        <v>1286.72</v>
      </c>
      <c r="E638" s="29" t="n">
        <f aca="false">Clean!AE638</f>
        <v>4209.09</v>
      </c>
      <c r="F638" s="22" t="n">
        <f aca="false">AVERAGEIFS(Clean!$V$2:$V$1001,Clean!$AA$2:$AA$1001,B638)</f>
        <v>0.72538860103627</v>
      </c>
      <c r="G638" s="29" t="n">
        <f aca="false">F638*C638*D638</f>
        <v>12619.1897202073</v>
      </c>
      <c r="H638" s="29" t="n">
        <f aca="false">G638*Model!$B$4</f>
        <v>12619.1897202073</v>
      </c>
      <c r="I638" s="0" t="str">
        <f aca="false">IF(E638&lt;Model!$B$5*H638,"Expedite","Standard")</f>
        <v>Expedite</v>
      </c>
      <c r="J638" s="29" t="n">
        <f aca="false">H638</f>
        <v>12619.1897202073</v>
      </c>
      <c r="K638" s="29" t="n">
        <f aca="false">E638+(1-Model!$B$5)*H638</f>
        <v>4209.09</v>
      </c>
      <c r="L638" s="29" t="n">
        <f aca="false">IF(I638="Expedite",K638,J638)</f>
        <v>4209.09</v>
      </c>
      <c r="M638" s="29" t="n">
        <f aca="false">J638-L638</f>
        <v>8410.09972020725</v>
      </c>
      <c r="N638" s="29" t="n">
        <f aca="false">IFERROR(E638/(F638*C638*Model!$B$5),"")</f>
        <v>429.181302831784</v>
      </c>
    </row>
    <row r="639" customFormat="false" ht="15" hidden="false" customHeight="false" outlineLevel="0" collapsed="false">
      <c r="A639" s="0" t="str">
        <f aca="false">Clean!A639</f>
        <v>SHP0638</v>
      </c>
      <c r="B639" s="0" t="str">
        <f aca="false">Clean!AA639</f>
        <v>TCI Express</v>
      </c>
      <c r="C639" s="28" t="n">
        <f aca="false">Clean!J639</f>
        <v>10.68</v>
      </c>
      <c r="D639" s="29" t="n">
        <f aca="false">Clean!AF639</f>
        <v>813.48</v>
      </c>
      <c r="E639" s="29" t="n">
        <f aca="false">Clean!AE639</f>
        <v>1779.99</v>
      </c>
      <c r="F639" s="22" t="n">
        <f aca="false">AVERAGEIFS(Clean!$V$2:$V$1001,Clean!$AA$2:$AA$1001,B639)</f>
        <v>0.752336448598131</v>
      </c>
      <c r="G639" s="29" t="n">
        <f aca="false">F639*C639*D639</f>
        <v>6536.27378691589</v>
      </c>
      <c r="H639" s="29" t="n">
        <f aca="false">G639*Model!$B$4</f>
        <v>6536.27378691589</v>
      </c>
      <c r="I639" s="0" t="str">
        <f aca="false">IF(E639&lt;Model!$B$5*H639,"Expedite","Standard")</f>
        <v>Expedite</v>
      </c>
      <c r="J639" s="29" t="n">
        <f aca="false">H639</f>
        <v>6536.27378691589</v>
      </c>
      <c r="K639" s="29" t="n">
        <f aca="false">E639+(1-Model!$B$5)*H639</f>
        <v>1779.99</v>
      </c>
      <c r="L639" s="29" t="n">
        <f aca="false">IF(I639="Expedite",K639,J639)</f>
        <v>1779.99</v>
      </c>
      <c r="M639" s="29" t="n">
        <f aca="false">J639-L639</f>
        <v>4756.28378691589</v>
      </c>
      <c r="N639" s="29" t="n">
        <f aca="false">IFERROR(E639/(F639*C639*Model!$B$5),"")</f>
        <v>221.530846534999</v>
      </c>
    </row>
    <row r="640" customFormat="false" ht="15" hidden="false" customHeight="false" outlineLevel="0" collapsed="false">
      <c r="A640" s="0" t="str">
        <f aca="false">Clean!A640</f>
        <v>SHP0639</v>
      </c>
      <c r="B640" s="0" t="str">
        <f aca="false">Clean!AA640</f>
        <v>VRL Cargo</v>
      </c>
      <c r="C640" s="28" t="n">
        <f aca="false">Clean!J640</f>
        <v>12.79</v>
      </c>
      <c r="D640" s="29" t="n">
        <f aca="false">Clean!AF640</f>
        <v>1256.54</v>
      </c>
      <c r="E640" s="29" t="n">
        <f aca="false">Clean!AE640</f>
        <v>1472.02</v>
      </c>
      <c r="F640" s="22" t="n">
        <f aca="false">AVERAGEIFS(Clean!$V$2:$V$1001,Clean!$AA$2:$AA$1001,B640)</f>
        <v>0.72020725388601</v>
      </c>
      <c r="G640" s="29" t="n">
        <f aca="false">F640*C640*D640</f>
        <v>11574.5563595855</v>
      </c>
      <c r="H640" s="29" t="n">
        <f aca="false">G640*Model!$B$4</f>
        <v>11574.5563595855</v>
      </c>
      <c r="I640" s="0" t="str">
        <f aca="false">IF(E640&lt;Model!$B$5*H640,"Expedite","Standard")</f>
        <v>Expedite</v>
      </c>
      <c r="J640" s="29" t="n">
        <f aca="false">H640</f>
        <v>11574.5563595855</v>
      </c>
      <c r="K640" s="29" t="n">
        <f aca="false">E640+(1-Model!$B$5)*H640</f>
        <v>1472.02</v>
      </c>
      <c r="L640" s="29" t="n">
        <f aca="false">IF(I640="Expedite",K640,J640)</f>
        <v>1472.02</v>
      </c>
      <c r="M640" s="29" t="n">
        <f aca="false">J640-L640</f>
        <v>10102.5363595855</v>
      </c>
      <c r="N640" s="29" t="n">
        <f aca="false">IFERROR(E640/(F640*C640*Model!$B$5),"")</f>
        <v>159.803274815644</v>
      </c>
    </row>
    <row r="641" customFormat="false" ht="15" hidden="false" customHeight="false" outlineLevel="0" collapsed="false">
      <c r="A641" s="0" t="str">
        <f aca="false">Clean!A641</f>
        <v>SHP0640</v>
      </c>
      <c r="B641" s="0" t="str">
        <f aca="false">Clean!AA641</f>
        <v>BlueDart</v>
      </c>
      <c r="C641" s="28" t="n">
        <f aca="false">Clean!J641</f>
        <v>2.81</v>
      </c>
      <c r="D641" s="29" t="n">
        <f aca="false">Clean!AF641</f>
        <v>1224.79</v>
      </c>
      <c r="E641" s="29" t="n">
        <f aca="false">Clean!AE641</f>
        <v>1693.58</v>
      </c>
      <c r="F641" s="22" t="n">
        <f aca="false">AVERAGEIFS(Clean!$V$2:$V$1001,Clean!$AA$2:$AA$1001,B641)</f>
        <v>0.773869346733668</v>
      </c>
      <c r="G641" s="29" t="n">
        <f aca="false">F641*C641*D641</f>
        <v>2663.39509849246</v>
      </c>
      <c r="H641" s="29" t="n">
        <f aca="false">G641*Model!$B$4</f>
        <v>2663.39509849246</v>
      </c>
      <c r="I641" s="0" t="str">
        <f aca="false">IF(E641&lt;Model!$B$5*H641,"Expedite","Standard")</f>
        <v>Expedite</v>
      </c>
      <c r="J641" s="29" t="n">
        <f aca="false">H641</f>
        <v>2663.39509849246</v>
      </c>
      <c r="K641" s="29" t="n">
        <f aca="false">E641+(1-Model!$B$5)*H641</f>
        <v>1693.58</v>
      </c>
      <c r="L641" s="29" t="n">
        <f aca="false">IF(I641="Expedite",K641,J641)</f>
        <v>1693.58</v>
      </c>
      <c r="M641" s="29" t="n">
        <f aca="false">J641-L641</f>
        <v>969.815098492462</v>
      </c>
      <c r="N641" s="29" t="n">
        <f aca="false">IFERROR(E641/(F641*C641*Model!$B$5),"")</f>
        <v>778.810417340666</v>
      </c>
    </row>
    <row r="642" customFormat="false" ht="15" hidden="false" customHeight="false" outlineLevel="0" collapsed="false">
      <c r="A642" s="0" t="str">
        <f aca="false">Clean!A642</f>
        <v>SHP0641</v>
      </c>
      <c r="B642" s="0" t="str">
        <f aca="false">Clean!AA642</f>
        <v>GATI Logistics</v>
      </c>
      <c r="C642" s="28" t="n">
        <f aca="false">Clean!J642</f>
        <v>10.6</v>
      </c>
      <c r="D642" s="29" t="n">
        <f aca="false">Clean!AF642</f>
        <v>1229.92</v>
      </c>
      <c r="E642" s="29" t="n">
        <f aca="false">Clean!AE642</f>
        <v>1063.41</v>
      </c>
      <c r="F642" s="22" t="n">
        <f aca="false">AVERAGEIFS(Clean!$V$2:$V$1001,Clean!$AA$2:$AA$1001,B642)</f>
        <v>0.751243781094527</v>
      </c>
      <c r="G642" s="29" t="n">
        <f aca="false">F642*C642*D642</f>
        <v>9794.07936318408</v>
      </c>
      <c r="H642" s="29" t="n">
        <f aca="false">G642*Model!$B$4</f>
        <v>9794.07936318408</v>
      </c>
      <c r="I642" s="0" t="str">
        <f aca="false">IF(E642&lt;Model!$B$5*H642,"Expedite","Standard")</f>
        <v>Expedite</v>
      </c>
      <c r="J642" s="29" t="n">
        <f aca="false">H642</f>
        <v>9794.07936318408</v>
      </c>
      <c r="K642" s="29" t="n">
        <f aca="false">E642+(1-Model!$B$5)*H642</f>
        <v>1063.41</v>
      </c>
      <c r="L642" s="29" t="n">
        <f aca="false">IF(I642="Expedite",K642,J642)</f>
        <v>1063.41</v>
      </c>
      <c r="M642" s="29" t="n">
        <f aca="false">J642-L642</f>
        <v>8730.66936318408</v>
      </c>
      <c r="N642" s="29" t="n">
        <f aca="false">IFERROR(E642/(F642*C642*Model!$B$5),"")</f>
        <v>133.540803448707</v>
      </c>
    </row>
    <row r="643" customFormat="false" ht="15" hidden="false" customHeight="false" outlineLevel="0" collapsed="false">
      <c r="A643" s="0" t="str">
        <f aca="false">Clean!A643</f>
        <v>SHP0642</v>
      </c>
      <c r="B643" s="0" t="str">
        <f aca="false">Clean!AA643</f>
        <v>VRL Cargo</v>
      </c>
      <c r="C643" s="28" t="n">
        <f aca="false">Clean!J643</f>
        <v>17.89</v>
      </c>
      <c r="D643" s="29" t="n">
        <f aca="false">Clean!AF643</f>
        <v>959.98</v>
      </c>
      <c r="E643" s="29" t="n">
        <f aca="false">Clean!AE643</f>
        <v>2210.49</v>
      </c>
      <c r="F643" s="22" t="n">
        <f aca="false">AVERAGEIFS(Clean!$V$2:$V$1001,Clean!$AA$2:$AA$1001,B643)</f>
        <v>0.72020725388601</v>
      </c>
      <c r="G643" s="29" t="n">
        <f aca="false">F643*C643*D643</f>
        <v>12368.8697709845</v>
      </c>
      <c r="H643" s="29" t="n">
        <f aca="false">G643*Model!$B$4</f>
        <v>12368.8697709845</v>
      </c>
      <c r="I643" s="0" t="str">
        <f aca="false">IF(E643&lt;Model!$B$5*H643,"Expedite","Standard")</f>
        <v>Expedite</v>
      </c>
      <c r="J643" s="29" t="n">
        <f aca="false">H643</f>
        <v>12368.8697709845</v>
      </c>
      <c r="K643" s="29" t="n">
        <f aca="false">E643+(1-Model!$B$5)*H643</f>
        <v>2210.49</v>
      </c>
      <c r="L643" s="29" t="n">
        <f aca="false">IF(I643="Expedite",K643,J643)</f>
        <v>2210.49</v>
      </c>
      <c r="M643" s="29" t="n">
        <f aca="false">J643-L643</f>
        <v>10158.3797709845</v>
      </c>
      <c r="N643" s="29" t="n">
        <f aca="false">IFERROR(E643/(F643*C643*Model!$B$5),"")</f>
        <v>171.561850798847</v>
      </c>
    </row>
    <row r="644" customFormat="false" ht="15" hidden="false" customHeight="false" outlineLevel="0" collapsed="false">
      <c r="A644" s="0" t="str">
        <f aca="false">Clean!A644</f>
        <v>SHP0643</v>
      </c>
      <c r="B644" s="0" t="str">
        <f aca="false">Clean!AA644</f>
        <v>TCI Express</v>
      </c>
      <c r="C644" s="28" t="n">
        <f aca="false">Clean!J644</f>
        <v>6.31</v>
      </c>
      <c r="D644" s="29" t="n">
        <f aca="false">Clean!AF644</f>
        <v>616.33</v>
      </c>
      <c r="E644" s="29" t="n">
        <f aca="false">Clean!AE644</f>
        <v>1840.47</v>
      </c>
      <c r="F644" s="22" t="n">
        <f aca="false">AVERAGEIFS(Clean!$V$2:$V$1001,Clean!$AA$2:$AA$1001,B644)</f>
        <v>0.752336448598131</v>
      </c>
      <c r="G644" s="29" t="n">
        <f aca="false">F644*C644*D644</f>
        <v>2925.86827242991</v>
      </c>
      <c r="H644" s="29" t="n">
        <f aca="false">G644*Model!$B$4</f>
        <v>2925.86827242991</v>
      </c>
      <c r="I644" s="0" t="str">
        <f aca="false">IF(E644&lt;Model!$B$5*H644,"Expedite","Standard")</f>
        <v>Expedite</v>
      </c>
      <c r="J644" s="29" t="n">
        <f aca="false">H644</f>
        <v>2925.86827242991</v>
      </c>
      <c r="K644" s="29" t="n">
        <f aca="false">E644+(1-Model!$B$5)*H644</f>
        <v>1840.47</v>
      </c>
      <c r="L644" s="29" t="n">
        <f aca="false">IF(I644="Expedite",K644,J644)</f>
        <v>1840.47</v>
      </c>
      <c r="M644" s="29" t="n">
        <f aca="false">J644-L644</f>
        <v>1085.39827242991</v>
      </c>
      <c r="N644" s="29" t="n">
        <f aca="false">IFERROR(E644/(F644*C644*Model!$B$5),"")</f>
        <v>387.692394011281</v>
      </c>
    </row>
    <row r="645" customFormat="false" ht="15" hidden="false" customHeight="false" outlineLevel="0" collapsed="false">
      <c r="A645" s="0" t="str">
        <f aca="false">Clean!A645</f>
        <v>SHP0644</v>
      </c>
      <c r="B645" s="0" t="str">
        <f aca="false">Clean!AA645</f>
        <v>GATI Logistics</v>
      </c>
      <c r="C645" s="28" t="n">
        <f aca="false">Clean!J645</f>
        <v>19.43</v>
      </c>
      <c r="D645" s="29" t="n">
        <f aca="false">Clean!AF645</f>
        <v>1142.81</v>
      </c>
      <c r="E645" s="29" t="n">
        <f aca="false">Clean!AE645</f>
        <v>3789.73</v>
      </c>
      <c r="F645" s="22" t="n">
        <f aca="false">AVERAGEIFS(Clean!$V$2:$V$1001,Clean!$AA$2:$AA$1001,B645)</f>
        <v>0.751243781094527</v>
      </c>
      <c r="G645" s="29" t="n">
        <f aca="false">F645*C645*D645</f>
        <v>16681.2166333333</v>
      </c>
      <c r="H645" s="29" t="n">
        <f aca="false">G645*Model!$B$4</f>
        <v>16681.2166333333</v>
      </c>
      <c r="I645" s="0" t="str">
        <f aca="false">IF(E645&lt;Model!$B$5*H645,"Expedite","Standard")</f>
        <v>Expedite</v>
      </c>
      <c r="J645" s="29" t="n">
        <f aca="false">H645</f>
        <v>16681.2166333333</v>
      </c>
      <c r="K645" s="29" t="n">
        <f aca="false">E645+(1-Model!$B$5)*H645</f>
        <v>3789.73</v>
      </c>
      <c r="L645" s="29" t="n">
        <f aca="false">IF(I645="Expedite",K645,J645)</f>
        <v>3789.73</v>
      </c>
      <c r="M645" s="29" t="n">
        <f aca="false">J645-L645</f>
        <v>12891.4866333333</v>
      </c>
      <c r="N645" s="29" t="n">
        <f aca="false">IFERROR(E645/(F645*C645*Model!$B$5),"")</f>
        <v>259.629824160767</v>
      </c>
    </row>
    <row r="646" customFormat="false" ht="15" hidden="false" customHeight="false" outlineLevel="0" collapsed="false">
      <c r="A646" s="0" t="str">
        <f aca="false">Clean!A646</f>
        <v>SHP0645</v>
      </c>
      <c r="B646" s="0" t="str">
        <f aca="false">Clean!AA646</f>
        <v>VRL Cargo</v>
      </c>
      <c r="C646" s="28" t="n">
        <f aca="false">Clean!J646</f>
        <v>15.87</v>
      </c>
      <c r="D646" s="29" t="n">
        <f aca="false">Clean!AF646</f>
        <v>590.42</v>
      </c>
      <c r="E646" s="29" t="n">
        <f aca="false">Clean!AE646</f>
        <v>3601.02</v>
      </c>
      <c r="F646" s="22" t="n">
        <f aca="false">AVERAGEIFS(Clean!$V$2:$V$1001,Clean!$AA$2:$AA$1001,B646)</f>
        <v>0.72020725388601</v>
      </c>
      <c r="G646" s="29" t="n">
        <f aca="false">F646*C646*D646</f>
        <v>6748.31704974093</v>
      </c>
      <c r="H646" s="29" t="n">
        <f aca="false">G646*Model!$B$4</f>
        <v>6748.31704974093</v>
      </c>
      <c r="I646" s="0" t="str">
        <f aca="false">IF(E646&lt;Model!$B$5*H646,"Expedite","Standard")</f>
        <v>Expedite</v>
      </c>
      <c r="J646" s="29" t="n">
        <f aca="false">H646</f>
        <v>6748.31704974093</v>
      </c>
      <c r="K646" s="29" t="n">
        <f aca="false">E646+(1-Model!$B$5)*H646</f>
        <v>3601.02</v>
      </c>
      <c r="L646" s="29" t="n">
        <f aca="false">IF(I646="Expedite",K646,J646)</f>
        <v>3601.02</v>
      </c>
      <c r="M646" s="29" t="n">
        <f aca="false">J646-L646</f>
        <v>3147.29704974093</v>
      </c>
      <c r="N646" s="29" t="n">
        <f aca="false">IFERROR(E646/(F646*C646*Model!$B$5),"")</f>
        <v>315.058437937741</v>
      </c>
    </row>
    <row r="647" customFormat="false" ht="15" hidden="false" customHeight="false" outlineLevel="0" collapsed="false">
      <c r="A647" s="0" t="str">
        <f aca="false">Clean!A647</f>
        <v>SHP0646</v>
      </c>
      <c r="B647" s="0" t="str">
        <f aca="false">Clean!AA647</f>
        <v>BlueDart</v>
      </c>
      <c r="C647" s="28" t="n">
        <f aca="false">Clean!J647</f>
        <v>19.01</v>
      </c>
      <c r="D647" s="29" t="n">
        <f aca="false">Clean!AF647</f>
        <v>900.97</v>
      </c>
      <c r="E647" s="29" t="n">
        <f aca="false">Clean!AE647</f>
        <v>1493.27</v>
      </c>
      <c r="F647" s="22" t="n">
        <f aca="false">AVERAGEIFS(Clean!$V$2:$V$1001,Clean!$AA$2:$AA$1001,B647)</f>
        <v>0.773869346733668</v>
      </c>
      <c r="G647" s="29" t="n">
        <f aca="false">F647*C647*D647</f>
        <v>13254.4005718593</v>
      </c>
      <c r="H647" s="29" t="n">
        <f aca="false">G647*Model!$B$4</f>
        <v>13254.4005718593</v>
      </c>
      <c r="I647" s="0" t="str">
        <f aca="false">IF(E647&lt;Model!$B$5*H647,"Expedite","Standard")</f>
        <v>Expedite</v>
      </c>
      <c r="J647" s="29" t="n">
        <f aca="false">H647</f>
        <v>13254.4005718593</v>
      </c>
      <c r="K647" s="29" t="n">
        <f aca="false">E647+(1-Model!$B$5)*H647</f>
        <v>1493.27</v>
      </c>
      <c r="L647" s="29" t="n">
        <f aca="false">IF(I647="Expedite",K647,J647)</f>
        <v>1493.27</v>
      </c>
      <c r="M647" s="29" t="n">
        <f aca="false">J647-L647</f>
        <v>11761.1305718593</v>
      </c>
      <c r="N647" s="29" t="n">
        <f aca="false">IFERROR(E647/(F647*C647*Model!$B$5),"")</f>
        <v>101.505267220943</v>
      </c>
    </row>
    <row r="648" customFormat="false" ht="15" hidden="false" customHeight="false" outlineLevel="0" collapsed="false">
      <c r="A648" s="0" t="str">
        <f aca="false">Clean!A648</f>
        <v>SHP0647</v>
      </c>
      <c r="B648" s="0" t="str">
        <f aca="false">Clean!AA648</f>
        <v>BlueDart</v>
      </c>
      <c r="C648" s="28" t="n">
        <f aca="false">Clean!J648</f>
        <v>7.66</v>
      </c>
      <c r="D648" s="29" t="n">
        <f aca="false">Clean!AF648</f>
        <v>547.22</v>
      </c>
      <c r="E648" s="29" t="n">
        <f aca="false">Clean!AE648</f>
        <v>2517.13</v>
      </c>
      <c r="F648" s="22" t="n">
        <f aca="false">AVERAGEIFS(Clean!$V$2:$V$1001,Clean!$AA$2:$AA$1001,B648)</f>
        <v>0.773869346733668</v>
      </c>
      <c r="G648" s="29" t="n">
        <f aca="false">F648*C648*D648</f>
        <v>3243.83216482412</v>
      </c>
      <c r="H648" s="29" t="n">
        <f aca="false">G648*Model!$B$4</f>
        <v>3243.83216482412</v>
      </c>
      <c r="I648" s="0" t="str">
        <f aca="false">IF(E648&lt;Model!$B$5*H648,"Expedite","Standard")</f>
        <v>Expedite</v>
      </c>
      <c r="J648" s="29" t="n">
        <f aca="false">H648</f>
        <v>3243.83216482412</v>
      </c>
      <c r="K648" s="29" t="n">
        <f aca="false">E648+(1-Model!$B$5)*H648</f>
        <v>2517.13</v>
      </c>
      <c r="L648" s="29" t="n">
        <f aca="false">IF(I648="Expedite",K648,J648)</f>
        <v>2517.13</v>
      </c>
      <c r="M648" s="29" t="n">
        <f aca="false">J648-L648</f>
        <v>726.702164824121</v>
      </c>
      <c r="N648" s="29" t="n">
        <f aca="false">IFERROR(E648/(F648*C648*Model!$B$5),"")</f>
        <v>424.628590078329</v>
      </c>
    </row>
    <row r="649" customFormat="false" ht="15" hidden="false" customHeight="false" outlineLevel="0" collapsed="false">
      <c r="A649" s="0" t="str">
        <f aca="false">Clean!A649</f>
        <v>SHP0648</v>
      </c>
      <c r="B649" s="0" t="str">
        <f aca="false">Clean!AA649</f>
        <v>TCI Express</v>
      </c>
      <c r="C649" s="28" t="n">
        <f aca="false">Clean!J649</f>
        <v>4.35</v>
      </c>
      <c r="D649" s="29" t="n">
        <f aca="false">Clean!AF649</f>
        <v>674.5</v>
      </c>
      <c r="E649" s="29" t="n">
        <f aca="false">Clean!AE649</f>
        <v>3216.4</v>
      </c>
      <c r="F649" s="22" t="n">
        <f aca="false">AVERAGEIFS(Clean!$V$2:$V$1001,Clean!$AA$2:$AA$1001,B649)</f>
        <v>0.752336448598131</v>
      </c>
      <c r="G649" s="29" t="n">
        <f aca="false">F649*C649*D649</f>
        <v>2207.41156542056</v>
      </c>
      <c r="H649" s="29" t="n">
        <f aca="false">G649*Model!$B$4</f>
        <v>2207.41156542056</v>
      </c>
      <c r="I649" s="0" t="str">
        <f aca="false">IF(E649&lt;Model!$B$5*H649,"Expedite","Standard")</f>
        <v>Standard</v>
      </c>
      <c r="J649" s="29" t="n">
        <f aca="false">H649</f>
        <v>2207.41156542056</v>
      </c>
      <c r="K649" s="29" t="n">
        <f aca="false">E649+(1-Model!$B$5)*H649</f>
        <v>3216.4</v>
      </c>
      <c r="L649" s="29" t="n">
        <f aca="false">IF(I649="Expedite",K649,J649)</f>
        <v>2207.41156542056</v>
      </c>
      <c r="M649" s="29" t="n">
        <f aca="false">J649-L649</f>
        <v>0</v>
      </c>
      <c r="N649" s="29" t="n">
        <f aca="false">IFERROR(E649/(F649*C649*Model!$B$5),"")</f>
        <v>982.808024559149</v>
      </c>
    </row>
    <row r="650" customFormat="false" ht="15" hidden="false" customHeight="false" outlineLevel="0" collapsed="false">
      <c r="A650" s="0" t="str">
        <f aca="false">Clean!A650</f>
        <v>SHP0649</v>
      </c>
      <c r="B650" s="0" t="str">
        <f aca="false">Clean!AA650</f>
        <v>TCI Express</v>
      </c>
      <c r="C650" s="28" t="n">
        <f aca="false">Clean!J650</f>
        <v>8.2</v>
      </c>
      <c r="D650" s="29" t="n">
        <f aca="false">Clean!AF650</f>
        <v>1240.51</v>
      </c>
      <c r="E650" s="29" t="n">
        <f aca="false">Clean!AE650</f>
        <v>3176.5</v>
      </c>
      <c r="F650" s="22" t="n">
        <f aca="false">AVERAGEIFS(Clean!$V$2:$V$1001,Clean!$AA$2:$AA$1001,B650)</f>
        <v>0.752336448598131</v>
      </c>
      <c r="G650" s="29" t="n">
        <f aca="false">F650*C650*D650</f>
        <v>7652.90328037383</v>
      </c>
      <c r="H650" s="29" t="n">
        <f aca="false">G650*Model!$B$4</f>
        <v>7652.90328037383</v>
      </c>
      <c r="I650" s="0" t="str">
        <f aca="false">IF(E650&lt;Model!$B$5*H650,"Expedite","Standard")</f>
        <v>Expedite</v>
      </c>
      <c r="J650" s="29" t="n">
        <f aca="false">H650</f>
        <v>7652.90328037383</v>
      </c>
      <c r="K650" s="29" t="n">
        <f aca="false">E650+(1-Model!$B$5)*H650</f>
        <v>3176.5</v>
      </c>
      <c r="L650" s="29" t="n">
        <f aca="false">IF(I650="Expedite",K650,J650)</f>
        <v>3176.5</v>
      </c>
      <c r="M650" s="29" t="n">
        <f aca="false">J650-L650</f>
        <v>4476.40328037383</v>
      </c>
      <c r="N650" s="29" t="n">
        <f aca="false">IFERROR(E650/(F650*C650*Model!$B$5),"")</f>
        <v>514.90001514922</v>
      </c>
    </row>
    <row r="651" customFormat="false" ht="15" hidden="false" customHeight="false" outlineLevel="0" collapsed="false">
      <c r="A651" s="0" t="str">
        <f aca="false">Clean!A651</f>
        <v>SHP0650</v>
      </c>
      <c r="B651" s="0" t="str">
        <f aca="false">Clean!AA651</f>
        <v>VRL Cargo</v>
      </c>
      <c r="C651" s="28" t="n">
        <f aca="false">Clean!J651</f>
        <v>15.38</v>
      </c>
      <c r="D651" s="29" t="n">
        <f aca="false">Clean!AF651</f>
        <v>673.98</v>
      </c>
      <c r="E651" s="29" t="n">
        <f aca="false">Clean!AE651</f>
        <v>2855.24</v>
      </c>
      <c r="F651" s="22" t="n">
        <f aca="false">AVERAGEIFS(Clean!$V$2:$V$1001,Clean!$AA$2:$AA$1001,B651)</f>
        <v>0.72020725388601</v>
      </c>
      <c r="G651" s="29" t="n">
        <f aca="false">F651*C651*D651</f>
        <v>7465.53328290156</v>
      </c>
      <c r="H651" s="29" t="n">
        <f aca="false">G651*Model!$B$4</f>
        <v>7465.53328290156</v>
      </c>
      <c r="I651" s="0" t="str">
        <f aca="false">IF(E651&lt;Model!$B$5*H651,"Expedite","Standard")</f>
        <v>Expedite</v>
      </c>
      <c r="J651" s="29" t="n">
        <f aca="false">H651</f>
        <v>7465.53328290156</v>
      </c>
      <c r="K651" s="29" t="n">
        <f aca="false">E651+(1-Model!$B$5)*H651</f>
        <v>2855.24</v>
      </c>
      <c r="L651" s="29" t="n">
        <f aca="false">IF(I651="Expedite",K651,J651)</f>
        <v>2855.24</v>
      </c>
      <c r="M651" s="29" t="n">
        <f aca="false">J651-L651</f>
        <v>4610.29328290156</v>
      </c>
      <c r="N651" s="29" t="n">
        <f aca="false">IFERROR(E651/(F651*C651*Model!$B$5),"")</f>
        <v>257.767875686447</v>
      </c>
    </row>
    <row r="652" customFormat="false" ht="15" hidden="false" customHeight="false" outlineLevel="0" collapsed="false">
      <c r="A652" s="0" t="str">
        <f aca="false">Clean!A652</f>
        <v>SHP0651</v>
      </c>
      <c r="B652" s="0" t="str">
        <f aca="false">Clean!AA652</f>
        <v>Delhivery</v>
      </c>
      <c r="C652" s="28" t="n">
        <f aca="false">Clean!J652</f>
        <v>7.41</v>
      </c>
      <c r="D652" s="29" t="n">
        <f aca="false">Clean!AF652</f>
        <v>1000.88</v>
      </c>
      <c r="E652" s="29" t="n">
        <f aca="false">Clean!AE652</f>
        <v>4370.15</v>
      </c>
      <c r="F652" s="22" t="n">
        <f aca="false">AVERAGEIFS(Clean!$V$2:$V$1001,Clean!$AA$2:$AA$1001,B652)</f>
        <v>0.72538860103627</v>
      </c>
      <c r="G652" s="29" t="n">
        <f aca="false">F652*C652*D652</f>
        <v>5379.85964766839</v>
      </c>
      <c r="H652" s="29" t="n">
        <f aca="false">G652*Model!$B$4</f>
        <v>5379.85964766839</v>
      </c>
      <c r="I652" s="0" t="str">
        <f aca="false">IF(E652&lt;Model!$B$5*H652,"Expedite","Standard")</f>
        <v>Expedite</v>
      </c>
      <c r="J652" s="29" t="n">
        <f aca="false">H652</f>
        <v>5379.85964766839</v>
      </c>
      <c r="K652" s="29" t="n">
        <f aca="false">E652+(1-Model!$B$5)*H652</f>
        <v>4370.15</v>
      </c>
      <c r="L652" s="29" t="n">
        <f aca="false">IF(I652="Expedite",K652,J652)</f>
        <v>4370.15</v>
      </c>
      <c r="M652" s="29" t="n">
        <f aca="false">J652-L652</f>
        <v>1009.70964766839</v>
      </c>
      <c r="N652" s="29" t="n">
        <f aca="false">IFERROR(E652/(F652*C652*Model!$B$5),"")</f>
        <v>813.031569307885</v>
      </c>
    </row>
    <row r="653" customFormat="false" ht="15" hidden="false" customHeight="false" outlineLevel="0" collapsed="false">
      <c r="A653" s="0" t="str">
        <f aca="false">Clean!A653</f>
        <v>SHP0652</v>
      </c>
      <c r="B653" s="0" t="str">
        <f aca="false">Clean!AA653</f>
        <v>BlueDart</v>
      </c>
      <c r="C653" s="28" t="n">
        <f aca="false">Clean!J653</f>
        <v>19.65</v>
      </c>
      <c r="D653" s="29" t="n">
        <f aca="false">Clean!AF653</f>
        <v>1049.41</v>
      </c>
      <c r="E653" s="29" t="n">
        <f aca="false">Clean!AE653</f>
        <v>1262.5</v>
      </c>
      <c r="F653" s="22" t="n">
        <f aca="false">AVERAGEIFS(Clean!$V$2:$V$1001,Clean!$AA$2:$AA$1001,B653)</f>
        <v>0.773869346733668</v>
      </c>
      <c r="G653" s="29" t="n">
        <f aca="false">F653*C653*D653</f>
        <v>15957.8874422111</v>
      </c>
      <c r="H653" s="29" t="n">
        <f aca="false">G653*Model!$B$4</f>
        <v>15957.8874422111</v>
      </c>
      <c r="I653" s="0" t="str">
        <f aca="false">IF(E653&lt;Model!$B$5*H653,"Expedite","Standard")</f>
        <v>Expedite</v>
      </c>
      <c r="J653" s="29" t="n">
        <f aca="false">H653</f>
        <v>15957.8874422111</v>
      </c>
      <c r="K653" s="29" t="n">
        <f aca="false">E653+(1-Model!$B$5)*H653</f>
        <v>1262.5</v>
      </c>
      <c r="L653" s="29" t="n">
        <f aca="false">IF(I653="Expedite",K653,J653)</f>
        <v>1262.5</v>
      </c>
      <c r="M653" s="29" t="n">
        <f aca="false">J653-L653</f>
        <v>14695.3874422111</v>
      </c>
      <c r="N653" s="29" t="n">
        <f aca="false">IFERROR(E653/(F653*C653*Model!$B$5),"")</f>
        <v>83.0235286342157</v>
      </c>
    </row>
    <row r="654" customFormat="false" ht="15" hidden="false" customHeight="false" outlineLevel="0" collapsed="false">
      <c r="A654" s="0" t="str">
        <f aca="false">Clean!A654</f>
        <v>SHP0653</v>
      </c>
      <c r="B654" s="0" t="str">
        <f aca="false">Clean!AA654</f>
        <v>GATI Logistics</v>
      </c>
      <c r="C654" s="28" t="n">
        <f aca="false">Clean!J654</f>
        <v>12.23</v>
      </c>
      <c r="D654" s="29" t="n">
        <f aca="false">Clean!AF654</f>
        <v>1213.61</v>
      </c>
      <c r="E654" s="29" t="n">
        <f aca="false">Clean!AE654</f>
        <v>4048.75</v>
      </c>
      <c r="F654" s="22" t="n">
        <f aca="false">AVERAGEIFS(Clean!$V$2:$V$1001,Clean!$AA$2:$AA$1001,B654)</f>
        <v>0.751243781094527</v>
      </c>
      <c r="G654" s="29" t="n">
        <f aca="false">F654*C654*D654</f>
        <v>11150.2984840796</v>
      </c>
      <c r="H654" s="29" t="n">
        <f aca="false">G654*Model!$B$4</f>
        <v>11150.2984840796</v>
      </c>
      <c r="I654" s="0" t="str">
        <f aca="false">IF(E654&lt;Model!$B$5*H654,"Expedite","Standard")</f>
        <v>Expedite</v>
      </c>
      <c r="J654" s="29" t="n">
        <f aca="false">H654</f>
        <v>11150.2984840796</v>
      </c>
      <c r="K654" s="29" t="n">
        <f aca="false">E654+(1-Model!$B$5)*H654</f>
        <v>4048.75</v>
      </c>
      <c r="L654" s="29" t="n">
        <f aca="false">IF(I654="Expedite",K654,J654)</f>
        <v>4048.75</v>
      </c>
      <c r="M654" s="29" t="n">
        <f aca="false">J654-L654</f>
        <v>7101.5484840796</v>
      </c>
      <c r="N654" s="29" t="n">
        <f aca="false">IFERROR(E654/(F654*C654*Model!$B$5),"")</f>
        <v>440.67013044679</v>
      </c>
    </row>
    <row r="655" customFormat="false" ht="15" hidden="false" customHeight="false" outlineLevel="0" collapsed="false">
      <c r="A655" s="0" t="str">
        <f aca="false">Clean!A655</f>
        <v>SHP0654</v>
      </c>
      <c r="B655" s="0" t="str">
        <f aca="false">Clean!AA655</f>
        <v>Delhivery</v>
      </c>
      <c r="C655" s="28" t="n">
        <f aca="false">Clean!J655</f>
        <v>4.94</v>
      </c>
      <c r="D655" s="29" t="n">
        <f aca="false">Clean!AF655</f>
        <v>1451.7</v>
      </c>
      <c r="E655" s="29" t="n">
        <f aca="false">Clean!AE655</f>
        <v>2557.74</v>
      </c>
      <c r="F655" s="22" t="n">
        <f aca="false">AVERAGEIFS(Clean!$V$2:$V$1001,Clean!$AA$2:$AA$1001,B655)</f>
        <v>0.72538860103627</v>
      </c>
      <c r="G655" s="29" t="n">
        <f aca="false">F655*C655*D655</f>
        <v>5202.0503626943</v>
      </c>
      <c r="H655" s="29" t="n">
        <f aca="false">G655*Model!$B$4</f>
        <v>5202.0503626943</v>
      </c>
      <c r="I655" s="0" t="str">
        <f aca="false">IF(E655&lt;Model!$B$5*H655,"Expedite","Standard")</f>
        <v>Expedite</v>
      </c>
      <c r="J655" s="29" t="n">
        <f aca="false">H655</f>
        <v>5202.0503626943</v>
      </c>
      <c r="K655" s="29" t="n">
        <f aca="false">E655+(1-Model!$B$5)*H655</f>
        <v>2557.74</v>
      </c>
      <c r="L655" s="29" t="n">
        <f aca="false">IF(I655="Expedite",K655,J655)</f>
        <v>2557.74</v>
      </c>
      <c r="M655" s="29" t="n">
        <f aca="false">J655-L655</f>
        <v>2644.3103626943</v>
      </c>
      <c r="N655" s="29" t="n">
        <f aca="false">IFERROR(E655/(F655*C655*Model!$B$5),"")</f>
        <v>713.770705610179</v>
      </c>
    </row>
    <row r="656" customFormat="false" ht="15" hidden="false" customHeight="false" outlineLevel="0" collapsed="false">
      <c r="A656" s="0" t="str">
        <f aca="false">Clean!A656</f>
        <v>SHP0655</v>
      </c>
      <c r="B656" s="0" t="str">
        <f aca="false">Clean!AA656</f>
        <v>GATI Logistics</v>
      </c>
      <c r="C656" s="28" t="n">
        <f aca="false">Clean!J656</f>
        <v>7.07</v>
      </c>
      <c r="D656" s="29" t="n">
        <f aca="false">Clean!AF656</f>
        <v>985.27</v>
      </c>
      <c r="E656" s="29" t="n">
        <f aca="false">Clean!AE656</f>
        <v>2770.62</v>
      </c>
      <c r="F656" s="22" t="n">
        <f aca="false">AVERAGEIFS(Clean!$V$2:$V$1001,Clean!$AA$2:$AA$1001,B656)</f>
        <v>0.751243781094527</v>
      </c>
      <c r="G656" s="29" t="n">
        <f aca="false">F656*C656*D656</f>
        <v>5233.05817860697</v>
      </c>
      <c r="H656" s="29" t="n">
        <f aca="false">G656*Model!$B$4</f>
        <v>5233.05817860697</v>
      </c>
      <c r="I656" s="0" t="str">
        <f aca="false">IF(E656&lt;Model!$B$5*H656,"Expedite","Standard")</f>
        <v>Expedite</v>
      </c>
      <c r="J656" s="29" t="n">
        <f aca="false">H656</f>
        <v>5233.05817860697</v>
      </c>
      <c r="K656" s="29" t="n">
        <f aca="false">E656+(1-Model!$B$5)*H656</f>
        <v>2770.62</v>
      </c>
      <c r="L656" s="29" t="n">
        <f aca="false">IF(I656="Expedite",K656,J656)</f>
        <v>2770.62</v>
      </c>
      <c r="M656" s="29" t="n">
        <f aca="false">J656-L656</f>
        <v>2462.43817860697</v>
      </c>
      <c r="N656" s="29" t="n">
        <f aca="false">IFERROR(E656/(F656*C656*Model!$B$5),"")</f>
        <v>521.646936500651</v>
      </c>
    </row>
    <row r="657" customFormat="false" ht="15" hidden="false" customHeight="false" outlineLevel="0" collapsed="false">
      <c r="A657" s="0" t="str">
        <f aca="false">Clean!A657</f>
        <v>SHP0656</v>
      </c>
      <c r="B657" s="0" t="str">
        <f aca="false">Clean!AA657</f>
        <v>Delhivery</v>
      </c>
      <c r="C657" s="28" t="n">
        <f aca="false">Clean!J657</f>
        <v>15.78</v>
      </c>
      <c r="D657" s="29" t="n">
        <f aca="false">Clean!AF657</f>
        <v>861.77</v>
      </c>
      <c r="E657" s="29" t="n">
        <f aca="false">Clean!AE657</f>
        <v>4235.2</v>
      </c>
      <c r="F657" s="22" t="n">
        <f aca="false">AVERAGEIFS(Clean!$V$2:$V$1001,Clean!$AA$2:$AA$1001,B657)</f>
        <v>0.72538860103627</v>
      </c>
      <c r="G657" s="29" t="n">
        <f aca="false">F657*C657*D657</f>
        <v>9864.36416580311</v>
      </c>
      <c r="H657" s="29" t="n">
        <f aca="false">G657*Model!$B$4</f>
        <v>9864.36416580311</v>
      </c>
      <c r="I657" s="0" t="str">
        <f aca="false">IF(E657&lt;Model!$B$5*H657,"Expedite","Standard")</f>
        <v>Expedite</v>
      </c>
      <c r="J657" s="29" t="n">
        <f aca="false">H657</f>
        <v>9864.36416580311</v>
      </c>
      <c r="K657" s="29" t="n">
        <f aca="false">E657+(1-Model!$B$5)*H657</f>
        <v>4235.2</v>
      </c>
      <c r="L657" s="29" t="n">
        <f aca="false">IF(I657="Expedite",K657,J657)</f>
        <v>4235.2</v>
      </c>
      <c r="M657" s="29" t="n">
        <f aca="false">J657-L657</f>
        <v>5629.16416580311</v>
      </c>
      <c r="N657" s="29" t="n">
        <f aca="false">IFERROR(E657/(F657*C657*Model!$B$5),"")</f>
        <v>369.995292413543</v>
      </c>
    </row>
    <row r="658" customFormat="false" ht="15" hidden="false" customHeight="false" outlineLevel="0" collapsed="false">
      <c r="A658" s="0" t="str">
        <f aca="false">Clean!A658</f>
        <v>SHP0657</v>
      </c>
      <c r="B658" s="0" t="str">
        <f aca="false">Clean!AA658</f>
        <v>Delhivery</v>
      </c>
      <c r="C658" s="28" t="n">
        <f aca="false">Clean!J658</f>
        <v>10.96</v>
      </c>
      <c r="D658" s="29" t="n">
        <f aca="false">Clean!AF658</f>
        <v>1118.1</v>
      </c>
      <c r="E658" s="29" t="n">
        <f aca="false">Clean!AE658</f>
        <v>1117.2</v>
      </c>
      <c r="F658" s="22" t="n">
        <f aca="false">AVERAGEIFS(Clean!$V$2:$V$1001,Clean!$AA$2:$AA$1001,B658)</f>
        <v>0.72538860103627</v>
      </c>
      <c r="G658" s="29" t="n">
        <f aca="false">F658*C658*D658</f>
        <v>8889.18466321244</v>
      </c>
      <c r="H658" s="29" t="n">
        <f aca="false">G658*Model!$B$4</f>
        <v>8889.18466321244</v>
      </c>
      <c r="I658" s="0" t="str">
        <f aca="false">IF(E658&lt;Model!$B$5*H658,"Expedite","Standard")</f>
        <v>Expedite</v>
      </c>
      <c r="J658" s="29" t="n">
        <f aca="false">H658</f>
        <v>8889.18466321244</v>
      </c>
      <c r="K658" s="29" t="n">
        <f aca="false">E658+(1-Model!$B$5)*H658</f>
        <v>1117.2</v>
      </c>
      <c r="L658" s="29" t="n">
        <f aca="false">IF(I658="Expedite",K658,J658)</f>
        <v>1117.2</v>
      </c>
      <c r="M658" s="29" t="n">
        <f aca="false">J658-L658</f>
        <v>7771.98466321244</v>
      </c>
      <c r="N658" s="29" t="n">
        <f aca="false">IFERROR(E658/(F658*C658*Model!$B$5),"")</f>
        <v>140.523722627737</v>
      </c>
    </row>
    <row r="659" customFormat="false" ht="15" hidden="false" customHeight="false" outlineLevel="0" collapsed="false">
      <c r="A659" s="0" t="str">
        <f aca="false">Clean!A659</f>
        <v>SHP0658</v>
      </c>
      <c r="B659" s="0" t="str">
        <f aca="false">Clean!AA659</f>
        <v>VRL Cargo</v>
      </c>
      <c r="C659" s="28" t="n">
        <f aca="false">Clean!J659</f>
        <v>10.68</v>
      </c>
      <c r="D659" s="29" t="n">
        <f aca="false">Clean!AF659</f>
        <v>552.71</v>
      </c>
      <c r="E659" s="29" t="n">
        <f aca="false">Clean!AE659</f>
        <v>2866.73</v>
      </c>
      <c r="F659" s="22" t="n">
        <f aca="false">AVERAGEIFS(Clean!$V$2:$V$1001,Clean!$AA$2:$AA$1001,B659)</f>
        <v>0.72020725388601</v>
      </c>
      <c r="G659" s="29" t="n">
        <f aca="false">F659*C659*D659</f>
        <v>4251.3422238342</v>
      </c>
      <c r="H659" s="29" t="n">
        <f aca="false">G659*Model!$B$4</f>
        <v>4251.3422238342</v>
      </c>
      <c r="I659" s="0" t="str">
        <f aca="false">IF(E659&lt;Model!$B$5*H659,"Expedite","Standard")</f>
        <v>Expedite</v>
      </c>
      <c r="J659" s="29" t="n">
        <f aca="false">H659</f>
        <v>4251.3422238342</v>
      </c>
      <c r="K659" s="29" t="n">
        <f aca="false">E659+(1-Model!$B$5)*H659</f>
        <v>2866.73</v>
      </c>
      <c r="L659" s="29" t="n">
        <f aca="false">IF(I659="Expedite",K659,J659)</f>
        <v>2866.73</v>
      </c>
      <c r="M659" s="29" t="n">
        <f aca="false">J659-L659</f>
        <v>1384.6122238342</v>
      </c>
      <c r="N659" s="29" t="n">
        <f aca="false">IFERROR(E659/(F659*C659*Model!$B$5),"")</f>
        <v>372.698845418048</v>
      </c>
    </row>
    <row r="660" customFormat="false" ht="15" hidden="false" customHeight="false" outlineLevel="0" collapsed="false">
      <c r="A660" s="0" t="str">
        <f aca="false">Clean!A660</f>
        <v>SHP0659</v>
      </c>
      <c r="B660" s="0" t="str">
        <f aca="false">Clean!AA660</f>
        <v>TCI Express</v>
      </c>
      <c r="C660" s="28" t="n">
        <f aca="false">Clean!J660</f>
        <v>1.71</v>
      </c>
      <c r="D660" s="29" t="n">
        <f aca="false">Clean!AF660</f>
        <v>1164.82</v>
      </c>
      <c r="E660" s="29" t="n">
        <f aca="false">Clean!AE660</f>
        <v>4601.25</v>
      </c>
      <c r="F660" s="22" t="n">
        <f aca="false">AVERAGEIFS(Clean!$V$2:$V$1001,Clean!$AA$2:$AA$1001,B660)</f>
        <v>0.752336448598131</v>
      </c>
      <c r="G660" s="29" t="n">
        <f aca="false">F660*C660*D660</f>
        <v>1498.53548691589</v>
      </c>
      <c r="H660" s="29" t="n">
        <f aca="false">G660*Model!$B$4</f>
        <v>1498.53548691589</v>
      </c>
      <c r="I660" s="0" t="str">
        <f aca="false">IF(E660&lt;Model!$B$5*H660,"Expedite","Standard")</f>
        <v>Standard</v>
      </c>
      <c r="J660" s="29" t="n">
        <f aca="false">H660</f>
        <v>1498.53548691589</v>
      </c>
      <c r="K660" s="29" t="n">
        <f aca="false">E660+(1-Model!$B$5)*H660</f>
        <v>4601.25</v>
      </c>
      <c r="L660" s="29" t="n">
        <f aca="false">IF(I660="Expedite",K660,J660)</f>
        <v>1498.53548691589</v>
      </c>
      <c r="M660" s="29" t="n">
        <f aca="false">J660-L660</f>
        <v>0</v>
      </c>
      <c r="N660" s="29" t="n">
        <f aca="false">IFERROR(E660/(F660*C660*Model!$B$5),"")</f>
        <v>3576.57731284734</v>
      </c>
    </row>
    <row r="661" customFormat="false" ht="15" hidden="false" customHeight="false" outlineLevel="0" collapsed="false">
      <c r="A661" s="0" t="str">
        <f aca="false">Clean!A661</f>
        <v>SHP0660</v>
      </c>
      <c r="B661" s="0" t="str">
        <f aca="false">Clean!AA661</f>
        <v>TCI Express</v>
      </c>
      <c r="C661" s="28" t="n">
        <f aca="false">Clean!J661</f>
        <v>3</v>
      </c>
      <c r="D661" s="29" t="n">
        <f aca="false">Clean!AF661</f>
        <v>1096.26</v>
      </c>
      <c r="E661" s="29" t="n">
        <f aca="false">Clean!AE661</f>
        <v>4920.02</v>
      </c>
      <c r="F661" s="22" t="n">
        <f aca="false">AVERAGEIFS(Clean!$V$2:$V$1001,Clean!$AA$2:$AA$1001,B661)</f>
        <v>0.752336448598131</v>
      </c>
      <c r="G661" s="29" t="n">
        <f aca="false">F661*C661*D661</f>
        <v>2474.26906542056</v>
      </c>
      <c r="H661" s="29" t="n">
        <f aca="false">G661*Model!$B$4</f>
        <v>2474.26906542056</v>
      </c>
      <c r="I661" s="0" t="str">
        <f aca="false">IF(E661&lt;Model!$B$5*H661,"Expedite","Standard")</f>
        <v>Standard</v>
      </c>
      <c r="J661" s="29" t="n">
        <f aca="false">H661</f>
        <v>2474.26906542056</v>
      </c>
      <c r="K661" s="29" t="n">
        <f aca="false">E661+(1-Model!$B$5)*H661</f>
        <v>4920.02</v>
      </c>
      <c r="L661" s="29" t="n">
        <f aca="false">IF(I661="Expedite",K661,J661)</f>
        <v>2474.26906542056</v>
      </c>
      <c r="M661" s="29" t="n">
        <f aca="false">J661-L661</f>
        <v>0</v>
      </c>
      <c r="N661" s="29" t="n">
        <f aca="false">IFERROR(E661/(F661*C661*Model!$B$5),"")</f>
        <v>2179.88463768116</v>
      </c>
    </row>
    <row r="662" customFormat="false" ht="15" hidden="false" customHeight="false" outlineLevel="0" collapsed="false">
      <c r="A662" s="0" t="str">
        <f aca="false">Clean!A662</f>
        <v>SHP0661</v>
      </c>
      <c r="B662" s="0" t="str">
        <f aca="false">Clean!AA662</f>
        <v>Delhivery</v>
      </c>
      <c r="C662" s="28" t="n">
        <f aca="false">Clean!J662</f>
        <v>14.49</v>
      </c>
      <c r="D662" s="29" t="n">
        <f aca="false">Clean!AF662</f>
        <v>1173.61</v>
      </c>
      <c r="E662" s="29" t="n">
        <f aca="false">Clean!AE662</f>
        <v>4780.07</v>
      </c>
      <c r="F662" s="22" t="n">
        <f aca="false">AVERAGEIFS(Clean!$V$2:$V$1001,Clean!$AA$2:$AA$1001,B662)</f>
        <v>0.72538860103627</v>
      </c>
      <c r="G662" s="29" t="n">
        <f aca="false">F662*C662*D662</f>
        <v>12335.6748497409</v>
      </c>
      <c r="H662" s="29" t="n">
        <f aca="false">G662*Model!$B$4</f>
        <v>12335.6748497409</v>
      </c>
      <c r="I662" s="0" t="str">
        <f aca="false">IF(E662&lt;Model!$B$5*H662,"Expedite","Standard")</f>
        <v>Expedite</v>
      </c>
      <c r="J662" s="29" t="n">
        <f aca="false">H662</f>
        <v>12335.6748497409</v>
      </c>
      <c r="K662" s="29" t="n">
        <f aca="false">E662+(1-Model!$B$5)*H662</f>
        <v>4780.07</v>
      </c>
      <c r="L662" s="29" t="n">
        <f aca="false">IF(I662="Expedite",K662,J662)</f>
        <v>4780.07</v>
      </c>
      <c r="M662" s="29" t="n">
        <f aca="false">J662-L662</f>
        <v>7555.60484974093</v>
      </c>
      <c r="N662" s="29" t="n">
        <f aca="false">IFERROR(E662/(F662*C662*Model!$B$5),"")</f>
        <v>454.773494035295</v>
      </c>
    </row>
    <row r="663" customFormat="false" ht="15" hidden="false" customHeight="false" outlineLevel="0" collapsed="false">
      <c r="A663" s="0" t="str">
        <f aca="false">Clean!A663</f>
        <v>SHP0662</v>
      </c>
      <c r="B663" s="0" t="str">
        <f aca="false">Clean!AA663</f>
        <v>GATI Logistics</v>
      </c>
      <c r="C663" s="28" t="n">
        <f aca="false">Clean!J663</f>
        <v>2.23</v>
      </c>
      <c r="D663" s="29" t="n">
        <f aca="false">Clean!AF663</f>
        <v>664.27</v>
      </c>
      <c r="E663" s="29" t="n">
        <f aca="false">Clean!AE663</f>
        <v>2427.08</v>
      </c>
      <c r="F663" s="22" t="n">
        <f aca="false">AVERAGEIFS(Clean!$V$2:$V$1001,Clean!$AA$2:$AA$1001,B663)</f>
        <v>0.751243781094527</v>
      </c>
      <c r="G663" s="29" t="n">
        <f aca="false">F663*C663*D663</f>
        <v>1112.83401542289</v>
      </c>
      <c r="H663" s="29" t="n">
        <f aca="false">G663*Model!$B$4</f>
        <v>1112.83401542289</v>
      </c>
      <c r="I663" s="0" t="str">
        <f aca="false">IF(E663&lt;Model!$B$5*H663,"Expedite","Standard")</f>
        <v>Standard</v>
      </c>
      <c r="J663" s="29" t="n">
        <f aca="false">H663</f>
        <v>1112.83401542289</v>
      </c>
      <c r="K663" s="29" t="n">
        <f aca="false">E663+(1-Model!$B$5)*H663</f>
        <v>2427.08</v>
      </c>
      <c r="L663" s="29" t="n">
        <f aca="false">IF(I663="Expedite",K663,J663)</f>
        <v>1112.83401542289</v>
      </c>
      <c r="M663" s="29" t="n">
        <f aca="false">J663-L663</f>
        <v>0</v>
      </c>
      <c r="N663" s="29" t="n">
        <f aca="false">IFERROR(E663/(F663*C663*Model!$B$5),"")</f>
        <v>1448.76631128798</v>
      </c>
    </row>
    <row r="664" customFormat="false" ht="15" hidden="false" customHeight="false" outlineLevel="0" collapsed="false">
      <c r="A664" s="0" t="str">
        <f aca="false">Clean!A664</f>
        <v>SHP0663</v>
      </c>
      <c r="B664" s="0" t="str">
        <f aca="false">Clean!AA664</f>
        <v>TCI Express</v>
      </c>
      <c r="C664" s="28" t="n">
        <f aca="false">Clean!J664</f>
        <v>10.57</v>
      </c>
      <c r="D664" s="29" t="n">
        <f aca="false">Clean!AF664</f>
        <v>1327.61</v>
      </c>
      <c r="E664" s="29" t="n">
        <f aca="false">Clean!AE664</f>
        <v>3965.23</v>
      </c>
      <c r="F664" s="22" t="n">
        <f aca="false">AVERAGEIFS(Clean!$V$2:$V$1001,Clean!$AA$2:$AA$1001,B664)</f>
        <v>0.752336448598131</v>
      </c>
      <c r="G664" s="29" t="n">
        <f aca="false">F664*C664*D664</f>
        <v>10557.415278972</v>
      </c>
      <c r="H664" s="29" t="n">
        <f aca="false">G664*Model!$B$4</f>
        <v>10557.415278972</v>
      </c>
      <c r="I664" s="0" t="str">
        <f aca="false">IF(E664&lt;Model!$B$5*H664,"Expedite","Standard")</f>
        <v>Expedite</v>
      </c>
      <c r="J664" s="29" t="n">
        <f aca="false">H664</f>
        <v>10557.415278972</v>
      </c>
      <c r="K664" s="29" t="n">
        <f aca="false">E664+(1-Model!$B$5)*H664</f>
        <v>3965.23</v>
      </c>
      <c r="L664" s="29" t="n">
        <f aca="false">IF(I664="Expedite",K664,J664)</f>
        <v>3965.23</v>
      </c>
      <c r="M664" s="29" t="n">
        <f aca="false">J664-L664</f>
        <v>6592.18527897196</v>
      </c>
      <c r="N664" s="29" t="n">
        <f aca="false">IFERROR(E664/(F664*C664*Model!$B$5),"")</f>
        <v>498.633317075751</v>
      </c>
    </row>
    <row r="665" customFormat="false" ht="15" hidden="false" customHeight="false" outlineLevel="0" collapsed="false">
      <c r="A665" s="0" t="str">
        <f aca="false">Clean!A665</f>
        <v>SHP0664</v>
      </c>
      <c r="B665" s="0" t="str">
        <f aca="false">Clean!AA665</f>
        <v>BlueDart</v>
      </c>
      <c r="C665" s="28" t="n">
        <f aca="false">Clean!J665</f>
        <v>19.39</v>
      </c>
      <c r="D665" s="29" t="n">
        <f aca="false">Clean!AF665</f>
        <v>1128.5</v>
      </c>
      <c r="E665" s="29" t="n">
        <f aca="false">Clean!AE665</f>
        <v>2838.46</v>
      </c>
      <c r="F665" s="22" t="n">
        <f aca="false">AVERAGEIFS(Clean!$V$2:$V$1001,Clean!$AA$2:$AA$1001,B665)</f>
        <v>0.773869346733668</v>
      </c>
      <c r="G665" s="29" t="n">
        <f aca="false">F665*C665*D665</f>
        <v>16933.5111055276</v>
      </c>
      <c r="H665" s="29" t="n">
        <f aca="false">G665*Model!$B$4</f>
        <v>16933.5111055276</v>
      </c>
      <c r="I665" s="0" t="str">
        <f aca="false">IF(E665&lt;Model!$B$5*H665,"Expedite","Standard")</f>
        <v>Expedite</v>
      </c>
      <c r="J665" s="29" t="n">
        <f aca="false">H665</f>
        <v>16933.5111055276</v>
      </c>
      <c r="K665" s="29" t="n">
        <f aca="false">E665+(1-Model!$B$5)*H665</f>
        <v>2838.46</v>
      </c>
      <c r="L665" s="29" t="n">
        <f aca="false">IF(I665="Expedite",K665,J665)</f>
        <v>2838.46</v>
      </c>
      <c r="M665" s="29" t="n">
        <f aca="false">J665-L665</f>
        <v>14095.0511055276</v>
      </c>
      <c r="N665" s="29" t="n">
        <f aca="false">IFERROR(E665/(F665*C665*Model!$B$5),"")</f>
        <v>189.163493030951</v>
      </c>
    </row>
    <row r="666" customFormat="false" ht="15" hidden="false" customHeight="false" outlineLevel="0" collapsed="false">
      <c r="A666" s="0" t="str">
        <f aca="false">Clean!A666</f>
        <v>SHP0665</v>
      </c>
      <c r="B666" s="0" t="str">
        <f aca="false">Clean!AA666</f>
        <v>GATI Logistics</v>
      </c>
      <c r="C666" s="28" t="n">
        <f aca="false">Clean!J666</f>
        <v>11.59</v>
      </c>
      <c r="D666" s="29" t="n">
        <f aca="false">Clean!AF666</f>
        <v>777.89</v>
      </c>
      <c r="E666" s="29" t="n">
        <f aca="false">Clean!AE666</f>
        <v>4962.57</v>
      </c>
      <c r="F666" s="22" t="n">
        <f aca="false">AVERAGEIFS(Clean!$V$2:$V$1001,Clean!$AA$2:$AA$1001,B666)</f>
        <v>0.751243781094527</v>
      </c>
      <c r="G666" s="29" t="n">
        <f aca="false">F666*C666*D666</f>
        <v>6773.02243830846</v>
      </c>
      <c r="H666" s="29" t="n">
        <f aca="false">G666*Model!$B$4</f>
        <v>6773.02243830846</v>
      </c>
      <c r="I666" s="0" t="str">
        <f aca="false">IF(E666&lt;Model!$B$5*H666,"Expedite","Standard")</f>
        <v>Expedite</v>
      </c>
      <c r="J666" s="29" t="n">
        <f aca="false">H666</f>
        <v>6773.02243830846</v>
      </c>
      <c r="K666" s="29" t="n">
        <f aca="false">E666+(1-Model!$B$5)*H666</f>
        <v>4962.57</v>
      </c>
      <c r="L666" s="29" t="n">
        <f aca="false">IF(I666="Expedite",K666,J666)</f>
        <v>4962.57</v>
      </c>
      <c r="M666" s="29" t="n">
        <f aca="false">J666-L666</f>
        <v>1810.45243830846</v>
      </c>
      <c r="N666" s="29" t="n">
        <f aca="false">IFERROR(E666/(F666*C666*Model!$B$5),"")</f>
        <v>569.957299338891</v>
      </c>
    </row>
    <row r="667" customFormat="false" ht="15" hidden="false" customHeight="false" outlineLevel="0" collapsed="false">
      <c r="A667" s="0" t="str">
        <f aca="false">Clean!A667</f>
        <v>SHP0666</v>
      </c>
      <c r="B667" s="0" t="str">
        <f aca="false">Clean!AA667</f>
        <v>BlueDart</v>
      </c>
      <c r="C667" s="28" t="n">
        <f aca="false">Clean!J667</f>
        <v>10.47</v>
      </c>
      <c r="D667" s="29" t="n">
        <f aca="false">Clean!AF667</f>
        <v>1373.36</v>
      </c>
      <c r="E667" s="29" t="n">
        <f aca="false">Clean!AE667</f>
        <v>1814.04</v>
      </c>
      <c r="F667" s="22" t="n">
        <f aca="false">AVERAGEIFS(Clean!$V$2:$V$1001,Clean!$AA$2:$AA$1001,B667)</f>
        <v>0.773869346733668</v>
      </c>
      <c r="G667" s="29" t="n">
        <f aca="false">F667*C667*D667</f>
        <v>11127.5286271357</v>
      </c>
      <c r="H667" s="29" t="n">
        <f aca="false">G667*Model!$B$4</f>
        <v>11127.5286271357</v>
      </c>
      <c r="I667" s="0" t="str">
        <f aca="false">IF(E667&lt;Model!$B$5*H667,"Expedite","Standard")</f>
        <v>Expedite</v>
      </c>
      <c r="J667" s="29" t="n">
        <f aca="false">H667</f>
        <v>11127.5286271357</v>
      </c>
      <c r="K667" s="29" t="n">
        <f aca="false">E667+(1-Model!$B$5)*H667</f>
        <v>1814.04</v>
      </c>
      <c r="L667" s="29" t="n">
        <f aca="false">IF(I667="Expedite",K667,J667)</f>
        <v>1814.04</v>
      </c>
      <c r="M667" s="29" t="n">
        <f aca="false">J667-L667</f>
        <v>9313.48862713568</v>
      </c>
      <c r="N667" s="29" t="n">
        <f aca="false">IFERROR(E667/(F667*C667*Model!$B$5),"")</f>
        <v>223.888884754214</v>
      </c>
    </row>
    <row r="668" customFormat="false" ht="15" hidden="false" customHeight="false" outlineLevel="0" collapsed="false">
      <c r="A668" s="0" t="str">
        <f aca="false">Clean!A668</f>
        <v>SHP0667</v>
      </c>
      <c r="B668" s="0" t="str">
        <f aca="false">Clean!AA668</f>
        <v>TCI Express</v>
      </c>
      <c r="C668" s="28" t="n">
        <f aca="false">Clean!J668</f>
        <v>2.14</v>
      </c>
      <c r="D668" s="29" t="n">
        <f aca="false">Clean!AF668</f>
        <v>699.16</v>
      </c>
      <c r="E668" s="29" t="n">
        <f aca="false">Clean!AE668</f>
        <v>2584.22</v>
      </c>
      <c r="F668" s="22" t="n">
        <f aca="false">AVERAGEIFS(Clean!$V$2:$V$1001,Clean!$AA$2:$AA$1001,B668)</f>
        <v>0.752336448598131</v>
      </c>
      <c r="G668" s="29" t="n">
        <f aca="false">F668*C668*D668</f>
        <v>1125.6476</v>
      </c>
      <c r="H668" s="29" t="n">
        <f aca="false">G668*Model!$B$4</f>
        <v>1125.6476</v>
      </c>
      <c r="I668" s="0" t="str">
        <f aca="false">IF(E668&lt;Model!$B$5*H668,"Expedite","Standard")</f>
        <v>Standard</v>
      </c>
      <c r="J668" s="29" t="n">
        <f aca="false">H668</f>
        <v>1125.6476</v>
      </c>
      <c r="K668" s="29" t="n">
        <f aca="false">E668+(1-Model!$B$5)*H668</f>
        <v>2584.22</v>
      </c>
      <c r="L668" s="29" t="n">
        <f aca="false">IF(I668="Expedite",K668,J668)</f>
        <v>1125.6476</v>
      </c>
      <c r="M668" s="29" t="n">
        <f aca="false">J668-L668</f>
        <v>0</v>
      </c>
      <c r="N668" s="29" t="n">
        <f aca="false">IFERROR(E668/(F668*C668*Model!$B$5),"")</f>
        <v>1605.10559006211</v>
      </c>
    </row>
    <row r="669" customFormat="false" ht="15" hidden="false" customHeight="false" outlineLevel="0" collapsed="false">
      <c r="A669" s="0" t="str">
        <f aca="false">Clean!A669</f>
        <v>SHP0668</v>
      </c>
      <c r="B669" s="0" t="str">
        <f aca="false">Clean!AA669</f>
        <v>TCI Express</v>
      </c>
      <c r="C669" s="28" t="n">
        <f aca="false">Clean!J669</f>
        <v>9.07</v>
      </c>
      <c r="D669" s="29" t="n">
        <f aca="false">Clean!AF669</f>
        <v>558.24</v>
      </c>
      <c r="E669" s="29" t="n">
        <f aca="false">Clean!AE669</f>
        <v>2861.11</v>
      </c>
      <c r="F669" s="22" t="n">
        <f aca="false">AVERAGEIFS(Clean!$V$2:$V$1001,Clean!$AA$2:$AA$1001,B669)</f>
        <v>0.752336448598131</v>
      </c>
      <c r="G669" s="29" t="n">
        <f aca="false">F669*C669*D669</f>
        <v>3809.25759252337</v>
      </c>
      <c r="H669" s="29" t="n">
        <f aca="false">G669*Model!$B$4</f>
        <v>3809.25759252337</v>
      </c>
      <c r="I669" s="0" t="str">
        <f aca="false">IF(E669&lt;Model!$B$5*H669,"Expedite","Standard")</f>
        <v>Expedite</v>
      </c>
      <c r="J669" s="29" t="n">
        <f aca="false">H669</f>
        <v>3809.25759252337</v>
      </c>
      <c r="K669" s="29" t="n">
        <f aca="false">E669+(1-Model!$B$5)*H669</f>
        <v>2861.11</v>
      </c>
      <c r="L669" s="29" t="n">
        <f aca="false">IF(I669="Expedite",K669,J669)</f>
        <v>2861.11</v>
      </c>
      <c r="M669" s="29" t="n">
        <f aca="false">J669-L669</f>
        <v>948.147592523365</v>
      </c>
      <c r="N669" s="29" t="n">
        <f aca="false">IFERROR(E669/(F669*C669*Model!$B$5),"")</f>
        <v>419.290638032693</v>
      </c>
    </row>
    <row r="670" customFormat="false" ht="15" hidden="false" customHeight="false" outlineLevel="0" collapsed="false">
      <c r="A670" s="0" t="str">
        <f aca="false">Clean!A670</f>
        <v>SHP0669</v>
      </c>
      <c r="B670" s="0" t="str">
        <f aca="false">Clean!AA670</f>
        <v>GATI Logistics</v>
      </c>
      <c r="C670" s="28" t="n">
        <f aca="false">Clean!J670</f>
        <v>5.98</v>
      </c>
      <c r="D670" s="29" t="n">
        <f aca="false">Clean!AF670</f>
        <v>1381.64</v>
      </c>
      <c r="E670" s="29" t="n">
        <f aca="false">Clean!AE670</f>
        <v>4765.12</v>
      </c>
      <c r="F670" s="22" t="n">
        <f aca="false">AVERAGEIFS(Clean!$V$2:$V$1001,Clean!$AA$2:$AA$1001,B670)</f>
        <v>0.751243781094527</v>
      </c>
      <c r="G670" s="29" t="n">
        <f aca="false">F670*C670*D670</f>
        <v>6206.93177711443</v>
      </c>
      <c r="H670" s="29" t="n">
        <f aca="false">G670*Model!$B$4</f>
        <v>6206.93177711443</v>
      </c>
      <c r="I670" s="0" t="str">
        <f aca="false">IF(E670&lt;Model!$B$5*H670,"Expedite","Standard")</f>
        <v>Expedite</v>
      </c>
      <c r="J670" s="29" t="n">
        <f aca="false">H670</f>
        <v>6206.93177711443</v>
      </c>
      <c r="K670" s="29" t="n">
        <f aca="false">E670+(1-Model!$B$5)*H670</f>
        <v>4765.12</v>
      </c>
      <c r="L670" s="29" t="n">
        <f aca="false">IF(I670="Expedite",K670,J670)</f>
        <v>4765.12</v>
      </c>
      <c r="M670" s="29" t="n">
        <f aca="false">J670-L670</f>
        <v>1441.81177711443</v>
      </c>
      <c r="N670" s="29" t="n">
        <f aca="false">IFERROR(E670/(F670*C670*Model!$B$5),"")</f>
        <v>1060.69804425347</v>
      </c>
    </row>
    <row r="671" customFormat="false" ht="15" hidden="false" customHeight="false" outlineLevel="0" collapsed="false">
      <c r="A671" s="0" t="str">
        <f aca="false">Clean!A671</f>
        <v>SHP0670</v>
      </c>
      <c r="B671" s="0" t="str">
        <f aca="false">Clean!AA671</f>
        <v>TCI Express</v>
      </c>
      <c r="C671" s="28" t="n">
        <f aca="false">Clean!J671</f>
        <v>10.79</v>
      </c>
      <c r="D671" s="29" t="n">
        <f aca="false">Clean!AF671</f>
        <v>768.86</v>
      </c>
      <c r="E671" s="29" t="n">
        <f aca="false">Clean!AE671</f>
        <v>3118.13</v>
      </c>
      <c r="F671" s="22" t="n">
        <f aca="false">AVERAGEIFS(Clean!$V$2:$V$1001,Clean!$AA$2:$AA$1001,B671)</f>
        <v>0.752336448598131</v>
      </c>
      <c r="G671" s="29" t="n">
        <f aca="false">F671*C671*D671</f>
        <v>6241.38272616822</v>
      </c>
      <c r="H671" s="29" t="n">
        <f aca="false">G671*Model!$B$4</f>
        <v>6241.38272616822</v>
      </c>
      <c r="I671" s="0" t="str">
        <f aca="false">IF(E671&lt;Model!$B$5*H671,"Expedite","Standard")</f>
        <v>Expedite</v>
      </c>
      <c r="J671" s="29" t="n">
        <f aca="false">H671</f>
        <v>6241.38272616822</v>
      </c>
      <c r="K671" s="29" t="n">
        <f aca="false">E671+(1-Model!$B$5)*H671</f>
        <v>3118.13</v>
      </c>
      <c r="L671" s="29" t="n">
        <f aca="false">IF(I671="Expedite",K671,J671)</f>
        <v>3118.13</v>
      </c>
      <c r="M671" s="29" t="n">
        <f aca="false">J671-L671</f>
        <v>3123.25272616822</v>
      </c>
      <c r="N671" s="29" t="n">
        <f aca="false">IFERROR(E671/(F671*C671*Model!$B$5),"")</f>
        <v>384.114472222382</v>
      </c>
    </row>
    <row r="672" customFormat="false" ht="15" hidden="false" customHeight="false" outlineLevel="0" collapsed="false">
      <c r="A672" s="0" t="str">
        <f aca="false">Clean!A672</f>
        <v>SHP0671</v>
      </c>
      <c r="B672" s="0" t="str">
        <f aca="false">Clean!AA672</f>
        <v>GATI Logistics</v>
      </c>
      <c r="C672" s="28" t="n">
        <f aca="false">Clean!J672</f>
        <v>1.4</v>
      </c>
      <c r="D672" s="29" t="n">
        <f aca="false">Clean!AF672</f>
        <v>549.59</v>
      </c>
      <c r="E672" s="29" t="n">
        <f aca="false">Clean!AE672</f>
        <v>3415.68</v>
      </c>
      <c r="F672" s="22" t="n">
        <f aca="false">AVERAGEIFS(Clean!$V$2:$V$1001,Clean!$AA$2:$AA$1001,B672)</f>
        <v>0.751243781094527</v>
      </c>
      <c r="G672" s="29" t="n">
        <f aca="false">F672*C672*D672</f>
        <v>578.026497512438</v>
      </c>
      <c r="H672" s="29" t="n">
        <f aca="false">G672*Model!$B$4</f>
        <v>578.026497512438</v>
      </c>
      <c r="I672" s="0" t="str">
        <f aca="false">IF(E672&lt;Model!$B$5*H672,"Expedite","Standard")</f>
        <v>Standard</v>
      </c>
      <c r="J672" s="29" t="n">
        <f aca="false">H672</f>
        <v>578.026497512438</v>
      </c>
      <c r="K672" s="29" t="n">
        <f aca="false">E672+(1-Model!$B$5)*H672</f>
        <v>3415.68</v>
      </c>
      <c r="L672" s="29" t="n">
        <f aca="false">IF(I672="Expedite",K672,J672)</f>
        <v>578.026497512438</v>
      </c>
      <c r="M672" s="29" t="n">
        <f aca="false">J672-L672</f>
        <v>0</v>
      </c>
      <c r="N672" s="29" t="n">
        <f aca="false">IFERROR(E672/(F672*C672*Model!$B$5),"")</f>
        <v>3247.64276253548</v>
      </c>
    </row>
    <row r="673" customFormat="false" ht="15" hidden="false" customHeight="false" outlineLevel="0" collapsed="false">
      <c r="A673" s="0" t="str">
        <f aca="false">Clean!A673</f>
        <v>SHP0672</v>
      </c>
      <c r="B673" s="0" t="str">
        <f aca="false">Clean!AA673</f>
        <v>TCI Express</v>
      </c>
      <c r="C673" s="28" t="n">
        <f aca="false">Clean!J673</f>
        <v>2.8</v>
      </c>
      <c r="D673" s="29" t="n">
        <f aca="false">Clean!AF673</f>
        <v>765.23</v>
      </c>
      <c r="E673" s="29" t="n">
        <f aca="false">Clean!AE673</f>
        <v>2389.15</v>
      </c>
      <c r="F673" s="22" t="n">
        <f aca="false">AVERAGEIFS(Clean!$V$2:$V$1001,Clean!$AA$2:$AA$1001,B673)</f>
        <v>0.752336448598131</v>
      </c>
      <c r="G673" s="29" t="n">
        <f aca="false">F673*C673*D673</f>
        <v>1611.98917757009</v>
      </c>
      <c r="H673" s="29" t="n">
        <f aca="false">G673*Model!$B$4</f>
        <v>1611.98917757009</v>
      </c>
      <c r="I673" s="0" t="str">
        <f aca="false">IF(E673&lt;Model!$B$5*H673,"Expedite","Standard")</f>
        <v>Standard</v>
      </c>
      <c r="J673" s="29" t="n">
        <f aca="false">H673</f>
        <v>1611.98917757009</v>
      </c>
      <c r="K673" s="29" t="n">
        <f aca="false">E673+(1-Model!$B$5)*H673</f>
        <v>2389.15</v>
      </c>
      <c r="L673" s="29" t="n">
        <f aca="false">IF(I673="Expedite",K673,J673)</f>
        <v>1611.98917757009</v>
      </c>
      <c r="M673" s="29" t="n">
        <f aca="false">J673-L673</f>
        <v>0</v>
      </c>
      <c r="N673" s="29" t="n">
        <f aca="false">IFERROR(E673/(F673*C673*Model!$B$5),"")</f>
        <v>1134.15727595386</v>
      </c>
    </row>
    <row r="674" customFormat="false" ht="15" hidden="false" customHeight="false" outlineLevel="0" collapsed="false">
      <c r="A674" s="0" t="str">
        <f aca="false">Clean!A674</f>
        <v>SHP0673</v>
      </c>
      <c r="B674" s="0" t="str">
        <f aca="false">Clean!AA674</f>
        <v>Delhivery</v>
      </c>
      <c r="C674" s="28" t="n">
        <f aca="false">Clean!J674</f>
        <v>14.04</v>
      </c>
      <c r="D674" s="29" t="n">
        <f aca="false">Clean!AF674</f>
        <v>1157.95</v>
      </c>
      <c r="E674" s="29" t="n">
        <f aca="false">Clean!AE674</f>
        <v>4065.41</v>
      </c>
      <c r="F674" s="22" t="n">
        <f aca="false">AVERAGEIFS(Clean!$V$2:$V$1001,Clean!$AA$2:$AA$1001,B674)</f>
        <v>0.72538860103627</v>
      </c>
      <c r="G674" s="29" t="n">
        <f aca="false">F674*C674*D674</f>
        <v>11793.0907772021</v>
      </c>
      <c r="H674" s="29" t="n">
        <f aca="false">G674*Model!$B$4</f>
        <v>11793.0907772021</v>
      </c>
      <c r="I674" s="0" t="str">
        <f aca="false">IF(E674&lt;Model!$B$5*H674,"Expedite","Standard")</f>
        <v>Expedite</v>
      </c>
      <c r="J674" s="29" t="n">
        <f aca="false">H674</f>
        <v>11793.0907772021</v>
      </c>
      <c r="K674" s="29" t="n">
        <f aca="false">E674+(1-Model!$B$5)*H674</f>
        <v>4065.41</v>
      </c>
      <c r="L674" s="29" t="n">
        <f aca="false">IF(I674="Expedite",K674,J674)</f>
        <v>4065.41</v>
      </c>
      <c r="M674" s="29" t="n">
        <f aca="false">J674-L674</f>
        <v>7727.68077720207</v>
      </c>
      <c r="N674" s="29" t="n">
        <f aca="false">IFERROR(E674/(F674*C674*Model!$B$5),"")</f>
        <v>399.177925315425</v>
      </c>
    </row>
    <row r="675" customFormat="false" ht="15" hidden="false" customHeight="false" outlineLevel="0" collapsed="false">
      <c r="A675" s="0" t="str">
        <f aca="false">Clean!A675</f>
        <v>SHP0674</v>
      </c>
      <c r="B675" s="0" t="str">
        <f aca="false">Clean!AA675</f>
        <v>TCI Express</v>
      </c>
      <c r="C675" s="28" t="n">
        <f aca="false">Clean!J675</f>
        <v>16.65</v>
      </c>
      <c r="D675" s="29" t="n">
        <f aca="false">Clean!AF675</f>
        <v>626.87</v>
      </c>
      <c r="E675" s="29" t="n">
        <f aca="false">Clean!AE675</f>
        <v>3112.71</v>
      </c>
      <c r="F675" s="22" t="n">
        <f aca="false">AVERAGEIFS(Clean!$V$2:$V$1001,Clean!$AA$2:$AA$1001,B675)</f>
        <v>0.752336448598131</v>
      </c>
      <c r="G675" s="29" t="n">
        <f aca="false">F675*C675*D675</f>
        <v>7852.42553971963</v>
      </c>
      <c r="H675" s="29" t="n">
        <f aca="false">G675*Model!$B$4</f>
        <v>7852.42553971963</v>
      </c>
      <c r="I675" s="0" t="str">
        <f aca="false">IF(E675&lt;Model!$B$5*H675,"Expedite","Standard")</f>
        <v>Expedite</v>
      </c>
      <c r="J675" s="29" t="n">
        <f aca="false">H675</f>
        <v>7852.42553971963</v>
      </c>
      <c r="K675" s="29" t="n">
        <f aca="false">E675+(1-Model!$B$5)*H675</f>
        <v>3112.71</v>
      </c>
      <c r="L675" s="29" t="n">
        <f aca="false">IF(I675="Expedite",K675,J675)</f>
        <v>3112.71</v>
      </c>
      <c r="M675" s="29" t="n">
        <f aca="false">J675-L675</f>
        <v>4739.71553971963</v>
      </c>
      <c r="N675" s="29" t="n">
        <f aca="false">IFERROR(E675/(F675*C675*Model!$B$5),"")</f>
        <v>248.49194784847</v>
      </c>
    </row>
    <row r="676" customFormat="false" ht="15" hidden="false" customHeight="false" outlineLevel="0" collapsed="false">
      <c r="A676" s="0" t="str">
        <f aca="false">Clean!A676</f>
        <v>SHP0675</v>
      </c>
      <c r="B676" s="0" t="str">
        <f aca="false">Clean!AA676</f>
        <v>Delhivery</v>
      </c>
      <c r="C676" s="28" t="n">
        <f aca="false">Clean!J676</f>
        <v>12.26</v>
      </c>
      <c r="D676" s="29" t="n">
        <f aca="false">Clean!AF676</f>
        <v>798.93</v>
      </c>
      <c r="E676" s="29" t="n">
        <f aca="false">Clean!AE676</f>
        <v>3415.17</v>
      </c>
      <c r="F676" s="22" t="n">
        <f aca="false">AVERAGEIFS(Clean!$V$2:$V$1001,Clean!$AA$2:$AA$1001,B676)</f>
        <v>0.72538860103627</v>
      </c>
      <c r="G676" s="29" t="n">
        <f aca="false">F676*C676*D676</f>
        <v>7105.09560621762</v>
      </c>
      <c r="H676" s="29" t="n">
        <f aca="false">G676*Model!$B$4</f>
        <v>7105.09560621762</v>
      </c>
      <c r="I676" s="0" t="str">
        <f aca="false">IF(E676&lt;Model!$B$5*H676,"Expedite","Standard")</f>
        <v>Expedite</v>
      </c>
      <c r="J676" s="29" t="n">
        <f aca="false">H676</f>
        <v>7105.09560621762</v>
      </c>
      <c r="K676" s="29" t="n">
        <f aca="false">E676+(1-Model!$B$5)*H676</f>
        <v>3415.17</v>
      </c>
      <c r="L676" s="29" t="n">
        <f aca="false">IF(I676="Expedite",K676,J676)</f>
        <v>3415.17</v>
      </c>
      <c r="M676" s="29" t="n">
        <f aca="false">J676-L676</f>
        <v>3689.92560621762</v>
      </c>
      <c r="N676" s="29" t="n">
        <f aca="false">IFERROR(E676/(F676*C676*Model!$B$5),"")</f>
        <v>384.017600792356</v>
      </c>
    </row>
    <row r="677" customFormat="false" ht="15" hidden="false" customHeight="false" outlineLevel="0" collapsed="false">
      <c r="A677" s="0" t="str">
        <f aca="false">Clean!A677</f>
        <v>SHP0676</v>
      </c>
      <c r="B677" s="0" t="str">
        <f aca="false">Clean!AA677</f>
        <v>TCI Express</v>
      </c>
      <c r="C677" s="28" t="n">
        <f aca="false">Clean!J677</f>
        <v>8.81</v>
      </c>
      <c r="D677" s="29" t="n">
        <f aca="false">Clean!AF677</f>
        <v>1280.47</v>
      </c>
      <c r="E677" s="29" t="n">
        <f aca="false">Clean!AE677</f>
        <v>1887.12</v>
      </c>
      <c r="F677" s="22" t="n">
        <f aca="false">AVERAGEIFS(Clean!$V$2:$V$1001,Clean!$AA$2:$AA$1001,B677)</f>
        <v>0.752336448598131</v>
      </c>
      <c r="G677" s="29" t="n">
        <f aca="false">F677*C677*D677</f>
        <v>8487.06286308411</v>
      </c>
      <c r="H677" s="29" t="n">
        <f aca="false">G677*Model!$B$4</f>
        <v>8487.06286308411</v>
      </c>
      <c r="I677" s="0" t="str">
        <f aca="false">IF(E677&lt;Model!$B$5*H677,"Expedite","Standard")</f>
        <v>Expedite</v>
      </c>
      <c r="J677" s="29" t="n">
        <f aca="false">H677</f>
        <v>8487.06286308411</v>
      </c>
      <c r="K677" s="29" t="n">
        <f aca="false">E677+(1-Model!$B$5)*H677</f>
        <v>1887.12</v>
      </c>
      <c r="L677" s="29" t="n">
        <f aca="false">IF(I677="Expedite",K677,J677)</f>
        <v>1887.12</v>
      </c>
      <c r="M677" s="29" t="n">
        <f aca="false">J677-L677</f>
        <v>6599.94286308411</v>
      </c>
      <c r="N677" s="29" t="n">
        <f aca="false">IFERROR(E677/(F677*C677*Model!$B$5),"")</f>
        <v>284.715759195155</v>
      </c>
    </row>
    <row r="678" customFormat="false" ht="15" hidden="false" customHeight="false" outlineLevel="0" collapsed="false">
      <c r="A678" s="0" t="str">
        <f aca="false">Clean!A678</f>
        <v>SHP0677</v>
      </c>
      <c r="B678" s="0" t="str">
        <f aca="false">Clean!AA678</f>
        <v>VRL Cargo</v>
      </c>
      <c r="C678" s="28" t="n">
        <f aca="false">Clean!J678</f>
        <v>4.82</v>
      </c>
      <c r="D678" s="29" t="n">
        <f aca="false">Clean!AF678</f>
        <v>1183.18</v>
      </c>
      <c r="E678" s="29" t="n">
        <f aca="false">Clean!AE678</f>
        <v>4418.06</v>
      </c>
      <c r="F678" s="22" t="n">
        <f aca="false">AVERAGEIFS(Clean!$V$2:$V$1001,Clean!$AA$2:$AA$1001,B678)</f>
        <v>0.72020725388601</v>
      </c>
      <c r="G678" s="29" t="n">
        <f aca="false">F678*C678*D678</f>
        <v>4107.28982590674</v>
      </c>
      <c r="H678" s="29" t="n">
        <f aca="false">G678*Model!$B$4</f>
        <v>4107.28982590674</v>
      </c>
      <c r="I678" s="0" t="str">
        <f aca="false">IF(E678&lt;Model!$B$5*H678,"Expedite","Standard")</f>
        <v>Standard</v>
      </c>
      <c r="J678" s="29" t="n">
        <f aca="false">H678</f>
        <v>4107.28982590674</v>
      </c>
      <c r="K678" s="29" t="n">
        <f aca="false">E678+(1-Model!$B$5)*H678</f>
        <v>4418.06</v>
      </c>
      <c r="L678" s="29" t="n">
        <f aca="false">IF(I678="Expedite",K678,J678)</f>
        <v>4107.28982590674</v>
      </c>
      <c r="M678" s="29" t="n">
        <f aca="false">J678-L678</f>
        <v>0</v>
      </c>
      <c r="N678" s="29" t="n">
        <f aca="false">IFERROR(E678/(F678*C678*Model!$B$5),"")</f>
        <v>1272.70303591152</v>
      </c>
    </row>
    <row r="679" customFormat="false" ht="15" hidden="false" customHeight="false" outlineLevel="0" collapsed="false">
      <c r="A679" s="0" t="str">
        <f aca="false">Clean!A679</f>
        <v>SHP0678</v>
      </c>
      <c r="B679" s="0" t="str">
        <f aca="false">Clean!AA679</f>
        <v>TCI Express</v>
      </c>
      <c r="C679" s="28" t="n">
        <f aca="false">Clean!J679</f>
        <v>1.99</v>
      </c>
      <c r="D679" s="29" t="n">
        <f aca="false">Clean!AF679</f>
        <v>709.42</v>
      </c>
      <c r="E679" s="29" t="n">
        <f aca="false">Clean!AE679</f>
        <v>3988.94</v>
      </c>
      <c r="F679" s="22" t="n">
        <f aca="false">AVERAGEIFS(Clean!$V$2:$V$1001,Clean!$AA$2:$AA$1001,B679)</f>
        <v>0.752336448598131</v>
      </c>
      <c r="G679" s="29" t="n">
        <f aca="false">F679*C679*D679</f>
        <v>1062.10782149533</v>
      </c>
      <c r="H679" s="29" t="n">
        <f aca="false">G679*Model!$B$4</f>
        <v>1062.10782149533</v>
      </c>
      <c r="I679" s="0" t="str">
        <f aca="false">IF(E679&lt;Model!$B$5*H679,"Expedite","Standard")</f>
        <v>Standard</v>
      </c>
      <c r="J679" s="29" t="n">
        <f aca="false">H679</f>
        <v>1062.10782149533</v>
      </c>
      <c r="K679" s="29" t="n">
        <f aca="false">E679+(1-Model!$B$5)*H679</f>
        <v>3988.94</v>
      </c>
      <c r="L679" s="29" t="n">
        <f aca="false">IF(I679="Expedite",K679,J679)</f>
        <v>1062.10782149533</v>
      </c>
      <c r="M679" s="29" t="n">
        <f aca="false">J679-L679</f>
        <v>0</v>
      </c>
      <c r="N679" s="29" t="n">
        <f aca="false">IFERROR(E679/(F679*C679*Model!$B$5),"")</f>
        <v>2664.35644058803</v>
      </c>
    </row>
    <row r="680" customFormat="false" ht="15" hidden="false" customHeight="false" outlineLevel="0" collapsed="false">
      <c r="A680" s="0" t="str">
        <f aca="false">Clean!A680</f>
        <v>SHP0679</v>
      </c>
      <c r="B680" s="0" t="str">
        <f aca="false">Clean!AA680</f>
        <v>TCI Express</v>
      </c>
      <c r="C680" s="28" t="n">
        <f aca="false">Clean!J680</f>
        <v>11.2</v>
      </c>
      <c r="D680" s="29" t="n">
        <f aca="false">Clean!AF680</f>
        <v>580.02</v>
      </c>
      <c r="E680" s="29" t="n">
        <f aca="false">Clean!AE680</f>
        <v>3941.85</v>
      </c>
      <c r="F680" s="22" t="n">
        <f aca="false">AVERAGEIFS(Clean!$V$2:$V$1001,Clean!$AA$2:$AA$1001,B680)</f>
        <v>0.752336448598131</v>
      </c>
      <c r="G680" s="29" t="n">
        <f aca="false">F680*C680*D680</f>
        <v>4887.34609345794</v>
      </c>
      <c r="H680" s="29" t="n">
        <f aca="false">G680*Model!$B$4</f>
        <v>4887.34609345794</v>
      </c>
      <c r="I680" s="0" t="str">
        <f aca="false">IF(E680&lt;Model!$B$5*H680,"Expedite","Standard")</f>
        <v>Expedite</v>
      </c>
      <c r="J680" s="29" t="n">
        <f aca="false">H680</f>
        <v>4887.34609345794</v>
      </c>
      <c r="K680" s="29" t="n">
        <f aca="false">E680+(1-Model!$B$5)*H680</f>
        <v>3941.85</v>
      </c>
      <c r="L680" s="29" t="n">
        <f aca="false">IF(I680="Expedite",K680,J680)</f>
        <v>3941.85</v>
      </c>
      <c r="M680" s="29" t="n">
        <f aca="false">J680-L680</f>
        <v>945.496093457944</v>
      </c>
      <c r="N680" s="29" t="n">
        <f aca="false">IFERROR(E680/(F680*C680*Model!$B$5),"")</f>
        <v>467.810503549246</v>
      </c>
    </row>
    <row r="681" customFormat="false" ht="15" hidden="false" customHeight="false" outlineLevel="0" collapsed="false">
      <c r="A681" s="0" t="str">
        <f aca="false">Clean!A681</f>
        <v>SHP0680</v>
      </c>
      <c r="B681" s="0" t="str">
        <f aca="false">Clean!AA681</f>
        <v>GATI Logistics</v>
      </c>
      <c r="C681" s="28" t="n">
        <f aca="false">Clean!J681</f>
        <v>7.83</v>
      </c>
      <c r="D681" s="29" t="n">
        <f aca="false">Clean!AF681</f>
        <v>1367.97</v>
      </c>
      <c r="E681" s="29" t="n">
        <f aca="false">Clean!AE681</f>
        <v>4701.15</v>
      </c>
      <c r="F681" s="22" t="n">
        <f aca="false">AVERAGEIFS(Clean!$V$2:$V$1001,Clean!$AA$2:$AA$1001,B681)</f>
        <v>0.751243781094527</v>
      </c>
      <c r="G681" s="29" t="n">
        <f aca="false">F681*C681*D681</f>
        <v>8046.72621940299</v>
      </c>
      <c r="H681" s="29" t="n">
        <f aca="false">G681*Model!$B$4</f>
        <v>8046.72621940299</v>
      </c>
      <c r="I681" s="0" t="str">
        <f aca="false">IF(E681&lt;Model!$B$5*H681,"Expedite","Standard")</f>
        <v>Expedite</v>
      </c>
      <c r="J681" s="29" t="n">
        <f aca="false">H681</f>
        <v>8046.72621940299</v>
      </c>
      <c r="K681" s="29" t="n">
        <f aca="false">E681+(1-Model!$B$5)*H681</f>
        <v>4701.15</v>
      </c>
      <c r="L681" s="29" t="n">
        <f aca="false">IF(I681="Expedite",K681,J681)</f>
        <v>4701.15</v>
      </c>
      <c r="M681" s="29" t="n">
        <f aca="false">J681-L681</f>
        <v>3345.57621940299</v>
      </c>
      <c r="N681" s="29" t="n">
        <f aca="false">IFERROR(E681/(F681*C681*Model!$B$5),"")</f>
        <v>799.211007079242</v>
      </c>
    </row>
    <row r="682" customFormat="false" ht="15" hidden="false" customHeight="false" outlineLevel="0" collapsed="false">
      <c r="A682" s="0" t="str">
        <f aca="false">Clean!A682</f>
        <v>SHP0681</v>
      </c>
      <c r="B682" s="0" t="str">
        <f aca="false">Clean!AA682</f>
        <v>GATI Logistics</v>
      </c>
      <c r="C682" s="28" t="n">
        <f aca="false">Clean!J682</f>
        <v>10.49</v>
      </c>
      <c r="D682" s="29" t="n">
        <f aca="false">Clean!AF682</f>
        <v>1196.36</v>
      </c>
      <c r="E682" s="29" t="n">
        <f aca="false">Clean!AE682</f>
        <v>4917.05</v>
      </c>
      <c r="F682" s="22" t="n">
        <f aca="false">AVERAGEIFS(Clean!$V$2:$V$1001,Clean!$AA$2:$AA$1001,B682)</f>
        <v>0.751243781094527</v>
      </c>
      <c r="G682" s="29" t="n">
        <f aca="false">F682*C682*D682</f>
        <v>9427.97152437811</v>
      </c>
      <c r="H682" s="29" t="n">
        <f aca="false">G682*Model!$B$4</f>
        <v>9427.97152437811</v>
      </c>
      <c r="I682" s="0" t="str">
        <f aca="false">IF(E682&lt;Model!$B$5*H682,"Expedite","Standard")</f>
        <v>Expedite</v>
      </c>
      <c r="J682" s="29" t="n">
        <f aca="false">H682</f>
        <v>9427.97152437811</v>
      </c>
      <c r="K682" s="29" t="n">
        <f aca="false">E682+(1-Model!$B$5)*H682</f>
        <v>4917.05</v>
      </c>
      <c r="L682" s="29" t="n">
        <f aca="false">IF(I682="Expedite",K682,J682)</f>
        <v>4917.05</v>
      </c>
      <c r="M682" s="29" t="n">
        <f aca="false">J682-L682</f>
        <v>4510.92152437811</v>
      </c>
      <c r="N682" s="29" t="n">
        <f aca="false">IFERROR(E682/(F682*C682*Model!$B$5),"")</f>
        <v>623.947783761261</v>
      </c>
    </row>
    <row r="683" customFormat="false" ht="15" hidden="false" customHeight="false" outlineLevel="0" collapsed="false">
      <c r="A683" s="0" t="str">
        <f aca="false">Clean!A683</f>
        <v>SHP0682</v>
      </c>
      <c r="B683" s="0" t="str">
        <f aca="false">Clean!AA683</f>
        <v>Delhivery</v>
      </c>
      <c r="C683" s="28" t="n">
        <f aca="false">Clean!J683</f>
        <v>13.77</v>
      </c>
      <c r="D683" s="29" t="n">
        <f aca="false">Clean!AF683</f>
        <v>758.71</v>
      </c>
      <c r="E683" s="29" t="n">
        <f aca="false">Clean!AE683</f>
        <v>2178.41</v>
      </c>
      <c r="F683" s="22" t="n">
        <f aca="false">AVERAGEIFS(Clean!$V$2:$V$1001,Clean!$AA$2:$AA$1001,B683)</f>
        <v>0.72538860103627</v>
      </c>
      <c r="G683" s="29" t="n">
        <f aca="false">F683*C683*D683</f>
        <v>7578.45149222798</v>
      </c>
      <c r="H683" s="29" t="n">
        <f aca="false">G683*Model!$B$4</f>
        <v>7578.45149222798</v>
      </c>
      <c r="I683" s="0" t="str">
        <f aca="false">IF(E683&lt;Model!$B$5*H683,"Expedite","Standard")</f>
        <v>Expedite</v>
      </c>
      <c r="J683" s="29" t="n">
        <f aca="false">H683</f>
        <v>7578.45149222798</v>
      </c>
      <c r="K683" s="29" t="n">
        <f aca="false">E683+(1-Model!$B$5)*H683</f>
        <v>2178.41</v>
      </c>
      <c r="L683" s="29" t="n">
        <f aca="false">IF(I683="Expedite",K683,J683)</f>
        <v>2178.41</v>
      </c>
      <c r="M683" s="29" t="n">
        <f aca="false">J683-L683</f>
        <v>5400.04149222798</v>
      </c>
      <c r="N683" s="29" t="n">
        <f aca="false">IFERROR(E683/(F683*C683*Model!$B$5),"")</f>
        <v>218.089599543521</v>
      </c>
    </row>
    <row r="684" customFormat="false" ht="15" hidden="false" customHeight="false" outlineLevel="0" collapsed="false">
      <c r="A684" s="0" t="str">
        <f aca="false">Clean!A684</f>
        <v>SHP0683</v>
      </c>
      <c r="B684" s="0" t="str">
        <f aca="false">Clean!AA684</f>
        <v>VRL Cargo</v>
      </c>
      <c r="C684" s="28" t="n">
        <f aca="false">Clean!J684</f>
        <v>1.49</v>
      </c>
      <c r="D684" s="29" t="n">
        <f aca="false">Clean!AF684</f>
        <v>654.84</v>
      </c>
      <c r="E684" s="29" t="n">
        <f aca="false">Clean!AE684</f>
        <v>3307.74</v>
      </c>
      <c r="F684" s="22" t="n">
        <f aca="false">AVERAGEIFS(Clean!$V$2:$V$1001,Clean!$AA$2:$AA$1001,B684)</f>
        <v>0.72020725388601</v>
      </c>
      <c r="G684" s="29" t="n">
        <f aca="false">F684*C684*D684</f>
        <v>702.714572020725</v>
      </c>
      <c r="H684" s="29" t="n">
        <f aca="false">G684*Model!$B$4</f>
        <v>702.714572020725</v>
      </c>
      <c r="I684" s="0" t="str">
        <f aca="false">IF(E684&lt;Model!$B$5*H684,"Expedite","Standard")</f>
        <v>Standard</v>
      </c>
      <c r="J684" s="29" t="n">
        <f aca="false">H684</f>
        <v>702.714572020725</v>
      </c>
      <c r="K684" s="29" t="n">
        <f aca="false">E684+(1-Model!$B$5)*H684</f>
        <v>3307.74</v>
      </c>
      <c r="L684" s="29" t="n">
        <f aca="false">IF(I684="Expedite",K684,J684)</f>
        <v>702.714572020725</v>
      </c>
      <c r="M684" s="29" t="n">
        <f aca="false">J684-L684</f>
        <v>0</v>
      </c>
      <c r="N684" s="29" t="n">
        <f aca="false">IFERROR(E684/(F684*C684*Model!$B$5),"")</f>
        <v>3082.39013084834</v>
      </c>
    </row>
    <row r="685" customFormat="false" ht="15" hidden="false" customHeight="false" outlineLevel="0" collapsed="false">
      <c r="A685" s="0" t="str">
        <f aca="false">Clean!A685</f>
        <v>SHP0684</v>
      </c>
      <c r="B685" s="0" t="str">
        <f aca="false">Clean!AA685</f>
        <v>TCI Express</v>
      </c>
      <c r="C685" s="28" t="n">
        <f aca="false">Clean!J685</f>
        <v>7.77</v>
      </c>
      <c r="D685" s="29" t="n">
        <f aca="false">Clean!AF685</f>
        <v>578.51</v>
      </c>
      <c r="E685" s="29" t="n">
        <f aca="false">Clean!AE685</f>
        <v>1023.46</v>
      </c>
      <c r="F685" s="22" t="n">
        <f aca="false">AVERAGEIFS(Clean!$V$2:$V$1001,Clean!$AA$2:$AA$1001,B685)</f>
        <v>0.752336448598131</v>
      </c>
      <c r="G685" s="29" t="n">
        <f aca="false">F685*C685*D685</f>
        <v>3381.76941448598</v>
      </c>
      <c r="H685" s="29" t="n">
        <f aca="false">G685*Model!$B$4</f>
        <v>3381.76941448598</v>
      </c>
      <c r="I685" s="0" t="str">
        <f aca="false">IF(E685&lt;Model!$B$5*H685,"Expedite","Standard")</f>
        <v>Expedite</v>
      </c>
      <c r="J685" s="29" t="n">
        <f aca="false">H685</f>
        <v>3381.76941448598</v>
      </c>
      <c r="K685" s="29" t="n">
        <f aca="false">E685+(1-Model!$B$5)*H685</f>
        <v>1023.46</v>
      </c>
      <c r="L685" s="29" t="n">
        <f aca="false">IF(I685="Expedite",K685,J685)</f>
        <v>1023.46</v>
      </c>
      <c r="M685" s="29" t="n">
        <f aca="false">J685-L685</f>
        <v>2358.30941448598</v>
      </c>
      <c r="N685" s="29" t="n">
        <f aca="false">IFERROR(E685/(F685*C685*Model!$B$5),"")</f>
        <v>175.080489540117</v>
      </c>
    </row>
    <row r="686" customFormat="false" ht="15" hidden="false" customHeight="false" outlineLevel="0" collapsed="false">
      <c r="A686" s="0" t="str">
        <f aca="false">Clean!A686</f>
        <v>SHP0685</v>
      </c>
      <c r="B686" s="0" t="str">
        <f aca="false">Clean!AA686</f>
        <v>BlueDart</v>
      </c>
      <c r="C686" s="28" t="n">
        <f aca="false">Clean!J686</f>
        <v>17.74</v>
      </c>
      <c r="D686" s="29" t="n">
        <f aca="false">Clean!AF686</f>
        <v>586.62</v>
      </c>
      <c r="E686" s="29" t="n">
        <f aca="false">Clean!AE686</f>
        <v>3958.25</v>
      </c>
      <c r="F686" s="22" t="n">
        <f aca="false">AVERAGEIFS(Clean!$V$2:$V$1001,Clean!$AA$2:$AA$1001,B686)</f>
        <v>0.773869346733668</v>
      </c>
      <c r="G686" s="29" t="n">
        <f aca="false">F686*C686*D686</f>
        <v>8053.37876984925</v>
      </c>
      <c r="H686" s="29" t="n">
        <f aca="false">G686*Model!$B$4</f>
        <v>8053.37876984925</v>
      </c>
      <c r="I686" s="0" t="str">
        <f aca="false">IF(E686&lt;Model!$B$5*H686,"Expedite","Standard")</f>
        <v>Expedite</v>
      </c>
      <c r="J686" s="29" t="n">
        <f aca="false">H686</f>
        <v>8053.37876984925</v>
      </c>
      <c r="K686" s="29" t="n">
        <f aca="false">E686+(1-Model!$B$5)*H686</f>
        <v>3958.25</v>
      </c>
      <c r="L686" s="29" t="n">
        <f aca="false">IF(I686="Expedite",K686,J686)</f>
        <v>3958.25</v>
      </c>
      <c r="M686" s="29" t="n">
        <f aca="false">J686-L686</f>
        <v>4095.12876984925</v>
      </c>
      <c r="N686" s="29" t="n">
        <f aca="false">IFERROR(E686/(F686*C686*Model!$B$5),"")</f>
        <v>288.324774154819</v>
      </c>
    </row>
    <row r="687" customFormat="false" ht="15" hidden="false" customHeight="false" outlineLevel="0" collapsed="false">
      <c r="A687" s="0" t="str">
        <f aca="false">Clean!A687</f>
        <v>SHP0686</v>
      </c>
      <c r="B687" s="0" t="str">
        <f aca="false">Clean!AA687</f>
        <v>GATI Logistics</v>
      </c>
      <c r="C687" s="28" t="n">
        <f aca="false">Clean!J687</f>
        <v>13.71</v>
      </c>
      <c r="D687" s="29" t="n">
        <f aca="false">Clean!AF687</f>
        <v>801.66</v>
      </c>
      <c r="E687" s="29" t="n">
        <f aca="false">Clean!AE687</f>
        <v>2815.84</v>
      </c>
      <c r="F687" s="22" t="n">
        <f aca="false">AVERAGEIFS(Clean!$V$2:$V$1001,Clean!$AA$2:$AA$1001,B687)</f>
        <v>0.751243781094527</v>
      </c>
      <c r="G687" s="29" t="n">
        <f aca="false">F687*C687*D687</f>
        <v>8256.73904776119</v>
      </c>
      <c r="H687" s="29" t="n">
        <f aca="false">G687*Model!$B$4</f>
        <v>8256.73904776119</v>
      </c>
      <c r="I687" s="0" t="str">
        <f aca="false">IF(E687&lt;Model!$B$5*H687,"Expedite","Standard")</f>
        <v>Expedite</v>
      </c>
      <c r="J687" s="29" t="n">
        <f aca="false">H687</f>
        <v>8256.73904776119</v>
      </c>
      <c r="K687" s="29" t="n">
        <f aca="false">E687+(1-Model!$B$5)*H687</f>
        <v>2815.84</v>
      </c>
      <c r="L687" s="29" t="n">
        <f aca="false">IF(I687="Expedite",K687,J687)</f>
        <v>2815.84</v>
      </c>
      <c r="M687" s="29" t="n">
        <f aca="false">J687-L687</f>
        <v>5440.89904776119</v>
      </c>
      <c r="N687" s="29" t="n">
        <f aca="false">IFERROR(E687/(F687*C687*Model!$B$5),"")</f>
        <v>273.394409262828</v>
      </c>
    </row>
    <row r="688" customFormat="false" ht="15" hidden="false" customHeight="false" outlineLevel="0" collapsed="false">
      <c r="A688" s="0" t="str">
        <f aca="false">Clean!A688</f>
        <v>SHP0687</v>
      </c>
      <c r="B688" s="0" t="str">
        <f aca="false">Clean!AA688</f>
        <v>BlueDart</v>
      </c>
      <c r="C688" s="28" t="n">
        <f aca="false">Clean!J688</f>
        <v>8.3</v>
      </c>
      <c r="D688" s="29" t="n">
        <f aca="false">Clean!AF688</f>
        <v>712.28</v>
      </c>
      <c r="E688" s="29" t="n">
        <f aca="false">Clean!AE688</f>
        <v>4777.85</v>
      </c>
      <c r="F688" s="22" t="n">
        <f aca="false">AVERAGEIFS(Clean!$V$2:$V$1001,Clean!$AA$2:$AA$1001,B688)</f>
        <v>0.773869346733668</v>
      </c>
      <c r="G688" s="29" t="n">
        <f aca="false">F688*C688*D688</f>
        <v>4575.0567638191</v>
      </c>
      <c r="H688" s="29" t="n">
        <f aca="false">G688*Model!$B$4</f>
        <v>4575.0567638191</v>
      </c>
      <c r="I688" s="0" t="str">
        <f aca="false">IF(E688&lt;Model!$B$5*H688,"Expedite","Standard")</f>
        <v>Standard</v>
      </c>
      <c r="J688" s="29" t="n">
        <f aca="false">H688</f>
        <v>4575.0567638191</v>
      </c>
      <c r="K688" s="29" t="n">
        <f aca="false">E688+(1-Model!$B$5)*H688</f>
        <v>4777.85</v>
      </c>
      <c r="L688" s="29" t="n">
        <f aca="false">IF(I688="Expedite",K688,J688)</f>
        <v>4575.0567638191</v>
      </c>
      <c r="M688" s="29" t="n">
        <f aca="false">J688-L688</f>
        <v>0</v>
      </c>
      <c r="N688" s="29" t="n">
        <f aca="false">IFERROR(E688/(F688*C688*Model!$B$5),"")</f>
        <v>743.852409638554</v>
      </c>
    </row>
    <row r="689" customFormat="false" ht="15" hidden="false" customHeight="false" outlineLevel="0" collapsed="false">
      <c r="A689" s="0" t="str">
        <f aca="false">Clean!A689</f>
        <v>SHP0688</v>
      </c>
      <c r="B689" s="0" t="str">
        <f aca="false">Clean!AA689</f>
        <v>TCI Express</v>
      </c>
      <c r="C689" s="28" t="n">
        <f aca="false">Clean!J689</f>
        <v>10.88</v>
      </c>
      <c r="D689" s="29" t="n">
        <f aca="false">Clean!AF689</f>
        <v>586.75</v>
      </c>
      <c r="E689" s="29" t="n">
        <f aca="false">Clean!AE689</f>
        <v>1781.44</v>
      </c>
      <c r="F689" s="22" t="n">
        <f aca="false">AVERAGEIFS(Clean!$V$2:$V$1001,Clean!$AA$2:$AA$1001,B689)</f>
        <v>0.752336448598131</v>
      </c>
      <c r="G689" s="29" t="n">
        <f aca="false">F689*C689*D689</f>
        <v>4802.79551401869</v>
      </c>
      <c r="H689" s="29" t="n">
        <f aca="false">G689*Model!$B$4</f>
        <v>4802.79551401869</v>
      </c>
      <c r="I689" s="0" t="str">
        <f aca="false">IF(E689&lt;Model!$B$5*H689,"Expedite","Standard")</f>
        <v>Expedite</v>
      </c>
      <c r="J689" s="29" t="n">
        <f aca="false">H689</f>
        <v>4802.79551401869</v>
      </c>
      <c r="K689" s="29" t="n">
        <f aca="false">E689+(1-Model!$B$5)*H689</f>
        <v>1781.44</v>
      </c>
      <c r="L689" s="29" t="n">
        <f aca="false">IF(I689="Expedite",K689,J689)</f>
        <v>1781.44</v>
      </c>
      <c r="M689" s="29" t="n">
        <f aca="false">J689-L689</f>
        <v>3021.35551401869</v>
      </c>
      <c r="N689" s="29" t="n">
        <f aca="false">IFERROR(E689/(F689*C689*Model!$B$5),"")</f>
        <v>217.635732553891</v>
      </c>
    </row>
    <row r="690" customFormat="false" ht="15" hidden="false" customHeight="false" outlineLevel="0" collapsed="false">
      <c r="A690" s="0" t="str">
        <f aca="false">Clean!A690</f>
        <v>SHP0689</v>
      </c>
      <c r="B690" s="0" t="str">
        <f aca="false">Clean!AA690</f>
        <v>Delhivery</v>
      </c>
      <c r="C690" s="28" t="n">
        <f aca="false">Clean!J690</f>
        <v>12.5</v>
      </c>
      <c r="D690" s="29" t="n">
        <f aca="false">Clean!AF690</f>
        <v>1024.5</v>
      </c>
      <c r="E690" s="29" t="n">
        <f aca="false">Clean!AE690</f>
        <v>2222.81</v>
      </c>
      <c r="F690" s="22" t="n">
        <f aca="false">AVERAGEIFS(Clean!$V$2:$V$1001,Clean!$AA$2:$AA$1001,B690)</f>
        <v>0.72538860103627</v>
      </c>
      <c r="G690" s="29" t="n">
        <f aca="false">F690*C690*D690</f>
        <v>9289.50777202073</v>
      </c>
      <c r="H690" s="29" t="n">
        <f aca="false">G690*Model!$B$4</f>
        <v>9289.50777202073</v>
      </c>
      <c r="I690" s="0" t="str">
        <f aca="false">IF(E690&lt;Model!$B$5*H690,"Expedite","Standard")</f>
        <v>Expedite</v>
      </c>
      <c r="J690" s="29" t="n">
        <f aca="false">H690</f>
        <v>9289.50777202073</v>
      </c>
      <c r="K690" s="29" t="n">
        <f aca="false">E690+(1-Model!$B$5)*H690</f>
        <v>2222.81</v>
      </c>
      <c r="L690" s="29" t="n">
        <f aca="false">IF(I690="Expedite",K690,J690)</f>
        <v>2222.81</v>
      </c>
      <c r="M690" s="29" t="n">
        <f aca="false">J690-L690</f>
        <v>7066.69777202073</v>
      </c>
      <c r="N690" s="29" t="n">
        <f aca="false">IFERROR(E690/(F690*C690*Model!$B$5),"")</f>
        <v>245.144188571429</v>
      </c>
    </row>
    <row r="691" customFormat="false" ht="15" hidden="false" customHeight="false" outlineLevel="0" collapsed="false">
      <c r="A691" s="0" t="str">
        <f aca="false">Clean!A691</f>
        <v>SHP0690</v>
      </c>
      <c r="B691" s="0" t="str">
        <f aca="false">Clean!AA691</f>
        <v>VRL Cargo</v>
      </c>
      <c r="C691" s="28" t="n">
        <f aca="false">Clean!J691</f>
        <v>13.39</v>
      </c>
      <c r="D691" s="29" t="n">
        <f aca="false">Clean!AF691</f>
        <v>1199.53</v>
      </c>
      <c r="E691" s="29" t="n">
        <f aca="false">Clean!AE691</f>
        <v>3223.48</v>
      </c>
      <c r="F691" s="22" t="n">
        <f aca="false">AVERAGEIFS(Clean!$V$2:$V$1001,Clean!$AA$2:$AA$1001,B691)</f>
        <v>0.72020725388601</v>
      </c>
      <c r="G691" s="29" t="n">
        <f aca="false">F691*C691*D691</f>
        <v>11567.7576751295</v>
      </c>
      <c r="H691" s="29" t="n">
        <f aca="false">G691*Model!$B$4</f>
        <v>11567.7576751295</v>
      </c>
      <c r="I691" s="0" t="str">
        <f aca="false">IF(E691&lt;Model!$B$5*H691,"Expedite","Standard")</f>
        <v>Expedite</v>
      </c>
      <c r="J691" s="29" t="n">
        <f aca="false">H691</f>
        <v>11567.7576751295</v>
      </c>
      <c r="K691" s="29" t="n">
        <f aca="false">E691+(1-Model!$B$5)*H691</f>
        <v>3223.48</v>
      </c>
      <c r="L691" s="29" t="n">
        <f aca="false">IF(I691="Expedite",K691,J691)</f>
        <v>3223.48</v>
      </c>
      <c r="M691" s="29" t="n">
        <f aca="false">J691-L691</f>
        <v>8344.27767512954</v>
      </c>
      <c r="N691" s="29" t="n">
        <f aca="false">IFERROR(E691/(F691*C691*Model!$B$5),"")</f>
        <v>334.261926381225</v>
      </c>
    </row>
    <row r="692" customFormat="false" ht="15" hidden="false" customHeight="false" outlineLevel="0" collapsed="false">
      <c r="A692" s="0" t="str">
        <f aca="false">Clean!A692</f>
        <v>SHP0691</v>
      </c>
      <c r="B692" s="0" t="str">
        <f aca="false">Clean!AA692</f>
        <v>TCI Express</v>
      </c>
      <c r="C692" s="28" t="n">
        <f aca="false">Clean!J692</f>
        <v>8.83</v>
      </c>
      <c r="D692" s="29" t="n">
        <f aca="false">Clean!AF692</f>
        <v>1294.13</v>
      </c>
      <c r="E692" s="29" t="n">
        <f aca="false">Clean!AE692</f>
        <v>4025.42</v>
      </c>
      <c r="F692" s="22" t="n">
        <f aca="false">AVERAGEIFS(Clean!$V$2:$V$1001,Clean!$AA$2:$AA$1001,B692)</f>
        <v>0.752336448598131</v>
      </c>
      <c r="G692" s="29" t="n">
        <f aca="false">F692*C692*D692</f>
        <v>8597.07491542056</v>
      </c>
      <c r="H692" s="29" t="n">
        <f aca="false">G692*Model!$B$4</f>
        <v>8597.07491542056</v>
      </c>
      <c r="I692" s="0" t="str">
        <f aca="false">IF(E692&lt;Model!$B$5*H692,"Expedite","Standard")</f>
        <v>Expedite</v>
      </c>
      <c r="J692" s="29" t="n">
        <f aca="false">H692</f>
        <v>8597.07491542056</v>
      </c>
      <c r="K692" s="29" t="n">
        <f aca="false">E692+(1-Model!$B$5)*H692</f>
        <v>4025.42</v>
      </c>
      <c r="L692" s="29" t="n">
        <f aca="false">IF(I692="Expedite",K692,J692)</f>
        <v>4025.42</v>
      </c>
      <c r="M692" s="29" t="n">
        <f aca="false">J692-L692</f>
        <v>4571.65491542056</v>
      </c>
      <c r="N692" s="29" t="n">
        <f aca="false">IFERROR(E692/(F692*C692*Model!$B$5),"")</f>
        <v>605.952237924073</v>
      </c>
    </row>
    <row r="693" customFormat="false" ht="15" hidden="false" customHeight="false" outlineLevel="0" collapsed="false">
      <c r="A693" s="0" t="str">
        <f aca="false">Clean!A693</f>
        <v>SHP0692</v>
      </c>
      <c r="B693" s="0" t="str">
        <f aca="false">Clean!AA693</f>
        <v>Delhivery</v>
      </c>
      <c r="C693" s="28" t="n">
        <f aca="false">Clean!J693</f>
        <v>10.4</v>
      </c>
      <c r="D693" s="29" t="n">
        <f aca="false">Clean!AF693</f>
        <v>930.94</v>
      </c>
      <c r="E693" s="29" t="n">
        <f aca="false">Clean!AE693</f>
        <v>4568.95</v>
      </c>
      <c r="F693" s="22" t="n">
        <f aca="false">AVERAGEIFS(Clean!$V$2:$V$1001,Clean!$AA$2:$AA$1001,B693)</f>
        <v>0.72538860103627</v>
      </c>
      <c r="G693" s="29" t="n">
        <f aca="false">F693*C693*D693</f>
        <v>7023.04994818653</v>
      </c>
      <c r="H693" s="29" t="n">
        <f aca="false">G693*Model!$B$4</f>
        <v>7023.04994818653</v>
      </c>
      <c r="I693" s="0" t="str">
        <f aca="false">IF(E693&lt;Model!$B$5*H693,"Expedite","Standard")</f>
        <v>Expedite</v>
      </c>
      <c r="J693" s="29" t="n">
        <f aca="false">H693</f>
        <v>7023.04994818653</v>
      </c>
      <c r="K693" s="29" t="n">
        <f aca="false">E693+(1-Model!$B$5)*H693</f>
        <v>4568.95</v>
      </c>
      <c r="L693" s="29" t="n">
        <f aca="false">IF(I693="Expedite",K693,J693)</f>
        <v>4568.95</v>
      </c>
      <c r="M693" s="29" t="n">
        <f aca="false">J693-L693</f>
        <v>2454.09994818653</v>
      </c>
      <c r="N693" s="29" t="n">
        <f aca="false">IFERROR(E693/(F693*C693*Model!$B$5),"")</f>
        <v>605.636916208791</v>
      </c>
    </row>
    <row r="694" customFormat="false" ht="15" hidden="false" customHeight="false" outlineLevel="0" collapsed="false">
      <c r="A694" s="0" t="str">
        <f aca="false">Clean!A694</f>
        <v>SHP0693</v>
      </c>
      <c r="B694" s="0" t="str">
        <f aca="false">Clean!AA694</f>
        <v>BlueDart</v>
      </c>
      <c r="C694" s="28" t="n">
        <f aca="false">Clean!J694</f>
        <v>4.76</v>
      </c>
      <c r="D694" s="29" t="n">
        <f aca="false">Clean!AF694</f>
        <v>1059.72</v>
      </c>
      <c r="E694" s="29" t="n">
        <f aca="false">Clean!AE694</f>
        <v>3917.66</v>
      </c>
      <c r="F694" s="22" t="n">
        <f aca="false">AVERAGEIFS(Clean!$V$2:$V$1001,Clean!$AA$2:$AA$1001,B694)</f>
        <v>0.773869346733668</v>
      </c>
      <c r="G694" s="29" t="n">
        <f aca="false">F694*C694*D694</f>
        <v>3903.60376281407</v>
      </c>
      <c r="H694" s="29" t="n">
        <f aca="false">G694*Model!$B$4</f>
        <v>3903.60376281407</v>
      </c>
      <c r="I694" s="0" t="str">
        <f aca="false">IF(E694&lt;Model!$B$5*H694,"Expedite","Standard")</f>
        <v>Standard</v>
      </c>
      <c r="J694" s="29" t="n">
        <f aca="false">H694</f>
        <v>3903.60376281407</v>
      </c>
      <c r="K694" s="29" t="n">
        <f aca="false">E694+(1-Model!$B$5)*H694</f>
        <v>3917.66</v>
      </c>
      <c r="L694" s="29" t="n">
        <f aca="false">IF(I694="Expedite",K694,J694)</f>
        <v>3903.60376281407</v>
      </c>
      <c r="M694" s="29" t="n">
        <f aca="false">J694-L694</f>
        <v>0</v>
      </c>
      <c r="N694" s="29" t="n">
        <f aca="false">IFERROR(E694/(F694*C694*Model!$B$5),"")</f>
        <v>1063.53587798756</v>
      </c>
    </row>
    <row r="695" customFormat="false" ht="15" hidden="false" customHeight="false" outlineLevel="0" collapsed="false">
      <c r="A695" s="0" t="str">
        <f aca="false">Clean!A695</f>
        <v>SHP0694</v>
      </c>
      <c r="B695" s="0" t="str">
        <f aca="false">Clean!AA695</f>
        <v>TCI Express</v>
      </c>
      <c r="C695" s="28" t="n">
        <f aca="false">Clean!J695</f>
        <v>7.82</v>
      </c>
      <c r="D695" s="29" t="n">
        <f aca="false">Clean!AF695</f>
        <v>894.55</v>
      </c>
      <c r="E695" s="29" t="n">
        <f aca="false">Clean!AE695</f>
        <v>4730.56</v>
      </c>
      <c r="F695" s="22" t="n">
        <f aca="false">AVERAGEIFS(Clean!$V$2:$V$1001,Clean!$AA$2:$AA$1001,B695)</f>
        <v>0.752336448598131</v>
      </c>
      <c r="G695" s="29" t="n">
        <f aca="false">F695*C695*D695</f>
        <v>5262.88009813084</v>
      </c>
      <c r="H695" s="29" t="n">
        <f aca="false">G695*Model!$B$4</f>
        <v>5262.88009813084</v>
      </c>
      <c r="I695" s="0" t="str">
        <f aca="false">IF(E695&lt;Model!$B$5*H695,"Expedite","Standard")</f>
        <v>Expedite</v>
      </c>
      <c r="J695" s="29" t="n">
        <f aca="false">H695</f>
        <v>5262.88009813084</v>
      </c>
      <c r="K695" s="29" t="n">
        <f aca="false">E695+(1-Model!$B$5)*H695</f>
        <v>4730.56</v>
      </c>
      <c r="L695" s="29" t="n">
        <f aca="false">IF(I695="Expedite",K695,J695)</f>
        <v>4730.56</v>
      </c>
      <c r="M695" s="29" t="n">
        <f aca="false">J695-L695</f>
        <v>532.320098130841</v>
      </c>
      <c r="N695" s="29" t="n">
        <f aca="false">IFERROR(E695/(F695*C695*Model!$B$5),"")</f>
        <v>804.069705008658</v>
      </c>
    </row>
    <row r="696" customFormat="false" ht="15" hidden="false" customHeight="false" outlineLevel="0" collapsed="false">
      <c r="A696" s="0" t="str">
        <f aca="false">Clean!A696</f>
        <v>SHP0695</v>
      </c>
      <c r="B696" s="0" t="str">
        <f aca="false">Clean!AA696</f>
        <v>TCI Express</v>
      </c>
      <c r="C696" s="28" t="n">
        <f aca="false">Clean!J696</f>
        <v>16.06</v>
      </c>
      <c r="D696" s="29" t="n">
        <f aca="false">Clean!AF696</f>
        <v>1252.35</v>
      </c>
      <c r="E696" s="29" t="n">
        <f aca="false">Clean!AE696</f>
        <v>4503.05</v>
      </c>
      <c r="F696" s="22" t="n">
        <f aca="false">AVERAGEIFS(Clean!$V$2:$V$1001,Clean!$AA$2:$AA$1001,B696)</f>
        <v>0.752336448598131</v>
      </c>
      <c r="G696" s="29" t="n">
        <f aca="false">F696*C696*D696</f>
        <v>15131.548135514</v>
      </c>
      <c r="H696" s="29" t="n">
        <f aca="false">G696*Model!$B$4</f>
        <v>15131.548135514</v>
      </c>
      <c r="I696" s="0" t="str">
        <f aca="false">IF(E696&lt;Model!$B$5*H696,"Expedite","Standard")</f>
        <v>Expedite</v>
      </c>
      <c r="J696" s="29" t="n">
        <f aca="false">H696</f>
        <v>15131.548135514</v>
      </c>
      <c r="K696" s="29" t="n">
        <f aca="false">E696+(1-Model!$B$5)*H696</f>
        <v>4503.05</v>
      </c>
      <c r="L696" s="29" t="n">
        <f aca="false">IF(I696="Expedite",K696,J696)</f>
        <v>4503.05</v>
      </c>
      <c r="M696" s="29" t="n">
        <f aca="false">J696-L696</f>
        <v>10628.498135514</v>
      </c>
      <c r="N696" s="29" t="n">
        <f aca="false">IFERROR(E696/(F696*C696*Model!$B$5),"")</f>
        <v>372.691189096788</v>
      </c>
    </row>
    <row r="697" customFormat="false" ht="15" hidden="false" customHeight="false" outlineLevel="0" collapsed="false">
      <c r="A697" s="0" t="str">
        <f aca="false">Clean!A697</f>
        <v>SHP0696</v>
      </c>
      <c r="B697" s="0" t="str">
        <f aca="false">Clean!AA697</f>
        <v>VRL Cargo</v>
      </c>
      <c r="C697" s="28" t="n">
        <f aca="false">Clean!J697</f>
        <v>1.34</v>
      </c>
      <c r="D697" s="29" t="n">
        <f aca="false">Clean!AF697</f>
        <v>1303.04</v>
      </c>
      <c r="E697" s="29" t="n">
        <f aca="false">Clean!AE697</f>
        <v>4195.79</v>
      </c>
      <c r="F697" s="22" t="n">
        <f aca="false">AVERAGEIFS(Clean!$V$2:$V$1001,Clean!$AA$2:$AA$1001,B697)</f>
        <v>0.72020725388601</v>
      </c>
      <c r="G697" s="29" t="n">
        <f aca="false">F697*C697*D697</f>
        <v>1257.53487253886</v>
      </c>
      <c r="H697" s="29" t="n">
        <f aca="false">G697*Model!$B$4</f>
        <v>1257.53487253886</v>
      </c>
      <c r="I697" s="0" t="str">
        <f aca="false">IF(E697&lt;Model!$B$5*H697,"Expedite","Standard")</f>
        <v>Standard</v>
      </c>
      <c r="J697" s="29" t="n">
        <f aca="false">H697</f>
        <v>1257.53487253886</v>
      </c>
      <c r="K697" s="29" t="n">
        <f aca="false">E697+(1-Model!$B$5)*H697</f>
        <v>4195.79</v>
      </c>
      <c r="L697" s="29" t="n">
        <f aca="false">IF(I697="Expedite",K697,J697)</f>
        <v>1257.53487253886</v>
      </c>
      <c r="M697" s="29" t="n">
        <f aca="false">J697-L697</f>
        <v>0</v>
      </c>
      <c r="N697" s="29" t="n">
        <f aca="false">IFERROR(E697/(F697*C697*Model!$B$5),"")</f>
        <v>4347.61875872436</v>
      </c>
    </row>
    <row r="698" customFormat="false" ht="15" hidden="false" customHeight="false" outlineLevel="0" collapsed="false">
      <c r="A698" s="0" t="str">
        <f aca="false">Clean!A698</f>
        <v>SHP0697</v>
      </c>
      <c r="B698" s="0" t="str">
        <f aca="false">Clean!AA698</f>
        <v>BlueDart</v>
      </c>
      <c r="C698" s="28" t="n">
        <f aca="false">Clean!J698</f>
        <v>8.89</v>
      </c>
      <c r="D698" s="29" t="n">
        <f aca="false">Clean!AF698</f>
        <v>524.86</v>
      </c>
      <c r="E698" s="29" t="n">
        <f aca="false">Clean!AE698</f>
        <v>2218.09</v>
      </c>
      <c r="F698" s="22" t="n">
        <f aca="false">AVERAGEIFS(Clean!$V$2:$V$1001,Clean!$AA$2:$AA$1001,B698)</f>
        <v>0.773869346733668</v>
      </c>
      <c r="G698" s="29" t="n">
        <f aca="false">F698*C698*D698</f>
        <v>3610.87855075377</v>
      </c>
      <c r="H698" s="29" t="n">
        <f aca="false">G698*Model!$B$4</f>
        <v>3610.87855075377</v>
      </c>
      <c r="I698" s="0" t="str">
        <f aca="false">IF(E698&lt;Model!$B$5*H698,"Expedite","Standard")</f>
        <v>Expedite</v>
      </c>
      <c r="J698" s="29" t="n">
        <f aca="false">H698</f>
        <v>3610.87855075377</v>
      </c>
      <c r="K698" s="29" t="n">
        <f aca="false">E698+(1-Model!$B$5)*H698</f>
        <v>2218.09</v>
      </c>
      <c r="L698" s="29" t="n">
        <f aca="false">IF(I698="Expedite",K698,J698)</f>
        <v>2218.09</v>
      </c>
      <c r="M698" s="29" t="n">
        <f aca="false">J698-L698</f>
        <v>1392.78855075377</v>
      </c>
      <c r="N698" s="29" t="n">
        <f aca="false">IFERROR(E698/(F698*C698*Model!$B$5),"")</f>
        <v>322.410931588097</v>
      </c>
    </row>
    <row r="699" customFormat="false" ht="15" hidden="false" customHeight="false" outlineLevel="0" collapsed="false">
      <c r="A699" s="0" t="str">
        <f aca="false">Clean!A699</f>
        <v>SHP0698</v>
      </c>
      <c r="B699" s="0" t="str">
        <f aca="false">Clean!AA699</f>
        <v>GATI Logistics</v>
      </c>
      <c r="C699" s="28" t="n">
        <f aca="false">Clean!J699</f>
        <v>1.07</v>
      </c>
      <c r="D699" s="29" t="n">
        <f aca="false">Clean!AF699</f>
        <v>1403.27</v>
      </c>
      <c r="E699" s="29" t="n">
        <f aca="false">Clean!AE699</f>
        <v>3645.86</v>
      </c>
      <c r="F699" s="22" t="n">
        <f aca="false">AVERAGEIFS(Clean!$V$2:$V$1001,Clean!$AA$2:$AA$1001,B699)</f>
        <v>0.751243781094527</v>
      </c>
      <c r="G699" s="29" t="n">
        <f aca="false">F699*C699*D699</f>
        <v>1127.99171094527</v>
      </c>
      <c r="H699" s="29" t="n">
        <f aca="false">G699*Model!$B$4</f>
        <v>1127.99171094527</v>
      </c>
      <c r="I699" s="0" t="str">
        <f aca="false">IF(E699&lt;Model!$B$5*H699,"Expedite","Standard")</f>
        <v>Standard</v>
      </c>
      <c r="J699" s="29" t="n">
        <f aca="false">H699</f>
        <v>1127.99171094527</v>
      </c>
      <c r="K699" s="29" t="n">
        <f aca="false">E699+(1-Model!$B$5)*H699</f>
        <v>3645.86</v>
      </c>
      <c r="L699" s="29" t="n">
        <f aca="false">IF(I699="Expedite",K699,J699)</f>
        <v>1127.99171094527</v>
      </c>
      <c r="M699" s="29" t="n">
        <f aca="false">J699-L699</f>
        <v>0</v>
      </c>
      <c r="N699" s="29" t="n">
        <f aca="false">IFERROR(E699/(F699*C699*Model!$B$5),"")</f>
        <v>4535.60599121124</v>
      </c>
    </row>
    <row r="700" customFormat="false" ht="15" hidden="false" customHeight="false" outlineLevel="0" collapsed="false">
      <c r="A700" s="0" t="str">
        <f aca="false">Clean!A700</f>
        <v>SHP0699</v>
      </c>
      <c r="B700" s="0" t="str">
        <f aca="false">Clean!AA700</f>
        <v>TCI Express</v>
      </c>
      <c r="C700" s="28" t="n">
        <f aca="false">Clean!J700</f>
        <v>2.87</v>
      </c>
      <c r="D700" s="29" t="n">
        <f aca="false">Clean!AF700</f>
        <v>575.53</v>
      </c>
      <c r="E700" s="29" t="n">
        <f aca="false">Clean!AE700</f>
        <v>4089.07</v>
      </c>
      <c r="F700" s="22" t="n">
        <f aca="false">AVERAGEIFS(Clean!$V$2:$V$1001,Clean!$AA$2:$AA$1001,B700)</f>
        <v>0.752336448598131</v>
      </c>
      <c r="G700" s="29" t="n">
        <f aca="false">F700*C700*D700</f>
        <v>1242.68760327103</v>
      </c>
      <c r="H700" s="29" t="n">
        <f aca="false">G700*Model!$B$4</f>
        <v>1242.68760327103</v>
      </c>
      <c r="I700" s="0" t="str">
        <f aca="false">IF(E700&lt;Model!$B$5*H700,"Expedite","Standard")</f>
        <v>Standard</v>
      </c>
      <c r="J700" s="29" t="n">
        <f aca="false">H700</f>
        <v>1242.68760327103</v>
      </c>
      <c r="K700" s="29" t="n">
        <f aca="false">E700+(1-Model!$B$5)*H700</f>
        <v>4089.07</v>
      </c>
      <c r="L700" s="29" t="n">
        <f aca="false">IF(I700="Expedite",K700,J700)</f>
        <v>1242.68760327103</v>
      </c>
      <c r="M700" s="29" t="n">
        <f aca="false">J700-L700</f>
        <v>0</v>
      </c>
      <c r="N700" s="29" t="n">
        <f aca="false">IFERROR(E700/(F700*C700*Model!$B$5),"")</f>
        <v>1893.78444824377</v>
      </c>
    </row>
    <row r="701" customFormat="false" ht="15" hidden="false" customHeight="false" outlineLevel="0" collapsed="false">
      <c r="A701" s="0" t="str">
        <f aca="false">Clean!A701</f>
        <v>SHP0700</v>
      </c>
      <c r="B701" s="0" t="str">
        <f aca="false">Clean!AA701</f>
        <v>GATI Logistics</v>
      </c>
      <c r="C701" s="28" t="n">
        <f aca="false">Clean!J701</f>
        <v>16.72</v>
      </c>
      <c r="D701" s="29" t="n">
        <f aca="false">Clean!AF701</f>
        <v>1307.26</v>
      </c>
      <c r="E701" s="29" t="n">
        <f aca="false">Clean!AE701</f>
        <v>4846.17</v>
      </c>
      <c r="F701" s="22" t="n">
        <f aca="false">AVERAGEIFS(Clean!$V$2:$V$1001,Clean!$AA$2:$AA$1001,B701)</f>
        <v>0.751243781094527</v>
      </c>
      <c r="G701" s="29" t="n">
        <f aca="false">F701*C701*D701</f>
        <v>16420.2262049751</v>
      </c>
      <c r="H701" s="29" t="n">
        <f aca="false">G701*Model!$B$4</f>
        <v>16420.2262049751</v>
      </c>
      <c r="I701" s="0" t="str">
        <f aca="false">IF(E701&lt;Model!$B$5*H701,"Expedite","Standard")</f>
        <v>Expedite</v>
      </c>
      <c r="J701" s="29" t="n">
        <f aca="false">H701</f>
        <v>16420.2262049751</v>
      </c>
      <c r="K701" s="29" t="n">
        <f aca="false">E701+(1-Model!$B$5)*H701</f>
        <v>4846.17</v>
      </c>
      <c r="L701" s="29" t="n">
        <f aca="false">IF(I701="Expedite",K701,J701)</f>
        <v>4846.17</v>
      </c>
      <c r="M701" s="29" t="n">
        <f aca="false">J701-L701</f>
        <v>11574.0562049751</v>
      </c>
      <c r="N701" s="29" t="n">
        <f aca="false">IFERROR(E701/(F701*C701*Model!$B$5),"")</f>
        <v>385.817108431826</v>
      </c>
    </row>
    <row r="702" customFormat="false" ht="15" hidden="false" customHeight="false" outlineLevel="0" collapsed="false">
      <c r="A702" s="0" t="str">
        <f aca="false">Clean!A702</f>
        <v>SHP0701</v>
      </c>
      <c r="B702" s="0" t="str">
        <f aca="false">Clean!AA702</f>
        <v>BlueDart</v>
      </c>
      <c r="C702" s="28" t="n">
        <f aca="false">Clean!J702</f>
        <v>9.73</v>
      </c>
      <c r="D702" s="29" t="n">
        <f aca="false">Clean!AF702</f>
        <v>671.09</v>
      </c>
      <c r="E702" s="29" t="n">
        <f aca="false">Clean!AE702</f>
        <v>4753.79</v>
      </c>
      <c r="F702" s="22" t="n">
        <f aca="false">AVERAGEIFS(Clean!$V$2:$V$1001,Clean!$AA$2:$AA$1001,B702)</f>
        <v>0.773869346733668</v>
      </c>
      <c r="G702" s="29" t="n">
        <f aca="false">F702*C702*D702</f>
        <v>5053.13908442211</v>
      </c>
      <c r="H702" s="29" t="n">
        <f aca="false">G702*Model!$B$4</f>
        <v>5053.13908442211</v>
      </c>
      <c r="I702" s="0" t="str">
        <f aca="false">IF(E702&lt;Model!$B$5*H702,"Expedite","Standard")</f>
        <v>Expedite</v>
      </c>
      <c r="J702" s="29" t="n">
        <f aca="false">H702</f>
        <v>5053.13908442211</v>
      </c>
      <c r="K702" s="29" t="n">
        <f aca="false">E702+(1-Model!$B$5)*H702</f>
        <v>4753.79</v>
      </c>
      <c r="L702" s="29" t="n">
        <f aca="false">IF(I702="Expedite",K702,J702)</f>
        <v>4753.79</v>
      </c>
      <c r="M702" s="29" t="n">
        <f aca="false">J702-L702</f>
        <v>299.349084422111</v>
      </c>
      <c r="N702" s="29" t="n">
        <f aca="false">IFERROR(E702/(F702*C702*Model!$B$5),"")</f>
        <v>631.33447898453</v>
      </c>
    </row>
    <row r="703" customFormat="false" ht="15" hidden="false" customHeight="false" outlineLevel="0" collapsed="false">
      <c r="A703" s="0" t="str">
        <f aca="false">Clean!A703</f>
        <v>SHP0702</v>
      </c>
      <c r="B703" s="0" t="str">
        <f aca="false">Clean!AA703</f>
        <v>BlueDart</v>
      </c>
      <c r="C703" s="28" t="n">
        <f aca="false">Clean!J703</f>
        <v>3.15</v>
      </c>
      <c r="D703" s="29" t="n">
        <f aca="false">Clean!AF703</f>
        <v>1492.83</v>
      </c>
      <c r="E703" s="29" t="n">
        <f aca="false">Clean!AE703</f>
        <v>1296.3</v>
      </c>
      <c r="F703" s="22" t="n">
        <f aca="false">AVERAGEIFS(Clean!$V$2:$V$1001,Clean!$AA$2:$AA$1001,B703)</f>
        <v>0.773869346733668</v>
      </c>
      <c r="G703" s="29" t="n">
        <f aca="false">F703*C703*D703</f>
        <v>3639.05443718593</v>
      </c>
      <c r="H703" s="29" t="n">
        <f aca="false">G703*Model!$B$4</f>
        <v>3639.05443718593</v>
      </c>
      <c r="I703" s="0" t="str">
        <f aca="false">IF(E703&lt;Model!$B$5*H703,"Expedite","Standard")</f>
        <v>Expedite</v>
      </c>
      <c r="J703" s="29" t="n">
        <f aca="false">H703</f>
        <v>3639.05443718593</v>
      </c>
      <c r="K703" s="29" t="n">
        <f aca="false">E703+(1-Model!$B$5)*H703</f>
        <v>1296.3</v>
      </c>
      <c r="L703" s="29" t="n">
        <f aca="false">IF(I703="Expedite",K703,J703)</f>
        <v>1296.3</v>
      </c>
      <c r="M703" s="29" t="n">
        <f aca="false">J703-L703</f>
        <v>2342.75443718593</v>
      </c>
      <c r="N703" s="29" t="n">
        <f aca="false">IFERROR(E703/(F703*C703*Model!$B$5),"")</f>
        <v>531.774273345702</v>
      </c>
    </row>
    <row r="704" customFormat="false" ht="15" hidden="false" customHeight="false" outlineLevel="0" collapsed="false">
      <c r="A704" s="0" t="str">
        <f aca="false">Clean!A704</f>
        <v>SHP0703</v>
      </c>
      <c r="B704" s="0" t="str">
        <f aca="false">Clean!AA704</f>
        <v>Delhivery</v>
      </c>
      <c r="C704" s="28" t="n">
        <f aca="false">Clean!J704</f>
        <v>8.75</v>
      </c>
      <c r="D704" s="29" t="n">
        <f aca="false">Clean!AF704</f>
        <v>1499.21</v>
      </c>
      <c r="E704" s="29" t="n">
        <f aca="false">Clean!AE704</f>
        <v>3289.26</v>
      </c>
      <c r="F704" s="22" t="n">
        <f aca="false">AVERAGEIFS(Clean!$V$2:$V$1001,Clean!$AA$2:$AA$1001,B704)</f>
        <v>0.72538860103627</v>
      </c>
      <c r="G704" s="29" t="n">
        <f aca="false">F704*C704*D704</f>
        <v>9515.71113989637</v>
      </c>
      <c r="H704" s="29" t="n">
        <f aca="false">G704*Model!$B$4</f>
        <v>9515.71113989637</v>
      </c>
      <c r="I704" s="0" t="str">
        <f aca="false">IF(E704&lt;Model!$B$5*H704,"Expedite","Standard")</f>
        <v>Expedite</v>
      </c>
      <c r="J704" s="29" t="n">
        <f aca="false">H704</f>
        <v>9515.71113989637</v>
      </c>
      <c r="K704" s="29" t="n">
        <f aca="false">E704+(1-Model!$B$5)*H704</f>
        <v>3289.26</v>
      </c>
      <c r="L704" s="29" t="n">
        <f aca="false">IF(I704="Expedite",K704,J704)</f>
        <v>3289.26</v>
      </c>
      <c r="M704" s="29" t="n">
        <f aca="false">J704-L704</f>
        <v>6226.45113989637</v>
      </c>
      <c r="N704" s="29" t="n">
        <f aca="false">IFERROR(E704/(F704*C704*Model!$B$5),"")</f>
        <v>518.226269387755</v>
      </c>
    </row>
    <row r="705" customFormat="false" ht="15" hidden="false" customHeight="false" outlineLevel="0" collapsed="false">
      <c r="A705" s="0" t="str">
        <f aca="false">Clean!A705</f>
        <v>SHP0704</v>
      </c>
      <c r="B705" s="0" t="str">
        <f aca="false">Clean!AA705</f>
        <v>BlueDart</v>
      </c>
      <c r="C705" s="28" t="n">
        <f aca="false">Clean!J705</f>
        <v>6.45</v>
      </c>
      <c r="D705" s="29" t="n">
        <f aca="false">Clean!AF705</f>
        <v>1020.12</v>
      </c>
      <c r="E705" s="29" t="n">
        <f aca="false">Clean!AE705</f>
        <v>3239.18</v>
      </c>
      <c r="F705" s="22" t="n">
        <f aca="false">AVERAGEIFS(Clean!$V$2:$V$1001,Clean!$AA$2:$AA$1001,B705)</f>
        <v>0.773869346733668</v>
      </c>
      <c r="G705" s="29" t="n">
        <f aca="false">F705*C705*D705</f>
        <v>5091.88540703518</v>
      </c>
      <c r="H705" s="29" t="n">
        <f aca="false">G705*Model!$B$4</f>
        <v>5091.88540703518</v>
      </c>
      <c r="I705" s="0" t="str">
        <f aca="false">IF(E705&lt;Model!$B$5*H705,"Expedite","Standard")</f>
        <v>Expedite</v>
      </c>
      <c r="J705" s="29" t="n">
        <f aca="false">H705</f>
        <v>5091.88540703518</v>
      </c>
      <c r="K705" s="29" t="n">
        <f aca="false">E705+(1-Model!$B$5)*H705</f>
        <v>3239.18</v>
      </c>
      <c r="L705" s="29" t="n">
        <f aca="false">IF(I705="Expedite",K705,J705)</f>
        <v>3239.18</v>
      </c>
      <c r="M705" s="29" t="n">
        <f aca="false">J705-L705</f>
        <v>1852.70540703518</v>
      </c>
      <c r="N705" s="29" t="n">
        <f aca="false">IFERROR(E705/(F705*C705*Model!$B$5),"")</f>
        <v>648.94474982382</v>
      </c>
    </row>
    <row r="706" customFormat="false" ht="15" hidden="false" customHeight="false" outlineLevel="0" collapsed="false">
      <c r="A706" s="0" t="str">
        <f aca="false">Clean!A706</f>
        <v>SHP0705</v>
      </c>
      <c r="B706" s="0" t="str">
        <f aca="false">Clean!AA706</f>
        <v>GATI Logistics</v>
      </c>
      <c r="C706" s="28" t="n">
        <f aca="false">Clean!J706</f>
        <v>12.6</v>
      </c>
      <c r="D706" s="29" t="n">
        <f aca="false">Clean!AF706</f>
        <v>515.02</v>
      </c>
      <c r="E706" s="29" t="n">
        <f aca="false">Clean!AE706</f>
        <v>1627.67</v>
      </c>
      <c r="F706" s="22" t="n">
        <f aca="false">AVERAGEIFS(Clean!$V$2:$V$1001,Clean!$AA$2:$AA$1001,B706)</f>
        <v>0.751243781094527</v>
      </c>
      <c r="G706" s="29" t="n">
        <f aca="false">F706*C706*D706</f>
        <v>4875.01020895522</v>
      </c>
      <c r="H706" s="29" t="n">
        <f aca="false">G706*Model!$B$4</f>
        <v>4875.01020895522</v>
      </c>
      <c r="I706" s="0" t="str">
        <f aca="false">IF(E706&lt;Model!$B$5*H706,"Expedite","Standard")</f>
        <v>Expedite</v>
      </c>
      <c r="J706" s="29" t="n">
        <f aca="false">H706</f>
        <v>4875.01020895522</v>
      </c>
      <c r="K706" s="29" t="n">
        <f aca="false">E706+(1-Model!$B$5)*H706</f>
        <v>1627.67</v>
      </c>
      <c r="L706" s="29" t="n">
        <f aca="false">IF(I706="Expedite",K706,J706)</f>
        <v>1627.67</v>
      </c>
      <c r="M706" s="29" t="n">
        <f aca="false">J706-L706</f>
        <v>3247.34020895522</v>
      </c>
      <c r="N706" s="29" t="n">
        <f aca="false">IFERROR(E706/(F706*C706*Model!$B$5),"")</f>
        <v>171.9550457269</v>
      </c>
    </row>
    <row r="707" customFormat="false" ht="15" hidden="false" customHeight="false" outlineLevel="0" collapsed="false">
      <c r="A707" s="0" t="str">
        <f aca="false">Clean!A707</f>
        <v>SHP0706</v>
      </c>
      <c r="B707" s="0" t="str">
        <f aca="false">Clean!AA707</f>
        <v>BlueDart</v>
      </c>
      <c r="C707" s="28" t="n">
        <f aca="false">Clean!J707</f>
        <v>6.94</v>
      </c>
      <c r="D707" s="29" t="n">
        <f aca="false">Clean!AF707</f>
        <v>900.03</v>
      </c>
      <c r="E707" s="29" t="n">
        <f aca="false">Clean!AE707</f>
        <v>2097.65</v>
      </c>
      <c r="F707" s="22" t="n">
        <f aca="false">AVERAGEIFS(Clean!$V$2:$V$1001,Clean!$AA$2:$AA$1001,B707)</f>
        <v>0.773869346733668</v>
      </c>
      <c r="G707" s="29" t="n">
        <f aca="false">F707*C707*D707</f>
        <v>4833.74905929648</v>
      </c>
      <c r="H707" s="29" t="n">
        <f aca="false">G707*Model!$B$4</f>
        <v>4833.74905929648</v>
      </c>
      <c r="I707" s="0" t="str">
        <f aca="false">IF(E707&lt;Model!$B$5*H707,"Expedite","Standard")</f>
        <v>Expedite</v>
      </c>
      <c r="J707" s="29" t="n">
        <f aca="false">H707</f>
        <v>4833.74905929648</v>
      </c>
      <c r="K707" s="29" t="n">
        <f aca="false">E707+(1-Model!$B$5)*H707</f>
        <v>2097.65</v>
      </c>
      <c r="L707" s="29" t="n">
        <f aca="false">IF(I707="Expedite",K707,J707)</f>
        <v>2097.65</v>
      </c>
      <c r="M707" s="29" t="n">
        <f aca="false">J707-L707</f>
        <v>2736.09905929648</v>
      </c>
      <c r="N707" s="29" t="n">
        <f aca="false">IFERROR(E707/(F707*C707*Model!$B$5),"")</f>
        <v>390.576322092893</v>
      </c>
    </row>
    <row r="708" customFormat="false" ht="15" hidden="false" customHeight="false" outlineLevel="0" collapsed="false">
      <c r="A708" s="0" t="str">
        <f aca="false">Clean!A708</f>
        <v>SHP0707</v>
      </c>
      <c r="B708" s="0" t="str">
        <f aca="false">Clean!AA708</f>
        <v>GATI Logistics</v>
      </c>
      <c r="C708" s="28" t="n">
        <f aca="false">Clean!J708</f>
        <v>15.79</v>
      </c>
      <c r="D708" s="29" t="n">
        <f aca="false">Clean!AF708</f>
        <v>759.79</v>
      </c>
      <c r="E708" s="29" t="n">
        <f aca="false">Clean!AE708</f>
        <v>3753.43</v>
      </c>
      <c r="F708" s="22" t="n">
        <f aca="false">AVERAGEIFS(Clean!$V$2:$V$1001,Clean!$AA$2:$AA$1001,B708)</f>
        <v>0.751243781094527</v>
      </c>
      <c r="G708" s="29" t="n">
        <f aca="false">F708*C708*D708</f>
        <v>9012.73482139304</v>
      </c>
      <c r="H708" s="29" t="n">
        <f aca="false">G708*Model!$B$4</f>
        <v>9012.73482139304</v>
      </c>
      <c r="I708" s="0" t="str">
        <f aca="false">IF(E708&lt;Model!$B$5*H708,"Expedite","Standard")</f>
        <v>Expedite</v>
      </c>
      <c r="J708" s="29" t="n">
        <f aca="false">H708</f>
        <v>9012.73482139304</v>
      </c>
      <c r="K708" s="29" t="n">
        <f aca="false">E708+(1-Model!$B$5)*H708</f>
        <v>3753.43</v>
      </c>
      <c r="L708" s="29" t="n">
        <f aca="false">IF(I708="Expedite",K708,J708)</f>
        <v>3753.43</v>
      </c>
      <c r="M708" s="29" t="n">
        <f aca="false">J708-L708</f>
        <v>5259.30482139303</v>
      </c>
      <c r="N708" s="29" t="n">
        <f aca="false">IFERROR(E708/(F708*C708*Model!$B$5),"")</f>
        <v>316.421001639901</v>
      </c>
    </row>
    <row r="709" customFormat="false" ht="15" hidden="false" customHeight="false" outlineLevel="0" collapsed="false">
      <c r="A709" s="0" t="str">
        <f aca="false">Clean!A709</f>
        <v>SHP0708</v>
      </c>
      <c r="B709" s="0" t="str">
        <f aca="false">Clean!AA709</f>
        <v>GATI Logistics</v>
      </c>
      <c r="C709" s="28" t="n">
        <f aca="false">Clean!J709</f>
        <v>5.84</v>
      </c>
      <c r="D709" s="29" t="n">
        <f aca="false">Clean!AF709</f>
        <v>865.23</v>
      </c>
      <c r="E709" s="29" t="n">
        <f aca="false">Clean!AE709</f>
        <v>3511.46</v>
      </c>
      <c r="F709" s="22" t="n">
        <f aca="false">AVERAGEIFS(Clean!$V$2:$V$1001,Clean!$AA$2:$AA$1001,B709)</f>
        <v>0.751243781094527</v>
      </c>
      <c r="G709" s="29" t="n">
        <f aca="false">F709*C709*D709</f>
        <v>3795.99215522388</v>
      </c>
      <c r="H709" s="29" t="n">
        <f aca="false">G709*Model!$B$4</f>
        <v>3795.99215522388</v>
      </c>
      <c r="I709" s="0" t="str">
        <f aca="false">IF(E709&lt;Model!$B$5*H709,"Expedite","Standard")</f>
        <v>Expedite</v>
      </c>
      <c r="J709" s="29" t="n">
        <f aca="false">H709</f>
        <v>3795.99215522388</v>
      </c>
      <c r="K709" s="29" t="n">
        <f aca="false">E709+(1-Model!$B$5)*H709</f>
        <v>3511.46</v>
      </c>
      <c r="L709" s="29" t="n">
        <f aca="false">IF(I709="Expedite",K709,J709)</f>
        <v>3511.46</v>
      </c>
      <c r="M709" s="29" t="n">
        <f aca="false">J709-L709</f>
        <v>284.532155223881</v>
      </c>
      <c r="N709" s="29" t="n">
        <f aca="false">IFERROR(E709/(F709*C709*Model!$B$5),"")</f>
        <v>800.375873174272</v>
      </c>
    </row>
    <row r="710" customFormat="false" ht="15" hidden="false" customHeight="false" outlineLevel="0" collapsed="false">
      <c r="A710" s="0" t="str">
        <f aca="false">Clean!A710</f>
        <v>SHP0709</v>
      </c>
      <c r="B710" s="0" t="str">
        <f aca="false">Clean!AA710</f>
        <v>Delhivery</v>
      </c>
      <c r="C710" s="28" t="n">
        <f aca="false">Clean!J710</f>
        <v>11.17</v>
      </c>
      <c r="D710" s="29" t="n">
        <f aca="false">Clean!AF710</f>
        <v>1166.53</v>
      </c>
      <c r="E710" s="29" t="n">
        <f aca="false">Clean!AE710</f>
        <v>1218.05</v>
      </c>
      <c r="F710" s="22" t="n">
        <f aca="false">AVERAGEIFS(Clean!$V$2:$V$1001,Clean!$AA$2:$AA$1001,B710)</f>
        <v>0.72538860103627</v>
      </c>
      <c r="G710" s="29" t="n">
        <f aca="false">F710*C710*D710</f>
        <v>9451.9150984456</v>
      </c>
      <c r="H710" s="29" t="n">
        <f aca="false">G710*Model!$B$4</f>
        <v>9451.9150984456</v>
      </c>
      <c r="I710" s="0" t="str">
        <f aca="false">IF(E710&lt;Model!$B$5*H710,"Expedite","Standard")</f>
        <v>Expedite</v>
      </c>
      <c r="J710" s="29" t="n">
        <f aca="false">H710</f>
        <v>9451.9150984456</v>
      </c>
      <c r="K710" s="29" t="n">
        <f aca="false">E710+(1-Model!$B$5)*H710</f>
        <v>1218.05</v>
      </c>
      <c r="L710" s="29" t="n">
        <f aca="false">IF(I710="Expedite",K710,J710)</f>
        <v>1218.05</v>
      </c>
      <c r="M710" s="29" t="n">
        <f aca="false">J710-L710</f>
        <v>8233.8650984456</v>
      </c>
      <c r="N710" s="29" t="n">
        <f aca="false">IFERROR(E710/(F710*C710*Model!$B$5),"")</f>
        <v>150.328462719018</v>
      </c>
    </row>
    <row r="711" customFormat="false" ht="15" hidden="false" customHeight="false" outlineLevel="0" collapsed="false">
      <c r="A711" s="0" t="str">
        <f aca="false">Clean!A711</f>
        <v>SHP0710</v>
      </c>
      <c r="B711" s="0" t="str">
        <f aca="false">Clean!AA711</f>
        <v>VRL Cargo</v>
      </c>
      <c r="C711" s="28" t="n">
        <f aca="false">Clean!J711</f>
        <v>16.34</v>
      </c>
      <c r="D711" s="29" t="n">
        <f aca="false">Clean!AF711</f>
        <v>1300.15</v>
      </c>
      <c r="E711" s="29" t="n">
        <f aca="false">Clean!AE711</f>
        <v>4237.71</v>
      </c>
      <c r="F711" s="22" t="n">
        <f aca="false">AVERAGEIFS(Clean!$V$2:$V$1001,Clean!$AA$2:$AA$1001,B711)</f>
        <v>0.72020725388601</v>
      </c>
      <c r="G711" s="29" t="n">
        <f aca="false">F711*C711*D711</f>
        <v>15300.4077150259</v>
      </c>
      <c r="H711" s="29" t="n">
        <f aca="false">G711*Model!$B$4</f>
        <v>15300.4077150259</v>
      </c>
      <c r="I711" s="0" t="str">
        <f aca="false">IF(E711&lt;Model!$B$5*H711,"Expedite","Standard")</f>
        <v>Expedite</v>
      </c>
      <c r="J711" s="29" t="n">
        <f aca="false">H711</f>
        <v>15300.4077150259</v>
      </c>
      <c r="K711" s="29" t="n">
        <f aca="false">E711+(1-Model!$B$5)*H711</f>
        <v>4237.71</v>
      </c>
      <c r="L711" s="29" t="n">
        <f aca="false">IF(I711="Expedite",K711,J711)</f>
        <v>4237.71</v>
      </c>
      <c r="M711" s="29" t="n">
        <f aca="false">J711-L711</f>
        <v>11062.6977150259</v>
      </c>
      <c r="N711" s="29" t="n">
        <f aca="false">IFERROR(E711/(F711*C711*Model!$B$5),"")</f>
        <v>360.098812993669</v>
      </c>
    </row>
    <row r="712" customFormat="false" ht="15" hidden="false" customHeight="false" outlineLevel="0" collapsed="false">
      <c r="A712" s="0" t="str">
        <f aca="false">Clean!A712</f>
        <v>SHP0711</v>
      </c>
      <c r="B712" s="0" t="str">
        <f aca="false">Clean!AA712</f>
        <v>BlueDart</v>
      </c>
      <c r="C712" s="28" t="n">
        <f aca="false">Clean!J712</f>
        <v>18.71</v>
      </c>
      <c r="D712" s="29" t="n">
        <f aca="false">Clean!AF712</f>
        <v>1352.94</v>
      </c>
      <c r="E712" s="29" t="n">
        <f aca="false">Clean!AE712</f>
        <v>2159.7</v>
      </c>
      <c r="F712" s="22" t="n">
        <f aca="false">AVERAGEIFS(Clean!$V$2:$V$1001,Clean!$AA$2:$AA$1001,B712)</f>
        <v>0.773869346733668</v>
      </c>
      <c r="G712" s="29" t="n">
        <f aca="false">F712*C712*D712</f>
        <v>19589.3474351759</v>
      </c>
      <c r="H712" s="29" t="n">
        <f aca="false">G712*Model!$B$4</f>
        <v>19589.3474351759</v>
      </c>
      <c r="I712" s="0" t="str">
        <f aca="false">IF(E712&lt;Model!$B$5*H712,"Expedite","Standard")</f>
        <v>Expedite</v>
      </c>
      <c r="J712" s="29" t="n">
        <f aca="false">H712</f>
        <v>19589.3474351759</v>
      </c>
      <c r="K712" s="29" t="n">
        <f aca="false">E712+(1-Model!$B$5)*H712</f>
        <v>2159.7</v>
      </c>
      <c r="L712" s="29" t="n">
        <f aca="false">IF(I712="Expedite",K712,J712)</f>
        <v>2159.7</v>
      </c>
      <c r="M712" s="29" t="n">
        <f aca="false">J712-L712</f>
        <v>17429.6474351759</v>
      </c>
      <c r="N712" s="29" t="n">
        <f aca="false">IFERROR(E712/(F712*C712*Model!$B$5),"")</f>
        <v>149.159870060458</v>
      </c>
    </row>
    <row r="713" customFormat="false" ht="15" hidden="false" customHeight="false" outlineLevel="0" collapsed="false">
      <c r="A713" s="0" t="str">
        <f aca="false">Clean!A713</f>
        <v>SHP0712</v>
      </c>
      <c r="B713" s="0" t="str">
        <f aca="false">Clean!AA713</f>
        <v>BlueDart</v>
      </c>
      <c r="C713" s="28" t="n">
        <f aca="false">Clean!J713</f>
        <v>8.36</v>
      </c>
      <c r="D713" s="29" t="n">
        <f aca="false">Clean!AF713</f>
        <v>788.84</v>
      </c>
      <c r="E713" s="29" t="n">
        <f aca="false">Clean!AE713</f>
        <v>3681.79</v>
      </c>
      <c r="F713" s="22" t="n">
        <f aca="false">AVERAGEIFS(Clean!$V$2:$V$1001,Clean!$AA$2:$AA$1001,B713)</f>
        <v>0.773869346733668</v>
      </c>
      <c r="G713" s="29" t="n">
        <f aca="false">F713*C713*D713</f>
        <v>5103.43803819095</v>
      </c>
      <c r="H713" s="29" t="n">
        <f aca="false">G713*Model!$B$4</f>
        <v>5103.43803819095</v>
      </c>
      <c r="I713" s="0" t="str">
        <f aca="false">IF(E713&lt;Model!$B$5*H713,"Expedite","Standard")</f>
        <v>Expedite</v>
      </c>
      <c r="J713" s="29" t="n">
        <f aca="false">H713</f>
        <v>5103.43803819095</v>
      </c>
      <c r="K713" s="29" t="n">
        <f aca="false">E713+(1-Model!$B$5)*H713</f>
        <v>3681.79</v>
      </c>
      <c r="L713" s="29" t="n">
        <f aca="false">IF(I713="Expedite",K713,J713)</f>
        <v>3681.79</v>
      </c>
      <c r="M713" s="29" t="n">
        <f aca="false">J713-L713</f>
        <v>1421.64803819095</v>
      </c>
      <c r="N713" s="29" t="n">
        <f aca="false">IFERROR(E713/(F713*C713*Model!$B$5),"")</f>
        <v>569.095421922575</v>
      </c>
    </row>
    <row r="714" customFormat="false" ht="15" hidden="false" customHeight="false" outlineLevel="0" collapsed="false">
      <c r="A714" s="0" t="str">
        <f aca="false">Clean!A714</f>
        <v>SHP0713</v>
      </c>
      <c r="B714" s="0" t="str">
        <f aca="false">Clean!AA714</f>
        <v>TCI Express</v>
      </c>
      <c r="C714" s="28" t="n">
        <f aca="false">Clean!J714</f>
        <v>12.13</v>
      </c>
      <c r="D714" s="29" t="n">
        <f aca="false">Clean!AF714</f>
        <v>931.92</v>
      </c>
      <c r="E714" s="29" t="n">
        <f aca="false">Clean!AE714</f>
        <v>4420.31</v>
      </c>
      <c r="F714" s="22" t="n">
        <f aca="false">AVERAGEIFS(Clean!$V$2:$V$1001,Clean!$AA$2:$AA$1001,B714)</f>
        <v>0.752336448598131</v>
      </c>
      <c r="G714" s="29" t="n">
        <f aca="false">F714*C714*D714</f>
        <v>8504.55385794393</v>
      </c>
      <c r="H714" s="29" t="n">
        <f aca="false">G714*Model!$B$4</f>
        <v>8504.55385794393</v>
      </c>
      <c r="I714" s="0" t="str">
        <f aca="false">IF(E714&lt;Model!$B$5*H714,"Expedite","Standard")</f>
        <v>Expedite</v>
      </c>
      <c r="J714" s="29" t="n">
        <f aca="false">H714</f>
        <v>8504.55385794393</v>
      </c>
      <c r="K714" s="29" t="n">
        <f aca="false">E714+(1-Model!$B$5)*H714</f>
        <v>4420.31</v>
      </c>
      <c r="L714" s="29" t="n">
        <f aca="false">IF(I714="Expedite",K714,J714)</f>
        <v>4420.31</v>
      </c>
      <c r="M714" s="29" t="n">
        <f aca="false">J714-L714</f>
        <v>4084.24385794393</v>
      </c>
      <c r="N714" s="29" t="n">
        <f aca="false">IFERROR(E714/(F714*C714*Model!$B$5),"")</f>
        <v>484.372885868925</v>
      </c>
    </row>
    <row r="715" customFormat="false" ht="15" hidden="false" customHeight="false" outlineLevel="0" collapsed="false">
      <c r="A715" s="0" t="str">
        <f aca="false">Clean!A715</f>
        <v>SHP0714</v>
      </c>
      <c r="B715" s="0" t="str">
        <f aca="false">Clean!AA715</f>
        <v>BlueDart</v>
      </c>
      <c r="C715" s="28" t="n">
        <f aca="false">Clean!J715</f>
        <v>8.34</v>
      </c>
      <c r="D715" s="29" t="n">
        <f aca="false">Clean!AF715</f>
        <v>870.29</v>
      </c>
      <c r="E715" s="29" t="n">
        <f aca="false">Clean!AE715</f>
        <v>3516.59</v>
      </c>
      <c r="F715" s="22" t="n">
        <f aca="false">AVERAGEIFS(Clean!$V$2:$V$1001,Clean!$AA$2:$AA$1001,B715)</f>
        <v>0.773869346733668</v>
      </c>
      <c r="G715" s="29" t="n">
        <f aca="false">F715*C715*D715</f>
        <v>5616.91288643216</v>
      </c>
      <c r="H715" s="29" t="n">
        <f aca="false">G715*Model!$B$4</f>
        <v>5616.91288643216</v>
      </c>
      <c r="I715" s="0" t="str">
        <f aca="false">IF(E715&lt;Model!$B$5*H715,"Expedite","Standard")</f>
        <v>Expedite</v>
      </c>
      <c r="J715" s="29" t="n">
        <f aca="false">H715</f>
        <v>5616.91288643216</v>
      </c>
      <c r="K715" s="29" t="n">
        <f aca="false">E715+(1-Model!$B$5)*H715</f>
        <v>3516.59</v>
      </c>
      <c r="L715" s="29" t="n">
        <f aca="false">IF(I715="Expedite",K715,J715)</f>
        <v>3516.59</v>
      </c>
      <c r="M715" s="29" t="n">
        <f aca="false">J715-L715</f>
        <v>2100.32288643216</v>
      </c>
      <c r="N715" s="29" t="n">
        <f aca="false">IFERROR(E715/(F715*C715*Model!$B$5),"")</f>
        <v>544.863908872902</v>
      </c>
    </row>
    <row r="716" customFormat="false" ht="15" hidden="false" customHeight="false" outlineLevel="0" collapsed="false">
      <c r="A716" s="0" t="str">
        <f aca="false">Clean!A716</f>
        <v>SHP0715</v>
      </c>
      <c r="B716" s="0" t="str">
        <f aca="false">Clean!AA716</f>
        <v>TCI Express</v>
      </c>
      <c r="C716" s="28" t="n">
        <f aca="false">Clean!J716</f>
        <v>5.3</v>
      </c>
      <c r="D716" s="29" t="n">
        <f aca="false">Clean!AF716</f>
        <v>763.98</v>
      </c>
      <c r="E716" s="29" t="n">
        <f aca="false">Clean!AE716</f>
        <v>1609.16</v>
      </c>
      <c r="F716" s="22" t="n">
        <f aca="false">AVERAGEIFS(Clean!$V$2:$V$1001,Clean!$AA$2:$AA$1001,B716)</f>
        <v>0.752336448598131</v>
      </c>
      <c r="G716" s="29" t="n">
        <f aca="false">F716*C716*D716</f>
        <v>3046.281</v>
      </c>
      <c r="H716" s="29" t="n">
        <f aca="false">G716*Model!$B$4</f>
        <v>3046.281</v>
      </c>
      <c r="I716" s="0" t="str">
        <f aca="false">IF(E716&lt;Model!$B$5*H716,"Expedite","Standard")</f>
        <v>Expedite</v>
      </c>
      <c r="J716" s="29" t="n">
        <f aca="false">H716</f>
        <v>3046.281</v>
      </c>
      <c r="K716" s="29" t="n">
        <f aca="false">E716+(1-Model!$B$5)*H716</f>
        <v>1609.16</v>
      </c>
      <c r="L716" s="29" t="n">
        <f aca="false">IF(I716="Expedite",K716,J716)</f>
        <v>1609.16</v>
      </c>
      <c r="M716" s="29" t="n">
        <f aca="false">J716-L716</f>
        <v>1437.121</v>
      </c>
      <c r="N716" s="29" t="n">
        <f aca="false">IFERROR(E716/(F716*C716*Model!$B$5),"")</f>
        <v>403.562920426579</v>
      </c>
    </row>
    <row r="717" customFormat="false" ht="15" hidden="false" customHeight="false" outlineLevel="0" collapsed="false">
      <c r="A717" s="0" t="str">
        <f aca="false">Clean!A717</f>
        <v>SHP0716</v>
      </c>
      <c r="B717" s="0" t="str">
        <f aca="false">Clean!AA717</f>
        <v>Delhivery</v>
      </c>
      <c r="C717" s="28" t="n">
        <f aca="false">Clean!J717</f>
        <v>9.12</v>
      </c>
      <c r="D717" s="29" t="n">
        <f aca="false">Clean!AF717</f>
        <v>985.63</v>
      </c>
      <c r="E717" s="29" t="n">
        <f aca="false">Clean!AE717</f>
        <v>1722.55</v>
      </c>
      <c r="F717" s="22" t="n">
        <f aca="false">AVERAGEIFS(Clean!$V$2:$V$1001,Clean!$AA$2:$AA$1001,B717)</f>
        <v>0.72538860103627</v>
      </c>
      <c r="G717" s="29" t="n">
        <f aca="false">F717*C717*D717</f>
        <v>6520.47867357513</v>
      </c>
      <c r="H717" s="29" t="n">
        <f aca="false">G717*Model!$B$4</f>
        <v>6520.47867357513</v>
      </c>
      <c r="I717" s="0" t="str">
        <f aca="false">IF(E717&lt;Model!$B$5*H717,"Expedite","Standard")</f>
        <v>Expedite</v>
      </c>
      <c r="J717" s="29" t="n">
        <f aca="false">H717</f>
        <v>6520.47867357513</v>
      </c>
      <c r="K717" s="29" t="n">
        <f aca="false">E717+(1-Model!$B$5)*H717</f>
        <v>1722.55</v>
      </c>
      <c r="L717" s="29" t="n">
        <f aca="false">IF(I717="Expedite",K717,J717)</f>
        <v>1722.55</v>
      </c>
      <c r="M717" s="29" t="n">
        <f aca="false">J717-L717</f>
        <v>4797.92867357513</v>
      </c>
      <c r="N717" s="29" t="n">
        <f aca="false">IFERROR(E717/(F717*C717*Model!$B$5),"")</f>
        <v>260.379190162907</v>
      </c>
    </row>
    <row r="718" customFormat="false" ht="15" hidden="false" customHeight="false" outlineLevel="0" collapsed="false">
      <c r="A718" s="0" t="str">
        <f aca="false">Clean!A718</f>
        <v>SHP0717</v>
      </c>
      <c r="B718" s="0" t="str">
        <f aca="false">Clean!AA718</f>
        <v>GATI Logistics</v>
      </c>
      <c r="C718" s="28" t="n">
        <f aca="false">Clean!J718</f>
        <v>14.38</v>
      </c>
      <c r="D718" s="29" t="n">
        <f aca="false">Clean!AF718</f>
        <v>1341.98</v>
      </c>
      <c r="E718" s="29" t="n">
        <f aca="false">Clean!AE718</f>
        <v>1425.11</v>
      </c>
      <c r="F718" s="22" t="n">
        <f aca="false">AVERAGEIFS(Clean!$V$2:$V$1001,Clean!$AA$2:$AA$1001,B718)</f>
        <v>0.751243781094527</v>
      </c>
      <c r="G718" s="29" t="n">
        <f aca="false">F718*C718*D718</f>
        <v>14497.2563800995</v>
      </c>
      <c r="H718" s="29" t="n">
        <f aca="false">G718*Model!$B$4</f>
        <v>14497.2563800995</v>
      </c>
      <c r="I718" s="0" t="str">
        <f aca="false">IF(E718&lt;Model!$B$5*H718,"Expedite","Standard")</f>
        <v>Expedite</v>
      </c>
      <c r="J718" s="29" t="n">
        <f aca="false">H718</f>
        <v>14497.2563800995</v>
      </c>
      <c r="K718" s="29" t="n">
        <f aca="false">E718+(1-Model!$B$5)*H718</f>
        <v>1425.11</v>
      </c>
      <c r="L718" s="29" t="n">
        <f aca="false">IF(I718="Expedite",K718,J718)</f>
        <v>1425.11</v>
      </c>
      <c r="M718" s="29" t="n">
        <f aca="false">J718-L718</f>
        <v>13072.1463800995</v>
      </c>
      <c r="N718" s="29" t="n">
        <f aca="false">IFERROR(E718/(F718*C718*Model!$B$5),"")</f>
        <v>131.919383065147</v>
      </c>
    </row>
    <row r="719" customFormat="false" ht="15" hidden="false" customHeight="false" outlineLevel="0" collapsed="false">
      <c r="A719" s="0" t="str">
        <f aca="false">Clean!A719</f>
        <v>SHP0718</v>
      </c>
      <c r="B719" s="0" t="str">
        <f aca="false">Clean!AA719</f>
        <v>Delhivery</v>
      </c>
      <c r="C719" s="28" t="n">
        <f aca="false">Clean!J719</f>
        <v>10.17</v>
      </c>
      <c r="D719" s="29" t="n">
        <f aca="false">Clean!AF719</f>
        <v>611.64</v>
      </c>
      <c r="E719" s="29" t="n">
        <f aca="false">Clean!AE719</f>
        <v>2933.61</v>
      </c>
      <c r="F719" s="22" t="n">
        <f aca="false">AVERAGEIFS(Clean!$V$2:$V$1001,Clean!$AA$2:$AA$1001,B719)</f>
        <v>0.72538860103627</v>
      </c>
      <c r="G719" s="29" t="n">
        <f aca="false">F719*C719*D719</f>
        <v>4512.19187564767</v>
      </c>
      <c r="H719" s="29" t="n">
        <f aca="false">G719*Model!$B$4</f>
        <v>4512.19187564767</v>
      </c>
      <c r="I719" s="0" t="str">
        <f aca="false">IF(E719&lt;Model!$B$5*H719,"Expedite","Standard")</f>
        <v>Expedite</v>
      </c>
      <c r="J719" s="29" t="n">
        <f aca="false">H719</f>
        <v>4512.19187564767</v>
      </c>
      <c r="K719" s="29" t="n">
        <f aca="false">E719+(1-Model!$B$5)*H719</f>
        <v>2933.61</v>
      </c>
      <c r="L719" s="29" t="n">
        <f aca="false">IF(I719="Expedite",K719,J719)</f>
        <v>2933.61</v>
      </c>
      <c r="M719" s="29" t="n">
        <f aca="false">J719-L719</f>
        <v>1578.58187564767</v>
      </c>
      <c r="N719" s="29" t="n">
        <f aca="false">IFERROR(E719/(F719*C719*Model!$B$5),"")</f>
        <v>397.658891698272</v>
      </c>
    </row>
    <row r="720" customFormat="false" ht="15" hidden="false" customHeight="false" outlineLevel="0" collapsed="false">
      <c r="A720" s="0" t="str">
        <f aca="false">Clean!A720</f>
        <v>SHP0719</v>
      </c>
      <c r="B720" s="0" t="str">
        <f aca="false">Clean!AA720</f>
        <v>GATI Logistics</v>
      </c>
      <c r="C720" s="28" t="n">
        <f aca="false">Clean!J720</f>
        <v>3.19</v>
      </c>
      <c r="D720" s="29" t="n">
        <f aca="false">Clean!AF720</f>
        <v>856.26</v>
      </c>
      <c r="E720" s="29" t="n">
        <f aca="false">Clean!AE720</f>
        <v>4061.08</v>
      </c>
      <c r="F720" s="22" t="n">
        <f aca="false">AVERAGEIFS(Clean!$V$2:$V$1001,Clean!$AA$2:$AA$1001,B720)</f>
        <v>0.751243781094527</v>
      </c>
      <c r="G720" s="29" t="n">
        <f aca="false">F720*C720*D720</f>
        <v>2051.9994</v>
      </c>
      <c r="H720" s="29" t="n">
        <f aca="false">G720*Model!$B$4</f>
        <v>2051.9994</v>
      </c>
      <c r="I720" s="0" t="str">
        <f aca="false">IF(E720&lt;Model!$B$5*H720,"Expedite","Standard")</f>
        <v>Standard</v>
      </c>
      <c r="J720" s="29" t="n">
        <f aca="false">H720</f>
        <v>2051.9994</v>
      </c>
      <c r="K720" s="29" t="n">
        <f aca="false">E720+(1-Model!$B$5)*H720</f>
        <v>4061.08</v>
      </c>
      <c r="L720" s="29" t="n">
        <f aca="false">IF(I720="Expedite",K720,J720)</f>
        <v>2051.9994</v>
      </c>
      <c r="M720" s="29" t="n">
        <f aca="false">J720-L720</f>
        <v>0</v>
      </c>
      <c r="N720" s="29" t="n">
        <f aca="false">IFERROR(E720/(F720*C720*Model!$B$5),"")</f>
        <v>1694.61080778094</v>
      </c>
    </row>
    <row r="721" customFormat="false" ht="15" hidden="false" customHeight="false" outlineLevel="0" collapsed="false">
      <c r="A721" s="0" t="str">
        <f aca="false">Clean!A721</f>
        <v>SHP0720</v>
      </c>
      <c r="B721" s="0" t="str">
        <f aca="false">Clean!AA721</f>
        <v>VRL Cargo</v>
      </c>
      <c r="C721" s="28" t="n">
        <f aca="false">Clean!J721</f>
        <v>6.21</v>
      </c>
      <c r="D721" s="29" t="n">
        <f aca="false">Clean!AF721</f>
        <v>791.87</v>
      </c>
      <c r="E721" s="29" t="n">
        <f aca="false">Clean!AE721</f>
        <v>1861.44</v>
      </c>
      <c r="F721" s="22" t="n">
        <f aca="false">AVERAGEIFS(Clean!$V$2:$V$1001,Clean!$AA$2:$AA$1001,B721)</f>
        <v>0.72020725388601</v>
      </c>
      <c r="G721" s="29" t="n">
        <f aca="false">F721*C721*D721</f>
        <v>3541.62831761658</v>
      </c>
      <c r="H721" s="29" t="n">
        <f aca="false">G721*Model!$B$4</f>
        <v>3541.62831761658</v>
      </c>
      <c r="I721" s="0" t="str">
        <f aca="false">IF(E721&lt;Model!$B$5*H721,"Expedite","Standard")</f>
        <v>Expedite</v>
      </c>
      <c r="J721" s="29" t="n">
        <f aca="false">H721</f>
        <v>3541.62831761658</v>
      </c>
      <c r="K721" s="29" t="n">
        <f aca="false">E721+(1-Model!$B$5)*H721</f>
        <v>1861.44</v>
      </c>
      <c r="L721" s="29" t="n">
        <f aca="false">IF(I721="Expedite",K721,J721)</f>
        <v>1861.44</v>
      </c>
      <c r="M721" s="29" t="n">
        <f aca="false">J721-L721</f>
        <v>1680.18831761658</v>
      </c>
      <c r="N721" s="29" t="n">
        <f aca="false">IFERROR(E721/(F721*C721*Model!$B$5),"")</f>
        <v>416.197963368436</v>
      </c>
    </row>
    <row r="722" customFormat="false" ht="15" hidden="false" customHeight="false" outlineLevel="0" collapsed="false">
      <c r="A722" s="0" t="str">
        <f aca="false">Clean!A722</f>
        <v>SHP0721</v>
      </c>
      <c r="B722" s="0" t="str">
        <f aca="false">Clean!AA722</f>
        <v>TCI Express</v>
      </c>
      <c r="C722" s="28" t="n">
        <f aca="false">Clean!J722</f>
        <v>4.28</v>
      </c>
      <c r="D722" s="29" t="n">
        <f aca="false">Clean!AF722</f>
        <v>903.04</v>
      </c>
      <c r="E722" s="29" t="n">
        <f aca="false">Clean!AE722</f>
        <v>1158.23</v>
      </c>
      <c r="F722" s="22" t="n">
        <f aca="false">AVERAGEIFS(Clean!$V$2:$V$1001,Clean!$AA$2:$AA$1001,B722)</f>
        <v>0.752336448598131</v>
      </c>
      <c r="G722" s="29" t="n">
        <f aca="false">F722*C722*D722</f>
        <v>2907.7888</v>
      </c>
      <c r="H722" s="29" t="n">
        <f aca="false">G722*Model!$B$4</f>
        <v>2907.7888</v>
      </c>
      <c r="I722" s="0" t="str">
        <f aca="false">IF(E722&lt;Model!$B$5*H722,"Expedite","Standard")</f>
        <v>Expedite</v>
      </c>
      <c r="J722" s="29" t="n">
        <f aca="false">H722</f>
        <v>2907.7888</v>
      </c>
      <c r="K722" s="29" t="n">
        <f aca="false">E722+(1-Model!$B$5)*H722</f>
        <v>1158.23</v>
      </c>
      <c r="L722" s="29" t="n">
        <f aca="false">IF(I722="Expedite",K722,J722)</f>
        <v>1158.23</v>
      </c>
      <c r="M722" s="29" t="n">
        <f aca="false">J722-L722</f>
        <v>1749.5588</v>
      </c>
      <c r="N722" s="29" t="n">
        <f aca="false">IFERROR(E722/(F722*C722*Model!$B$5),"")</f>
        <v>359.698757763975</v>
      </c>
    </row>
    <row r="723" customFormat="false" ht="15" hidden="false" customHeight="false" outlineLevel="0" collapsed="false">
      <c r="A723" s="0" t="str">
        <f aca="false">Clean!A723</f>
        <v>SHP0722</v>
      </c>
      <c r="B723" s="0" t="str">
        <f aca="false">Clean!AA723</f>
        <v>GATI Logistics</v>
      </c>
      <c r="C723" s="28" t="n">
        <f aca="false">Clean!J723</f>
        <v>13.33</v>
      </c>
      <c r="D723" s="29" t="n">
        <f aca="false">Clean!AF723</f>
        <v>945.69</v>
      </c>
      <c r="E723" s="29" t="n">
        <f aca="false">Clean!AE723</f>
        <v>1213.83</v>
      </c>
      <c r="F723" s="22" t="n">
        <f aca="false">AVERAGEIFS(Clean!$V$2:$V$1001,Clean!$AA$2:$AA$1001,B723)</f>
        <v>0.751243781094527</v>
      </c>
      <c r="G723" s="29" t="n">
        <f aca="false">F723*C723*D723</f>
        <v>9470.21493880597</v>
      </c>
      <c r="H723" s="29" t="n">
        <f aca="false">G723*Model!$B$4</f>
        <v>9470.21493880597</v>
      </c>
      <c r="I723" s="0" t="str">
        <f aca="false">IF(E723&lt;Model!$B$5*H723,"Expedite","Standard")</f>
        <v>Expedite</v>
      </c>
      <c r="J723" s="29" t="n">
        <f aca="false">H723</f>
        <v>9470.21493880597</v>
      </c>
      <c r="K723" s="29" t="n">
        <f aca="false">E723+(1-Model!$B$5)*H723</f>
        <v>1213.83</v>
      </c>
      <c r="L723" s="29" t="n">
        <f aca="false">IF(I723="Expedite",K723,J723)</f>
        <v>1213.83</v>
      </c>
      <c r="M723" s="29" t="n">
        <f aca="false">J723-L723</f>
        <v>8256.38493880597</v>
      </c>
      <c r="N723" s="29" t="n">
        <f aca="false">IFERROR(E723/(F723*C723*Model!$B$5),"")</f>
        <v>121.212337852675</v>
      </c>
    </row>
    <row r="724" customFormat="false" ht="15" hidden="false" customHeight="false" outlineLevel="0" collapsed="false">
      <c r="A724" s="0" t="str">
        <f aca="false">Clean!A724</f>
        <v>SHP0723</v>
      </c>
      <c r="B724" s="0" t="str">
        <f aca="false">Clean!AA724</f>
        <v>GATI Logistics</v>
      </c>
      <c r="C724" s="28" t="n">
        <f aca="false">Clean!J724</f>
        <v>1.94</v>
      </c>
      <c r="D724" s="29" t="n">
        <f aca="false">Clean!AF724</f>
        <v>1382.24</v>
      </c>
      <c r="E724" s="29" t="n">
        <f aca="false">Clean!AE724</f>
        <v>2161.47</v>
      </c>
      <c r="F724" s="22" t="n">
        <f aca="false">AVERAGEIFS(Clean!$V$2:$V$1001,Clean!$AA$2:$AA$1001,B724)</f>
        <v>0.751243781094527</v>
      </c>
      <c r="G724" s="29" t="n">
        <f aca="false">F724*C724*D724</f>
        <v>2014.49445572139</v>
      </c>
      <c r="H724" s="29" t="n">
        <f aca="false">G724*Model!$B$4</f>
        <v>2014.49445572139</v>
      </c>
      <c r="I724" s="0" t="str">
        <f aca="false">IF(E724&lt;Model!$B$5*H724,"Expedite","Standard")</f>
        <v>Standard</v>
      </c>
      <c r="J724" s="29" t="n">
        <f aca="false">H724</f>
        <v>2014.49445572139</v>
      </c>
      <c r="K724" s="29" t="n">
        <f aca="false">E724+(1-Model!$B$5)*H724</f>
        <v>2161.47</v>
      </c>
      <c r="L724" s="29" t="n">
        <f aca="false">IF(I724="Expedite",K724,J724)</f>
        <v>2014.49445572139</v>
      </c>
      <c r="M724" s="29" t="n">
        <f aca="false">J724-L724</f>
        <v>0</v>
      </c>
      <c r="N724" s="29" t="n">
        <f aca="false">IFERROR(E724/(F724*C724*Model!$B$5),"")</f>
        <v>1483.08687785895</v>
      </c>
    </row>
    <row r="725" customFormat="false" ht="15" hidden="false" customHeight="false" outlineLevel="0" collapsed="false">
      <c r="A725" s="0" t="str">
        <f aca="false">Clean!A725</f>
        <v>SHP0724</v>
      </c>
      <c r="B725" s="0" t="str">
        <f aca="false">Clean!AA725</f>
        <v>GATI Logistics</v>
      </c>
      <c r="C725" s="28" t="n">
        <f aca="false">Clean!J725</f>
        <v>3.79</v>
      </c>
      <c r="D725" s="29" t="n">
        <f aca="false">Clean!AF725</f>
        <v>1319.4</v>
      </c>
      <c r="E725" s="29" t="n">
        <f aca="false">Clean!AE725</f>
        <v>1028.39</v>
      </c>
      <c r="F725" s="22" t="n">
        <f aca="false">AVERAGEIFS(Clean!$V$2:$V$1001,Clean!$AA$2:$AA$1001,B725)</f>
        <v>0.751243781094527</v>
      </c>
      <c r="G725" s="29" t="n">
        <f aca="false">F725*C725*D725</f>
        <v>3756.61405970149</v>
      </c>
      <c r="H725" s="29" t="n">
        <f aca="false">G725*Model!$B$4</f>
        <v>3756.61405970149</v>
      </c>
      <c r="I725" s="0" t="str">
        <f aca="false">IF(E725&lt;Model!$B$5*H725,"Expedite","Standard")</f>
        <v>Expedite</v>
      </c>
      <c r="J725" s="29" t="n">
        <f aca="false">H725</f>
        <v>3756.61405970149</v>
      </c>
      <c r="K725" s="29" t="n">
        <f aca="false">E725+(1-Model!$B$5)*H725</f>
        <v>1028.39</v>
      </c>
      <c r="L725" s="29" t="n">
        <f aca="false">IF(I725="Expedite",K725,J725)</f>
        <v>1028.39</v>
      </c>
      <c r="M725" s="29" t="n">
        <f aca="false">J725-L725</f>
        <v>2728.22405970149</v>
      </c>
      <c r="N725" s="29" t="n">
        <f aca="false">IFERROR(E725/(F725*C725*Model!$B$5),"")</f>
        <v>361.191686033305</v>
      </c>
    </row>
    <row r="726" customFormat="false" ht="15" hidden="false" customHeight="false" outlineLevel="0" collapsed="false">
      <c r="A726" s="0" t="str">
        <f aca="false">Clean!A726</f>
        <v>SHP0725</v>
      </c>
      <c r="B726" s="0" t="str">
        <f aca="false">Clean!AA726</f>
        <v>TCI Express</v>
      </c>
      <c r="C726" s="28" t="n">
        <f aca="false">Clean!J726</f>
        <v>7.84</v>
      </c>
      <c r="D726" s="29" t="n">
        <f aca="false">Clean!AF726</f>
        <v>626.46</v>
      </c>
      <c r="E726" s="29" t="n">
        <f aca="false">Clean!AE726</f>
        <v>2192.6</v>
      </c>
      <c r="F726" s="22" t="n">
        <f aca="false">AVERAGEIFS(Clean!$V$2:$V$1001,Clean!$AA$2:$AA$1001,B726)</f>
        <v>0.752336448598131</v>
      </c>
      <c r="G726" s="29" t="n">
        <f aca="false">F726*C726*D726</f>
        <v>3695.06014205607</v>
      </c>
      <c r="H726" s="29" t="n">
        <f aca="false">G726*Model!$B$4</f>
        <v>3695.06014205607</v>
      </c>
      <c r="I726" s="0" t="str">
        <f aca="false">IF(E726&lt;Model!$B$5*H726,"Expedite","Standard")</f>
        <v>Expedite</v>
      </c>
      <c r="J726" s="29" t="n">
        <f aca="false">H726</f>
        <v>3695.06014205607</v>
      </c>
      <c r="K726" s="29" t="n">
        <f aca="false">E726+(1-Model!$B$5)*H726</f>
        <v>2192.6</v>
      </c>
      <c r="L726" s="29" t="n">
        <f aca="false">IF(I726="Expedite",K726,J726)</f>
        <v>2192.6</v>
      </c>
      <c r="M726" s="29" t="n">
        <f aca="false">J726-L726</f>
        <v>1502.46014205607</v>
      </c>
      <c r="N726" s="29" t="n">
        <f aca="false">IFERROR(E726/(F726*C726*Model!$B$5),"")</f>
        <v>371.733109392825</v>
      </c>
    </row>
    <row r="727" customFormat="false" ht="15" hidden="false" customHeight="false" outlineLevel="0" collapsed="false">
      <c r="A727" s="0" t="str">
        <f aca="false">Clean!A727</f>
        <v>SHP0726</v>
      </c>
      <c r="B727" s="0" t="str">
        <f aca="false">Clean!AA727</f>
        <v>GATI Logistics</v>
      </c>
      <c r="C727" s="28" t="n">
        <f aca="false">Clean!J727</f>
        <v>17.01</v>
      </c>
      <c r="D727" s="29" t="n">
        <f aca="false">Clean!AF727</f>
        <v>1046.61</v>
      </c>
      <c r="E727" s="29" t="n">
        <f aca="false">Clean!AE727</f>
        <v>2653.37</v>
      </c>
      <c r="F727" s="22" t="n">
        <f aca="false">AVERAGEIFS(Clean!$V$2:$V$1001,Clean!$AA$2:$AA$1001,B727)</f>
        <v>0.751243781094527</v>
      </c>
      <c r="G727" s="29" t="n">
        <f aca="false">F727*C727*D727</f>
        <v>13374.2699059702</v>
      </c>
      <c r="H727" s="29" t="n">
        <f aca="false">G727*Model!$B$4</f>
        <v>13374.2699059702</v>
      </c>
      <c r="I727" s="0" t="str">
        <f aca="false">IF(E727&lt;Model!$B$5*H727,"Expedite","Standard")</f>
        <v>Expedite</v>
      </c>
      <c r="J727" s="29" t="n">
        <f aca="false">H727</f>
        <v>13374.2699059702</v>
      </c>
      <c r="K727" s="29" t="n">
        <f aca="false">E727+(1-Model!$B$5)*H727</f>
        <v>2653.37</v>
      </c>
      <c r="L727" s="29" t="n">
        <f aca="false">IF(I727="Expedite",K727,J727)</f>
        <v>2653.37</v>
      </c>
      <c r="M727" s="29" t="n">
        <f aca="false">J727-L727</f>
        <v>10720.8999059702</v>
      </c>
      <c r="N727" s="29" t="n">
        <f aca="false">IFERROR(E727/(F727*C727*Model!$B$5),"")</f>
        <v>207.64076059661</v>
      </c>
    </row>
    <row r="728" customFormat="false" ht="15" hidden="false" customHeight="false" outlineLevel="0" collapsed="false">
      <c r="A728" s="0" t="str">
        <f aca="false">Clean!A728</f>
        <v>SHP0727</v>
      </c>
      <c r="B728" s="0" t="str">
        <f aca="false">Clean!AA728</f>
        <v>Delhivery</v>
      </c>
      <c r="C728" s="28" t="n">
        <f aca="false">Clean!J728</f>
        <v>9.28</v>
      </c>
      <c r="D728" s="29" t="n">
        <f aca="false">Clean!AF728</f>
        <v>803.21</v>
      </c>
      <c r="E728" s="29" t="n">
        <f aca="false">Clean!AE728</f>
        <v>4370.14</v>
      </c>
      <c r="F728" s="22" t="n">
        <f aca="false">AVERAGEIFS(Clean!$V$2:$V$1001,Clean!$AA$2:$AA$1001,B728)</f>
        <v>0.72538860103627</v>
      </c>
      <c r="G728" s="29" t="n">
        <f aca="false">F728*C728*D728</f>
        <v>5406.89343005181</v>
      </c>
      <c r="H728" s="29" t="n">
        <f aca="false">G728*Model!$B$4</f>
        <v>5406.89343005181</v>
      </c>
      <c r="I728" s="0" t="str">
        <f aca="false">IF(E728&lt;Model!$B$5*H728,"Expedite","Standard")</f>
        <v>Expedite</v>
      </c>
      <c r="J728" s="29" t="n">
        <f aca="false">H728</f>
        <v>5406.89343005181</v>
      </c>
      <c r="K728" s="29" t="n">
        <f aca="false">E728+(1-Model!$B$5)*H728</f>
        <v>4370.14</v>
      </c>
      <c r="L728" s="29" t="n">
        <f aca="false">IF(I728="Expedite",K728,J728)</f>
        <v>4370.14</v>
      </c>
      <c r="M728" s="29" t="n">
        <f aca="false">J728-L728</f>
        <v>1036.75343005181</v>
      </c>
      <c r="N728" s="29" t="n">
        <f aca="false">IFERROR(E728/(F728*C728*Model!$B$5),"")</f>
        <v>649.197213669951</v>
      </c>
    </row>
    <row r="729" customFormat="false" ht="15" hidden="false" customHeight="false" outlineLevel="0" collapsed="false">
      <c r="A729" s="0" t="str">
        <f aca="false">Clean!A729</f>
        <v>SHP0728</v>
      </c>
      <c r="B729" s="0" t="str">
        <f aca="false">Clean!AA729</f>
        <v>GATI Logistics</v>
      </c>
      <c r="C729" s="28" t="n">
        <f aca="false">Clean!J729</f>
        <v>9.16</v>
      </c>
      <c r="D729" s="29" t="n">
        <f aca="false">Clean!AF729</f>
        <v>659.63</v>
      </c>
      <c r="E729" s="29" t="n">
        <f aca="false">Clean!AE729</f>
        <v>3775.51</v>
      </c>
      <c r="F729" s="22" t="n">
        <f aca="false">AVERAGEIFS(Clean!$V$2:$V$1001,Clean!$AA$2:$AA$1001,B729)</f>
        <v>0.751243781094527</v>
      </c>
      <c r="G729" s="29" t="n">
        <f aca="false">F729*C729*D729</f>
        <v>4539.17328756219</v>
      </c>
      <c r="H729" s="29" t="n">
        <f aca="false">G729*Model!$B$4</f>
        <v>4539.17328756219</v>
      </c>
      <c r="I729" s="0" t="str">
        <f aca="false">IF(E729&lt;Model!$B$5*H729,"Expedite","Standard")</f>
        <v>Expedite</v>
      </c>
      <c r="J729" s="29" t="n">
        <f aca="false">H729</f>
        <v>4539.17328756219</v>
      </c>
      <c r="K729" s="29" t="n">
        <f aca="false">E729+(1-Model!$B$5)*H729</f>
        <v>3775.51</v>
      </c>
      <c r="L729" s="29" t="n">
        <f aca="false">IF(I729="Expedite",K729,J729)</f>
        <v>3775.51</v>
      </c>
      <c r="M729" s="29" t="n">
        <f aca="false">J729-L729</f>
        <v>763.663287562189</v>
      </c>
      <c r="N729" s="29" t="n">
        <f aca="false">IFERROR(E729/(F729*C729*Model!$B$5),"")</f>
        <v>548.654898927095</v>
      </c>
    </row>
    <row r="730" customFormat="false" ht="15" hidden="false" customHeight="false" outlineLevel="0" collapsed="false">
      <c r="A730" s="0" t="str">
        <f aca="false">Clean!A730</f>
        <v>SHP0729</v>
      </c>
      <c r="B730" s="0" t="str">
        <f aca="false">Clean!AA730</f>
        <v>VRL Cargo</v>
      </c>
      <c r="C730" s="28" t="n">
        <f aca="false">Clean!J730</f>
        <v>18.03</v>
      </c>
      <c r="D730" s="29" t="n">
        <f aca="false">Clean!AF730</f>
        <v>1190.03</v>
      </c>
      <c r="E730" s="29" t="n">
        <f aca="false">Clean!AE730</f>
        <v>2474.81</v>
      </c>
      <c r="F730" s="22" t="n">
        <f aca="false">AVERAGEIFS(Clean!$V$2:$V$1001,Clean!$AA$2:$AA$1001,B730)</f>
        <v>0.72020725388601</v>
      </c>
      <c r="G730" s="29" t="n">
        <f aca="false">F730*C730*D730</f>
        <v>15452.9403373057</v>
      </c>
      <c r="H730" s="29" t="n">
        <f aca="false">G730*Model!$B$4</f>
        <v>15452.9403373057</v>
      </c>
      <c r="I730" s="0" t="str">
        <f aca="false">IF(E730&lt;Model!$B$5*H730,"Expedite","Standard")</f>
        <v>Expedite</v>
      </c>
      <c r="J730" s="29" t="n">
        <f aca="false">H730</f>
        <v>15452.9403373057</v>
      </c>
      <c r="K730" s="29" t="n">
        <f aca="false">E730+(1-Model!$B$5)*H730</f>
        <v>2474.81</v>
      </c>
      <c r="L730" s="29" t="n">
        <f aca="false">IF(I730="Expedite",K730,J730)</f>
        <v>2474.81</v>
      </c>
      <c r="M730" s="29" t="n">
        <f aca="false">J730-L730</f>
        <v>12978.1303373057</v>
      </c>
      <c r="N730" s="29" t="n">
        <f aca="false">IFERROR(E730/(F730*C730*Model!$B$5),"")</f>
        <v>190.58496829824</v>
      </c>
    </row>
    <row r="731" customFormat="false" ht="15" hidden="false" customHeight="false" outlineLevel="0" collapsed="false">
      <c r="A731" s="0" t="str">
        <f aca="false">Clean!A731</f>
        <v>SHP0730</v>
      </c>
      <c r="B731" s="0" t="str">
        <f aca="false">Clean!AA731</f>
        <v>VRL Cargo</v>
      </c>
      <c r="C731" s="28" t="n">
        <f aca="false">Clean!J731</f>
        <v>8.36</v>
      </c>
      <c r="D731" s="29" t="n">
        <f aca="false">Clean!AF731</f>
        <v>779.67</v>
      </c>
      <c r="E731" s="29" t="n">
        <f aca="false">Clean!AE731</f>
        <v>4223.62</v>
      </c>
      <c r="F731" s="22" t="n">
        <f aca="false">AVERAGEIFS(Clean!$V$2:$V$1001,Clean!$AA$2:$AA$1001,B731)</f>
        <v>0.72020725388601</v>
      </c>
      <c r="G731" s="29" t="n">
        <f aca="false">F731*C731*D731</f>
        <v>4694.34055336788</v>
      </c>
      <c r="H731" s="29" t="n">
        <f aca="false">G731*Model!$B$4</f>
        <v>4694.34055336788</v>
      </c>
      <c r="I731" s="0" t="str">
        <f aca="false">IF(E731&lt;Model!$B$5*H731,"Expedite","Standard")</f>
        <v>Expedite</v>
      </c>
      <c r="J731" s="29" t="n">
        <f aca="false">H731</f>
        <v>4694.34055336788</v>
      </c>
      <c r="K731" s="29" t="n">
        <f aca="false">E731+(1-Model!$B$5)*H731</f>
        <v>4223.62</v>
      </c>
      <c r="L731" s="29" t="n">
        <f aca="false">IF(I731="Expedite",K731,J731)</f>
        <v>4223.62</v>
      </c>
      <c r="M731" s="29" t="n">
        <f aca="false">J731-L731</f>
        <v>470.720553367875</v>
      </c>
      <c r="N731" s="29" t="n">
        <f aca="false">IFERROR(E731/(F731*C731*Model!$B$5),"")</f>
        <v>701.489329110874</v>
      </c>
    </row>
    <row r="732" customFormat="false" ht="15" hidden="false" customHeight="false" outlineLevel="0" collapsed="false">
      <c r="A732" s="0" t="str">
        <f aca="false">Clean!A732</f>
        <v>SHP0731</v>
      </c>
      <c r="B732" s="0" t="str">
        <f aca="false">Clean!AA732</f>
        <v>Delhivery</v>
      </c>
      <c r="C732" s="28" t="n">
        <f aca="false">Clean!J732</f>
        <v>4.64</v>
      </c>
      <c r="D732" s="29" t="n">
        <f aca="false">Clean!AF732</f>
        <v>1103.8</v>
      </c>
      <c r="E732" s="29" t="n">
        <f aca="false">Clean!AE732</f>
        <v>4170.65</v>
      </c>
      <c r="F732" s="22" t="n">
        <f aca="false">AVERAGEIFS(Clean!$V$2:$V$1001,Clean!$AA$2:$AA$1001,B732)</f>
        <v>0.72538860103627</v>
      </c>
      <c r="G732" s="29" t="n">
        <f aca="false">F732*C732*D732</f>
        <v>3715.17347150259</v>
      </c>
      <c r="H732" s="29" t="n">
        <f aca="false">G732*Model!$B$4</f>
        <v>3715.17347150259</v>
      </c>
      <c r="I732" s="0" t="str">
        <f aca="false">IF(E732&lt;Model!$B$5*H732,"Expedite","Standard")</f>
        <v>Standard</v>
      </c>
      <c r="J732" s="29" t="n">
        <f aca="false">H732</f>
        <v>3715.17347150259</v>
      </c>
      <c r="K732" s="29" t="n">
        <f aca="false">E732+(1-Model!$B$5)*H732</f>
        <v>4170.65</v>
      </c>
      <c r="L732" s="29" t="n">
        <f aca="false">IF(I732="Expedite",K732,J732)</f>
        <v>3715.17347150259</v>
      </c>
      <c r="M732" s="29" t="n">
        <f aca="false">J732-L732</f>
        <v>0</v>
      </c>
      <c r="N732" s="29" t="n">
        <f aca="false">IFERROR(E732/(F732*C732*Model!$B$5),"")</f>
        <v>1239.12476908867</v>
      </c>
    </row>
    <row r="733" customFormat="false" ht="15" hidden="false" customHeight="false" outlineLevel="0" collapsed="false">
      <c r="A733" s="0" t="str">
        <f aca="false">Clean!A733</f>
        <v>SHP0732</v>
      </c>
      <c r="B733" s="0" t="str">
        <f aca="false">Clean!AA733</f>
        <v>TCI Express</v>
      </c>
      <c r="C733" s="28" t="n">
        <f aca="false">Clean!J733</f>
        <v>10.37</v>
      </c>
      <c r="D733" s="29" t="n">
        <f aca="false">Clean!AF733</f>
        <v>1085.78</v>
      </c>
      <c r="E733" s="29" t="n">
        <f aca="false">Clean!AE733</f>
        <v>2137.15</v>
      </c>
      <c r="F733" s="22" t="n">
        <f aca="false">AVERAGEIFS(Clean!$V$2:$V$1001,Clean!$AA$2:$AA$1001,B733)</f>
        <v>0.752336448598131</v>
      </c>
      <c r="G733" s="29" t="n">
        <f aca="false">F733*C733*D733</f>
        <v>8470.96128317757</v>
      </c>
      <c r="H733" s="29" t="n">
        <f aca="false">G733*Model!$B$4</f>
        <v>8470.96128317757</v>
      </c>
      <c r="I733" s="0" t="str">
        <f aca="false">IF(E733&lt;Model!$B$5*H733,"Expedite","Standard")</f>
        <v>Expedite</v>
      </c>
      <c r="J733" s="29" t="n">
        <f aca="false">H733</f>
        <v>8470.96128317757</v>
      </c>
      <c r="K733" s="29" t="n">
        <f aca="false">E733+(1-Model!$B$5)*H733</f>
        <v>2137.15</v>
      </c>
      <c r="L733" s="29" t="n">
        <f aca="false">IF(I733="Expedite",K733,J733)</f>
        <v>2137.15</v>
      </c>
      <c r="M733" s="29" t="n">
        <f aca="false">J733-L733</f>
        <v>6333.81128317757</v>
      </c>
      <c r="N733" s="29" t="n">
        <f aca="false">IFERROR(E733/(F733*C733*Model!$B$5),"")</f>
        <v>273.932868942303</v>
      </c>
    </row>
    <row r="734" customFormat="false" ht="15" hidden="false" customHeight="false" outlineLevel="0" collapsed="false">
      <c r="A734" s="0" t="str">
        <f aca="false">Clean!A734</f>
        <v>SHP0733</v>
      </c>
      <c r="B734" s="0" t="str">
        <f aca="false">Clean!AA734</f>
        <v>TCI Express</v>
      </c>
      <c r="C734" s="28" t="n">
        <f aca="false">Clean!J734</f>
        <v>12.15</v>
      </c>
      <c r="D734" s="29" t="n">
        <f aca="false">Clean!AF734</f>
        <v>1432.65</v>
      </c>
      <c r="E734" s="29" t="n">
        <f aca="false">Clean!AE734</f>
        <v>1602.44</v>
      </c>
      <c r="F734" s="22" t="n">
        <f aca="false">AVERAGEIFS(Clean!$V$2:$V$1001,Clean!$AA$2:$AA$1001,B734)</f>
        <v>0.752336448598131</v>
      </c>
      <c r="G734" s="29" t="n">
        <f aca="false">F734*C734*D734</f>
        <v>13095.692978972</v>
      </c>
      <c r="H734" s="29" t="n">
        <f aca="false">G734*Model!$B$4</f>
        <v>13095.692978972</v>
      </c>
      <c r="I734" s="0" t="str">
        <f aca="false">IF(E734&lt;Model!$B$5*H734,"Expedite","Standard")</f>
        <v>Expedite</v>
      </c>
      <c r="J734" s="29" t="n">
        <f aca="false">H734</f>
        <v>13095.692978972</v>
      </c>
      <c r="K734" s="29" t="n">
        <f aca="false">E734+(1-Model!$B$5)*H734</f>
        <v>1602.44</v>
      </c>
      <c r="L734" s="29" t="n">
        <f aca="false">IF(I734="Expedite",K734,J734)</f>
        <v>1602.44</v>
      </c>
      <c r="M734" s="29" t="n">
        <f aca="false">J734-L734</f>
        <v>11493.252978972</v>
      </c>
      <c r="N734" s="29" t="n">
        <f aca="false">IFERROR(E734/(F734*C734*Model!$B$5),"")</f>
        <v>175.304634102702</v>
      </c>
    </row>
    <row r="735" customFormat="false" ht="15" hidden="false" customHeight="false" outlineLevel="0" collapsed="false">
      <c r="A735" s="0" t="str">
        <f aca="false">Clean!A735</f>
        <v>SHP0734</v>
      </c>
      <c r="B735" s="0" t="str">
        <f aca="false">Clean!AA735</f>
        <v>VRL Cargo</v>
      </c>
      <c r="C735" s="28" t="n">
        <f aca="false">Clean!J735</f>
        <v>8.28</v>
      </c>
      <c r="D735" s="29" t="n">
        <f aca="false">Clean!AF735</f>
        <v>1429.87</v>
      </c>
      <c r="E735" s="29" t="n">
        <f aca="false">Clean!AE735</f>
        <v>3109.02</v>
      </c>
      <c r="F735" s="22" t="n">
        <f aca="false">AVERAGEIFS(Clean!$V$2:$V$1001,Clean!$AA$2:$AA$1001,B735)</f>
        <v>0.72020725388601</v>
      </c>
      <c r="G735" s="29" t="n">
        <f aca="false">F735*C735*D735</f>
        <v>8526.76673782383</v>
      </c>
      <c r="H735" s="29" t="n">
        <f aca="false">G735*Model!$B$4</f>
        <v>8526.76673782383</v>
      </c>
      <c r="I735" s="0" t="str">
        <f aca="false">IF(E735&lt;Model!$B$5*H735,"Expedite","Standard")</f>
        <v>Expedite</v>
      </c>
      <c r="J735" s="29" t="n">
        <f aca="false">H735</f>
        <v>8526.76673782383</v>
      </c>
      <c r="K735" s="29" t="n">
        <f aca="false">E735+(1-Model!$B$5)*H735</f>
        <v>3109.02</v>
      </c>
      <c r="L735" s="29" t="n">
        <f aca="false">IF(I735="Expedite",K735,J735)</f>
        <v>3109.02</v>
      </c>
      <c r="M735" s="29" t="n">
        <f aca="false">J735-L735</f>
        <v>5417.74673782383</v>
      </c>
      <c r="N735" s="29" t="n">
        <f aca="false">IFERROR(E735/(F735*C735*Model!$B$5),"")</f>
        <v>521.357574809717</v>
      </c>
    </row>
    <row r="736" customFormat="false" ht="15" hidden="false" customHeight="false" outlineLevel="0" collapsed="false">
      <c r="A736" s="0" t="str">
        <f aca="false">Clean!A736</f>
        <v>SHP0735</v>
      </c>
      <c r="B736" s="0" t="str">
        <f aca="false">Clean!AA736</f>
        <v>TCI Express</v>
      </c>
      <c r="C736" s="28" t="n">
        <f aca="false">Clean!J736</f>
        <v>10.19</v>
      </c>
      <c r="D736" s="29" t="n">
        <f aca="false">Clean!AF736</f>
        <v>1177.09</v>
      </c>
      <c r="E736" s="29" t="n">
        <f aca="false">Clean!AE736</f>
        <v>3080.92</v>
      </c>
      <c r="F736" s="22" t="n">
        <f aca="false">AVERAGEIFS(Clean!$V$2:$V$1001,Clean!$AA$2:$AA$1001,B736)</f>
        <v>0.752336448598131</v>
      </c>
      <c r="G736" s="29" t="n">
        <f aca="false">F736*C736*D736</f>
        <v>9023.93496775701</v>
      </c>
      <c r="H736" s="29" t="n">
        <f aca="false">G736*Model!$B$4</f>
        <v>9023.93496775701</v>
      </c>
      <c r="I736" s="0" t="str">
        <f aca="false">IF(E736&lt;Model!$B$5*H736,"Expedite","Standard")</f>
        <v>Expedite</v>
      </c>
      <c r="J736" s="29" t="n">
        <f aca="false">H736</f>
        <v>9023.93496775701</v>
      </c>
      <c r="K736" s="29" t="n">
        <f aca="false">E736+(1-Model!$B$5)*H736</f>
        <v>3080.92</v>
      </c>
      <c r="L736" s="29" t="n">
        <f aca="false">IF(I736="Expedite",K736,J736)</f>
        <v>3080.92</v>
      </c>
      <c r="M736" s="29" t="n">
        <f aca="false">J736-L736</f>
        <v>5943.01496775701</v>
      </c>
      <c r="N736" s="29" t="n">
        <f aca="false">IFERROR(E736/(F736*C736*Model!$B$5),"")</f>
        <v>401.877909776361</v>
      </c>
    </row>
    <row r="737" customFormat="false" ht="15" hidden="false" customHeight="false" outlineLevel="0" collapsed="false">
      <c r="A737" s="0" t="str">
        <f aca="false">Clean!A737</f>
        <v>SHP0736</v>
      </c>
      <c r="B737" s="0" t="str">
        <f aca="false">Clean!AA737</f>
        <v>VRL Cargo</v>
      </c>
      <c r="C737" s="28" t="n">
        <f aca="false">Clean!J737</f>
        <v>15.79</v>
      </c>
      <c r="D737" s="29" t="n">
        <f aca="false">Clean!AF737</f>
        <v>865.05</v>
      </c>
      <c r="E737" s="29" t="n">
        <f aca="false">Clean!AE737</f>
        <v>1731.69</v>
      </c>
      <c r="F737" s="22" t="n">
        <f aca="false">AVERAGEIFS(Clean!$V$2:$V$1001,Clean!$AA$2:$AA$1001,B737)</f>
        <v>0.72020725388601</v>
      </c>
      <c r="G737" s="29" t="n">
        <f aca="false">F737*C737*D737</f>
        <v>9837.41134974093</v>
      </c>
      <c r="H737" s="29" t="n">
        <f aca="false">G737*Model!$B$4</f>
        <v>9837.41134974093</v>
      </c>
      <c r="I737" s="0" t="str">
        <f aca="false">IF(E737&lt;Model!$B$5*H737,"Expedite","Standard")</f>
        <v>Expedite</v>
      </c>
      <c r="J737" s="29" t="n">
        <f aca="false">H737</f>
        <v>9837.41134974093</v>
      </c>
      <c r="K737" s="29" t="n">
        <f aca="false">E737+(1-Model!$B$5)*H737</f>
        <v>1731.69</v>
      </c>
      <c r="L737" s="29" t="n">
        <f aca="false">IF(I737="Expedite",K737,J737)</f>
        <v>1731.69</v>
      </c>
      <c r="M737" s="29" t="n">
        <f aca="false">J737-L737</f>
        <v>8105.72134974093</v>
      </c>
      <c r="N737" s="29" t="n">
        <f aca="false">IFERROR(E737/(F737*C737*Model!$B$5),"")</f>
        <v>152.275673065094</v>
      </c>
    </row>
    <row r="738" customFormat="false" ht="15" hidden="false" customHeight="false" outlineLevel="0" collapsed="false">
      <c r="A738" s="0" t="str">
        <f aca="false">Clean!A738</f>
        <v>SHP0737</v>
      </c>
      <c r="B738" s="0" t="str">
        <f aca="false">Clean!AA738</f>
        <v>BlueDart</v>
      </c>
      <c r="C738" s="28" t="n">
        <f aca="false">Clean!J738</f>
        <v>9.22</v>
      </c>
      <c r="D738" s="29" t="n">
        <f aca="false">Clean!AF738</f>
        <v>518.36</v>
      </c>
      <c r="E738" s="29" t="n">
        <f aca="false">Clean!AE738</f>
        <v>3592.41</v>
      </c>
      <c r="F738" s="22" t="n">
        <f aca="false">AVERAGEIFS(Clean!$V$2:$V$1001,Clean!$AA$2:$AA$1001,B738)</f>
        <v>0.773869346733668</v>
      </c>
      <c r="G738" s="29" t="n">
        <f aca="false">F738*C738*D738</f>
        <v>3698.53767236181</v>
      </c>
      <c r="H738" s="29" t="n">
        <f aca="false">G738*Model!$B$4</f>
        <v>3698.53767236181</v>
      </c>
      <c r="I738" s="0" t="str">
        <f aca="false">IF(E738&lt;Model!$B$5*H738,"Expedite","Standard")</f>
        <v>Expedite</v>
      </c>
      <c r="J738" s="29" t="n">
        <f aca="false">H738</f>
        <v>3698.53767236181</v>
      </c>
      <c r="K738" s="29" t="n">
        <f aca="false">E738+(1-Model!$B$5)*H738</f>
        <v>3592.41</v>
      </c>
      <c r="L738" s="29" t="n">
        <f aca="false">IF(I738="Expedite",K738,J738)</f>
        <v>3592.41</v>
      </c>
      <c r="M738" s="29" t="n">
        <f aca="false">J738-L738</f>
        <v>106.12767236181</v>
      </c>
      <c r="N738" s="29" t="n">
        <f aca="false">IFERROR(E738/(F738*C738*Model!$B$5),"")</f>
        <v>503.485921345466</v>
      </c>
    </row>
    <row r="739" customFormat="false" ht="15" hidden="false" customHeight="false" outlineLevel="0" collapsed="false">
      <c r="A739" s="0" t="str">
        <f aca="false">Clean!A739</f>
        <v>SHP0738</v>
      </c>
      <c r="B739" s="0" t="str">
        <f aca="false">Clean!AA739</f>
        <v>Delhivery</v>
      </c>
      <c r="C739" s="28" t="n">
        <f aca="false">Clean!J739</f>
        <v>13.43</v>
      </c>
      <c r="D739" s="29" t="n">
        <f aca="false">Clean!AF739</f>
        <v>627.1</v>
      </c>
      <c r="E739" s="29" t="n">
        <f aca="false">Clean!AE739</f>
        <v>3757.12</v>
      </c>
      <c r="F739" s="22" t="n">
        <f aca="false">AVERAGEIFS(Clean!$V$2:$V$1001,Clean!$AA$2:$AA$1001,B739)</f>
        <v>0.72538860103627</v>
      </c>
      <c r="G739" s="29" t="n">
        <f aca="false">F739*C739*D739</f>
        <v>6109.18870466321</v>
      </c>
      <c r="H739" s="29" t="n">
        <f aca="false">G739*Model!$B$4</f>
        <v>6109.18870466321</v>
      </c>
      <c r="I739" s="0" t="str">
        <f aca="false">IF(E739&lt;Model!$B$5*H739,"Expedite","Standard")</f>
        <v>Expedite</v>
      </c>
      <c r="J739" s="29" t="n">
        <f aca="false">H739</f>
        <v>6109.18870466321</v>
      </c>
      <c r="K739" s="29" t="n">
        <f aca="false">E739+(1-Model!$B$5)*H739</f>
        <v>3757.12</v>
      </c>
      <c r="L739" s="29" t="n">
        <f aca="false">IF(I739="Expedite",K739,J739)</f>
        <v>3757.12</v>
      </c>
      <c r="M739" s="29" t="n">
        <f aca="false">J739-L739</f>
        <v>2352.06870466321</v>
      </c>
      <c r="N739" s="29" t="n">
        <f aca="false">IFERROR(E739/(F739*C739*Model!$B$5),"")</f>
        <v>385.663312413573</v>
      </c>
    </row>
    <row r="740" customFormat="false" ht="15" hidden="false" customHeight="false" outlineLevel="0" collapsed="false">
      <c r="A740" s="0" t="str">
        <f aca="false">Clean!A740</f>
        <v>SHP0739</v>
      </c>
      <c r="B740" s="0" t="str">
        <f aca="false">Clean!AA740</f>
        <v>BlueDart</v>
      </c>
      <c r="C740" s="28" t="n">
        <f aca="false">Clean!J740</f>
        <v>7.78</v>
      </c>
      <c r="D740" s="29" t="n">
        <f aca="false">Clean!AF740</f>
        <v>1113.4</v>
      </c>
      <c r="E740" s="29" t="n">
        <f aca="false">Clean!AE740</f>
        <v>4836.1</v>
      </c>
      <c r="F740" s="22" t="n">
        <f aca="false">AVERAGEIFS(Clean!$V$2:$V$1001,Clean!$AA$2:$AA$1001,B740)</f>
        <v>0.773869346733668</v>
      </c>
      <c r="G740" s="29" t="n">
        <f aca="false">F740*C740*D740</f>
        <v>6703.45129648241</v>
      </c>
      <c r="H740" s="29" t="n">
        <f aca="false">G740*Model!$B$4</f>
        <v>6703.45129648241</v>
      </c>
      <c r="I740" s="0" t="str">
        <f aca="false">IF(E740&lt;Model!$B$5*H740,"Expedite","Standard")</f>
        <v>Expedite</v>
      </c>
      <c r="J740" s="29" t="n">
        <f aca="false">H740</f>
        <v>6703.45129648241</v>
      </c>
      <c r="K740" s="29" t="n">
        <f aca="false">E740+(1-Model!$B$5)*H740</f>
        <v>4836.1</v>
      </c>
      <c r="L740" s="29" t="n">
        <f aca="false">IF(I740="Expedite",K740,J740)</f>
        <v>4836.1</v>
      </c>
      <c r="M740" s="29" t="n">
        <f aca="false">J740-L740</f>
        <v>1867.35129648241</v>
      </c>
      <c r="N740" s="29" t="n">
        <f aca="false">IFERROR(E740/(F740*C740*Model!$B$5),"")</f>
        <v>803.245000500785</v>
      </c>
    </row>
    <row r="741" customFormat="false" ht="15" hidden="false" customHeight="false" outlineLevel="0" collapsed="false">
      <c r="A741" s="0" t="str">
        <f aca="false">Clean!A741</f>
        <v>SHP0740</v>
      </c>
      <c r="B741" s="0" t="str">
        <f aca="false">Clean!AA741</f>
        <v>TCI Express</v>
      </c>
      <c r="C741" s="28" t="n">
        <f aca="false">Clean!J741</f>
        <v>5.97</v>
      </c>
      <c r="D741" s="29" t="n">
        <f aca="false">Clean!AF741</f>
        <v>1418.29</v>
      </c>
      <c r="E741" s="29" t="n">
        <f aca="false">Clean!AE741</f>
        <v>3881.33</v>
      </c>
      <c r="F741" s="22" t="n">
        <f aca="false">AVERAGEIFS(Clean!$V$2:$V$1001,Clean!$AA$2:$AA$1001,B741)</f>
        <v>0.752336448598131</v>
      </c>
      <c r="G741" s="29" t="n">
        <f aca="false">F741*C741*D741</f>
        <v>6370.17663224299</v>
      </c>
      <c r="H741" s="29" t="n">
        <f aca="false">G741*Model!$B$4</f>
        <v>6370.17663224299</v>
      </c>
      <c r="I741" s="0" t="str">
        <f aca="false">IF(E741&lt;Model!$B$5*H741,"Expedite","Standard")</f>
        <v>Expedite</v>
      </c>
      <c r="J741" s="29" t="n">
        <f aca="false">H741</f>
        <v>6370.17663224299</v>
      </c>
      <c r="K741" s="29" t="n">
        <f aca="false">E741+(1-Model!$B$5)*H741</f>
        <v>3881.33</v>
      </c>
      <c r="L741" s="29" t="n">
        <f aca="false">IF(I741="Expedite",K741,J741)</f>
        <v>3881.33</v>
      </c>
      <c r="M741" s="29" t="n">
        <f aca="false">J741-L741</f>
        <v>2488.84663224299</v>
      </c>
      <c r="N741" s="29" t="n">
        <f aca="false">IFERROR(E741/(F741*C741*Model!$B$5),"")</f>
        <v>864.159950893182</v>
      </c>
    </row>
    <row r="742" customFormat="false" ht="15" hidden="false" customHeight="false" outlineLevel="0" collapsed="false">
      <c r="A742" s="0" t="str">
        <f aca="false">Clean!A742</f>
        <v>SHP0741</v>
      </c>
      <c r="B742" s="0" t="str">
        <f aca="false">Clean!AA742</f>
        <v>TCI Express</v>
      </c>
      <c r="C742" s="28" t="n">
        <f aca="false">Clean!J742</f>
        <v>8.75</v>
      </c>
      <c r="D742" s="29" t="n">
        <f aca="false">Clean!AF742</f>
        <v>1083.93</v>
      </c>
      <c r="E742" s="29" t="n">
        <f aca="false">Clean!AE742</f>
        <v>4137.12</v>
      </c>
      <c r="F742" s="22" t="n">
        <f aca="false">AVERAGEIFS(Clean!$V$2:$V$1001,Clean!$AA$2:$AA$1001,B742)</f>
        <v>0.752336448598131</v>
      </c>
      <c r="G742" s="29" t="n">
        <f aca="false">F742*C742*D742</f>
        <v>7135.45040887851</v>
      </c>
      <c r="H742" s="29" t="n">
        <f aca="false">G742*Model!$B$4</f>
        <v>7135.45040887851</v>
      </c>
      <c r="I742" s="0" t="str">
        <f aca="false">IF(E742&lt;Model!$B$5*H742,"Expedite","Standard")</f>
        <v>Expedite</v>
      </c>
      <c r="J742" s="29" t="n">
        <f aca="false">H742</f>
        <v>7135.45040887851</v>
      </c>
      <c r="K742" s="29" t="n">
        <f aca="false">E742+(1-Model!$B$5)*H742</f>
        <v>4137.12</v>
      </c>
      <c r="L742" s="29" t="n">
        <f aca="false">IF(I742="Expedite",K742,J742)</f>
        <v>4137.12</v>
      </c>
      <c r="M742" s="29" t="n">
        <f aca="false">J742-L742</f>
        <v>2998.33040887851</v>
      </c>
      <c r="N742" s="29" t="n">
        <f aca="false">IFERROR(E742/(F742*C742*Model!$B$5),"")</f>
        <v>628.460464951198</v>
      </c>
    </row>
    <row r="743" customFormat="false" ht="15" hidden="false" customHeight="false" outlineLevel="0" collapsed="false">
      <c r="A743" s="0" t="str">
        <f aca="false">Clean!A743</f>
        <v>SHP0742</v>
      </c>
      <c r="B743" s="0" t="str">
        <f aca="false">Clean!AA743</f>
        <v>GATI Logistics</v>
      </c>
      <c r="C743" s="28" t="n">
        <f aca="false">Clean!J743</f>
        <v>2.57</v>
      </c>
      <c r="D743" s="29" t="n">
        <f aca="false">Clean!AF743</f>
        <v>1054.13</v>
      </c>
      <c r="E743" s="29" t="n">
        <f aca="false">Clean!AE743</f>
        <v>4646.36</v>
      </c>
      <c r="F743" s="22" t="n">
        <f aca="false">AVERAGEIFS(Clean!$V$2:$V$1001,Clean!$AA$2:$AA$1001,B743)</f>
        <v>0.751243781094527</v>
      </c>
      <c r="G743" s="29" t="n">
        <f aca="false">F743*C743*D743</f>
        <v>2035.2051199005</v>
      </c>
      <c r="H743" s="29" t="n">
        <f aca="false">G743*Model!$B$4</f>
        <v>2035.2051199005</v>
      </c>
      <c r="I743" s="0" t="str">
        <f aca="false">IF(E743&lt;Model!$B$5*H743,"Expedite","Standard")</f>
        <v>Standard</v>
      </c>
      <c r="J743" s="29" t="n">
        <f aca="false">H743</f>
        <v>2035.2051199005</v>
      </c>
      <c r="K743" s="29" t="n">
        <f aca="false">E743+(1-Model!$B$5)*H743</f>
        <v>4646.36</v>
      </c>
      <c r="L743" s="29" t="n">
        <f aca="false">IF(I743="Expedite",K743,J743)</f>
        <v>2035.2051199005</v>
      </c>
      <c r="M743" s="29" t="n">
        <f aca="false">J743-L743</f>
        <v>0</v>
      </c>
      <c r="N743" s="29" t="n">
        <f aca="false">IFERROR(E743/(F743*C743*Model!$B$5),"")</f>
        <v>2406.57190713016</v>
      </c>
    </row>
    <row r="744" customFormat="false" ht="15" hidden="false" customHeight="false" outlineLevel="0" collapsed="false">
      <c r="A744" s="0" t="str">
        <f aca="false">Clean!A744</f>
        <v>SHP0743</v>
      </c>
      <c r="B744" s="0" t="str">
        <f aca="false">Clean!AA744</f>
        <v>Delhivery</v>
      </c>
      <c r="C744" s="28" t="n">
        <f aca="false">Clean!J744</f>
        <v>11.02</v>
      </c>
      <c r="D744" s="29" t="n">
        <f aca="false">Clean!AF744</f>
        <v>971.66</v>
      </c>
      <c r="E744" s="29" t="n">
        <f aca="false">Clean!AE744</f>
        <v>3624.81</v>
      </c>
      <c r="F744" s="22" t="n">
        <f aca="false">AVERAGEIFS(Clean!$V$2:$V$1001,Clean!$AA$2:$AA$1001,B744)</f>
        <v>0.72538860103627</v>
      </c>
      <c r="G744" s="29" t="n">
        <f aca="false">F744*C744*D744</f>
        <v>7767.23859067358</v>
      </c>
      <c r="H744" s="29" t="n">
        <f aca="false">G744*Model!$B$4</f>
        <v>7767.23859067358</v>
      </c>
      <c r="I744" s="0" t="str">
        <f aca="false">IF(E744&lt;Model!$B$5*H744,"Expedite","Standard")</f>
        <v>Expedite</v>
      </c>
      <c r="J744" s="29" t="n">
        <f aca="false">H744</f>
        <v>7767.23859067358</v>
      </c>
      <c r="K744" s="29" t="n">
        <f aca="false">E744+(1-Model!$B$5)*H744</f>
        <v>3624.81</v>
      </c>
      <c r="L744" s="29" t="n">
        <f aca="false">IF(I744="Expedite",K744,J744)</f>
        <v>3624.81</v>
      </c>
      <c r="M744" s="29" t="n">
        <f aca="false">J744-L744</f>
        <v>4142.42859067358</v>
      </c>
      <c r="N744" s="29" t="n">
        <f aca="false">IFERROR(E744/(F744*C744*Model!$B$5),"")</f>
        <v>453.453675136116</v>
      </c>
    </row>
    <row r="745" customFormat="false" ht="15" hidden="false" customHeight="false" outlineLevel="0" collapsed="false">
      <c r="A745" s="0" t="str">
        <f aca="false">Clean!A745</f>
        <v>SHP0744</v>
      </c>
      <c r="B745" s="0" t="str">
        <f aca="false">Clean!AA745</f>
        <v>GATI Logistics</v>
      </c>
      <c r="C745" s="28" t="n">
        <f aca="false">Clean!J745</f>
        <v>11.86</v>
      </c>
      <c r="D745" s="29" t="n">
        <f aca="false">Clean!AF745</f>
        <v>1462.37</v>
      </c>
      <c r="E745" s="29" t="n">
        <f aca="false">Clean!AE745</f>
        <v>1415.84</v>
      </c>
      <c r="F745" s="22" t="n">
        <f aca="false">AVERAGEIFS(Clean!$V$2:$V$1001,Clean!$AA$2:$AA$1001,B745)</f>
        <v>0.751243781094527</v>
      </c>
      <c r="G745" s="29" t="n">
        <f aca="false">F745*C745*D745</f>
        <v>13029.3529263682</v>
      </c>
      <c r="H745" s="29" t="n">
        <f aca="false">G745*Model!$B$4</f>
        <v>13029.3529263682</v>
      </c>
      <c r="I745" s="0" t="str">
        <f aca="false">IF(E745&lt;Model!$B$5*H745,"Expedite","Standard")</f>
        <v>Expedite</v>
      </c>
      <c r="J745" s="29" t="n">
        <f aca="false">H745</f>
        <v>13029.3529263682</v>
      </c>
      <c r="K745" s="29" t="n">
        <f aca="false">E745+(1-Model!$B$5)*H745</f>
        <v>1415.84</v>
      </c>
      <c r="L745" s="29" t="n">
        <f aca="false">IF(I745="Expedite",K745,J745)</f>
        <v>1415.84</v>
      </c>
      <c r="M745" s="29" t="n">
        <f aca="false">J745-L745</f>
        <v>11613.5129263682</v>
      </c>
      <c r="N745" s="29" t="n">
        <f aca="false">IFERROR(E745/(F745*C745*Model!$B$5),"")</f>
        <v>158.909038115766</v>
      </c>
    </row>
    <row r="746" customFormat="false" ht="15" hidden="false" customHeight="false" outlineLevel="0" collapsed="false">
      <c r="A746" s="0" t="str">
        <f aca="false">Clean!A746</f>
        <v>SHP0745</v>
      </c>
      <c r="B746" s="0" t="str">
        <f aca="false">Clean!AA746</f>
        <v>VRL Cargo</v>
      </c>
      <c r="C746" s="28" t="n">
        <f aca="false">Clean!J746</f>
        <v>17.91</v>
      </c>
      <c r="D746" s="29" t="n">
        <f aca="false">Clean!AF746</f>
        <v>1129.22</v>
      </c>
      <c r="E746" s="29" t="n">
        <f aca="false">Clean!AE746</f>
        <v>2643.73</v>
      </c>
      <c r="F746" s="22" t="n">
        <f aca="false">AVERAGEIFS(Clean!$V$2:$V$1001,Clean!$AA$2:$AA$1001,B746)</f>
        <v>0.72020725388601</v>
      </c>
      <c r="G746" s="29" t="n">
        <f aca="false">F746*C746*D746</f>
        <v>14565.7093150259</v>
      </c>
      <c r="H746" s="29" t="n">
        <f aca="false">G746*Model!$B$4</f>
        <v>14565.7093150259</v>
      </c>
      <c r="I746" s="0" t="str">
        <f aca="false">IF(E746&lt;Model!$B$5*H746,"Expedite","Standard")</f>
        <v>Expedite</v>
      </c>
      <c r="J746" s="29" t="n">
        <f aca="false">H746</f>
        <v>14565.7093150259</v>
      </c>
      <c r="K746" s="29" t="n">
        <f aca="false">E746+(1-Model!$B$5)*H746</f>
        <v>2643.73</v>
      </c>
      <c r="L746" s="29" t="n">
        <f aca="false">IF(I746="Expedite",K746,J746)</f>
        <v>2643.73</v>
      </c>
      <c r="M746" s="29" t="n">
        <f aca="false">J746-L746</f>
        <v>11921.9793150259</v>
      </c>
      <c r="N746" s="29" t="n">
        <f aca="false">IFERROR(E746/(F746*C746*Model!$B$5),"")</f>
        <v>204.957597740903</v>
      </c>
    </row>
    <row r="747" customFormat="false" ht="15" hidden="false" customHeight="false" outlineLevel="0" collapsed="false">
      <c r="A747" s="0" t="str">
        <f aca="false">Clean!A747</f>
        <v>SHP0746</v>
      </c>
      <c r="B747" s="0" t="str">
        <f aca="false">Clean!AA747</f>
        <v>VRL Cargo</v>
      </c>
      <c r="C747" s="28" t="n">
        <f aca="false">Clean!J747</f>
        <v>14.29</v>
      </c>
      <c r="D747" s="29" t="n">
        <f aca="false">Clean!AF747</f>
        <v>1317.85</v>
      </c>
      <c r="E747" s="29" t="n">
        <f aca="false">Clean!AE747</f>
        <v>4619.85</v>
      </c>
      <c r="F747" s="22" t="n">
        <f aca="false">AVERAGEIFS(Clean!$V$2:$V$1001,Clean!$AA$2:$AA$1001,B747)</f>
        <v>0.72020725388601</v>
      </c>
      <c r="G747" s="29" t="n">
        <f aca="false">F747*C747*D747</f>
        <v>13562.9981010363</v>
      </c>
      <c r="H747" s="29" t="n">
        <f aca="false">G747*Model!$B$4</f>
        <v>13562.9981010363</v>
      </c>
      <c r="I747" s="0" t="str">
        <f aca="false">IF(E747&lt;Model!$B$5*H747,"Expedite","Standard")</f>
        <v>Expedite</v>
      </c>
      <c r="J747" s="29" t="n">
        <f aca="false">H747</f>
        <v>13562.9981010363</v>
      </c>
      <c r="K747" s="29" t="n">
        <f aca="false">E747+(1-Model!$B$5)*H747</f>
        <v>4619.85</v>
      </c>
      <c r="L747" s="29" t="n">
        <f aca="false">IF(I747="Expedite",K747,J747)</f>
        <v>4619.85</v>
      </c>
      <c r="M747" s="29" t="n">
        <f aca="false">J747-L747</f>
        <v>8943.14810103627</v>
      </c>
      <c r="N747" s="29" t="n">
        <f aca="false">IFERROR(E747/(F747*C747*Model!$B$5),"")</f>
        <v>448.888164485906</v>
      </c>
    </row>
    <row r="748" customFormat="false" ht="15" hidden="false" customHeight="false" outlineLevel="0" collapsed="false">
      <c r="A748" s="0" t="str">
        <f aca="false">Clean!A748</f>
        <v>SHP0747</v>
      </c>
      <c r="B748" s="0" t="str">
        <f aca="false">Clean!AA748</f>
        <v>BlueDart</v>
      </c>
      <c r="C748" s="28" t="n">
        <f aca="false">Clean!J748</f>
        <v>7.58</v>
      </c>
      <c r="D748" s="29" t="n">
        <f aca="false">Clean!AF748</f>
        <v>909.56</v>
      </c>
      <c r="E748" s="29" t="n">
        <f aca="false">Clean!AE748</f>
        <v>1934.5</v>
      </c>
      <c r="F748" s="22" t="n">
        <f aca="false">AVERAGEIFS(Clean!$V$2:$V$1001,Clean!$AA$2:$AA$1001,B748)</f>
        <v>0.773869346733668</v>
      </c>
      <c r="G748" s="29" t="n">
        <f aca="false">F748*C748*D748</f>
        <v>5335.41497085427</v>
      </c>
      <c r="H748" s="29" t="n">
        <f aca="false">G748*Model!$B$4</f>
        <v>5335.41497085427</v>
      </c>
      <c r="I748" s="0" t="str">
        <f aca="false">IF(E748&lt;Model!$B$5*H748,"Expedite","Standard")</f>
        <v>Expedite</v>
      </c>
      <c r="J748" s="29" t="n">
        <f aca="false">H748</f>
        <v>5335.41497085427</v>
      </c>
      <c r="K748" s="29" t="n">
        <f aca="false">E748+(1-Model!$B$5)*H748</f>
        <v>1934.5</v>
      </c>
      <c r="L748" s="29" t="n">
        <f aca="false">IF(I748="Expedite",K748,J748)</f>
        <v>1934.5</v>
      </c>
      <c r="M748" s="29" t="n">
        <f aca="false">J748-L748</f>
        <v>3400.91497085427</v>
      </c>
      <c r="N748" s="29" t="n">
        <f aca="false">IFERROR(E748/(F748*C748*Model!$B$5),"")</f>
        <v>329.785748552239</v>
      </c>
    </row>
    <row r="749" customFormat="false" ht="15" hidden="false" customHeight="false" outlineLevel="0" collapsed="false">
      <c r="A749" s="0" t="str">
        <f aca="false">Clean!A749</f>
        <v>SHP0748</v>
      </c>
      <c r="B749" s="0" t="str">
        <f aca="false">Clean!AA749</f>
        <v>BlueDart</v>
      </c>
      <c r="C749" s="28" t="n">
        <f aca="false">Clean!J749</f>
        <v>15.82</v>
      </c>
      <c r="D749" s="29" t="n">
        <f aca="false">Clean!AF749</f>
        <v>1414.53</v>
      </c>
      <c r="E749" s="29" t="n">
        <f aca="false">Clean!AE749</f>
        <v>2019.07</v>
      </c>
      <c r="F749" s="22" t="n">
        <f aca="false">AVERAGEIFS(Clean!$V$2:$V$1001,Clean!$AA$2:$AA$1001,B749)</f>
        <v>0.773869346733668</v>
      </c>
      <c r="G749" s="29" t="n">
        <f aca="false">F749*C749*D749</f>
        <v>17317.5434592965</v>
      </c>
      <c r="H749" s="29" t="n">
        <f aca="false">G749*Model!$B$4</f>
        <v>17317.5434592965</v>
      </c>
      <c r="I749" s="0" t="str">
        <f aca="false">IF(E749&lt;Model!$B$5*H749,"Expedite","Standard")</f>
        <v>Expedite</v>
      </c>
      <c r="J749" s="29" t="n">
        <f aca="false">H749</f>
        <v>17317.5434592965</v>
      </c>
      <c r="K749" s="29" t="n">
        <f aca="false">E749+(1-Model!$B$5)*H749</f>
        <v>2019.07</v>
      </c>
      <c r="L749" s="29" t="n">
        <f aca="false">IF(I749="Expedite",K749,J749)</f>
        <v>2019.07</v>
      </c>
      <c r="M749" s="29" t="n">
        <f aca="false">J749-L749</f>
        <v>15298.4734592965</v>
      </c>
      <c r="N749" s="29" t="n">
        <f aca="false">IFERROR(E749/(F749*C749*Model!$B$5),"")</f>
        <v>164.92149096163</v>
      </c>
    </row>
    <row r="750" customFormat="false" ht="15" hidden="false" customHeight="false" outlineLevel="0" collapsed="false">
      <c r="A750" s="0" t="str">
        <f aca="false">Clean!A750</f>
        <v>SHP0749</v>
      </c>
      <c r="B750" s="0" t="str">
        <f aca="false">Clean!AA750</f>
        <v>VRL Cargo</v>
      </c>
      <c r="C750" s="28" t="n">
        <f aca="false">Clean!J750</f>
        <v>3.15</v>
      </c>
      <c r="D750" s="29" t="n">
        <f aca="false">Clean!AF750</f>
        <v>1135.94</v>
      </c>
      <c r="E750" s="29" t="n">
        <f aca="false">Clean!AE750</f>
        <v>3937.24</v>
      </c>
      <c r="F750" s="22" t="n">
        <f aca="false">AVERAGEIFS(Clean!$V$2:$V$1001,Clean!$AA$2:$AA$1001,B750)</f>
        <v>0.72020725388601</v>
      </c>
      <c r="G750" s="29" t="n">
        <f aca="false">F750*C750*D750</f>
        <v>2577.05351813472</v>
      </c>
      <c r="H750" s="29" t="n">
        <f aca="false">G750*Model!$B$4</f>
        <v>2577.05351813472</v>
      </c>
      <c r="I750" s="0" t="str">
        <f aca="false">IF(E750&lt;Model!$B$5*H750,"Expedite","Standard")</f>
        <v>Standard</v>
      </c>
      <c r="J750" s="29" t="n">
        <f aca="false">H750</f>
        <v>2577.05351813472</v>
      </c>
      <c r="K750" s="29" t="n">
        <f aca="false">E750+(1-Model!$B$5)*H750</f>
        <v>3937.24</v>
      </c>
      <c r="L750" s="29" t="n">
        <f aca="false">IF(I750="Expedite",K750,J750)</f>
        <v>2577.05351813472</v>
      </c>
      <c r="M750" s="29" t="n">
        <f aca="false">J750-L750</f>
        <v>0</v>
      </c>
      <c r="N750" s="29" t="n">
        <f aca="false">IFERROR(E750/(F750*C750*Model!$B$5),"")</f>
        <v>1735.49690533288</v>
      </c>
    </row>
    <row r="751" customFormat="false" ht="15" hidden="false" customHeight="false" outlineLevel="0" collapsed="false">
      <c r="A751" s="0" t="str">
        <f aca="false">Clean!A751</f>
        <v>SHP0750</v>
      </c>
      <c r="B751" s="0" t="str">
        <f aca="false">Clean!AA751</f>
        <v>VRL Cargo</v>
      </c>
      <c r="C751" s="28" t="n">
        <f aca="false">Clean!J751</f>
        <v>17.62</v>
      </c>
      <c r="D751" s="29" t="n">
        <f aca="false">Clean!AF751</f>
        <v>920.33</v>
      </c>
      <c r="E751" s="29" t="n">
        <f aca="false">Clean!AE751</f>
        <v>4041.25</v>
      </c>
      <c r="F751" s="22" t="n">
        <f aca="false">AVERAGEIFS(Clean!$V$2:$V$1001,Clean!$AA$2:$AA$1001,B751)</f>
        <v>0.72020725388601</v>
      </c>
      <c r="G751" s="29" t="n">
        <f aca="false">F751*C751*D751</f>
        <v>11679.0353854922</v>
      </c>
      <c r="H751" s="29" t="n">
        <f aca="false">G751*Model!$B$4</f>
        <v>11679.0353854922</v>
      </c>
      <c r="I751" s="0" t="str">
        <f aca="false">IF(E751&lt;Model!$B$5*H751,"Expedite","Standard")</f>
        <v>Expedite</v>
      </c>
      <c r="J751" s="29" t="n">
        <f aca="false">H751</f>
        <v>11679.0353854922</v>
      </c>
      <c r="K751" s="29" t="n">
        <f aca="false">E751+(1-Model!$B$5)*H751</f>
        <v>4041.25</v>
      </c>
      <c r="L751" s="29" t="n">
        <f aca="false">IF(I751="Expedite",K751,J751)</f>
        <v>4041.25</v>
      </c>
      <c r="M751" s="29" t="n">
        <f aca="false">J751-L751</f>
        <v>7637.78538549223</v>
      </c>
      <c r="N751" s="29" t="n">
        <f aca="false">IFERROR(E751/(F751*C751*Model!$B$5),"")</f>
        <v>318.458116594125</v>
      </c>
    </row>
    <row r="752" customFormat="false" ht="15" hidden="false" customHeight="false" outlineLevel="0" collapsed="false">
      <c r="A752" s="0" t="str">
        <f aca="false">Clean!A752</f>
        <v>SHP0751</v>
      </c>
      <c r="B752" s="0" t="str">
        <f aca="false">Clean!AA752</f>
        <v>GATI Logistics</v>
      </c>
      <c r="C752" s="28" t="n">
        <f aca="false">Clean!J752</f>
        <v>18.93</v>
      </c>
      <c r="D752" s="29" t="n">
        <f aca="false">Clean!AF752</f>
        <v>511.33</v>
      </c>
      <c r="E752" s="29" t="n">
        <f aca="false">Clean!AE752</f>
        <v>1404.66</v>
      </c>
      <c r="F752" s="22" t="n">
        <f aca="false">AVERAGEIFS(Clean!$V$2:$V$1001,Clean!$AA$2:$AA$1001,B752)</f>
        <v>0.751243781094527</v>
      </c>
      <c r="G752" s="29" t="n">
        <f aca="false">F752*C752*D752</f>
        <v>7271.64682537313</v>
      </c>
      <c r="H752" s="29" t="n">
        <f aca="false">G752*Model!$B$4</f>
        <v>7271.64682537313</v>
      </c>
      <c r="I752" s="0" t="str">
        <f aca="false">IF(E752&lt;Model!$B$5*H752,"Expedite","Standard")</f>
        <v>Expedite</v>
      </c>
      <c r="J752" s="29" t="n">
        <f aca="false">H752</f>
        <v>7271.64682537313</v>
      </c>
      <c r="K752" s="29" t="n">
        <f aca="false">E752+(1-Model!$B$5)*H752</f>
        <v>1404.66</v>
      </c>
      <c r="L752" s="29" t="n">
        <f aca="false">IF(I752="Expedite",K752,J752)</f>
        <v>1404.66</v>
      </c>
      <c r="M752" s="29" t="n">
        <f aca="false">J752-L752</f>
        <v>5866.98682537313</v>
      </c>
      <c r="N752" s="29" t="n">
        <f aca="false">IFERROR(E752/(F752*C752*Model!$B$5),"")</f>
        <v>98.7733336132073</v>
      </c>
    </row>
    <row r="753" customFormat="false" ht="15" hidden="false" customHeight="false" outlineLevel="0" collapsed="false">
      <c r="A753" s="0" t="str">
        <f aca="false">Clean!A753</f>
        <v>SHP0752</v>
      </c>
      <c r="B753" s="0" t="str">
        <f aca="false">Clean!AA753</f>
        <v>BlueDart</v>
      </c>
      <c r="C753" s="28" t="n">
        <f aca="false">Clean!J753</f>
        <v>11.42</v>
      </c>
      <c r="D753" s="29" t="n">
        <f aca="false">Clean!AF753</f>
        <v>1046.39</v>
      </c>
      <c r="E753" s="29" t="n">
        <f aca="false">Clean!AE753</f>
        <v>4433.88</v>
      </c>
      <c r="F753" s="22" t="n">
        <f aca="false">AVERAGEIFS(Clean!$V$2:$V$1001,Clean!$AA$2:$AA$1001,B753)</f>
        <v>0.773869346733668</v>
      </c>
      <c r="G753" s="29" t="n">
        <f aca="false">F753*C753*D753</f>
        <v>9247.56364422111</v>
      </c>
      <c r="H753" s="29" t="n">
        <f aca="false">G753*Model!$B$4</f>
        <v>9247.56364422111</v>
      </c>
      <c r="I753" s="0" t="str">
        <f aca="false">IF(E753&lt;Model!$B$5*H753,"Expedite","Standard")</f>
        <v>Expedite</v>
      </c>
      <c r="J753" s="29" t="n">
        <f aca="false">H753</f>
        <v>9247.56364422111</v>
      </c>
      <c r="K753" s="29" t="n">
        <f aca="false">E753+(1-Model!$B$5)*H753</f>
        <v>4433.88</v>
      </c>
      <c r="L753" s="29" t="n">
        <f aca="false">IF(I753="Expedite",K753,J753)</f>
        <v>4433.88</v>
      </c>
      <c r="M753" s="29" t="n">
        <f aca="false">J753-L753</f>
        <v>4813.68364422111</v>
      </c>
      <c r="N753" s="29" t="n">
        <f aca="false">IFERROR(E753/(F753*C753*Model!$B$5),"")</f>
        <v>501.707030272705</v>
      </c>
    </row>
    <row r="754" customFormat="false" ht="15" hidden="false" customHeight="false" outlineLevel="0" collapsed="false">
      <c r="A754" s="0" t="str">
        <f aca="false">Clean!A754</f>
        <v>SHP0753</v>
      </c>
      <c r="B754" s="0" t="str">
        <f aca="false">Clean!AA754</f>
        <v>BlueDart</v>
      </c>
      <c r="C754" s="28" t="n">
        <f aca="false">Clean!J754</f>
        <v>11.82</v>
      </c>
      <c r="D754" s="29" t="n">
        <f aca="false">Clean!AF754</f>
        <v>1195.88</v>
      </c>
      <c r="E754" s="29" t="n">
        <f aca="false">Clean!AE754</f>
        <v>1571.3</v>
      </c>
      <c r="F754" s="22" t="n">
        <f aca="false">AVERAGEIFS(Clean!$V$2:$V$1001,Clean!$AA$2:$AA$1001,B754)</f>
        <v>0.773869346733668</v>
      </c>
      <c r="G754" s="29" t="n">
        <f aca="false">F754*C754*D754</f>
        <v>10938.8766150754</v>
      </c>
      <c r="H754" s="29" t="n">
        <f aca="false">G754*Model!$B$4</f>
        <v>10938.8766150754</v>
      </c>
      <c r="I754" s="0" t="str">
        <f aca="false">IF(E754&lt;Model!$B$5*H754,"Expedite","Standard")</f>
        <v>Expedite</v>
      </c>
      <c r="J754" s="29" t="n">
        <f aca="false">H754</f>
        <v>10938.8766150754</v>
      </c>
      <c r="K754" s="29" t="n">
        <f aca="false">E754+(1-Model!$B$5)*H754</f>
        <v>1571.3</v>
      </c>
      <c r="L754" s="29" t="n">
        <f aca="false">IF(I754="Expedite",K754,J754)</f>
        <v>1571.3</v>
      </c>
      <c r="M754" s="29" t="n">
        <f aca="false">J754-L754</f>
        <v>9367.57661507538</v>
      </c>
      <c r="N754" s="29" t="n">
        <f aca="false">IFERROR(E754/(F754*C754*Model!$B$5),"")</f>
        <v>171.780550245017</v>
      </c>
    </row>
    <row r="755" customFormat="false" ht="15" hidden="false" customHeight="false" outlineLevel="0" collapsed="false">
      <c r="A755" s="0" t="str">
        <f aca="false">Clean!A755</f>
        <v>SHP0754</v>
      </c>
      <c r="B755" s="0" t="str">
        <f aca="false">Clean!AA755</f>
        <v>BlueDart</v>
      </c>
      <c r="C755" s="28" t="n">
        <f aca="false">Clean!J755</f>
        <v>4.13</v>
      </c>
      <c r="D755" s="29" t="n">
        <f aca="false">Clean!AF755</f>
        <v>980.11</v>
      </c>
      <c r="E755" s="29" t="n">
        <f aca="false">Clean!AE755</f>
        <v>1224.01</v>
      </c>
      <c r="F755" s="22" t="n">
        <f aca="false">AVERAGEIFS(Clean!$V$2:$V$1001,Clean!$AA$2:$AA$1001,B755)</f>
        <v>0.773869346733668</v>
      </c>
      <c r="G755" s="29" t="n">
        <f aca="false">F755*C755*D755</f>
        <v>3132.51036281407</v>
      </c>
      <c r="H755" s="29" t="n">
        <f aca="false">G755*Model!$B$4</f>
        <v>3132.51036281407</v>
      </c>
      <c r="I755" s="0" t="str">
        <f aca="false">IF(E755&lt;Model!$B$5*H755,"Expedite","Standard")</f>
        <v>Expedite</v>
      </c>
      <c r="J755" s="29" t="n">
        <f aca="false">H755</f>
        <v>3132.51036281407</v>
      </c>
      <c r="K755" s="29" t="n">
        <f aca="false">E755+(1-Model!$B$5)*H755</f>
        <v>1224.01</v>
      </c>
      <c r="L755" s="29" t="n">
        <f aca="false">IF(I755="Expedite",K755,J755)</f>
        <v>1224.01</v>
      </c>
      <c r="M755" s="29" t="n">
        <f aca="false">J755-L755</f>
        <v>1908.50036281407</v>
      </c>
      <c r="N755" s="29" t="n">
        <f aca="false">IFERROR(E755/(F755*C755*Model!$B$5),"")</f>
        <v>382.972217854784</v>
      </c>
    </row>
    <row r="756" customFormat="false" ht="15" hidden="false" customHeight="false" outlineLevel="0" collapsed="false">
      <c r="A756" s="0" t="str">
        <f aca="false">Clean!A756</f>
        <v>SHP0755</v>
      </c>
      <c r="B756" s="0" t="str">
        <f aca="false">Clean!AA756</f>
        <v>GATI Logistics</v>
      </c>
      <c r="C756" s="28" t="n">
        <f aca="false">Clean!J756</f>
        <v>11.17</v>
      </c>
      <c r="D756" s="29" t="n">
        <f aca="false">Clean!AF756</f>
        <v>1482.14</v>
      </c>
      <c r="E756" s="29" t="n">
        <f aca="false">Clean!AE756</f>
        <v>2016.12</v>
      </c>
      <c r="F756" s="22" t="n">
        <f aca="false">AVERAGEIFS(Clean!$V$2:$V$1001,Clean!$AA$2:$AA$1001,B756)</f>
        <v>0.751243781094527</v>
      </c>
      <c r="G756" s="29" t="n">
        <f aca="false">F756*C756*D756</f>
        <v>12437.2192726368</v>
      </c>
      <c r="H756" s="29" t="n">
        <f aca="false">G756*Model!$B$4</f>
        <v>12437.2192726368</v>
      </c>
      <c r="I756" s="0" t="str">
        <f aca="false">IF(E756&lt;Model!$B$5*H756,"Expedite","Standard")</f>
        <v>Expedite</v>
      </c>
      <c r="J756" s="29" t="n">
        <f aca="false">H756</f>
        <v>12437.2192726368</v>
      </c>
      <c r="K756" s="29" t="n">
        <f aca="false">E756+(1-Model!$B$5)*H756</f>
        <v>2016.12</v>
      </c>
      <c r="L756" s="29" t="n">
        <f aca="false">IF(I756="Expedite",K756,J756)</f>
        <v>2016.12</v>
      </c>
      <c r="M756" s="29" t="n">
        <f aca="false">J756-L756</f>
        <v>10421.0992726368</v>
      </c>
      <c r="N756" s="29" t="n">
        <f aca="false">IFERROR(E756/(F756*C756*Model!$B$5),"")</f>
        <v>240.260465888407</v>
      </c>
    </row>
    <row r="757" customFormat="false" ht="15" hidden="false" customHeight="false" outlineLevel="0" collapsed="false">
      <c r="A757" s="0" t="str">
        <f aca="false">Clean!A757</f>
        <v>SHP0756</v>
      </c>
      <c r="B757" s="0" t="str">
        <f aca="false">Clean!AA757</f>
        <v>TCI Express</v>
      </c>
      <c r="C757" s="28" t="n">
        <f aca="false">Clean!J757</f>
        <v>19.68</v>
      </c>
      <c r="D757" s="29" t="n">
        <f aca="false">Clean!AF757</f>
        <v>1244.87</v>
      </c>
      <c r="E757" s="29" t="n">
        <f aca="false">Clean!AE757</f>
        <v>2307.09</v>
      </c>
      <c r="F757" s="22" t="n">
        <f aca="false">AVERAGEIFS(Clean!$V$2:$V$1001,Clean!$AA$2:$AA$1001,B757)</f>
        <v>0.752336448598131</v>
      </c>
      <c r="G757" s="29" t="n">
        <f aca="false">F757*C757*D757</f>
        <v>18431.5219514019</v>
      </c>
      <c r="H757" s="29" t="n">
        <f aca="false">G757*Model!$B$4</f>
        <v>18431.5219514019</v>
      </c>
      <c r="I757" s="0" t="str">
        <f aca="false">IF(E757&lt;Model!$B$5*H757,"Expedite","Standard")</f>
        <v>Expedite</v>
      </c>
      <c r="J757" s="29" t="n">
        <f aca="false">H757</f>
        <v>18431.5219514019</v>
      </c>
      <c r="K757" s="29" t="n">
        <f aca="false">E757+(1-Model!$B$5)*H757</f>
        <v>2307.09</v>
      </c>
      <c r="L757" s="29" t="n">
        <f aca="false">IF(I757="Expedite",K757,J757)</f>
        <v>2307.09</v>
      </c>
      <c r="M757" s="29" t="n">
        <f aca="false">J757-L757</f>
        <v>16124.4319514019</v>
      </c>
      <c r="N757" s="29" t="n">
        <f aca="false">IFERROR(E757/(F757*C757*Model!$B$5),"")</f>
        <v>155.821485381003</v>
      </c>
    </row>
    <row r="758" customFormat="false" ht="15" hidden="false" customHeight="false" outlineLevel="0" collapsed="false">
      <c r="A758" s="0" t="str">
        <f aca="false">Clean!A758</f>
        <v>SHP0757</v>
      </c>
      <c r="B758" s="0" t="str">
        <f aca="false">Clean!AA758</f>
        <v>GATI Logistics</v>
      </c>
      <c r="C758" s="28" t="n">
        <f aca="false">Clean!J758</f>
        <v>2.51</v>
      </c>
      <c r="D758" s="29" t="n">
        <f aca="false">Clean!AF758</f>
        <v>1159.87</v>
      </c>
      <c r="E758" s="29" t="n">
        <f aca="false">Clean!AE758</f>
        <v>1286.93</v>
      </c>
      <c r="F758" s="22" t="n">
        <f aca="false">AVERAGEIFS(Clean!$V$2:$V$1001,Clean!$AA$2:$AA$1001,B758)</f>
        <v>0.751243781094527</v>
      </c>
      <c r="G758" s="29" t="n">
        <f aca="false">F758*C758*D758</f>
        <v>2187.07626218905</v>
      </c>
      <c r="H758" s="29" t="n">
        <f aca="false">G758*Model!$B$4</f>
        <v>2187.07626218905</v>
      </c>
      <c r="I758" s="0" t="str">
        <f aca="false">IF(E758&lt;Model!$B$5*H758,"Expedite","Standard")</f>
        <v>Expedite</v>
      </c>
      <c r="J758" s="29" t="n">
        <f aca="false">H758</f>
        <v>2187.07626218905</v>
      </c>
      <c r="K758" s="29" t="n">
        <f aca="false">E758+(1-Model!$B$5)*H758</f>
        <v>1286.93</v>
      </c>
      <c r="L758" s="29" t="n">
        <f aca="false">IF(I758="Expedite",K758,J758)</f>
        <v>1286.93</v>
      </c>
      <c r="M758" s="29" t="n">
        <f aca="false">J758-L758</f>
        <v>900.146262189054</v>
      </c>
      <c r="N758" s="29" t="n">
        <f aca="false">IFERROR(E758/(F758*C758*Model!$B$5),"")</f>
        <v>682.496319358328</v>
      </c>
    </row>
    <row r="759" customFormat="false" ht="15" hidden="false" customHeight="false" outlineLevel="0" collapsed="false">
      <c r="A759" s="0" t="str">
        <f aca="false">Clean!A759</f>
        <v>SHP0758</v>
      </c>
      <c r="B759" s="0" t="str">
        <f aca="false">Clean!AA759</f>
        <v>BlueDart</v>
      </c>
      <c r="C759" s="28" t="n">
        <f aca="false">Clean!J759</f>
        <v>9.2</v>
      </c>
      <c r="D759" s="29" t="n">
        <f aca="false">Clean!AF759</f>
        <v>1027.5</v>
      </c>
      <c r="E759" s="29" t="n">
        <f aca="false">Clean!AE759</f>
        <v>4524.02</v>
      </c>
      <c r="F759" s="22" t="n">
        <f aca="false">AVERAGEIFS(Clean!$V$2:$V$1001,Clean!$AA$2:$AA$1001,B759)</f>
        <v>0.773869346733668</v>
      </c>
      <c r="G759" s="29" t="n">
        <f aca="false">F759*C759*D759</f>
        <v>7315.38693467337</v>
      </c>
      <c r="H759" s="29" t="n">
        <f aca="false">G759*Model!$B$4</f>
        <v>7315.38693467337</v>
      </c>
      <c r="I759" s="0" t="str">
        <f aca="false">IF(E759&lt;Model!$B$5*H759,"Expedite","Standard")</f>
        <v>Expedite</v>
      </c>
      <c r="J759" s="29" t="n">
        <f aca="false">H759</f>
        <v>7315.38693467337</v>
      </c>
      <c r="K759" s="29" t="n">
        <f aca="false">E759+(1-Model!$B$5)*H759</f>
        <v>4524.02</v>
      </c>
      <c r="L759" s="29" t="n">
        <f aca="false">IF(I759="Expedite",K759,J759)</f>
        <v>4524.02</v>
      </c>
      <c r="M759" s="29" t="n">
        <f aca="false">J759-L759</f>
        <v>2791.36693467337</v>
      </c>
      <c r="N759" s="29" t="n">
        <f aca="false">IFERROR(E759/(F759*C759*Model!$B$5),"")</f>
        <v>635.431945228684</v>
      </c>
    </row>
    <row r="760" customFormat="false" ht="15" hidden="false" customHeight="false" outlineLevel="0" collapsed="false">
      <c r="A760" s="0" t="str">
        <f aca="false">Clean!A760</f>
        <v>SHP0759</v>
      </c>
      <c r="B760" s="0" t="str">
        <f aca="false">Clean!AA760</f>
        <v>GATI Logistics</v>
      </c>
      <c r="C760" s="28" t="n">
        <f aca="false">Clean!J760</f>
        <v>16.67</v>
      </c>
      <c r="D760" s="29" t="n">
        <f aca="false">Clean!AF760</f>
        <v>1395.79</v>
      </c>
      <c r="E760" s="29" t="n">
        <f aca="false">Clean!AE760</f>
        <v>3350.74</v>
      </c>
      <c r="F760" s="22" t="n">
        <f aca="false">AVERAGEIFS(Clean!$V$2:$V$1001,Clean!$AA$2:$AA$1001,B760)</f>
        <v>0.751243781094527</v>
      </c>
      <c r="G760" s="29" t="n">
        <f aca="false">F760*C760*D760</f>
        <v>17479.8045487562</v>
      </c>
      <c r="H760" s="29" t="n">
        <f aca="false">G760*Model!$B$4</f>
        <v>17479.8045487562</v>
      </c>
      <c r="I760" s="0" t="str">
        <f aca="false">IF(E760&lt;Model!$B$5*H760,"Expedite","Standard")</f>
        <v>Expedite</v>
      </c>
      <c r="J760" s="29" t="n">
        <f aca="false">H760</f>
        <v>17479.8045487562</v>
      </c>
      <c r="K760" s="29" t="n">
        <f aca="false">E760+(1-Model!$B$5)*H760</f>
        <v>3350.74</v>
      </c>
      <c r="L760" s="29" t="n">
        <f aca="false">IF(I760="Expedite",K760,J760)</f>
        <v>3350.74</v>
      </c>
      <c r="M760" s="29" t="n">
        <f aca="false">J760-L760</f>
        <v>14129.0645487562</v>
      </c>
      <c r="N760" s="29" t="n">
        <f aca="false">IFERROR(E760/(F760*C760*Model!$B$5),"")</f>
        <v>267.561881001283</v>
      </c>
    </row>
    <row r="761" customFormat="false" ht="15" hidden="false" customHeight="false" outlineLevel="0" collapsed="false">
      <c r="A761" s="0" t="str">
        <f aca="false">Clean!A761</f>
        <v>SHP0760</v>
      </c>
      <c r="B761" s="0" t="str">
        <f aca="false">Clean!AA761</f>
        <v>TCI Express</v>
      </c>
      <c r="C761" s="28" t="n">
        <f aca="false">Clean!J761</f>
        <v>13.41</v>
      </c>
      <c r="D761" s="29" t="n">
        <f aca="false">Clean!AF761</f>
        <v>1169.97</v>
      </c>
      <c r="E761" s="29" t="n">
        <f aca="false">Clean!AE761</f>
        <v>2494.16</v>
      </c>
      <c r="F761" s="22" t="n">
        <f aca="false">AVERAGEIFS(Clean!$V$2:$V$1001,Clean!$AA$2:$AA$1001,B761)</f>
        <v>0.752336448598131</v>
      </c>
      <c r="G761" s="29" t="n">
        <f aca="false">F761*C761*D761</f>
        <v>11803.6305126168</v>
      </c>
      <c r="H761" s="29" t="n">
        <f aca="false">G761*Model!$B$4</f>
        <v>11803.6305126168</v>
      </c>
      <c r="I761" s="0" t="str">
        <f aca="false">IF(E761&lt;Model!$B$5*H761,"Expedite","Standard")</f>
        <v>Expedite</v>
      </c>
      <c r="J761" s="29" t="n">
        <f aca="false">H761</f>
        <v>11803.6305126168</v>
      </c>
      <c r="K761" s="29" t="n">
        <f aca="false">E761+(1-Model!$B$5)*H761</f>
        <v>2494.16</v>
      </c>
      <c r="L761" s="29" t="n">
        <f aca="false">IF(I761="Expedite",K761,J761)</f>
        <v>2494.16</v>
      </c>
      <c r="M761" s="29" t="n">
        <f aca="false">J761-L761</f>
        <v>9309.47051261683</v>
      </c>
      <c r="N761" s="29" t="n">
        <f aca="false">IFERROR(E761/(F761*C761*Model!$B$5),"")</f>
        <v>247.219901714212</v>
      </c>
    </row>
    <row r="762" customFormat="false" ht="15" hidden="false" customHeight="false" outlineLevel="0" collapsed="false">
      <c r="A762" s="0" t="str">
        <f aca="false">Clean!A762</f>
        <v>SHP0761</v>
      </c>
      <c r="B762" s="0" t="str">
        <f aca="false">Clean!AA762</f>
        <v>VRL Cargo</v>
      </c>
      <c r="C762" s="28" t="n">
        <f aca="false">Clean!J762</f>
        <v>2.37</v>
      </c>
      <c r="D762" s="29" t="n">
        <f aca="false">Clean!AF762</f>
        <v>539.29</v>
      </c>
      <c r="E762" s="29" t="n">
        <f aca="false">Clean!AE762</f>
        <v>4957.4</v>
      </c>
      <c r="F762" s="22" t="n">
        <f aca="false">AVERAGEIFS(Clean!$V$2:$V$1001,Clean!$AA$2:$AA$1001,B762)</f>
        <v>0.72020725388601</v>
      </c>
      <c r="G762" s="29" t="n">
        <f aca="false">F762*C762*D762</f>
        <v>920.509350777202</v>
      </c>
      <c r="H762" s="29" t="n">
        <f aca="false">G762*Model!$B$4</f>
        <v>920.509350777202</v>
      </c>
      <c r="I762" s="0" t="str">
        <f aca="false">IF(E762&lt;Model!$B$5*H762,"Expedite","Standard")</f>
        <v>Standard</v>
      </c>
      <c r="J762" s="29" t="n">
        <f aca="false">H762</f>
        <v>920.509350777202</v>
      </c>
      <c r="K762" s="29" t="n">
        <f aca="false">E762+(1-Model!$B$5)*H762</f>
        <v>4957.4</v>
      </c>
      <c r="L762" s="29" t="n">
        <f aca="false">IF(I762="Expedite",K762,J762)</f>
        <v>920.509350777202</v>
      </c>
      <c r="M762" s="29" t="n">
        <f aca="false">J762-L762</f>
        <v>0</v>
      </c>
      <c r="N762" s="29" t="n">
        <f aca="false">IFERROR(E762/(F762*C762*Model!$B$5),"")</f>
        <v>2904.34447378806</v>
      </c>
    </row>
    <row r="763" customFormat="false" ht="15" hidden="false" customHeight="false" outlineLevel="0" collapsed="false">
      <c r="A763" s="0" t="str">
        <f aca="false">Clean!A763</f>
        <v>SHP0762</v>
      </c>
      <c r="B763" s="0" t="str">
        <f aca="false">Clean!AA763</f>
        <v>Delhivery</v>
      </c>
      <c r="C763" s="28" t="n">
        <f aca="false">Clean!J763</f>
        <v>13.44</v>
      </c>
      <c r="D763" s="29" t="n">
        <f aca="false">Clean!AF763</f>
        <v>1313.41</v>
      </c>
      <c r="E763" s="29" t="n">
        <f aca="false">Clean!AE763</f>
        <v>1831.37</v>
      </c>
      <c r="F763" s="22" t="n">
        <f aca="false">AVERAGEIFS(Clean!$V$2:$V$1001,Clean!$AA$2:$AA$1001,B763)</f>
        <v>0.72538860103627</v>
      </c>
      <c r="G763" s="29" t="n">
        <f aca="false">F763*C763*D763</f>
        <v>12804.7267150259</v>
      </c>
      <c r="H763" s="29" t="n">
        <f aca="false">G763*Model!$B$4</f>
        <v>12804.7267150259</v>
      </c>
      <c r="I763" s="0" t="str">
        <f aca="false">IF(E763&lt;Model!$B$5*H763,"Expedite","Standard")</f>
        <v>Expedite</v>
      </c>
      <c r="J763" s="29" t="n">
        <f aca="false">H763</f>
        <v>12804.7267150259</v>
      </c>
      <c r="K763" s="29" t="n">
        <f aca="false">E763+(1-Model!$B$5)*H763</f>
        <v>1831.37</v>
      </c>
      <c r="L763" s="29" t="n">
        <f aca="false">IF(I763="Expedite",K763,J763)</f>
        <v>1831.37</v>
      </c>
      <c r="M763" s="29" t="n">
        <f aca="false">J763-L763</f>
        <v>10973.3567150259</v>
      </c>
      <c r="N763" s="29" t="n">
        <f aca="false">IFERROR(E763/(F763*C763*Model!$B$5),"")</f>
        <v>187.847794430272</v>
      </c>
    </row>
    <row r="764" customFormat="false" ht="15" hidden="false" customHeight="false" outlineLevel="0" collapsed="false">
      <c r="A764" s="0" t="str">
        <f aca="false">Clean!A764</f>
        <v>SHP0763</v>
      </c>
      <c r="B764" s="0" t="str">
        <f aca="false">Clean!AA764</f>
        <v>VRL Cargo</v>
      </c>
      <c r="C764" s="28" t="n">
        <f aca="false">Clean!J764</f>
        <v>15.11</v>
      </c>
      <c r="D764" s="29" t="n">
        <f aca="false">Clean!AF764</f>
        <v>1492.77</v>
      </c>
      <c r="E764" s="29" t="n">
        <f aca="false">Clean!AE764</f>
        <v>1322.83</v>
      </c>
      <c r="F764" s="22" t="n">
        <f aca="false">AVERAGEIFS(Clean!$V$2:$V$1001,Clean!$AA$2:$AA$1001,B764)</f>
        <v>0.72020725388601</v>
      </c>
      <c r="G764" s="29" t="n">
        <f aca="false">F764*C764*D764</f>
        <v>16244.8181518135</v>
      </c>
      <c r="H764" s="29" t="n">
        <f aca="false">G764*Model!$B$4</f>
        <v>16244.8181518135</v>
      </c>
      <c r="I764" s="0" t="str">
        <f aca="false">IF(E764&lt;Model!$B$5*H764,"Expedite","Standard")</f>
        <v>Expedite</v>
      </c>
      <c r="J764" s="29" t="n">
        <f aca="false">H764</f>
        <v>16244.8181518135</v>
      </c>
      <c r="K764" s="29" t="n">
        <f aca="false">E764+(1-Model!$B$5)*H764</f>
        <v>1322.83</v>
      </c>
      <c r="L764" s="29" t="n">
        <f aca="false">IF(I764="Expedite",K764,J764)</f>
        <v>1322.83</v>
      </c>
      <c r="M764" s="29" t="n">
        <f aca="false">J764-L764</f>
        <v>14921.9881518135</v>
      </c>
      <c r="N764" s="29" t="n">
        <f aca="false">IFERROR(E764/(F764*C764*Model!$B$5),"")</f>
        <v>121.557589666189</v>
      </c>
    </row>
    <row r="765" customFormat="false" ht="15" hidden="false" customHeight="false" outlineLevel="0" collapsed="false">
      <c r="A765" s="0" t="str">
        <f aca="false">Clean!A765</f>
        <v>SHP0764</v>
      </c>
      <c r="B765" s="0" t="str">
        <f aca="false">Clean!AA765</f>
        <v>BlueDart</v>
      </c>
      <c r="C765" s="28" t="n">
        <f aca="false">Clean!J765</f>
        <v>15.89</v>
      </c>
      <c r="D765" s="29" t="n">
        <f aca="false">Clean!AF765</f>
        <v>849.8</v>
      </c>
      <c r="E765" s="29" t="n">
        <f aca="false">Clean!AE765</f>
        <v>4318.78</v>
      </c>
      <c r="F765" s="22" t="n">
        <f aca="false">AVERAGEIFS(Clean!$V$2:$V$1001,Clean!$AA$2:$AA$1001,B765)</f>
        <v>0.773869346733668</v>
      </c>
      <c r="G765" s="29" t="n">
        <f aca="false">F765*C765*D765</f>
        <v>10449.8069748744</v>
      </c>
      <c r="H765" s="29" t="n">
        <f aca="false">G765*Model!$B$4</f>
        <v>10449.8069748744</v>
      </c>
      <c r="I765" s="0" t="str">
        <f aca="false">IF(E765&lt;Model!$B$5*H765,"Expedite","Standard")</f>
        <v>Expedite</v>
      </c>
      <c r="J765" s="29" t="n">
        <f aca="false">H765</f>
        <v>10449.8069748744</v>
      </c>
      <c r="K765" s="29" t="n">
        <f aca="false">E765+(1-Model!$B$5)*H765</f>
        <v>4318.78</v>
      </c>
      <c r="L765" s="29" t="n">
        <f aca="false">IF(I765="Expedite",K765,J765)</f>
        <v>4318.78</v>
      </c>
      <c r="M765" s="29" t="n">
        <f aca="false">J765-L765</f>
        <v>6131.02697487437</v>
      </c>
      <c r="N765" s="29" t="n">
        <f aca="false">IFERROR(E765/(F765*C765*Model!$B$5),"")</f>
        <v>351.212156628771</v>
      </c>
    </row>
    <row r="766" customFormat="false" ht="15" hidden="false" customHeight="false" outlineLevel="0" collapsed="false">
      <c r="A766" s="0" t="str">
        <f aca="false">Clean!A766</f>
        <v>SHP0765</v>
      </c>
      <c r="B766" s="0" t="str">
        <f aca="false">Clean!AA766</f>
        <v>VRL Cargo</v>
      </c>
      <c r="C766" s="28" t="n">
        <f aca="false">Clean!J766</f>
        <v>9.07</v>
      </c>
      <c r="D766" s="29" t="n">
        <f aca="false">Clean!AF766</f>
        <v>1484.91</v>
      </c>
      <c r="E766" s="29" t="n">
        <f aca="false">Clean!AE766</f>
        <v>1648.68</v>
      </c>
      <c r="F766" s="22" t="n">
        <f aca="false">AVERAGEIFS(Clean!$V$2:$V$1001,Clean!$AA$2:$AA$1001,B766)</f>
        <v>0.72020725388601</v>
      </c>
      <c r="G766" s="29" t="n">
        <f aca="false">F766*C766*D766</f>
        <v>9699.84758704663</v>
      </c>
      <c r="H766" s="29" t="n">
        <f aca="false">G766*Model!$B$4</f>
        <v>9699.84758704663</v>
      </c>
      <c r="I766" s="0" t="str">
        <f aca="false">IF(E766&lt;Model!$B$5*H766,"Expedite","Standard")</f>
        <v>Expedite</v>
      </c>
      <c r="J766" s="29" t="n">
        <f aca="false">H766</f>
        <v>9699.84758704663</v>
      </c>
      <c r="K766" s="29" t="n">
        <f aca="false">E766+(1-Model!$B$5)*H766</f>
        <v>1648.68</v>
      </c>
      <c r="L766" s="29" t="n">
        <f aca="false">IF(I766="Expedite",K766,J766)</f>
        <v>1648.68</v>
      </c>
      <c r="M766" s="29" t="n">
        <f aca="false">J766-L766</f>
        <v>8051.16758704663</v>
      </c>
      <c r="N766" s="29" t="n">
        <f aca="false">IFERROR(E766/(F766*C766*Model!$B$5),"")</f>
        <v>252.389678995503</v>
      </c>
    </row>
    <row r="767" customFormat="false" ht="15" hidden="false" customHeight="false" outlineLevel="0" collapsed="false">
      <c r="A767" s="0" t="str">
        <f aca="false">Clean!A767</f>
        <v>SHP0766</v>
      </c>
      <c r="B767" s="0" t="str">
        <f aca="false">Clean!AA767</f>
        <v>Delhivery</v>
      </c>
      <c r="C767" s="28" t="n">
        <f aca="false">Clean!J767</f>
        <v>2.44</v>
      </c>
      <c r="D767" s="29" t="n">
        <f aca="false">Clean!AF767</f>
        <v>1154.77</v>
      </c>
      <c r="E767" s="29" t="n">
        <f aca="false">Clean!AE767</f>
        <v>2078.54</v>
      </c>
      <c r="F767" s="22" t="n">
        <f aca="false">AVERAGEIFS(Clean!$V$2:$V$1001,Clean!$AA$2:$AA$1001,B767)</f>
        <v>0.72538860103627</v>
      </c>
      <c r="G767" s="29" t="n">
        <f aca="false">F767*C767*D767</f>
        <v>2043.88306735751</v>
      </c>
      <c r="H767" s="29" t="n">
        <f aca="false">G767*Model!$B$4</f>
        <v>2043.88306735751</v>
      </c>
      <c r="I767" s="0" t="str">
        <f aca="false">IF(E767&lt;Model!$B$5*H767,"Expedite","Standard")</f>
        <v>Standard</v>
      </c>
      <c r="J767" s="29" t="n">
        <f aca="false">H767</f>
        <v>2043.88306735751</v>
      </c>
      <c r="K767" s="29" t="n">
        <f aca="false">E767+(1-Model!$B$5)*H767</f>
        <v>2078.54</v>
      </c>
      <c r="L767" s="29" t="n">
        <f aca="false">IF(I767="Expedite",K767,J767)</f>
        <v>2043.88306735751</v>
      </c>
      <c r="M767" s="29" t="n">
        <f aca="false">J767-L767</f>
        <v>0</v>
      </c>
      <c r="N767" s="29" t="n">
        <f aca="false">IFERROR(E767/(F767*C767*Model!$B$5),"")</f>
        <v>1174.35076112412</v>
      </c>
    </row>
    <row r="768" customFormat="false" ht="15" hidden="false" customHeight="false" outlineLevel="0" collapsed="false">
      <c r="A768" s="0" t="str">
        <f aca="false">Clean!A768</f>
        <v>SHP0767</v>
      </c>
      <c r="B768" s="0" t="str">
        <f aca="false">Clean!AA768</f>
        <v>Delhivery</v>
      </c>
      <c r="C768" s="28" t="n">
        <f aca="false">Clean!J768</f>
        <v>8.41</v>
      </c>
      <c r="D768" s="29" t="n">
        <f aca="false">Clean!AF768</f>
        <v>798.06</v>
      </c>
      <c r="E768" s="29" t="n">
        <f aca="false">Clean!AE768</f>
        <v>3076.65</v>
      </c>
      <c r="F768" s="22" t="n">
        <f aca="false">AVERAGEIFS(Clean!$V$2:$V$1001,Clean!$AA$2:$AA$1001,B768)</f>
        <v>0.72538860103627</v>
      </c>
      <c r="G768" s="29" t="n">
        <f aca="false">F768*C768*D768</f>
        <v>4868.57950259067</v>
      </c>
      <c r="H768" s="29" t="n">
        <f aca="false">G768*Model!$B$4</f>
        <v>4868.57950259067</v>
      </c>
      <c r="I768" s="0" t="str">
        <f aca="false">IF(E768&lt;Model!$B$5*H768,"Expedite","Standard")</f>
        <v>Expedite</v>
      </c>
      <c r="J768" s="29" t="n">
        <f aca="false">H768</f>
        <v>4868.57950259067</v>
      </c>
      <c r="K768" s="29" t="n">
        <f aca="false">E768+(1-Model!$B$5)*H768</f>
        <v>3076.65</v>
      </c>
      <c r="L768" s="29" t="n">
        <f aca="false">IF(I768="Expedite",K768,J768)</f>
        <v>3076.65</v>
      </c>
      <c r="M768" s="29" t="n">
        <f aca="false">J768-L768</f>
        <v>1791.92950259067</v>
      </c>
      <c r="N768" s="29" t="n">
        <f aca="false">IFERROR(E768/(F768*C768*Model!$B$5),"")</f>
        <v>504.326014948191</v>
      </c>
    </row>
    <row r="769" customFormat="false" ht="15" hidden="false" customHeight="false" outlineLevel="0" collapsed="false">
      <c r="A769" s="0" t="str">
        <f aca="false">Clean!A769</f>
        <v>SHP0768</v>
      </c>
      <c r="B769" s="0" t="str">
        <f aca="false">Clean!AA769</f>
        <v>GATI Logistics</v>
      </c>
      <c r="C769" s="28" t="n">
        <f aca="false">Clean!J769</f>
        <v>9.03</v>
      </c>
      <c r="D769" s="29" t="n">
        <f aca="false">Clean!AF769</f>
        <v>930.98</v>
      </c>
      <c r="E769" s="29" t="n">
        <f aca="false">Clean!AE769</f>
        <v>1356.89</v>
      </c>
      <c r="F769" s="22" t="n">
        <f aca="false">AVERAGEIFS(Clean!$V$2:$V$1001,Clean!$AA$2:$AA$1001,B769)</f>
        <v>0.751243781094527</v>
      </c>
      <c r="G769" s="29" t="n">
        <f aca="false">F769*C769*D769</f>
        <v>6315.51820597015</v>
      </c>
      <c r="H769" s="29" t="n">
        <f aca="false">G769*Model!$B$4</f>
        <v>6315.51820597015</v>
      </c>
      <c r="I769" s="0" t="str">
        <f aca="false">IF(E769&lt;Model!$B$5*H769,"Expedite","Standard")</f>
        <v>Expedite</v>
      </c>
      <c r="J769" s="29" t="n">
        <f aca="false">H769</f>
        <v>6315.51820597015</v>
      </c>
      <c r="K769" s="29" t="n">
        <f aca="false">E769+(1-Model!$B$5)*H769</f>
        <v>1356.89</v>
      </c>
      <c r="L769" s="29" t="n">
        <f aca="false">IF(I769="Expedite",K769,J769)</f>
        <v>1356.89</v>
      </c>
      <c r="M769" s="29" t="n">
        <f aca="false">J769-L769</f>
        <v>4958.62820597015</v>
      </c>
      <c r="N769" s="29" t="n">
        <f aca="false">IFERROR(E769/(F769*C769*Model!$B$5),"")</f>
        <v>200.021187652637</v>
      </c>
    </row>
    <row r="770" customFormat="false" ht="15" hidden="false" customHeight="false" outlineLevel="0" collapsed="false">
      <c r="A770" s="0" t="str">
        <f aca="false">Clean!A770</f>
        <v>SHP0769</v>
      </c>
      <c r="B770" s="0" t="str">
        <f aca="false">Clean!AA770</f>
        <v>TCI Express</v>
      </c>
      <c r="C770" s="28" t="n">
        <f aca="false">Clean!J770</f>
        <v>4.32</v>
      </c>
      <c r="D770" s="29" t="n">
        <f aca="false">Clean!AF770</f>
        <v>1149.86</v>
      </c>
      <c r="E770" s="29" t="n">
        <f aca="false">Clean!AE770</f>
        <v>2695.23</v>
      </c>
      <c r="F770" s="22" t="n">
        <f aca="false">AVERAGEIFS(Clean!$V$2:$V$1001,Clean!$AA$2:$AA$1001,B770)</f>
        <v>0.752336448598131</v>
      </c>
      <c r="G770" s="29" t="n">
        <f aca="false">F770*C770*D770</f>
        <v>3737.1524635514</v>
      </c>
      <c r="H770" s="29" t="n">
        <f aca="false">G770*Model!$B$4</f>
        <v>3737.1524635514</v>
      </c>
      <c r="I770" s="0" t="str">
        <f aca="false">IF(E770&lt;Model!$B$5*H770,"Expedite","Standard")</f>
        <v>Expedite</v>
      </c>
      <c r="J770" s="29" t="n">
        <f aca="false">H770</f>
        <v>3737.1524635514</v>
      </c>
      <c r="K770" s="29" t="n">
        <f aca="false">E770+(1-Model!$B$5)*H770</f>
        <v>2695.23</v>
      </c>
      <c r="L770" s="29" t="n">
        <f aca="false">IF(I770="Expedite",K770,J770)</f>
        <v>2695.23</v>
      </c>
      <c r="M770" s="29" t="n">
        <f aca="false">J770-L770</f>
        <v>1041.9224635514</v>
      </c>
      <c r="N770" s="29" t="n">
        <f aca="false">IFERROR(E770/(F770*C770*Model!$B$5),"")</f>
        <v>829.277691511387</v>
      </c>
    </row>
    <row r="771" customFormat="false" ht="15" hidden="false" customHeight="false" outlineLevel="0" collapsed="false">
      <c r="A771" s="0" t="str">
        <f aca="false">Clean!A771</f>
        <v>SHP0770</v>
      </c>
      <c r="B771" s="0" t="str">
        <f aca="false">Clean!AA771</f>
        <v>Delhivery</v>
      </c>
      <c r="C771" s="28" t="n">
        <f aca="false">Clean!J771</f>
        <v>1.47</v>
      </c>
      <c r="D771" s="29" t="n">
        <f aca="false">Clean!AF771</f>
        <v>1186.02</v>
      </c>
      <c r="E771" s="29" t="n">
        <f aca="false">Clean!AE771</f>
        <v>4580.14</v>
      </c>
      <c r="F771" s="22" t="n">
        <f aca="false">AVERAGEIFS(Clean!$V$2:$V$1001,Clean!$AA$2:$AA$1001,B771)</f>
        <v>0.72538860103627</v>
      </c>
      <c r="G771" s="29" t="n">
        <f aca="false">F771*C771*D771</f>
        <v>1264.67832124352</v>
      </c>
      <c r="H771" s="29" t="n">
        <f aca="false">G771*Model!$B$4</f>
        <v>1264.67832124352</v>
      </c>
      <c r="I771" s="0" t="str">
        <f aca="false">IF(E771&lt;Model!$B$5*H771,"Expedite","Standard")</f>
        <v>Standard</v>
      </c>
      <c r="J771" s="29" t="n">
        <f aca="false">H771</f>
        <v>1264.67832124352</v>
      </c>
      <c r="K771" s="29" t="n">
        <f aca="false">E771+(1-Model!$B$5)*H771</f>
        <v>4580.14</v>
      </c>
      <c r="L771" s="29" t="n">
        <f aca="false">IF(I771="Expedite",K771,J771)</f>
        <v>1264.67832124352</v>
      </c>
      <c r="M771" s="29" t="n">
        <f aca="false">J771-L771</f>
        <v>0</v>
      </c>
      <c r="N771" s="29" t="n">
        <f aca="false">IFERROR(E771/(F771*C771*Model!$B$5),"")</f>
        <v>4295.27220602527</v>
      </c>
    </row>
    <row r="772" customFormat="false" ht="15" hidden="false" customHeight="false" outlineLevel="0" collapsed="false">
      <c r="A772" s="0" t="str">
        <f aca="false">Clean!A772</f>
        <v>SHP0771</v>
      </c>
      <c r="B772" s="0" t="str">
        <f aca="false">Clean!AA772</f>
        <v>TCI Express</v>
      </c>
      <c r="C772" s="28" t="n">
        <f aca="false">Clean!J772</f>
        <v>5.75</v>
      </c>
      <c r="D772" s="29" t="n">
        <f aca="false">Clean!AF772</f>
        <v>924.19</v>
      </c>
      <c r="E772" s="29" t="n">
        <f aca="false">Clean!AE772</f>
        <v>3388.47</v>
      </c>
      <c r="F772" s="22" t="n">
        <f aca="false">AVERAGEIFS(Clean!$V$2:$V$1001,Clean!$AA$2:$AA$1001,B772)</f>
        <v>0.752336448598131</v>
      </c>
      <c r="G772" s="29" t="n">
        <f aca="false">F772*C772*D772</f>
        <v>3997.98547897196</v>
      </c>
      <c r="H772" s="29" t="n">
        <f aca="false">G772*Model!$B$4</f>
        <v>3997.98547897196</v>
      </c>
      <c r="I772" s="0" t="str">
        <f aca="false">IF(E772&lt;Model!$B$5*H772,"Expedite","Standard")</f>
        <v>Expedite</v>
      </c>
      <c r="J772" s="29" t="n">
        <f aca="false">H772</f>
        <v>3997.98547897196</v>
      </c>
      <c r="K772" s="29" t="n">
        <f aca="false">E772+(1-Model!$B$5)*H772</f>
        <v>3388.47</v>
      </c>
      <c r="L772" s="29" t="n">
        <f aca="false">IF(I772="Expedite",K772,J772)</f>
        <v>3388.47</v>
      </c>
      <c r="M772" s="29" t="n">
        <f aca="false">J772-L772</f>
        <v>609.515478971963</v>
      </c>
      <c r="N772" s="29" t="n">
        <f aca="false">IFERROR(E772/(F772*C772*Model!$B$5),"")</f>
        <v>783.292011882258</v>
      </c>
    </row>
    <row r="773" customFormat="false" ht="15" hidden="false" customHeight="false" outlineLevel="0" collapsed="false">
      <c r="A773" s="0" t="str">
        <f aca="false">Clean!A773</f>
        <v>SHP0772</v>
      </c>
      <c r="B773" s="0" t="str">
        <f aca="false">Clean!AA773</f>
        <v>TCI Express</v>
      </c>
      <c r="C773" s="28" t="n">
        <f aca="false">Clean!J773</f>
        <v>9.49</v>
      </c>
      <c r="D773" s="29" t="n">
        <f aca="false">Clean!AF773</f>
        <v>585.91</v>
      </c>
      <c r="E773" s="29" t="n">
        <f aca="false">Clean!AE773</f>
        <v>1727.23</v>
      </c>
      <c r="F773" s="22" t="n">
        <f aca="false">AVERAGEIFS(Clean!$V$2:$V$1001,Clean!$AA$2:$AA$1001,B773)</f>
        <v>0.752336448598131</v>
      </c>
      <c r="G773" s="29" t="n">
        <f aca="false">F773*C773*D773</f>
        <v>4183.20574719626</v>
      </c>
      <c r="H773" s="29" t="n">
        <f aca="false">G773*Model!$B$4</f>
        <v>4183.20574719626</v>
      </c>
      <c r="I773" s="0" t="str">
        <f aca="false">IF(E773&lt;Model!$B$5*H773,"Expedite","Standard")</f>
        <v>Expedite</v>
      </c>
      <c r="J773" s="29" t="n">
        <f aca="false">H773</f>
        <v>4183.20574719626</v>
      </c>
      <c r="K773" s="29" t="n">
        <f aca="false">E773+(1-Model!$B$5)*H773</f>
        <v>1727.23</v>
      </c>
      <c r="L773" s="29" t="n">
        <f aca="false">IF(I773="Expedite",K773,J773)</f>
        <v>1727.23</v>
      </c>
      <c r="M773" s="29" t="n">
        <f aca="false">J773-L773</f>
        <v>2455.97574719626</v>
      </c>
      <c r="N773" s="29" t="n">
        <f aca="false">IFERROR(E773/(F773*C773*Model!$B$5),"")</f>
        <v>241.920046600213</v>
      </c>
    </row>
    <row r="774" customFormat="false" ht="15" hidden="false" customHeight="false" outlineLevel="0" collapsed="false">
      <c r="A774" s="0" t="str">
        <f aca="false">Clean!A774</f>
        <v>SHP0773</v>
      </c>
      <c r="B774" s="0" t="str">
        <f aca="false">Clean!AA774</f>
        <v>VRL Cargo</v>
      </c>
      <c r="C774" s="28" t="n">
        <f aca="false">Clean!J774</f>
        <v>14.57</v>
      </c>
      <c r="D774" s="29" t="n">
        <f aca="false">Clean!AF774</f>
        <v>1163.73</v>
      </c>
      <c r="E774" s="29" t="n">
        <f aca="false">Clean!AE774</f>
        <v>2238.53</v>
      </c>
      <c r="F774" s="22" t="n">
        <f aca="false">AVERAGEIFS(Clean!$V$2:$V$1001,Clean!$AA$2:$AA$1001,B774)</f>
        <v>0.72020725388601</v>
      </c>
      <c r="G774" s="29" t="n">
        <f aca="false">F774*C774*D774</f>
        <v>12211.5072948187</v>
      </c>
      <c r="H774" s="29" t="n">
        <f aca="false">G774*Model!$B$4</f>
        <v>12211.5072948187</v>
      </c>
      <c r="I774" s="0" t="str">
        <f aca="false">IF(E774&lt;Model!$B$5*H774,"Expedite","Standard")</f>
        <v>Expedite</v>
      </c>
      <c r="J774" s="29" t="n">
        <f aca="false">H774</f>
        <v>12211.5072948187</v>
      </c>
      <c r="K774" s="29" t="n">
        <f aca="false">E774+(1-Model!$B$5)*H774</f>
        <v>2238.53</v>
      </c>
      <c r="L774" s="29" t="n">
        <f aca="false">IF(I774="Expedite",K774,J774)</f>
        <v>2238.53</v>
      </c>
      <c r="M774" s="29" t="n">
        <f aca="false">J774-L774</f>
        <v>9972.97729481865</v>
      </c>
      <c r="N774" s="29" t="n">
        <f aca="false">IFERROR(E774/(F774*C774*Model!$B$5),"")</f>
        <v>213.327024584862</v>
      </c>
    </row>
    <row r="775" customFormat="false" ht="15" hidden="false" customHeight="false" outlineLevel="0" collapsed="false">
      <c r="A775" s="0" t="str">
        <f aca="false">Clean!A775</f>
        <v>SHP0774</v>
      </c>
      <c r="B775" s="0" t="str">
        <f aca="false">Clean!AA775</f>
        <v>TCI Express</v>
      </c>
      <c r="C775" s="28" t="n">
        <f aca="false">Clean!J775</f>
        <v>13.65</v>
      </c>
      <c r="D775" s="29" t="n">
        <f aca="false">Clean!AF775</f>
        <v>710.71</v>
      </c>
      <c r="E775" s="29" t="n">
        <f aca="false">Clean!AE775</f>
        <v>4586.99</v>
      </c>
      <c r="F775" s="22" t="n">
        <f aca="false">AVERAGEIFS(Clean!$V$2:$V$1001,Clean!$AA$2:$AA$1001,B775)</f>
        <v>0.752336448598131</v>
      </c>
      <c r="G775" s="29" t="n">
        <f aca="false">F775*C775*D775</f>
        <v>7298.55996028037</v>
      </c>
      <c r="H775" s="29" t="n">
        <f aca="false">G775*Model!$B$4</f>
        <v>7298.55996028037</v>
      </c>
      <c r="I775" s="0" t="str">
        <f aca="false">IF(E775&lt;Model!$B$5*H775,"Expedite","Standard")</f>
        <v>Expedite</v>
      </c>
      <c r="J775" s="29" t="n">
        <f aca="false">H775</f>
        <v>7298.55996028037</v>
      </c>
      <c r="K775" s="29" t="n">
        <f aca="false">E775+(1-Model!$B$5)*H775</f>
        <v>4586.99</v>
      </c>
      <c r="L775" s="29" t="n">
        <f aca="false">IF(I775="Expedite",K775,J775)</f>
        <v>4586.99</v>
      </c>
      <c r="M775" s="29" t="n">
        <f aca="false">J775-L775</f>
        <v>2711.56996028037</v>
      </c>
      <c r="N775" s="29" t="n">
        <f aca="false">IFERROR(E775/(F775*C775*Model!$B$5),"")</f>
        <v>446.666147930744</v>
      </c>
    </row>
    <row r="776" customFormat="false" ht="15" hidden="false" customHeight="false" outlineLevel="0" collapsed="false">
      <c r="A776" s="0" t="str">
        <f aca="false">Clean!A776</f>
        <v>SHP0775</v>
      </c>
      <c r="B776" s="0" t="str">
        <f aca="false">Clean!AA776</f>
        <v>BlueDart</v>
      </c>
      <c r="C776" s="28" t="n">
        <f aca="false">Clean!J776</f>
        <v>5.32</v>
      </c>
      <c r="D776" s="29" t="n">
        <f aca="false">Clean!AF776</f>
        <v>1057.42</v>
      </c>
      <c r="E776" s="29" t="n">
        <f aca="false">Clean!AE776</f>
        <v>3831.79</v>
      </c>
      <c r="F776" s="22" t="n">
        <f aca="false">AVERAGEIFS(Clean!$V$2:$V$1001,Clean!$AA$2:$AA$1001,B776)</f>
        <v>0.773869346733668</v>
      </c>
      <c r="G776" s="29" t="n">
        <f aca="false">F776*C776*D776</f>
        <v>4353.38219899498</v>
      </c>
      <c r="H776" s="29" t="n">
        <f aca="false">G776*Model!$B$4</f>
        <v>4353.38219899498</v>
      </c>
      <c r="I776" s="0" t="str">
        <f aca="false">IF(E776&lt;Model!$B$5*H776,"Expedite","Standard")</f>
        <v>Expedite</v>
      </c>
      <c r="J776" s="29" t="n">
        <f aca="false">H776</f>
        <v>4353.38219899498</v>
      </c>
      <c r="K776" s="29" t="n">
        <f aca="false">E776+(1-Model!$B$5)*H776</f>
        <v>3831.79</v>
      </c>
      <c r="L776" s="29" t="n">
        <f aca="false">IF(I776="Expedite",K776,J776)</f>
        <v>3831.79</v>
      </c>
      <c r="M776" s="29" t="n">
        <f aca="false">J776-L776</f>
        <v>521.592198994976</v>
      </c>
      <c r="N776" s="29" t="n">
        <f aca="false">IFERROR(E776/(F776*C776*Model!$B$5),"")</f>
        <v>930.727236109755</v>
      </c>
    </row>
    <row r="777" customFormat="false" ht="15" hidden="false" customHeight="false" outlineLevel="0" collapsed="false">
      <c r="A777" s="0" t="str">
        <f aca="false">Clean!A777</f>
        <v>SHP0776</v>
      </c>
      <c r="B777" s="0" t="str">
        <f aca="false">Clean!AA777</f>
        <v>Delhivery</v>
      </c>
      <c r="C777" s="28" t="n">
        <f aca="false">Clean!J777</f>
        <v>5.86</v>
      </c>
      <c r="D777" s="29" t="n">
        <f aca="false">Clean!AF777</f>
        <v>1371.33</v>
      </c>
      <c r="E777" s="29" t="n">
        <f aca="false">Clean!AE777</f>
        <v>3416.02</v>
      </c>
      <c r="F777" s="22" t="n">
        <f aca="false">AVERAGEIFS(Clean!$V$2:$V$1001,Clean!$AA$2:$AA$1001,B777)</f>
        <v>0.72538860103627</v>
      </c>
      <c r="G777" s="29" t="n">
        <f aca="false">F777*C777*D777</f>
        <v>5829.21830051814</v>
      </c>
      <c r="H777" s="29" t="n">
        <f aca="false">G777*Model!$B$4</f>
        <v>5829.21830051814</v>
      </c>
      <c r="I777" s="0" t="str">
        <f aca="false">IF(E777&lt;Model!$B$5*H777,"Expedite","Standard")</f>
        <v>Expedite</v>
      </c>
      <c r="J777" s="29" t="n">
        <f aca="false">H777</f>
        <v>5829.21830051814</v>
      </c>
      <c r="K777" s="29" t="n">
        <f aca="false">E777+(1-Model!$B$5)*H777</f>
        <v>3416.02</v>
      </c>
      <c r="L777" s="29" t="n">
        <f aca="false">IF(I777="Expedite",K777,J777)</f>
        <v>3416.02</v>
      </c>
      <c r="M777" s="29" t="n">
        <f aca="false">J777-L777</f>
        <v>2413.19830051814</v>
      </c>
      <c r="N777" s="29" t="n">
        <f aca="false">IFERROR(E777/(F777*C777*Model!$B$5),"")</f>
        <v>803.622452462214</v>
      </c>
    </row>
    <row r="778" customFormat="false" ht="15" hidden="false" customHeight="false" outlineLevel="0" collapsed="false">
      <c r="A778" s="0" t="str">
        <f aca="false">Clean!A778</f>
        <v>SHP0777</v>
      </c>
      <c r="B778" s="0" t="str">
        <f aca="false">Clean!AA778</f>
        <v>BlueDart</v>
      </c>
      <c r="C778" s="28" t="n">
        <f aca="false">Clean!J778</f>
        <v>19.98</v>
      </c>
      <c r="D778" s="29" t="n">
        <f aca="false">Clean!AF778</f>
        <v>1336.62</v>
      </c>
      <c r="E778" s="29" t="n">
        <f aca="false">Clean!AE778</f>
        <v>2534.14</v>
      </c>
      <c r="F778" s="22" t="n">
        <f aca="false">AVERAGEIFS(Clean!$V$2:$V$1001,Clean!$AA$2:$AA$1001,B778)</f>
        <v>0.773869346733668</v>
      </c>
      <c r="G778" s="29" t="n">
        <f aca="false">F778*C778*D778</f>
        <v>20666.6975396985</v>
      </c>
      <c r="H778" s="29" t="n">
        <f aca="false">G778*Model!$B$4</f>
        <v>20666.6975396985</v>
      </c>
      <c r="I778" s="0" t="str">
        <f aca="false">IF(E778&lt;Model!$B$5*H778,"Expedite","Standard")</f>
        <v>Expedite</v>
      </c>
      <c r="J778" s="29" t="n">
        <f aca="false">H778</f>
        <v>20666.6975396985</v>
      </c>
      <c r="K778" s="29" t="n">
        <f aca="false">E778+(1-Model!$B$5)*H778</f>
        <v>2534.14</v>
      </c>
      <c r="L778" s="29" t="n">
        <f aca="false">IF(I778="Expedite",K778,J778)</f>
        <v>2534.14</v>
      </c>
      <c r="M778" s="29" t="n">
        <f aca="false">J778-L778</f>
        <v>18132.5575396985</v>
      </c>
      <c r="N778" s="29" t="n">
        <f aca="false">IFERROR(E778/(F778*C778*Model!$B$5),"")</f>
        <v>163.895668395668</v>
      </c>
    </row>
    <row r="779" customFormat="false" ht="15" hidden="false" customHeight="false" outlineLevel="0" collapsed="false">
      <c r="A779" s="0" t="str">
        <f aca="false">Clean!A779</f>
        <v>SHP0778</v>
      </c>
      <c r="B779" s="0" t="str">
        <f aca="false">Clean!AA779</f>
        <v>Delhivery</v>
      </c>
      <c r="C779" s="28" t="n">
        <f aca="false">Clean!J779</f>
        <v>13.36</v>
      </c>
      <c r="D779" s="29" t="n">
        <f aca="false">Clean!AF779</f>
        <v>898.25</v>
      </c>
      <c r="E779" s="29" t="n">
        <f aca="false">Clean!AE779</f>
        <v>3051</v>
      </c>
      <c r="F779" s="22" t="n">
        <f aca="false">AVERAGEIFS(Clean!$V$2:$V$1001,Clean!$AA$2:$AA$1001,B779)</f>
        <v>0.72538860103627</v>
      </c>
      <c r="G779" s="29" t="n">
        <f aca="false">F779*C779*D779</f>
        <v>8705.11295336788</v>
      </c>
      <c r="H779" s="29" t="n">
        <f aca="false">G779*Model!$B$4</f>
        <v>8705.11295336788</v>
      </c>
      <c r="I779" s="0" t="str">
        <f aca="false">IF(E779&lt;Model!$B$5*H779,"Expedite","Standard")</f>
        <v>Expedite</v>
      </c>
      <c r="J779" s="29" t="n">
        <f aca="false">H779</f>
        <v>8705.11295336788</v>
      </c>
      <c r="K779" s="29" t="n">
        <f aca="false">E779+(1-Model!$B$5)*H779</f>
        <v>3051</v>
      </c>
      <c r="L779" s="29" t="n">
        <f aca="false">IF(I779="Expedite",K779,J779)</f>
        <v>3051</v>
      </c>
      <c r="M779" s="29" t="n">
        <f aca="false">J779-L779</f>
        <v>5654.11295336788</v>
      </c>
      <c r="N779" s="29" t="n">
        <f aca="false">IFERROR(E779/(F779*C779*Model!$B$5),"")</f>
        <v>314.821963216424</v>
      </c>
    </row>
    <row r="780" customFormat="false" ht="15" hidden="false" customHeight="false" outlineLevel="0" collapsed="false">
      <c r="A780" s="0" t="str">
        <f aca="false">Clean!A780</f>
        <v>SHP0779</v>
      </c>
      <c r="B780" s="0" t="str">
        <f aca="false">Clean!AA780</f>
        <v>BlueDart</v>
      </c>
      <c r="C780" s="28" t="n">
        <f aca="false">Clean!J780</f>
        <v>10.45</v>
      </c>
      <c r="D780" s="29" t="n">
        <f aca="false">Clean!AF780</f>
        <v>749.62</v>
      </c>
      <c r="E780" s="29" t="n">
        <f aca="false">Clean!AE780</f>
        <v>3865.81</v>
      </c>
      <c r="F780" s="22" t="n">
        <f aca="false">AVERAGEIFS(Clean!$V$2:$V$1001,Clean!$AA$2:$AA$1001,B780)</f>
        <v>0.773869346733668</v>
      </c>
      <c r="G780" s="29" t="n">
        <f aca="false">F780*C780*D780</f>
        <v>6062.12796984925</v>
      </c>
      <c r="H780" s="29" t="n">
        <f aca="false">G780*Model!$B$4</f>
        <v>6062.12796984925</v>
      </c>
      <c r="I780" s="0" t="str">
        <f aca="false">IF(E780&lt;Model!$B$5*H780,"Expedite","Standard")</f>
        <v>Expedite</v>
      </c>
      <c r="J780" s="29" t="n">
        <f aca="false">H780</f>
        <v>6062.12796984925</v>
      </c>
      <c r="K780" s="29" t="n">
        <f aca="false">E780+(1-Model!$B$5)*H780</f>
        <v>3865.81</v>
      </c>
      <c r="L780" s="29" t="n">
        <f aca="false">IF(I780="Expedite",K780,J780)</f>
        <v>3865.81</v>
      </c>
      <c r="M780" s="29" t="n">
        <f aca="false">J780-L780</f>
        <v>2196.31796984925</v>
      </c>
      <c r="N780" s="29" t="n">
        <f aca="false">IFERROR(E780/(F780*C780*Model!$B$5),"")</f>
        <v>478.031560305723</v>
      </c>
    </row>
    <row r="781" customFormat="false" ht="15" hidden="false" customHeight="false" outlineLevel="0" collapsed="false">
      <c r="A781" s="0" t="str">
        <f aca="false">Clean!A781</f>
        <v>SHP0780</v>
      </c>
      <c r="B781" s="0" t="str">
        <f aca="false">Clean!AA781</f>
        <v>Delhivery</v>
      </c>
      <c r="C781" s="28" t="n">
        <f aca="false">Clean!J781</f>
        <v>17.68</v>
      </c>
      <c r="D781" s="29" t="n">
        <f aca="false">Clean!AF781</f>
        <v>670.26</v>
      </c>
      <c r="E781" s="29" t="n">
        <f aca="false">Clean!AE781</f>
        <v>3773.53</v>
      </c>
      <c r="F781" s="22" t="n">
        <f aca="false">AVERAGEIFS(Clean!$V$2:$V$1001,Clean!$AA$2:$AA$1001,B781)</f>
        <v>0.72538860103627</v>
      </c>
      <c r="G781" s="29" t="n">
        <f aca="false">F781*C781*D781</f>
        <v>8595.99767875648</v>
      </c>
      <c r="H781" s="29" t="n">
        <f aca="false">G781*Model!$B$4</f>
        <v>8595.99767875648</v>
      </c>
      <c r="I781" s="0" t="str">
        <f aca="false">IF(E781&lt;Model!$B$5*H781,"Expedite","Standard")</f>
        <v>Expedite</v>
      </c>
      <c r="J781" s="29" t="n">
        <f aca="false">H781</f>
        <v>8595.99767875648</v>
      </c>
      <c r="K781" s="29" t="n">
        <f aca="false">E781+(1-Model!$B$5)*H781</f>
        <v>3773.53</v>
      </c>
      <c r="L781" s="29" t="n">
        <f aca="false">IF(I781="Expedite",K781,J781)</f>
        <v>3773.53</v>
      </c>
      <c r="M781" s="29" t="n">
        <f aca="false">J781-L781</f>
        <v>4822.46767875648</v>
      </c>
      <c r="N781" s="29" t="n">
        <f aca="false">IFERROR(E781/(F781*C781*Model!$B$5),"")</f>
        <v>294.235330478345</v>
      </c>
    </row>
    <row r="782" customFormat="false" ht="15" hidden="false" customHeight="false" outlineLevel="0" collapsed="false">
      <c r="A782" s="0" t="str">
        <f aca="false">Clean!A782</f>
        <v>SHP0781</v>
      </c>
      <c r="B782" s="0" t="str">
        <f aca="false">Clean!AA782</f>
        <v>BlueDart</v>
      </c>
      <c r="C782" s="28" t="n">
        <f aca="false">Clean!J782</f>
        <v>6.16</v>
      </c>
      <c r="D782" s="29" t="n">
        <f aca="false">Clean!AF782</f>
        <v>776.24</v>
      </c>
      <c r="E782" s="29" t="n">
        <f aca="false">Clean!AE782</f>
        <v>4886.07</v>
      </c>
      <c r="F782" s="22" t="n">
        <f aca="false">AVERAGEIFS(Clean!$V$2:$V$1001,Clean!$AA$2:$AA$1001,B782)</f>
        <v>0.773869346733668</v>
      </c>
      <c r="G782" s="29" t="n">
        <f aca="false">F782*C782*D782</f>
        <v>3700.36338492462</v>
      </c>
      <c r="H782" s="29" t="n">
        <f aca="false">G782*Model!$B$4</f>
        <v>3700.36338492462</v>
      </c>
      <c r="I782" s="0" t="str">
        <f aca="false">IF(E782&lt;Model!$B$5*H782,"Expedite","Standard")</f>
        <v>Standard</v>
      </c>
      <c r="J782" s="29" t="n">
        <f aca="false">H782</f>
        <v>3700.36338492462</v>
      </c>
      <c r="K782" s="29" t="n">
        <f aca="false">E782+(1-Model!$B$5)*H782</f>
        <v>4886.07</v>
      </c>
      <c r="L782" s="29" t="n">
        <f aca="false">IF(I782="Expedite",K782,J782)</f>
        <v>3700.36338492462</v>
      </c>
      <c r="M782" s="29" t="n">
        <f aca="false">J782-L782</f>
        <v>0</v>
      </c>
      <c r="N782" s="29" t="n">
        <f aca="false">IFERROR(E782/(F782*C782*Model!$B$5),"")</f>
        <v>1024.97041027155</v>
      </c>
    </row>
    <row r="783" customFormat="false" ht="15" hidden="false" customHeight="false" outlineLevel="0" collapsed="false">
      <c r="A783" s="0" t="str">
        <f aca="false">Clean!A783</f>
        <v>SHP0782</v>
      </c>
      <c r="B783" s="0" t="str">
        <f aca="false">Clean!AA783</f>
        <v>VRL Cargo</v>
      </c>
      <c r="C783" s="28" t="n">
        <f aca="false">Clean!J783</f>
        <v>16.06</v>
      </c>
      <c r="D783" s="29" t="n">
        <f aca="false">Clean!AF783</f>
        <v>522.57</v>
      </c>
      <c r="E783" s="29" t="n">
        <f aca="false">Clean!AE783</f>
        <v>4981.93</v>
      </c>
      <c r="F783" s="22" t="n">
        <f aca="false">AVERAGEIFS(Clean!$V$2:$V$1001,Clean!$AA$2:$AA$1001,B783)</f>
        <v>0.72020725388601</v>
      </c>
      <c r="G783" s="29" t="n">
        <f aca="false">F783*C783*D783</f>
        <v>6044.32079689119</v>
      </c>
      <c r="H783" s="29" t="n">
        <f aca="false">G783*Model!$B$4</f>
        <v>6044.32079689119</v>
      </c>
      <c r="I783" s="0" t="str">
        <f aca="false">IF(E783&lt;Model!$B$5*H783,"Expedite","Standard")</f>
        <v>Expedite</v>
      </c>
      <c r="J783" s="29" t="n">
        <f aca="false">H783</f>
        <v>6044.32079689119</v>
      </c>
      <c r="K783" s="29" t="n">
        <f aca="false">E783+(1-Model!$B$5)*H783</f>
        <v>4981.93</v>
      </c>
      <c r="L783" s="29" t="n">
        <f aca="false">IF(I783="Expedite",K783,J783)</f>
        <v>4981.93</v>
      </c>
      <c r="M783" s="29" t="n">
        <f aca="false">J783-L783</f>
        <v>1062.39079689119</v>
      </c>
      <c r="N783" s="29" t="n">
        <f aca="false">IFERROR(E783/(F783*C783*Model!$B$5),"")</f>
        <v>430.719554368958</v>
      </c>
    </row>
    <row r="784" customFormat="false" ht="15" hidden="false" customHeight="false" outlineLevel="0" collapsed="false">
      <c r="A784" s="0" t="str">
        <f aca="false">Clean!A784</f>
        <v>SHP0783</v>
      </c>
      <c r="B784" s="0" t="str">
        <f aca="false">Clean!AA784</f>
        <v>VRL Cargo</v>
      </c>
      <c r="C784" s="28" t="n">
        <f aca="false">Clean!J784</f>
        <v>3.14</v>
      </c>
      <c r="D784" s="29" t="n">
        <f aca="false">Clean!AF784</f>
        <v>1060.35</v>
      </c>
      <c r="E784" s="29" t="n">
        <f aca="false">Clean!AE784</f>
        <v>3023.24</v>
      </c>
      <c r="F784" s="22" t="n">
        <f aca="false">AVERAGEIFS(Clean!$V$2:$V$1001,Clean!$AA$2:$AA$1001,B784)</f>
        <v>0.72020725388601</v>
      </c>
      <c r="G784" s="29" t="n">
        <f aca="false">F784*C784*D784</f>
        <v>2397.92933160622</v>
      </c>
      <c r="H784" s="29" t="n">
        <f aca="false">G784*Model!$B$4</f>
        <v>2397.92933160622</v>
      </c>
      <c r="I784" s="0" t="str">
        <f aca="false">IF(E784&lt;Model!$B$5*H784,"Expedite","Standard")</f>
        <v>Standard</v>
      </c>
      <c r="J784" s="29" t="n">
        <f aca="false">H784</f>
        <v>2397.92933160622</v>
      </c>
      <c r="K784" s="29" t="n">
        <f aca="false">E784+(1-Model!$B$5)*H784</f>
        <v>3023.24</v>
      </c>
      <c r="L784" s="29" t="n">
        <f aca="false">IF(I784="Expedite",K784,J784)</f>
        <v>2397.92933160622</v>
      </c>
      <c r="M784" s="29" t="n">
        <f aca="false">J784-L784</f>
        <v>0</v>
      </c>
      <c r="N784" s="29" t="n">
        <f aca="false">IFERROR(E784/(F784*C784*Model!$B$5),"")</f>
        <v>1336.85863538469</v>
      </c>
    </row>
    <row r="785" customFormat="false" ht="15" hidden="false" customHeight="false" outlineLevel="0" collapsed="false">
      <c r="A785" s="0" t="str">
        <f aca="false">Clean!A785</f>
        <v>SHP0784</v>
      </c>
      <c r="B785" s="0" t="str">
        <f aca="false">Clean!AA785</f>
        <v>TCI Express</v>
      </c>
      <c r="C785" s="28" t="n">
        <f aca="false">Clean!J785</f>
        <v>14.84</v>
      </c>
      <c r="D785" s="29" t="n">
        <f aca="false">Clean!AF785</f>
        <v>584.65</v>
      </c>
      <c r="E785" s="29" t="n">
        <f aca="false">Clean!AE785</f>
        <v>2037.8</v>
      </c>
      <c r="F785" s="22" t="n">
        <f aca="false">AVERAGEIFS(Clean!$V$2:$V$1001,Clean!$AA$2:$AA$1001,B785)</f>
        <v>0.752336448598131</v>
      </c>
      <c r="G785" s="29" t="n">
        <f aca="false">F785*C785*D785</f>
        <v>6527.42600934579</v>
      </c>
      <c r="H785" s="29" t="n">
        <f aca="false">G785*Model!$B$4</f>
        <v>6527.42600934579</v>
      </c>
      <c r="I785" s="0" t="str">
        <f aca="false">IF(E785&lt;Model!$B$5*H785,"Expedite","Standard")</f>
        <v>Expedite</v>
      </c>
      <c r="J785" s="29" t="n">
        <f aca="false">H785</f>
        <v>6527.42600934579</v>
      </c>
      <c r="K785" s="29" t="n">
        <f aca="false">E785+(1-Model!$B$5)*H785</f>
        <v>2037.8</v>
      </c>
      <c r="L785" s="29" t="n">
        <f aca="false">IF(I785="Expedite",K785,J785)</f>
        <v>2037.8</v>
      </c>
      <c r="M785" s="29" t="n">
        <f aca="false">J785-L785</f>
        <v>4489.62600934579</v>
      </c>
      <c r="N785" s="29" t="n">
        <f aca="false">IFERROR(E785/(F785*C785*Model!$B$5),"")</f>
        <v>182.522140931844</v>
      </c>
    </row>
    <row r="786" customFormat="false" ht="15" hidden="false" customHeight="false" outlineLevel="0" collapsed="false">
      <c r="A786" s="0" t="str">
        <f aca="false">Clean!A786</f>
        <v>SHP0785</v>
      </c>
      <c r="B786" s="0" t="str">
        <f aca="false">Clean!AA786</f>
        <v>TCI Express</v>
      </c>
      <c r="C786" s="28" t="n">
        <f aca="false">Clean!J786</f>
        <v>3.27</v>
      </c>
      <c r="D786" s="29" t="n">
        <f aca="false">Clean!AF786</f>
        <v>1271.78</v>
      </c>
      <c r="E786" s="29" t="n">
        <f aca="false">Clean!AE786</f>
        <v>4499.59</v>
      </c>
      <c r="F786" s="22" t="n">
        <f aca="false">AVERAGEIFS(Clean!$V$2:$V$1001,Clean!$AA$2:$AA$1001,B786)</f>
        <v>0.752336448598131</v>
      </c>
      <c r="G786" s="29" t="n">
        <f aca="false">F786*C786*D786</f>
        <v>3128.75708691589</v>
      </c>
      <c r="H786" s="29" t="n">
        <f aca="false">G786*Model!$B$4</f>
        <v>3128.75708691589</v>
      </c>
      <c r="I786" s="0" t="str">
        <f aca="false">IF(E786&lt;Model!$B$5*H786,"Expedite","Standard")</f>
        <v>Standard</v>
      </c>
      <c r="J786" s="29" t="n">
        <f aca="false">H786</f>
        <v>3128.75708691589</v>
      </c>
      <c r="K786" s="29" t="n">
        <f aca="false">E786+(1-Model!$B$5)*H786</f>
        <v>4499.59</v>
      </c>
      <c r="L786" s="29" t="n">
        <f aca="false">IF(I786="Expedite",K786,J786)</f>
        <v>3128.75708691589</v>
      </c>
      <c r="M786" s="29" t="n">
        <f aca="false">J786-L786</f>
        <v>0</v>
      </c>
      <c r="N786" s="29" t="n">
        <f aca="false">IFERROR(E786/(F786*C786*Model!$B$5),"")</f>
        <v>1828.99739776246</v>
      </c>
    </row>
    <row r="787" customFormat="false" ht="15" hidden="false" customHeight="false" outlineLevel="0" collapsed="false">
      <c r="A787" s="0" t="str">
        <f aca="false">Clean!A787</f>
        <v>SHP0786</v>
      </c>
      <c r="B787" s="0" t="str">
        <f aca="false">Clean!AA787</f>
        <v>Delhivery</v>
      </c>
      <c r="C787" s="28" t="n">
        <f aca="false">Clean!J787</f>
        <v>8.94</v>
      </c>
      <c r="D787" s="29" t="n">
        <f aca="false">Clean!AF787</f>
        <v>605.27</v>
      </c>
      <c r="E787" s="29" t="n">
        <f aca="false">Clean!AE787</f>
        <v>3414.98</v>
      </c>
      <c r="F787" s="22" t="n">
        <f aca="false">AVERAGEIFS(Clean!$V$2:$V$1001,Clean!$AA$2:$AA$1001,B787)</f>
        <v>0.72538860103627</v>
      </c>
      <c r="G787" s="29" t="n">
        <f aca="false">F787*C787*D787</f>
        <v>3925.16026943005</v>
      </c>
      <c r="H787" s="29" t="n">
        <f aca="false">G787*Model!$B$4</f>
        <v>3925.16026943005</v>
      </c>
      <c r="I787" s="0" t="str">
        <f aca="false">IF(E787&lt;Model!$B$5*H787,"Expedite","Standard")</f>
        <v>Expedite</v>
      </c>
      <c r="J787" s="29" t="n">
        <f aca="false">H787</f>
        <v>3925.16026943005</v>
      </c>
      <c r="K787" s="29" t="n">
        <f aca="false">E787+(1-Model!$B$5)*H787</f>
        <v>3414.98</v>
      </c>
      <c r="L787" s="29" t="n">
        <f aca="false">IF(I787="Expedite",K787,J787)</f>
        <v>3414.98</v>
      </c>
      <c r="M787" s="29" t="n">
        <f aca="false">J787-L787</f>
        <v>510.180269430051</v>
      </c>
      <c r="N787" s="29" t="n">
        <f aca="false">IFERROR(E787/(F787*C787*Model!$B$5),"")</f>
        <v>526.598865452221</v>
      </c>
    </row>
    <row r="788" customFormat="false" ht="15" hidden="false" customHeight="false" outlineLevel="0" collapsed="false">
      <c r="A788" s="0" t="str">
        <f aca="false">Clean!A788</f>
        <v>SHP0787</v>
      </c>
      <c r="B788" s="0" t="str">
        <f aca="false">Clean!AA788</f>
        <v>Delhivery</v>
      </c>
      <c r="C788" s="28" t="n">
        <f aca="false">Clean!J788</f>
        <v>11.88</v>
      </c>
      <c r="D788" s="29" t="n">
        <f aca="false">Clean!AF788</f>
        <v>1321.54</v>
      </c>
      <c r="E788" s="29" t="n">
        <f aca="false">Clean!AE788</f>
        <v>3294.51</v>
      </c>
      <c r="F788" s="22" t="n">
        <f aca="false">AVERAGEIFS(Clean!$V$2:$V$1001,Clean!$AA$2:$AA$1001,B788)</f>
        <v>0.72538860103627</v>
      </c>
      <c r="G788" s="29" t="n">
        <f aca="false">F788*C788*D788</f>
        <v>11388.525015544</v>
      </c>
      <c r="H788" s="29" t="n">
        <f aca="false">G788*Model!$B$4</f>
        <v>11388.525015544</v>
      </c>
      <c r="I788" s="0" t="str">
        <f aca="false">IF(E788&lt;Model!$B$5*H788,"Expedite","Standard")</f>
        <v>Expedite</v>
      </c>
      <c r="J788" s="29" t="n">
        <f aca="false">H788</f>
        <v>11388.525015544</v>
      </c>
      <c r="K788" s="29" t="n">
        <f aca="false">E788+(1-Model!$B$5)*H788</f>
        <v>3294.51</v>
      </c>
      <c r="L788" s="29" t="n">
        <f aca="false">IF(I788="Expedite",K788,J788)</f>
        <v>3294.51</v>
      </c>
      <c r="M788" s="29" t="n">
        <f aca="false">J788-L788</f>
        <v>8094.01501554404</v>
      </c>
      <c r="N788" s="29" t="n">
        <f aca="false">IFERROR(E788/(F788*C788*Model!$B$5),"")</f>
        <v>382.299440836941</v>
      </c>
    </row>
    <row r="789" customFormat="false" ht="15" hidden="false" customHeight="false" outlineLevel="0" collapsed="false">
      <c r="A789" s="0" t="str">
        <f aca="false">Clean!A789</f>
        <v>SHP0788</v>
      </c>
      <c r="B789" s="0" t="str">
        <f aca="false">Clean!AA789</f>
        <v>TCI Express</v>
      </c>
      <c r="C789" s="28" t="n">
        <f aca="false">Clean!J789</f>
        <v>1.54</v>
      </c>
      <c r="D789" s="29" t="n">
        <f aca="false">Clean!AF789</f>
        <v>1233.15</v>
      </c>
      <c r="E789" s="29" t="n">
        <f aca="false">Clean!AE789</f>
        <v>2099.19</v>
      </c>
      <c r="F789" s="22" t="n">
        <f aca="false">AVERAGEIFS(Clean!$V$2:$V$1001,Clean!$AA$2:$AA$1001,B789)</f>
        <v>0.752336448598131</v>
      </c>
      <c r="G789" s="29" t="n">
        <f aca="false">F789*C789*D789</f>
        <v>1428.72528504673</v>
      </c>
      <c r="H789" s="29" t="n">
        <f aca="false">G789*Model!$B$4</f>
        <v>1428.72528504673</v>
      </c>
      <c r="I789" s="0" t="str">
        <f aca="false">IF(E789&lt;Model!$B$5*H789,"Expedite","Standard")</f>
        <v>Standard</v>
      </c>
      <c r="J789" s="29" t="n">
        <f aca="false">H789</f>
        <v>1428.72528504673</v>
      </c>
      <c r="K789" s="29" t="n">
        <f aca="false">E789+(1-Model!$B$5)*H789</f>
        <v>2099.19</v>
      </c>
      <c r="L789" s="29" t="n">
        <f aca="false">IF(I789="Expedite",K789,J789)</f>
        <v>1428.72528504673</v>
      </c>
      <c r="M789" s="29" t="n">
        <f aca="false">J789-L789</f>
        <v>0</v>
      </c>
      <c r="N789" s="29" t="n">
        <f aca="false">IFERROR(E789/(F789*C789*Model!$B$5),"")</f>
        <v>1811.83617004114</v>
      </c>
    </row>
    <row r="790" customFormat="false" ht="15" hidden="false" customHeight="false" outlineLevel="0" collapsed="false">
      <c r="A790" s="0" t="str">
        <f aca="false">Clean!A790</f>
        <v>SHP0789</v>
      </c>
      <c r="B790" s="0" t="str">
        <f aca="false">Clean!AA790</f>
        <v>VRL Cargo</v>
      </c>
      <c r="C790" s="28" t="n">
        <f aca="false">Clean!J790</f>
        <v>2.79</v>
      </c>
      <c r="D790" s="29" t="n">
        <f aca="false">Clean!AF790</f>
        <v>871.11</v>
      </c>
      <c r="E790" s="29" t="n">
        <f aca="false">Clean!AE790</f>
        <v>3937.09</v>
      </c>
      <c r="F790" s="22" t="n">
        <f aca="false">AVERAGEIFS(Clean!$V$2:$V$1001,Clean!$AA$2:$AA$1001,B790)</f>
        <v>0.72020725388601</v>
      </c>
      <c r="G790" s="29" t="n">
        <f aca="false">F790*C790*D790</f>
        <v>1750.38947720207</v>
      </c>
      <c r="H790" s="29" t="n">
        <f aca="false">G790*Model!$B$4</f>
        <v>1750.38947720207</v>
      </c>
      <c r="I790" s="0" t="str">
        <f aca="false">IF(E790&lt;Model!$B$5*H790,"Expedite","Standard")</f>
        <v>Standard</v>
      </c>
      <c r="J790" s="29" t="n">
        <f aca="false">H790</f>
        <v>1750.38947720207</v>
      </c>
      <c r="K790" s="29" t="n">
        <f aca="false">E790+(1-Model!$B$5)*H790</f>
        <v>3937.09</v>
      </c>
      <c r="L790" s="29" t="n">
        <f aca="false">IF(I790="Expedite",K790,J790)</f>
        <v>1750.38947720207</v>
      </c>
      <c r="M790" s="29" t="n">
        <f aca="false">J790-L790</f>
        <v>0</v>
      </c>
      <c r="N790" s="29" t="n">
        <f aca="false">IFERROR(E790/(F790*C790*Model!$B$5),"")</f>
        <v>1959.3573399345</v>
      </c>
    </row>
    <row r="791" customFormat="false" ht="15" hidden="false" customHeight="false" outlineLevel="0" collapsed="false">
      <c r="A791" s="0" t="str">
        <f aca="false">Clean!A791</f>
        <v>SHP0790</v>
      </c>
      <c r="B791" s="0" t="str">
        <f aca="false">Clean!AA791</f>
        <v>VRL Cargo</v>
      </c>
      <c r="C791" s="28" t="n">
        <f aca="false">Clean!J791</f>
        <v>14.68</v>
      </c>
      <c r="D791" s="29" t="n">
        <f aca="false">Clean!AF791</f>
        <v>1108.35</v>
      </c>
      <c r="E791" s="29" t="n">
        <f aca="false">Clean!AE791</f>
        <v>4298.51</v>
      </c>
      <c r="F791" s="22" t="n">
        <f aca="false">AVERAGEIFS(Clean!$V$2:$V$1001,Clean!$AA$2:$AA$1001,B791)</f>
        <v>0.72020725388601</v>
      </c>
      <c r="G791" s="29" t="n">
        <f aca="false">F791*C791*D791</f>
        <v>11718.1883005181</v>
      </c>
      <c r="H791" s="29" t="n">
        <f aca="false">G791*Model!$B$4</f>
        <v>11718.1883005181</v>
      </c>
      <c r="I791" s="0" t="str">
        <f aca="false">IF(E791&lt;Model!$B$5*H791,"Expedite","Standard")</f>
        <v>Expedite</v>
      </c>
      <c r="J791" s="29" t="n">
        <f aca="false">H791</f>
        <v>11718.1883005181</v>
      </c>
      <c r="K791" s="29" t="n">
        <f aca="false">E791+(1-Model!$B$5)*H791</f>
        <v>4298.51</v>
      </c>
      <c r="L791" s="29" t="n">
        <f aca="false">IF(I791="Expedite",K791,J791)</f>
        <v>4298.51</v>
      </c>
      <c r="M791" s="29" t="n">
        <f aca="false">J791-L791</f>
        <v>7419.67830051813</v>
      </c>
      <c r="N791" s="29" t="n">
        <f aca="false">IFERROR(E791/(F791*C791*Model!$B$5),"")</f>
        <v>406.569124536883</v>
      </c>
    </row>
    <row r="792" customFormat="false" ht="15" hidden="false" customHeight="false" outlineLevel="0" collapsed="false">
      <c r="A792" s="0" t="str">
        <f aca="false">Clean!A792</f>
        <v>SHP0791</v>
      </c>
      <c r="B792" s="0" t="str">
        <f aca="false">Clean!AA792</f>
        <v>GATI Logistics</v>
      </c>
      <c r="C792" s="28" t="n">
        <f aca="false">Clean!J792</f>
        <v>9.44</v>
      </c>
      <c r="D792" s="29" t="n">
        <f aca="false">Clean!AF792</f>
        <v>676.68</v>
      </c>
      <c r="E792" s="29" t="n">
        <f aca="false">Clean!AE792</f>
        <v>3672.08</v>
      </c>
      <c r="F792" s="22" t="n">
        <f aca="false">AVERAGEIFS(Clean!$V$2:$V$1001,Clean!$AA$2:$AA$1001,B792)</f>
        <v>0.751243781094527</v>
      </c>
      <c r="G792" s="29" t="n">
        <f aca="false">F792*C792*D792</f>
        <v>4798.83949850746</v>
      </c>
      <c r="H792" s="29" t="n">
        <f aca="false">G792*Model!$B$4</f>
        <v>4798.83949850746</v>
      </c>
      <c r="I792" s="0" t="str">
        <f aca="false">IF(E792&lt;Model!$B$5*H792,"Expedite","Standard")</f>
        <v>Expedite</v>
      </c>
      <c r="J792" s="29" t="n">
        <f aca="false">H792</f>
        <v>4798.83949850746</v>
      </c>
      <c r="K792" s="29" t="n">
        <f aca="false">E792+(1-Model!$B$5)*H792</f>
        <v>3672.08</v>
      </c>
      <c r="L792" s="29" t="n">
        <f aca="false">IF(I792="Expedite",K792,J792)</f>
        <v>3672.08</v>
      </c>
      <c r="M792" s="29" t="n">
        <f aca="false">J792-L792</f>
        <v>1126.75949850746</v>
      </c>
      <c r="N792" s="29" t="n">
        <f aca="false">IFERROR(E792/(F792*C792*Model!$B$5),"")</f>
        <v>517.796666292513</v>
      </c>
    </row>
    <row r="793" customFormat="false" ht="15" hidden="false" customHeight="false" outlineLevel="0" collapsed="false">
      <c r="A793" s="0" t="str">
        <f aca="false">Clean!A793</f>
        <v>SHP0792</v>
      </c>
      <c r="B793" s="0" t="str">
        <f aca="false">Clean!AA793</f>
        <v>Delhivery</v>
      </c>
      <c r="C793" s="28" t="n">
        <f aca="false">Clean!J793</f>
        <v>12.02</v>
      </c>
      <c r="D793" s="29" t="n">
        <f aca="false">Clean!AF793</f>
        <v>711.21</v>
      </c>
      <c r="E793" s="29" t="n">
        <f aca="false">Clean!AE793</f>
        <v>2345.8</v>
      </c>
      <c r="F793" s="22" t="n">
        <f aca="false">AVERAGEIFS(Clean!$V$2:$V$1001,Clean!$AA$2:$AA$1001,B793)</f>
        <v>0.72538860103627</v>
      </c>
      <c r="G793" s="29" t="n">
        <f aca="false">F793*C793*D793</f>
        <v>6201.16159585492</v>
      </c>
      <c r="H793" s="29" t="n">
        <f aca="false">G793*Model!$B$4</f>
        <v>6201.16159585492</v>
      </c>
      <c r="I793" s="0" t="str">
        <f aca="false">IF(E793&lt;Model!$B$5*H793,"Expedite","Standard")</f>
        <v>Expedite</v>
      </c>
      <c r="J793" s="29" t="n">
        <f aca="false">H793</f>
        <v>6201.16159585492</v>
      </c>
      <c r="K793" s="29" t="n">
        <f aca="false">E793+(1-Model!$B$5)*H793</f>
        <v>2345.8</v>
      </c>
      <c r="L793" s="29" t="n">
        <f aca="false">IF(I793="Expedite",K793,J793)</f>
        <v>2345.8</v>
      </c>
      <c r="M793" s="29" t="n">
        <f aca="false">J793-L793</f>
        <v>3855.36159585492</v>
      </c>
      <c r="N793" s="29" t="n">
        <f aca="false">IFERROR(E793/(F793*C793*Model!$B$5),"")</f>
        <v>269.039339196577</v>
      </c>
    </row>
    <row r="794" customFormat="false" ht="15" hidden="false" customHeight="false" outlineLevel="0" collapsed="false">
      <c r="A794" s="0" t="str">
        <f aca="false">Clean!A794</f>
        <v>SHP0793</v>
      </c>
      <c r="B794" s="0" t="str">
        <f aca="false">Clean!AA794</f>
        <v>Delhivery</v>
      </c>
      <c r="C794" s="28" t="n">
        <f aca="false">Clean!J794</f>
        <v>6.95</v>
      </c>
      <c r="D794" s="29" t="n">
        <f aca="false">Clean!AF794</f>
        <v>1361.03</v>
      </c>
      <c r="E794" s="29" t="n">
        <f aca="false">Clean!AE794</f>
        <v>2752.13</v>
      </c>
      <c r="F794" s="22" t="n">
        <f aca="false">AVERAGEIFS(Clean!$V$2:$V$1001,Clean!$AA$2:$AA$1001,B794)</f>
        <v>0.72538860103627</v>
      </c>
      <c r="G794" s="29" t="n">
        <f aca="false">F794*C794*D794</f>
        <v>6861.56575129534</v>
      </c>
      <c r="H794" s="29" t="n">
        <f aca="false">G794*Model!$B$4</f>
        <v>6861.56575129534</v>
      </c>
      <c r="I794" s="0" t="str">
        <f aca="false">IF(E794&lt;Model!$B$5*H794,"Expedite","Standard")</f>
        <v>Expedite</v>
      </c>
      <c r="J794" s="29" t="n">
        <f aca="false">H794</f>
        <v>6861.56575129534</v>
      </c>
      <c r="K794" s="29" t="n">
        <f aca="false">E794+(1-Model!$B$5)*H794</f>
        <v>2752.13</v>
      </c>
      <c r="L794" s="29" t="n">
        <f aca="false">IF(I794="Expedite",K794,J794)</f>
        <v>2752.13</v>
      </c>
      <c r="M794" s="29" t="n">
        <f aca="false">J794-L794</f>
        <v>4109.43575129534</v>
      </c>
      <c r="N794" s="29" t="n">
        <f aca="false">IFERROR(E794/(F794*C794*Model!$B$5),"")</f>
        <v>545.900400822199</v>
      </c>
    </row>
    <row r="795" customFormat="false" ht="15" hidden="false" customHeight="false" outlineLevel="0" collapsed="false">
      <c r="A795" s="0" t="str">
        <f aca="false">Clean!A795</f>
        <v>SHP0794</v>
      </c>
      <c r="B795" s="0" t="str">
        <f aca="false">Clean!AA795</f>
        <v>BlueDart</v>
      </c>
      <c r="C795" s="28" t="n">
        <f aca="false">Clean!J795</f>
        <v>11.75</v>
      </c>
      <c r="D795" s="29" t="n">
        <f aca="false">Clean!AF795</f>
        <v>1401.18</v>
      </c>
      <c r="E795" s="29" t="n">
        <f aca="false">Clean!AE795</f>
        <v>2761.74</v>
      </c>
      <c r="F795" s="22" t="n">
        <f aca="false">AVERAGEIFS(Clean!$V$2:$V$1001,Clean!$AA$2:$AA$1001,B795)</f>
        <v>0.773869346733668</v>
      </c>
      <c r="G795" s="29" t="n">
        <f aca="false">F795*C795*D795</f>
        <v>12740.8804522613</v>
      </c>
      <c r="H795" s="29" t="n">
        <f aca="false">G795*Model!$B$4</f>
        <v>12740.8804522613</v>
      </c>
      <c r="I795" s="0" t="str">
        <f aca="false">IF(E795&lt;Model!$B$5*H795,"Expedite","Standard")</f>
        <v>Expedite</v>
      </c>
      <c r="J795" s="29" t="n">
        <f aca="false">H795</f>
        <v>12740.8804522613</v>
      </c>
      <c r="K795" s="29" t="n">
        <f aca="false">E795+(1-Model!$B$5)*H795</f>
        <v>2761.74</v>
      </c>
      <c r="L795" s="29" t="n">
        <f aca="false">IF(I795="Expedite",K795,J795)</f>
        <v>2761.74</v>
      </c>
      <c r="M795" s="29" t="n">
        <f aca="false">J795-L795</f>
        <v>9979.14045226131</v>
      </c>
      <c r="N795" s="29" t="n">
        <f aca="false">IFERROR(E795/(F795*C795*Model!$B$5),"")</f>
        <v>303.722718983145</v>
      </c>
    </row>
    <row r="796" customFormat="false" ht="15" hidden="false" customHeight="false" outlineLevel="0" collapsed="false">
      <c r="A796" s="0" t="str">
        <f aca="false">Clean!A796</f>
        <v>SHP0795</v>
      </c>
      <c r="B796" s="0" t="str">
        <f aca="false">Clean!AA796</f>
        <v>Delhivery</v>
      </c>
      <c r="C796" s="28" t="n">
        <f aca="false">Clean!J796</f>
        <v>15.26</v>
      </c>
      <c r="D796" s="29" t="n">
        <f aca="false">Clean!AF796</f>
        <v>664.72</v>
      </c>
      <c r="E796" s="29" t="n">
        <f aca="false">Clean!AE796</f>
        <v>2050.77</v>
      </c>
      <c r="F796" s="22" t="n">
        <f aca="false">AVERAGEIFS(Clean!$V$2:$V$1001,Clean!$AA$2:$AA$1001,B796)</f>
        <v>0.72538860103627</v>
      </c>
      <c r="G796" s="29" t="n">
        <f aca="false">F796*C796*D796</f>
        <v>7358.07154404145</v>
      </c>
      <c r="H796" s="29" t="n">
        <f aca="false">G796*Model!$B$4</f>
        <v>7358.07154404145</v>
      </c>
      <c r="I796" s="0" t="str">
        <f aca="false">IF(E796&lt;Model!$B$5*H796,"Expedite","Standard")</f>
        <v>Expedite</v>
      </c>
      <c r="J796" s="29" t="n">
        <f aca="false">H796</f>
        <v>7358.07154404145</v>
      </c>
      <c r="K796" s="29" t="n">
        <f aca="false">E796+(1-Model!$B$5)*H796</f>
        <v>2050.77</v>
      </c>
      <c r="L796" s="29" t="n">
        <f aca="false">IF(I796="Expedite",K796,J796)</f>
        <v>2050.77</v>
      </c>
      <c r="M796" s="29" t="n">
        <f aca="false">J796-L796</f>
        <v>5307.30154404145</v>
      </c>
      <c r="N796" s="29" t="n">
        <f aca="false">IFERROR(E796/(F796*C796*Model!$B$5),"")</f>
        <v>185.264281033514</v>
      </c>
    </row>
    <row r="797" customFormat="false" ht="15" hidden="false" customHeight="false" outlineLevel="0" collapsed="false">
      <c r="A797" s="0" t="str">
        <f aca="false">Clean!A797</f>
        <v>SHP0796</v>
      </c>
      <c r="B797" s="0" t="str">
        <f aca="false">Clean!AA797</f>
        <v>Delhivery</v>
      </c>
      <c r="C797" s="28" t="n">
        <f aca="false">Clean!J797</f>
        <v>14.09</v>
      </c>
      <c r="D797" s="29" t="n">
        <f aca="false">Clean!AF797</f>
        <v>573.25</v>
      </c>
      <c r="E797" s="29" t="n">
        <f aca="false">Clean!AE797</f>
        <v>1589.81</v>
      </c>
      <c r="F797" s="22" t="n">
        <f aca="false">AVERAGEIFS(Clean!$V$2:$V$1001,Clean!$AA$2:$AA$1001,B797)</f>
        <v>0.72538860103627</v>
      </c>
      <c r="G797" s="29" t="n">
        <f aca="false">F797*C797*D797</f>
        <v>5859.03082901554</v>
      </c>
      <c r="H797" s="29" t="n">
        <f aca="false">G797*Model!$B$4</f>
        <v>5859.03082901554</v>
      </c>
      <c r="I797" s="0" t="str">
        <f aca="false">IF(E797&lt;Model!$B$5*H797,"Expedite","Standard")</f>
        <v>Expedite</v>
      </c>
      <c r="J797" s="29" t="n">
        <f aca="false">H797</f>
        <v>5859.03082901554</v>
      </c>
      <c r="K797" s="29" t="n">
        <f aca="false">E797+(1-Model!$B$5)*H797</f>
        <v>1589.81</v>
      </c>
      <c r="L797" s="29" t="n">
        <f aca="false">IF(I797="Expedite",K797,J797)</f>
        <v>1589.81</v>
      </c>
      <c r="M797" s="29" t="n">
        <f aca="false">J797-L797</f>
        <v>4269.22082901554</v>
      </c>
      <c r="N797" s="29" t="n">
        <f aca="false">IFERROR(E797/(F797*C797*Model!$B$5),"")</f>
        <v>155.547668052317</v>
      </c>
    </row>
    <row r="798" customFormat="false" ht="15" hidden="false" customHeight="false" outlineLevel="0" collapsed="false">
      <c r="A798" s="0" t="str">
        <f aca="false">Clean!A798</f>
        <v>SHP0797</v>
      </c>
      <c r="B798" s="0" t="str">
        <f aca="false">Clean!AA798</f>
        <v>BlueDart</v>
      </c>
      <c r="C798" s="28" t="n">
        <f aca="false">Clean!J798</f>
        <v>16.43</v>
      </c>
      <c r="D798" s="29" t="n">
        <f aca="false">Clean!AF798</f>
        <v>1277.88</v>
      </c>
      <c r="E798" s="29" t="n">
        <f aca="false">Clean!AE798</f>
        <v>3485.86</v>
      </c>
      <c r="F798" s="22" t="n">
        <f aca="false">AVERAGEIFS(Clean!$V$2:$V$1001,Clean!$AA$2:$AA$1001,B798)</f>
        <v>0.773869346733668</v>
      </c>
      <c r="G798" s="29" t="n">
        <f aca="false">F798*C798*D798</f>
        <v>16247.8268020101</v>
      </c>
      <c r="H798" s="29" t="n">
        <f aca="false">G798*Model!$B$4</f>
        <v>16247.8268020101</v>
      </c>
      <c r="I798" s="0" t="str">
        <f aca="false">IF(E798&lt;Model!$B$5*H798,"Expedite","Standard")</f>
        <v>Expedite</v>
      </c>
      <c r="J798" s="29" t="n">
        <f aca="false">H798</f>
        <v>16247.8268020101</v>
      </c>
      <c r="K798" s="29" t="n">
        <f aca="false">E798+(1-Model!$B$5)*H798</f>
        <v>3485.86</v>
      </c>
      <c r="L798" s="29" t="n">
        <f aca="false">IF(I798="Expedite",K798,J798)</f>
        <v>3485.86</v>
      </c>
      <c r="M798" s="29" t="n">
        <f aca="false">J798-L798</f>
        <v>12761.9668020101</v>
      </c>
      <c r="N798" s="29" t="n">
        <f aca="false">IFERROR(E798/(F798*C798*Model!$B$5),"")</f>
        <v>274.160405024069</v>
      </c>
    </row>
    <row r="799" customFormat="false" ht="15" hidden="false" customHeight="false" outlineLevel="0" collapsed="false">
      <c r="A799" s="0" t="str">
        <f aca="false">Clean!A799</f>
        <v>SHP0798</v>
      </c>
      <c r="B799" s="0" t="str">
        <f aca="false">Clean!AA799</f>
        <v>BlueDart</v>
      </c>
      <c r="C799" s="28" t="n">
        <f aca="false">Clean!J799</f>
        <v>10.51</v>
      </c>
      <c r="D799" s="29" t="n">
        <f aca="false">Clean!AF799</f>
        <v>674.61</v>
      </c>
      <c r="E799" s="29" t="n">
        <f aca="false">Clean!AE799</f>
        <v>4059.52</v>
      </c>
      <c r="F799" s="22" t="n">
        <f aca="false">AVERAGEIFS(Clean!$V$2:$V$1001,Clean!$AA$2:$AA$1001,B799)</f>
        <v>0.773869346733668</v>
      </c>
      <c r="G799" s="29" t="n">
        <f aca="false">F799*C799*D799</f>
        <v>5486.8506</v>
      </c>
      <c r="H799" s="29" t="n">
        <f aca="false">G799*Model!$B$4</f>
        <v>5486.8506</v>
      </c>
      <c r="I799" s="0" t="str">
        <f aca="false">IF(E799&lt;Model!$B$5*H799,"Expedite","Standard")</f>
        <v>Expedite</v>
      </c>
      <c r="J799" s="29" t="n">
        <f aca="false">H799</f>
        <v>5486.8506</v>
      </c>
      <c r="K799" s="29" t="n">
        <f aca="false">E799+(1-Model!$B$5)*H799</f>
        <v>4059.52</v>
      </c>
      <c r="L799" s="29" t="n">
        <f aca="false">IF(I799="Expedite",K799,J799)</f>
        <v>4059.52</v>
      </c>
      <c r="M799" s="29" t="n">
        <f aca="false">J799-L799</f>
        <v>1427.3306</v>
      </c>
      <c r="N799" s="29" t="n">
        <f aca="false">IFERROR(E799/(F799*C799*Model!$B$5),"")</f>
        <v>499.11925562544</v>
      </c>
    </row>
    <row r="800" customFormat="false" ht="15" hidden="false" customHeight="false" outlineLevel="0" collapsed="false">
      <c r="A800" s="0" t="str">
        <f aca="false">Clean!A800</f>
        <v>SHP0799</v>
      </c>
      <c r="B800" s="0" t="str">
        <f aca="false">Clean!AA800</f>
        <v>GATI Logistics</v>
      </c>
      <c r="C800" s="28" t="n">
        <f aca="false">Clean!J800</f>
        <v>7.12</v>
      </c>
      <c r="D800" s="29" t="n">
        <f aca="false">Clean!AF800</f>
        <v>672.45</v>
      </c>
      <c r="E800" s="29" t="n">
        <f aca="false">Clean!AE800</f>
        <v>4718.02</v>
      </c>
      <c r="F800" s="22" t="n">
        <f aca="false">AVERAGEIFS(Clean!$V$2:$V$1001,Clean!$AA$2:$AA$1001,B800)</f>
        <v>0.751243781094527</v>
      </c>
      <c r="G800" s="29" t="n">
        <f aca="false">F800*C800*D800</f>
        <v>3596.83802985075</v>
      </c>
      <c r="H800" s="29" t="n">
        <f aca="false">G800*Model!$B$4</f>
        <v>3596.83802985075</v>
      </c>
      <c r="I800" s="0" t="str">
        <f aca="false">IF(E800&lt;Model!$B$5*H800,"Expedite","Standard")</f>
        <v>Standard</v>
      </c>
      <c r="J800" s="29" t="n">
        <f aca="false">H800</f>
        <v>3596.83802985075</v>
      </c>
      <c r="K800" s="29" t="n">
        <f aca="false">E800+(1-Model!$B$5)*H800</f>
        <v>4718.02</v>
      </c>
      <c r="L800" s="29" t="n">
        <f aca="false">IF(I800="Expedite",K800,J800)</f>
        <v>3596.83802985075</v>
      </c>
      <c r="M800" s="29" t="n">
        <f aca="false">J800-L800</f>
        <v>0</v>
      </c>
      <c r="N800" s="29" t="n">
        <f aca="false">IFERROR(E800/(F800*C800*Model!$B$5),"")</f>
        <v>882.061555919339</v>
      </c>
    </row>
    <row r="801" customFormat="false" ht="15" hidden="false" customHeight="false" outlineLevel="0" collapsed="false">
      <c r="A801" s="0" t="str">
        <f aca="false">Clean!A801</f>
        <v>SHP0800</v>
      </c>
      <c r="B801" s="0" t="str">
        <f aca="false">Clean!AA801</f>
        <v>VRL Cargo</v>
      </c>
      <c r="C801" s="28" t="n">
        <f aca="false">Clean!J801</f>
        <v>12.01</v>
      </c>
      <c r="D801" s="29" t="n">
        <f aca="false">Clean!AF801</f>
        <v>1069.52</v>
      </c>
      <c r="E801" s="29" t="n">
        <f aca="false">Clean!AE801</f>
        <v>3875.96</v>
      </c>
      <c r="F801" s="22" t="n">
        <f aca="false">AVERAGEIFS(Clean!$V$2:$V$1001,Clean!$AA$2:$AA$1001,B801)</f>
        <v>0.72020725388601</v>
      </c>
      <c r="G801" s="29" t="n">
        <f aca="false">F801*C801*D801</f>
        <v>9251.01550673575</v>
      </c>
      <c r="H801" s="29" t="n">
        <f aca="false">G801*Model!$B$4</f>
        <v>9251.01550673575</v>
      </c>
      <c r="I801" s="0" t="str">
        <f aca="false">IF(E801&lt;Model!$B$5*H801,"Expedite","Standard")</f>
        <v>Expedite</v>
      </c>
      <c r="J801" s="29" t="n">
        <f aca="false">H801</f>
        <v>9251.01550673575</v>
      </c>
      <c r="K801" s="29" t="n">
        <f aca="false">E801+(1-Model!$B$5)*H801</f>
        <v>3875.96</v>
      </c>
      <c r="L801" s="29" t="n">
        <f aca="false">IF(I801="Expedite",K801,J801)</f>
        <v>3875.96</v>
      </c>
      <c r="M801" s="29" t="n">
        <f aca="false">J801-L801</f>
        <v>5375.05550673575</v>
      </c>
      <c r="N801" s="29" t="n">
        <f aca="false">IFERROR(E801/(F801*C801*Model!$B$5),"")</f>
        <v>448.103966119361</v>
      </c>
    </row>
    <row r="802" customFormat="false" ht="15" hidden="false" customHeight="false" outlineLevel="0" collapsed="false">
      <c r="A802" s="0" t="str">
        <f aca="false">Clean!A802</f>
        <v>SHP0801</v>
      </c>
      <c r="B802" s="0" t="str">
        <f aca="false">Clean!AA802</f>
        <v>GATI Logistics</v>
      </c>
      <c r="C802" s="28" t="n">
        <f aca="false">Clean!J802</f>
        <v>15.03</v>
      </c>
      <c r="D802" s="29" t="n">
        <f aca="false">Clean!AF802</f>
        <v>1211.27</v>
      </c>
      <c r="E802" s="29" t="n">
        <f aca="false">Clean!AE802</f>
        <v>2058.6</v>
      </c>
      <c r="F802" s="22" t="n">
        <f aca="false">AVERAGEIFS(Clean!$V$2:$V$1001,Clean!$AA$2:$AA$1001,B802)</f>
        <v>0.751243781094527</v>
      </c>
      <c r="G802" s="29" t="n">
        <f aca="false">F802*C802*D802</f>
        <v>13676.6845925373</v>
      </c>
      <c r="H802" s="29" t="n">
        <f aca="false">G802*Model!$B$4</f>
        <v>13676.6845925373</v>
      </c>
      <c r="I802" s="0" t="str">
        <f aca="false">IF(E802&lt;Model!$B$5*H802,"Expedite","Standard")</f>
        <v>Expedite</v>
      </c>
      <c r="J802" s="29" t="n">
        <f aca="false">H802</f>
        <v>13676.6845925373</v>
      </c>
      <c r="K802" s="29" t="n">
        <f aca="false">E802+(1-Model!$B$5)*H802</f>
        <v>2058.6</v>
      </c>
      <c r="L802" s="29" t="n">
        <f aca="false">IF(I802="Expedite",K802,J802)</f>
        <v>2058.6</v>
      </c>
      <c r="M802" s="29" t="n">
        <f aca="false">J802-L802</f>
        <v>11618.0845925373</v>
      </c>
      <c r="N802" s="29" t="n">
        <f aca="false">IFERROR(E802/(F802*C802*Model!$B$5),"")</f>
        <v>182.319070468335</v>
      </c>
    </row>
    <row r="803" customFormat="false" ht="15" hidden="false" customHeight="false" outlineLevel="0" collapsed="false">
      <c r="A803" s="0" t="str">
        <f aca="false">Clean!A803</f>
        <v>SHP0802</v>
      </c>
      <c r="B803" s="0" t="str">
        <f aca="false">Clean!AA803</f>
        <v>BlueDart</v>
      </c>
      <c r="C803" s="28" t="n">
        <f aca="false">Clean!J803</f>
        <v>2.9</v>
      </c>
      <c r="D803" s="29" t="n">
        <f aca="false">Clean!AF803</f>
        <v>1037.38</v>
      </c>
      <c r="E803" s="29" t="n">
        <f aca="false">Clean!AE803</f>
        <v>4048.13</v>
      </c>
      <c r="F803" s="22" t="n">
        <f aca="false">AVERAGEIFS(Clean!$V$2:$V$1001,Clean!$AA$2:$AA$1001,B803)</f>
        <v>0.773869346733668</v>
      </c>
      <c r="G803" s="29" t="n">
        <f aca="false">F803*C803*D803</f>
        <v>2328.11009045226</v>
      </c>
      <c r="H803" s="29" t="n">
        <f aca="false">G803*Model!$B$4</f>
        <v>2328.11009045226</v>
      </c>
      <c r="I803" s="0" t="str">
        <f aca="false">IF(E803&lt;Model!$B$5*H803,"Expedite","Standard")</f>
        <v>Standard</v>
      </c>
      <c r="J803" s="29" t="n">
        <f aca="false">H803</f>
        <v>2328.11009045226</v>
      </c>
      <c r="K803" s="29" t="n">
        <f aca="false">E803+(1-Model!$B$5)*H803</f>
        <v>4048.13</v>
      </c>
      <c r="L803" s="29" t="n">
        <f aca="false">IF(I803="Expedite",K803,J803)</f>
        <v>2328.11009045226</v>
      </c>
      <c r="M803" s="29" t="n">
        <f aca="false">J803-L803</f>
        <v>0</v>
      </c>
      <c r="N803" s="29" t="n">
        <f aca="false">IFERROR(E803/(F803*C803*Model!$B$5),"")</f>
        <v>1803.80176892073</v>
      </c>
    </row>
    <row r="804" customFormat="false" ht="15" hidden="false" customHeight="false" outlineLevel="0" collapsed="false">
      <c r="A804" s="0" t="str">
        <f aca="false">Clean!A804</f>
        <v>SHP0803</v>
      </c>
      <c r="B804" s="0" t="str">
        <f aca="false">Clean!AA804</f>
        <v>BlueDart</v>
      </c>
      <c r="C804" s="28" t="n">
        <f aca="false">Clean!J804</f>
        <v>16.97</v>
      </c>
      <c r="D804" s="29" t="n">
        <f aca="false">Clean!AF804</f>
        <v>925.89</v>
      </c>
      <c r="E804" s="29" t="n">
        <f aca="false">Clean!AE804</f>
        <v>4689.23</v>
      </c>
      <c r="F804" s="22" t="n">
        <f aca="false">AVERAGEIFS(Clean!$V$2:$V$1001,Clean!$AA$2:$AA$1001,B804)</f>
        <v>0.773869346733668</v>
      </c>
      <c r="G804" s="29" t="n">
        <f aca="false">F804*C804*D804</f>
        <v>12159.3085839196</v>
      </c>
      <c r="H804" s="29" t="n">
        <f aca="false">G804*Model!$B$4</f>
        <v>12159.3085839196</v>
      </c>
      <c r="I804" s="0" t="str">
        <f aca="false">IF(E804&lt;Model!$B$5*H804,"Expedite","Standard")</f>
        <v>Expedite</v>
      </c>
      <c r="J804" s="29" t="n">
        <f aca="false">H804</f>
        <v>12159.3085839196</v>
      </c>
      <c r="K804" s="29" t="n">
        <f aca="false">E804+(1-Model!$B$5)*H804</f>
        <v>4689.23</v>
      </c>
      <c r="L804" s="29" t="n">
        <f aca="false">IF(I804="Expedite",K804,J804)</f>
        <v>4689.23</v>
      </c>
      <c r="M804" s="29" t="n">
        <f aca="false">J804-L804</f>
        <v>7470.0785839196</v>
      </c>
      <c r="N804" s="29" t="n">
        <f aca="false">IFERROR(E804/(F804*C804*Model!$B$5),"")</f>
        <v>357.068918412171</v>
      </c>
    </row>
    <row r="805" customFormat="false" ht="15" hidden="false" customHeight="false" outlineLevel="0" collapsed="false">
      <c r="A805" s="0" t="str">
        <f aca="false">Clean!A805</f>
        <v>SHP0804</v>
      </c>
      <c r="B805" s="0" t="str">
        <f aca="false">Clean!AA805</f>
        <v>VRL Cargo</v>
      </c>
      <c r="C805" s="28" t="n">
        <f aca="false">Clean!J805</f>
        <v>19.72</v>
      </c>
      <c r="D805" s="29" t="n">
        <f aca="false">Clean!AF805</f>
        <v>1433.68</v>
      </c>
      <c r="E805" s="29" t="n">
        <f aca="false">Clean!AE805</f>
        <v>2698.29</v>
      </c>
      <c r="F805" s="22" t="n">
        <f aca="false">AVERAGEIFS(Clean!$V$2:$V$1001,Clean!$AA$2:$AA$1001,B805)</f>
        <v>0.72020725388601</v>
      </c>
      <c r="G805" s="29" t="n">
        <f aca="false">F805*C805*D805</f>
        <v>20361.8216290155</v>
      </c>
      <c r="H805" s="29" t="n">
        <f aca="false">G805*Model!$B$4</f>
        <v>20361.8216290155</v>
      </c>
      <c r="I805" s="0" t="str">
        <f aca="false">IF(E805&lt;Model!$B$5*H805,"Expedite","Standard")</f>
        <v>Expedite</v>
      </c>
      <c r="J805" s="29" t="n">
        <f aca="false">H805</f>
        <v>20361.8216290155</v>
      </c>
      <c r="K805" s="29" t="n">
        <f aca="false">E805+(1-Model!$B$5)*H805</f>
        <v>2698.29</v>
      </c>
      <c r="L805" s="29" t="n">
        <f aca="false">IF(I805="Expedite",K805,J805)</f>
        <v>2698.29</v>
      </c>
      <c r="M805" s="29" t="n">
        <f aca="false">J805-L805</f>
        <v>17663.5316290155</v>
      </c>
      <c r="N805" s="29" t="n">
        <f aca="false">IFERROR(E805/(F805*C805*Model!$B$5),"")</f>
        <v>189.987147401754</v>
      </c>
    </row>
    <row r="806" customFormat="false" ht="15" hidden="false" customHeight="false" outlineLevel="0" collapsed="false">
      <c r="A806" s="0" t="str">
        <f aca="false">Clean!A806</f>
        <v>SHP0805</v>
      </c>
      <c r="B806" s="0" t="str">
        <f aca="false">Clean!AA806</f>
        <v>VRL Cargo</v>
      </c>
      <c r="C806" s="28" t="n">
        <f aca="false">Clean!J806</f>
        <v>11.31</v>
      </c>
      <c r="D806" s="29" t="n">
        <f aca="false">Clean!AF806</f>
        <v>1174.2</v>
      </c>
      <c r="E806" s="29" t="n">
        <f aca="false">Clean!AE806</f>
        <v>1650.06</v>
      </c>
      <c r="F806" s="22" t="n">
        <f aca="false">AVERAGEIFS(Clean!$V$2:$V$1001,Clean!$AA$2:$AA$1001,B806)</f>
        <v>0.72020725388601</v>
      </c>
      <c r="G806" s="29" t="n">
        <f aca="false">F806*C806*D806</f>
        <v>9564.4978134715</v>
      </c>
      <c r="H806" s="29" t="n">
        <f aca="false">G806*Model!$B$4</f>
        <v>9564.4978134715</v>
      </c>
      <c r="I806" s="0" t="str">
        <f aca="false">IF(E806&lt;Model!$B$5*H806,"Expedite","Standard")</f>
        <v>Expedite</v>
      </c>
      <c r="J806" s="29" t="n">
        <f aca="false">H806</f>
        <v>9564.4978134715</v>
      </c>
      <c r="K806" s="29" t="n">
        <f aca="false">E806+(1-Model!$B$5)*H806</f>
        <v>1650.06</v>
      </c>
      <c r="L806" s="29" t="n">
        <f aca="false">IF(I806="Expedite",K806,J806)</f>
        <v>1650.06</v>
      </c>
      <c r="M806" s="29" t="n">
        <f aca="false">J806-L806</f>
        <v>7914.4378134715</v>
      </c>
      <c r="N806" s="29" t="n">
        <f aca="false">IFERROR(E806/(F806*C806*Model!$B$5),"")</f>
        <v>202.572104650497</v>
      </c>
    </row>
    <row r="807" customFormat="false" ht="15" hidden="false" customHeight="false" outlineLevel="0" collapsed="false">
      <c r="A807" s="0" t="str">
        <f aca="false">Clean!A807</f>
        <v>SHP0806</v>
      </c>
      <c r="B807" s="0" t="str">
        <f aca="false">Clean!AA807</f>
        <v>GATI Logistics</v>
      </c>
      <c r="C807" s="28" t="n">
        <f aca="false">Clean!J807</f>
        <v>3.54</v>
      </c>
      <c r="D807" s="29" t="n">
        <f aca="false">Clean!AF807</f>
        <v>1421.42</v>
      </c>
      <c r="E807" s="29" t="n">
        <f aca="false">Clean!AE807</f>
        <v>1054.93</v>
      </c>
      <c r="F807" s="22" t="n">
        <f aca="false">AVERAGEIFS(Clean!$V$2:$V$1001,Clean!$AA$2:$AA$1001,B807)</f>
        <v>0.751243781094527</v>
      </c>
      <c r="G807" s="29" t="n">
        <f aca="false">F807*C807*D807</f>
        <v>3780.12859104478</v>
      </c>
      <c r="H807" s="29" t="n">
        <f aca="false">G807*Model!$B$4</f>
        <v>3780.12859104478</v>
      </c>
      <c r="I807" s="0" t="str">
        <f aca="false">IF(E807&lt;Model!$B$5*H807,"Expedite","Standard")</f>
        <v>Expedite</v>
      </c>
      <c r="J807" s="29" t="n">
        <f aca="false">H807</f>
        <v>3780.12859104478</v>
      </c>
      <c r="K807" s="29" t="n">
        <f aca="false">E807+(1-Model!$B$5)*H807</f>
        <v>1054.93</v>
      </c>
      <c r="L807" s="29" t="n">
        <f aca="false">IF(I807="Expedite",K807,J807)</f>
        <v>1054.93</v>
      </c>
      <c r="M807" s="29" t="n">
        <f aca="false">J807-L807</f>
        <v>2725.19859104478</v>
      </c>
      <c r="N807" s="29" t="n">
        <f aca="false">IFERROR(E807/(F807*C807*Model!$B$5),"")</f>
        <v>396.679256931193</v>
      </c>
    </row>
    <row r="808" customFormat="false" ht="15" hidden="false" customHeight="false" outlineLevel="0" collapsed="false">
      <c r="A808" s="0" t="str">
        <f aca="false">Clean!A808</f>
        <v>SHP0807</v>
      </c>
      <c r="B808" s="0" t="str">
        <f aca="false">Clean!AA808</f>
        <v>TCI Express</v>
      </c>
      <c r="C808" s="28" t="n">
        <f aca="false">Clean!J808</f>
        <v>3.44</v>
      </c>
      <c r="D808" s="29" t="n">
        <f aca="false">Clean!AF808</f>
        <v>696.44</v>
      </c>
      <c r="E808" s="29" t="n">
        <f aca="false">Clean!AE808</f>
        <v>4567.28</v>
      </c>
      <c r="F808" s="22" t="n">
        <f aca="false">AVERAGEIFS(Clean!$V$2:$V$1001,Clean!$AA$2:$AA$1001,B808)</f>
        <v>0.752336448598131</v>
      </c>
      <c r="G808" s="29" t="n">
        <f aca="false">F808*C808*D808</f>
        <v>1802.41275514019</v>
      </c>
      <c r="H808" s="29" t="n">
        <f aca="false">G808*Model!$B$4</f>
        <v>1802.41275514019</v>
      </c>
      <c r="I808" s="0" t="str">
        <f aca="false">IF(E808&lt;Model!$B$5*H808,"Expedite","Standard")</f>
        <v>Standard</v>
      </c>
      <c r="J808" s="29" t="n">
        <f aca="false">H808</f>
        <v>1802.41275514019</v>
      </c>
      <c r="K808" s="29" t="n">
        <f aca="false">E808+(1-Model!$B$5)*H808</f>
        <v>4567.28</v>
      </c>
      <c r="L808" s="29" t="n">
        <f aca="false">IF(I808="Expedite",K808,J808)</f>
        <v>1802.41275514019</v>
      </c>
      <c r="M808" s="29" t="n">
        <f aca="false">J808-L808</f>
        <v>0</v>
      </c>
      <c r="N808" s="29" t="n">
        <f aca="false">IFERROR(E808/(F808*C808*Model!$B$5),"")</f>
        <v>1764.76585295392</v>
      </c>
    </row>
    <row r="809" customFormat="false" ht="15" hidden="false" customHeight="false" outlineLevel="0" collapsed="false">
      <c r="A809" s="0" t="str">
        <f aca="false">Clean!A809</f>
        <v>SHP0808</v>
      </c>
      <c r="B809" s="0" t="str">
        <f aca="false">Clean!AA809</f>
        <v>TCI Express</v>
      </c>
      <c r="C809" s="28" t="n">
        <f aca="false">Clean!J809</f>
        <v>12.66</v>
      </c>
      <c r="D809" s="29" t="n">
        <f aca="false">Clean!AF809</f>
        <v>878.02</v>
      </c>
      <c r="E809" s="29" t="n">
        <f aca="false">Clean!AE809</f>
        <v>2130.16</v>
      </c>
      <c r="F809" s="22" t="n">
        <f aca="false">AVERAGEIFS(Clean!$V$2:$V$1001,Clean!$AA$2:$AA$1001,B809)</f>
        <v>0.752336448598131</v>
      </c>
      <c r="G809" s="29" t="n">
        <f aca="false">F809*C809*D809</f>
        <v>8362.77123925234</v>
      </c>
      <c r="H809" s="29" t="n">
        <f aca="false">G809*Model!$B$4</f>
        <v>8362.77123925234</v>
      </c>
      <c r="I809" s="0" t="str">
        <f aca="false">IF(E809&lt;Model!$B$5*H809,"Expedite","Standard")</f>
        <v>Expedite</v>
      </c>
      <c r="J809" s="29" t="n">
        <f aca="false">H809</f>
        <v>8362.77123925234</v>
      </c>
      <c r="K809" s="29" t="n">
        <f aca="false">E809+(1-Model!$B$5)*H809</f>
        <v>2130.16</v>
      </c>
      <c r="L809" s="29" t="n">
        <f aca="false">IF(I809="Expedite",K809,J809)</f>
        <v>2130.16</v>
      </c>
      <c r="M809" s="29" t="n">
        <f aca="false">J809-L809</f>
        <v>6232.61123925234</v>
      </c>
      <c r="N809" s="29" t="n">
        <f aca="false">IFERROR(E809/(F809*C809*Model!$B$5),"")</f>
        <v>223.648719986655</v>
      </c>
    </row>
    <row r="810" customFormat="false" ht="15" hidden="false" customHeight="false" outlineLevel="0" collapsed="false">
      <c r="A810" s="0" t="str">
        <f aca="false">Clean!A810</f>
        <v>SHP0809</v>
      </c>
      <c r="B810" s="0" t="str">
        <f aca="false">Clean!AA810</f>
        <v>VRL Cargo</v>
      </c>
      <c r="C810" s="28" t="n">
        <f aca="false">Clean!J810</f>
        <v>2.96</v>
      </c>
      <c r="D810" s="29" t="n">
        <f aca="false">Clean!AF810</f>
        <v>1303.3</v>
      </c>
      <c r="E810" s="29" t="n">
        <f aca="false">Clean!AE810</f>
        <v>2364.19</v>
      </c>
      <c r="F810" s="22" t="n">
        <f aca="false">AVERAGEIFS(Clean!$V$2:$V$1001,Clean!$AA$2:$AA$1001,B810)</f>
        <v>0.72020725388601</v>
      </c>
      <c r="G810" s="29" t="n">
        <f aca="false">F810*C810*D810</f>
        <v>2778.39249740933</v>
      </c>
      <c r="H810" s="29" t="n">
        <f aca="false">G810*Model!$B$4</f>
        <v>2778.39249740933</v>
      </c>
      <c r="I810" s="0" t="str">
        <f aca="false">IF(E810&lt;Model!$B$5*H810,"Expedite","Standard")</f>
        <v>Expedite</v>
      </c>
      <c r="J810" s="29" t="n">
        <f aca="false">H810</f>
        <v>2778.39249740933</v>
      </c>
      <c r="K810" s="29" t="n">
        <f aca="false">E810+(1-Model!$B$5)*H810</f>
        <v>2364.19</v>
      </c>
      <c r="L810" s="29" t="n">
        <f aca="false">IF(I810="Expedite",K810,J810)</f>
        <v>2364.19</v>
      </c>
      <c r="M810" s="29" t="n">
        <f aca="false">J810-L810</f>
        <v>414.202497409326</v>
      </c>
      <c r="N810" s="29" t="n">
        <f aca="false">IFERROR(E810/(F810*C810*Model!$B$5),"")</f>
        <v>1109.00415613455</v>
      </c>
    </row>
    <row r="811" customFormat="false" ht="15" hidden="false" customHeight="false" outlineLevel="0" collapsed="false">
      <c r="A811" s="0" t="str">
        <f aca="false">Clean!A811</f>
        <v>SHP0810</v>
      </c>
      <c r="B811" s="0" t="str">
        <f aca="false">Clean!AA811</f>
        <v>GATI Logistics</v>
      </c>
      <c r="C811" s="28" t="n">
        <f aca="false">Clean!J811</f>
        <v>18.05</v>
      </c>
      <c r="D811" s="29" t="n">
        <f aca="false">Clean!AF811</f>
        <v>899.6</v>
      </c>
      <c r="E811" s="29" t="n">
        <f aca="false">Clean!AE811</f>
        <v>2174.53</v>
      </c>
      <c r="F811" s="22" t="n">
        <f aca="false">AVERAGEIFS(Clean!$V$2:$V$1001,Clean!$AA$2:$AA$1001,B811)</f>
        <v>0.751243781094527</v>
      </c>
      <c r="G811" s="29" t="n">
        <f aca="false">F811*C811*D811</f>
        <v>12198.5312437811</v>
      </c>
      <c r="H811" s="29" t="n">
        <f aca="false">G811*Model!$B$4</f>
        <v>12198.5312437811</v>
      </c>
      <c r="I811" s="0" t="str">
        <f aca="false">IF(E811&lt;Model!$B$5*H811,"Expedite","Standard")</f>
        <v>Expedite</v>
      </c>
      <c r="J811" s="29" t="n">
        <f aca="false">H811</f>
        <v>12198.5312437811</v>
      </c>
      <c r="K811" s="29" t="n">
        <f aca="false">E811+(1-Model!$B$5)*H811</f>
        <v>2174.53</v>
      </c>
      <c r="L811" s="29" t="n">
        <f aca="false">IF(I811="Expedite",K811,J811)</f>
        <v>2174.53</v>
      </c>
      <c r="M811" s="29" t="n">
        <f aca="false">J811-L811</f>
        <v>10024.0012437811</v>
      </c>
      <c r="N811" s="29" t="n">
        <f aca="false">IFERROR(E811/(F811*C811*Model!$B$5),"")</f>
        <v>160.364157692943</v>
      </c>
    </row>
    <row r="812" customFormat="false" ht="15" hidden="false" customHeight="false" outlineLevel="0" collapsed="false">
      <c r="A812" s="0" t="str">
        <f aca="false">Clean!A812</f>
        <v>SHP0811</v>
      </c>
      <c r="B812" s="0" t="str">
        <f aca="false">Clean!AA812</f>
        <v>GATI Logistics</v>
      </c>
      <c r="C812" s="28" t="n">
        <f aca="false">Clean!J812</f>
        <v>17.2</v>
      </c>
      <c r="D812" s="29" t="n">
        <f aca="false">Clean!AF812</f>
        <v>646.89</v>
      </c>
      <c r="E812" s="29" t="n">
        <f aca="false">Clean!AE812</f>
        <v>1813.65</v>
      </c>
      <c r="F812" s="22" t="n">
        <f aca="false">AVERAGEIFS(Clean!$V$2:$V$1001,Clean!$AA$2:$AA$1001,B812)</f>
        <v>0.751243781094527</v>
      </c>
      <c r="G812" s="29" t="n">
        <f aca="false">F812*C812*D812</f>
        <v>8358.71994029851</v>
      </c>
      <c r="H812" s="29" t="n">
        <f aca="false">G812*Model!$B$4</f>
        <v>8358.71994029851</v>
      </c>
      <c r="I812" s="0" t="str">
        <f aca="false">IF(E812&lt;Model!$B$5*H812,"Expedite","Standard")</f>
        <v>Expedite</v>
      </c>
      <c r="J812" s="29" t="n">
        <f aca="false">H812</f>
        <v>8358.71994029851</v>
      </c>
      <c r="K812" s="29" t="n">
        <f aca="false">E812+(1-Model!$B$5)*H812</f>
        <v>1813.65</v>
      </c>
      <c r="L812" s="29" t="n">
        <f aca="false">IF(I812="Expedite",K812,J812)</f>
        <v>1813.65</v>
      </c>
      <c r="M812" s="29" t="n">
        <f aca="false">J812-L812</f>
        <v>6545.06994029851</v>
      </c>
      <c r="N812" s="29" t="n">
        <f aca="false">IFERROR(E812/(F812*C812*Model!$B$5),"")</f>
        <v>140.360253349761</v>
      </c>
    </row>
    <row r="813" customFormat="false" ht="15" hidden="false" customHeight="false" outlineLevel="0" collapsed="false">
      <c r="A813" s="0" t="str">
        <f aca="false">Clean!A813</f>
        <v>SHP0812</v>
      </c>
      <c r="B813" s="0" t="str">
        <f aca="false">Clean!AA813</f>
        <v>VRL Cargo</v>
      </c>
      <c r="C813" s="28" t="n">
        <f aca="false">Clean!J813</f>
        <v>17.26</v>
      </c>
      <c r="D813" s="29" t="n">
        <f aca="false">Clean!AF813</f>
        <v>615.3</v>
      </c>
      <c r="E813" s="29" t="n">
        <f aca="false">Clean!AE813</f>
        <v>2260.87</v>
      </c>
      <c r="F813" s="22" t="n">
        <f aca="false">AVERAGEIFS(Clean!$V$2:$V$1001,Clean!$AA$2:$AA$1001,B813)</f>
        <v>0.72020725388601</v>
      </c>
      <c r="G813" s="29" t="n">
        <f aca="false">F813*C813*D813</f>
        <v>7648.65721243523</v>
      </c>
      <c r="H813" s="29" t="n">
        <f aca="false">G813*Model!$B$4</f>
        <v>7648.65721243523</v>
      </c>
      <c r="I813" s="0" t="str">
        <f aca="false">IF(E813&lt;Model!$B$5*H813,"Expedite","Standard")</f>
        <v>Expedite</v>
      </c>
      <c r="J813" s="29" t="n">
        <f aca="false">H813</f>
        <v>7648.65721243523</v>
      </c>
      <c r="K813" s="29" t="n">
        <f aca="false">E813+(1-Model!$B$5)*H813</f>
        <v>2260.87</v>
      </c>
      <c r="L813" s="29" t="n">
        <f aca="false">IF(I813="Expedite",K813,J813)</f>
        <v>2260.87</v>
      </c>
      <c r="M813" s="29" t="n">
        <f aca="false">J813-L813</f>
        <v>5387.78721243523</v>
      </c>
      <c r="N813" s="29" t="n">
        <f aca="false">IFERROR(E813/(F813*C813*Model!$B$5),"")</f>
        <v>181.876801687271</v>
      </c>
    </row>
    <row r="814" customFormat="false" ht="15" hidden="false" customHeight="false" outlineLevel="0" collapsed="false">
      <c r="A814" s="0" t="str">
        <f aca="false">Clean!A814</f>
        <v>SHP0813</v>
      </c>
      <c r="B814" s="0" t="str">
        <f aca="false">Clean!AA814</f>
        <v>BlueDart</v>
      </c>
      <c r="C814" s="28" t="n">
        <f aca="false">Clean!J814</f>
        <v>3.03</v>
      </c>
      <c r="D814" s="29" t="n">
        <f aca="false">Clean!AF814</f>
        <v>729.92</v>
      </c>
      <c r="E814" s="29" t="n">
        <f aca="false">Clean!AE814</f>
        <v>2726.03</v>
      </c>
      <c r="F814" s="22" t="n">
        <f aca="false">AVERAGEIFS(Clean!$V$2:$V$1001,Clean!$AA$2:$AA$1001,B814)</f>
        <v>0.773869346733668</v>
      </c>
      <c r="G814" s="29" t="n">
        <f aca="false">F814*C814*D814</f>
        <v>1711.53402211055</v>
      </c>
      <c r="H814" s="29" t="n">
        <f aca="false">G814*Model!$B$4</f>
        <v>1711.53402211055</v>
      </c>
      <c r="I814" s="0" t="str">
        <f aca="false">IF(E814&lt;Model!$B$5*H814,"Expedite","Standard")</f>
        <v>Standard</v>
      </c>
      <c r="J814" s="29" t="n">
        <f aca="false">H814</f>
        <v>1711.53402211055</v>
      </c>
      <c r="K814" s="29" t="n">
        <f aca="false">E814+(1-Model!$B$5)*H814</f>
        <v>2726.03</v>
      </c>
      <c r="L814" s="29" t="n">
        <f aca="false">IF(I814="Expedite",K814,J814)</f>
        <v>1711.53402211055</v>
      </c>
      <c r="M814" s="29" t="n">
        <f aca="false">J814-L814</f>
        <v>0</v>
      </c>
      <c r="N814" s="29" t="n">
        <f aca="false">IFERROR(E814/(F814*C814*Model!$B$5),"")</f>
        <v>1162.57333590502</v>
      </c>
    </row>
    <row r="815" customFormat="false" ht="15" hidden="false" customHeight="false" outlineLevel="0" collapsed="false">
      <c r="A815" s="0" t="str">
        <f aca="false">Clean!A815</f>
        <v>SHP0814</v>
      </c>
      <c r="B815" s="0" t="str">
        <f aca="false">Clean!AA815</f>
        <v>Delhivery</v>
      </c>
      <c r="C815" s="28" t="n">
        <f aca="false">Clean!J815</f>
        <v>10.8</v>
      </c>
      <c r="D815" s="29" t="n">
        <f aca="false">Clean!AF815</f>
        <v>911.85</v>
      </c>
      <c r="E815" s="29" t="n">
        <f aca="false">Clean!AE815</f>
        <v>2524.59</v>
      </c>
      <c r="F815" s="22" t="n">
        <f aca="false">AVERAGEIFS(Clean!$V$2:$V$1001,Clean!$AA$2:$AA$1001,B815)</f>
        <v>0.72538860103627</v>
      </c>
      <c r="G815" s="29" t="n">
        <f aca="false">F815*C815*D815</f>
        <v>7143.61243523316</v>
      </c>
      <c r="H815" s="29" t="n">
        <f aca="false">G815*Model!$B$4</f>
        <v>7143.61243523316</v>
      </c>
      <c r="I815" s="0" t="str">
        <f aca="false">IF(E815&lt;Model!$B$5*H815,"Expedite","Standard")</f>
        <v>Expedite</v>
      </c>
      <c r="J815" s="29" t="n">
        <f aca="false">H815</f>
        <v>7143.61243523316</v>
      </c>
      <c r="K815" s="29" t="n">
        <f aca="false">E815+(1-Model!$B$5)*H815</f>
        <v>2524.59</v>
      </c>
      <c r="L815" s="29" t="n">
        <f aca="false">IF(I815="Expedite",K815,J815)</f>
        <v>2524.59</v>
      </c>
      <c r="M815" s="29" t="n">
        <f aca="false">J815-L815</f>
        <v>4619.02243523316</v>
      </c>
      <c r="N815" s="29" t="n">
        <f aca="false">IFERROR(E815/(F815*C815*Model!$B$5),"")</f>
        <v>322.25255952381</v>
      </c>
    </row>
    <row r="816" customFormat="false" ht="15" hidden="false" customHeight="false" outlineLevel="0" collapsed="false">
      <c r="A816" s="0" t="str">
        <f aca="false">Clean!A816</f>
        <v>SHP0815</v>
      </c>
      <c r="B816" s="0" t="str">
        <f aca="false">Clean!AA816</f>
        <v>TCI Express</v>
      </c>
      <c r="C816" s="28" t="n">
        <f aca="false">Clean!J816</f>
        <v>14.82</v>
      </c>
      <c r="D816" s="29" t="n">
        <f aca="false">Clean!AF816</f>
        <v>706.2</v>
      </c>
      <c r="E816" s="29" t="n">
        <f aca="false">Clean!AE816</f>
        <v>2653.86</v>
      </c>
      <c r="F816" s="22" t="n">
        <f aca="false">AVERAGEIFS(Clean!$V$2:$V$1001,Clean!$AA$2:$AA$1001,B816)</f>
        <v>0.752336448598131</v>
      </c>
      <c r="G816" s="29" t="n">
        <f aca="false">F816*C816*D816</f>
        <v>7873.866</v>
      </c>
      <c r="H816" s="29" t="n">
        <f aca="false">G816*Model!$B$4</f>
        <v>7873.866</v>
      </c>
      <c r="I816" s="0" t="str">
        <f aca="false">IF(E816&lt;Model!$B$5*H816,"Expedite","Standard")</f>
        <v>Expedite</v>
      </c>
      <c r="J816" s="29" t="n">
        <f aca="false">H816</f>
        <v>7873.866</v>
      </c>
      <c r="K816" s="29" t="n">
        <f aca="false">E816+(1-Model!$B$5)*H816</f>
        <v>2653.86</v>
      </c>
      <c r="L816" s="29" t="n">
        <f aca="false">IF(I816="Expedite",K816,J816)</f>
        <v>2653.86</v>
      </c>
      <c r="M816" s="29" t="n">
        <f aca="false">J816-L816</f>
        <v>5220.006</v>
      </c>
      <c r="N816" s="29" t="n">
        <f aca="false">IFERROR(E816/(F816*C816*Model!$B$5),"")</f>
        <v>238.022330072673</v>
      </c>
    </row>
    <row r="817" customFormat="false" ht="15" hidden="false" customHeight="false" outlineLevel="0" collapsed="false">
      <c r="A817" s="0" t="str">
        <f aca="false">Clean!A817</f>
        <v>SHP0816</v>
      </c>
      <c r="B817" s="0" t="str">
        <f aca="false">Clean!AA817</f>
        <v>VRL Cargo</v>
      </c>
      <c r="C817" s="28" t="n">
        <f aca="false">Clean!J817</f>
        <v>17.65</v>
      </c>
      <c r="D817" s="29" t="n">
        <f aca="false">Clean!AF817</f>
        <v>1068.32</v>
      </c>
      <c r="E817" s="29" t="n">
        <f aca="false">Clean!AE817</f>
        <v>4476.4</v>
      </c>
      <c r="F817" s="22" t="n">
        <f aca="false">AVERAGEIFS(Clean!$V$2:$V$1001,Clean!$AA$2:$AA$1001,B817)</f>
        <v>0.72020725388601</v>
      </c>
      <c r="G817" s="29" t="n">
        <f aca="false">F817*C817*D817</f>
        <v>13580.118507772</v>
      </c>
      <c r="H817" s="29" t="n">
        <f aca="false">G817*Model!$B$4</f>
        <v>13580.118507772</v>
      </c>
      <c r="I817" s="0" t="str">
        <f aca="false">IF(E817&lt;Model!$B$5*H817,"Expedite","Standard")</f>
        <v>Expedite</v>
      </c>
      <c r="J817" s="29" t="n">
        <f aca="false">H817</f>
        <v>13580.118507772</v>
      </c>
      <c r="K817" s="29" t="n">
        <f aca="false">E817+(1-Model!$B$5)*H817</f>
        <v>4476.4</v>
      </c>
      <c r="L817" s="29" t="n">
        <f aca="false">IF(I817="Expedite",K817,J817)</f>
        <v>4476.4</v>
      </c>
      <c r="M817" s="29" t="n">
        <f aca="false">J817-L817</f>
        <v>9103.71850777202</v>
      </c>
      <c r="N817" s="29" t="n">
        <f aca="false">IFERROR(E817/(F817*C817*Model!$B$5),"")</f>
        <v>352.149183769132</v>
      </c>
    </row>
    <row r="818" customFormat="false" ht="15" hidden="false" customHeight="false" outlineLevel="0" collapsed="false">
      <c r="A818" s="0" t="str">
        <f aca="false">Clean!A818</f>
        <v>SHP0817</v>
      </c>
      <c r="B818" s="0" t="str">
        <f aca="false">Clean!AA818</f>
        <v>BlueDart</v>
      </c>
      <c r="C818" s="28" t="n">
        <f aca="false">Clean!J818</f>
        <v>9.35</v>
      </c>
      <c r="D818" s="29" t="n">
        <f aca="false">Clean!AF818</f>
        <v>1197.99</v>
      </c>
      <c r="E818" s="29" t="n">
        <f aca="false">Clean!AE818</f>
        <v>2212.88</v>
      </c>
      <c r="F818" s="22" t="n">
        <f aca="false">AVERAGEIFS(Clean!$V$2:$V$1001,Clean!$AA$2:$AA$1001,B818)</f>
        <v>0.773869346733668</v>
      </c>
      <c r="G818" s="29" t="n">
        <f aca="false">F818*C818*D818</f>
        <v>8668.27035678392</v>
      </c>
      <c r="H818" s="29" t="n">
        <f aca="false">G818*Model!$B$4</f>
        <v>8668.27035678392</v>
      </c>
      <c r="I818" s="0" t="str">
        <f aca="false">IF(E818&lt;Model!$B$5*H818,"Expedite","Standard")</f>
        <v>Expedite</v>
      </c>
      <c r="J818" s="29" t="n">
        <f aca="false">H818</f>
        <v>8668.27035678392</v>
      </c>
      <c r="K818" s="29" t="n">
        <f aca="false">E818+(1-Model!$B$5)*H818</f>
        <v>2212.88</v>
      </c>
      <c r="L818" s="29" t="n">
        <f aca="false">IF(I818="Expedite",K818,J818)</f>
        <v>2212.88</v>
      </c>
      <c r="M818" s="29" t="n">
        <f aca="false">J818-L818</f>
        <v>6455.39035678392</v>
      </c>
      <c r="N818" s="29" t="n">
        <f aca="false">IFERROR(E818/(F818*C818*Model!$B$5),"")</f>
        <v>305.828960344468</v>
      </c>
    </row>
    <row r="819" customFormat="false" ht="15" hidden="false" customHeight="false" outlineLevel="0" collapsed="false">
      <c r="A819" s="0" t="str">
        <f aca="false">Clean!A819</f>
        <v>SHP0818</v>
      </c>
      <c r="B819" s="0" t="str">
        <f aca="false">Clean!AA819</f>
        <v>VRL Cargo</v>
      </c>
      <c r="C819" s="28" t="n">
        <f aca="false">Clean!J819</f>
        <v>16.01</v>
      </c>
      <c r="D819" s="29" t="n">
        <f aca="false">Clean!AF819</f>
        <v>696.69</v>
      </c>
      <c r="E819" s="29" t="n">
        <f aca="false">Clean!AE819</f>
        <v>1545.48</v>
      </c>
      <c r="F819" s="22" t="n">
        <f aca="false">AVERAGEIFS(Clean!$V$2:$V$1001,Clean!$AA$2:$AA$1001,B819)</f>
        <v>0.72020725388601</v>
      </c>
      <c r="G819" s="29" t="n">
        <f aca="false">F819*C819*D819</f>
        <v>8033.19667927461</v>
      </c>
      <c r="H819" s="29" t="n">
        <f aca="false">G819*Model!$B$4</f>
        <v>8033.19667927461</v>
      </c>
      <c r="I819" s="0" t="str">
        <f aca="false">IF(E819&lt;Model!$B$5*H819,"Expedite","Standard")</f>
        <v>Expedite</v>
      </c>
      <c r="J819" s="29" t="n">
        <f aca="false">H819</f>
        <v>8033.19667927461</v>
      </c>
      <c r="K819" s="29" t="n">
        <f aca="false">E819+(1-Model!$B$5)*H819</f>
        <v>1545.48</v>
      </c>
      <c r="L819" s="29" t="n">
        <f aca="false">IF(I819="Expedite",K819,J819)</f>
        <v>1545.48</v>
      </c>
      <c r="M819" s="29" t="n">
        <f aca="false">J819-L819</f>
        <v>6487.71667927461</v>
      </c>
      <c r="N819" s="29" t="n">
        <f aca="false">IFERROR(E819/(F819*C819*Model!$B$5),"")</f>
        <v>134.033872714446</v>
      </c>
    </row>
    <row r="820" customFormat="false" ht="15" hidden="false" customHeight="false" outlineLevel="0" collapsed="false">
      <c r="A820" s="0" t="str">
        <f aca="false">Clean!A820</f>
        <v>SHP0819</v>
      </c>
      <c r="B820" s="0" t="str">
        <f aca="false">Clean!AA820</f>
        <v>TCI Express</v>
      </c>
      <c r="C820" s="28" t="n">
        <f aca="false">Clean!J820</f>
        <v>2.05</v>
      </c>
      <c r="D820" s="29" t="n">
        <f aca="false">Clean!AF820</f>
        <v>508.45</v>
      </c>
      <c r="E820" s="29" t="n">
        <f aca="false">Clean!AE820</f>
        <v>2431.36</v>
      </c>
      <c r="F820" s="22" t="n">
        <f aca="false">AVERAGEIFS(Clean!$V$2:$V$1001,Clean!$AA$2:$AA$1001,B820)</f>
        <v>0.752336448598131</v>
      </c>
      <c r="G820" s="29" t="n">
        <f aca="false">F820*C820*D820</f>
        <v>784.177207943925</v>
      </c>
      <c r="H820" s="29" t="n">
        <f aca="false">G820*Model!$B$4</f>
        <v>784.177207943925</v>
      </c>
      <c r="I820" s="0" t="str">
        <f aca="false">IF(E820&lt;Model!$B$5*H820,"Expedite","Standard")</f>
        <v>Standard</v>
      </c>
      <c r="J820" s="29" t="n">
        <f aca="false">H820</f>
        <v>784.177207943925</v>
      </c>
      <c r="K820" s="29" t="n">
        <f aca="false">E820+(1-Model!$B$5)*H820</f>
        <v>2431.36</v>
      </c>
      <c r="L820" s="29" t="n">
        <f aca="false">IF(I820="Expedite",K820,J820)</f>
        <v>784.177207943925</v>
      </c>
      <c r="M820" s="29" t="n">
        <f aca="false">J820-L820</f>
        <v>0</v>
      </c>
      <c r="N820" s="29" t="n">
        <f aca="false">IFERROR(E820/(F820*C820*Model!$B$5),"")</f>
        <v>1576.46126344493</v>
      </c>
    </row>
    <row r="821" customFormat="false" ht="15" hidden="false" customHeight="false" outlineLevel="0" collapsed="false">
      <c r="A821" s="0" t="str">
        <f aca="false">Clean!A821</f>
        <v>SHP0820</v>
      </c>
      <c r="B821" s="0" t="str">
        <f aca="false">Clean!AA821</f>
        <v>BlueDart</v>
      </c>
      <c r="C821" s="28" t="n">
        <f aca="false">Clean!J821</f>
        <v>16.94</v>
      </c>
      <c r="D821" s="29" t="n">
        <f aca="false">Clean!AF821</f>
        <v>887.05</v>
      </c>
      <c r="E821" s="29" t="n">
        <f aca="false">Clean!AE821</f>
        <v>3615.11</v>
      </c>
      <c r="F821" s="22" t="n">
        <f aca="false">AVERAGEIFS(Clean!$V$2:$V$1001,Clean!$AA$2:$AA$1001,B821)</f>
        <v>0.773869346733668</v>
      </c>
      <c r="G821" s="29" t="n">
        <f aca="false">F821*C821*D821</f>
        <v>11628.6460201005</v>
      </c>
      <c r="H821" s="29" t="n">
        <f aca="false">G821*Model!$B$4</f>
        <v>11628.6460201005</v>
      </c>
      <c r="I821" s="0" t="str">
        <f aca="false">IF(E821&lt;Model!$B$5*H821,"Expedite","Standard")</f>
        <v>Expedite</v>
      </c>
      <c r="J821" s="29" t="n">
        <f aca="false">H821</f>
        <v>11628.6460201005</v>
      </c>
      <c r="K821" s="29" t="n">
        <f aca="false">E821+(1-Model!$B$5)*H821</f>
        <v>3615.11</v>
      </c>
      <c r="L821" s="29" t="n">
        <f aca="false">IF(I821="Expedite",K821,J821)</f>
        <v>3615.11</v>
      </c>
      <c r="M821" s="29" t="n">
        <f aca="false">J821-L821</f>
        <v>8013.5360201005</v>
      </c>
      <c r="N821" s="29" t="n">
        <f aca="false">IFERROR(E821/(F821*C821*Model!$B$5),"")</f>
        <v>275.765838942639</v>
      </c>
    </row>
    <row r="822" customFormat="false" ht="15" hidden="false" customHeight="false" outlineLevel="0" collapsed="false">
      <c r="A822" s="0" t="str">
        <f aca="false">Clean!A822</f>
        <v>SHP0821</v>
      </c>
      <c r="B822" s="0" t="str">
        <f aca="false">Clean!AA822</f>
        <v>GATI Logistics</v>
      </c>
      <c r="C822" s="28" t="n">
        <f aca="false">Clean!J822</f>
        <v>13.3</v>
      </c>
      <c r="D822" s="29" t="n">
        <f aca="false">Clean!AF822</f>
        <v>894.08</v>
      </c>
      <c r="E822" s="29" t="n">
        <f aca="false">Clean!AE822</f>
        <v>1840.19</v>
      </c>
      <c r="F822" s="22" t="n">
        <f aca="false">AVERAGEIFS(Clean!$V$2:$V$1001,Clean!$AA$2:$AA$1001,B822)</f>
        <v>0.751243781094527</v>
      </c>
      <c r="G822" s="29" t="n">
        <f aca="false">F822*C822*D822</f>
        <v>8933.23812935323</v>
      </c>
      <c r="H822" s="29" t="n">
        <f aca="false">G822*Model!$B$4</f>
        <v>8933.23812935323</v>
      </c>
      <c r="I822" s="0" t="str">
        <f aca="false">IF(E822&lt;Model!$B$5*H822,"Expedite","Standard")</f>
        <v>Expedite</v>
      </c>
      <c r="J822" s="29" t="n">
        <f aca="false">H822</f>
        <v>8933.23812935323</v>
      </c>
      <c r="K822" s="29" t="n">
        <f aca="false">E822+(1-Model!$B$5)*H822</f>
        <v>1840.19</v>
      </c>
      <c r="L822" s="29" t="n">
        <f aca="false">IF(I822="Expedite",K822,J822)</f>
        <v>1840.19</v>
      </c>
      <c r="M822" s="29" t="n">
        <f aca="false">J822-L822</f>
        <v>7093.04812935323</v>
      </c>
      <c r="N822" s="29" t="n">
        <f aca="false">IFERROR(E822/(F822*C822*Model!$B$5),"")</f>
        <v>184.174769705721</v>
      </c>
    </row>
    <row r="823" customFormat="false" ht="15" hidden="false" customHeight="false" outlineLevel="0" collapsed="false">
      <c r="A823" s="0" t="str">
        <f aca="false">Clean!A823</f>
        <v>SHP0822</v>
      </c>
      <c r="B823" s="0" t="str">
        <f aca="false">Clean!AA823</f>
        <v>GATI Logistics</v>
      </c>
      <c r="C823" s="28" t="n">
        <f aca="false">Clean!J823</f>
        <v>7.02</v>
      </c>
      <c r="D823" s="29" t="n">
        <f aca="false">Clean!AF823</f>
        <v>1348.77</v>
      </c>
      <c r="E823" s="29" t="n">
        <f aca="false">Clean!AE823</f>
        <v>2962.45</v>
      </c>
      <c r="F823" s="22" t="n">
        <f aca="false">AVERAGEIFS(Clean!$V$2:$V$1001,Clean!$AA$2:$AA$1001,B823)</f>
        <v>0.751243781094527</v>
      </c>
      <c r="G823" s="29" t="n">
        <f aca="false">F823*C823*D823</f>
        <v>7113.0506238806</v>
      </c>
      <c r="H823" s="29" t="n">
        <f aca="false">G823*Model!$B$4</f>
        <v>7113.0506238806</v>
      </c>
      <c r="I823" s="0" t="str">
        <f aca="false">IF(E823&lt;Model!$B$5*H823,"Expedite","Standard")</f>
        <v>Expedite</v>
      </c>
      <c r="J823" s="29" t="n">
        <f aca="false">H823</f>
        <v>7113.0506238806</v>
      </c>
      <c r="K823" s="29" t="n">
        <f aca="false">E823+(1-Model!$B$5)*H823</f>
        <v>2962.45</v>
      </c>
      <c r="L823" s="29" t="n">
        <f aca="false">IF(I823="Expedite",K823,J823)</f>
        <v>2962.45</v>
      </c>
      <c r="M823" s="29" t="n">
        <f aca="false">J823-L823</f>
        <v>4150.6006238806</v>
      </c>
      <c r="N823" s="29" t="n">
        <f aca="false">IFERROR(E823/(F823*C823*Model!$B$5),"")</f>
        <v>561.736995528386</v>
      </c>
    </row>
    <row r="824" customFormat="false" ht="15" hidden="false" customHeight="false" outlineLevel="0" collapsed="false">
      <c r="A824" s="0" t="str">
        <f aca="false">Clean!A824</f>
        <v>SHP0823</v>
      </c>
      <c r="B824" s="0" t="str">
        <f aca="false">Clean!AA824</f>
        <v>Delhivery</v>
      </c>
      <c r="C824" s="28" t="n">
        <f aca="false">Clean!J824</f>
        <v>14.42</v>
      </c>
      <c r="D824" s="29" t="n">
        <f aca="false">Clean!AF824</f>
        <v>1492.09</v>
      </c>
      <c r="E824" s="29" t="n">
        <f aca="false">Clean!AE824</f>
        <v>1176.58</v>
      </c>
      <c r="F824" s="22" t="n">
        <f aca="false">AVERAGEIFS(Clean!$V$2:$V$1001,Clean!$AA$2:$AA$1001,B824)</f>
        <v>0.72538860103627</v>
      </c>
      <c r="G824" s="29" t="n">
        <f aca="false">F824*C824*D824</f>
        <v>15607.4160207254</v>
      </c>
      <c r="H824" s="29" t="n">
        <f aca="false">G824*Model!$B$4</f>
        <v>15607.4160207254</v>
      </c>
      <c r="I824" s="0" t="str">
        <f aca="false">IF(E824&lt;Model!$B$5*H824,"Expedite","Standard")</f>
        <v>Expedite</v>
      </c>
      <c r="J824" s="29" t="n">
        <f aca="false">H824</f>
        <v>15607.4160207254</v>
      </c>
      <c r="K824" s="29" t="n">
        <f aca="false">E824+(1-Model!$B$5)*H824</f>
        <v>1176.58</v>
      </c>
      <c r="L824" s="29" t="n">
        <f aca="false">IF(I824="Expedite",K824,J824)</f>
        <v>1176.58</v>
      </c>
      <c r="M824" s="29" t="n">
        <f aca="false">J824-L824</f>
        <v>14430.8360207254</v>
      </c>
      <c r="N824" s="29" t="n">
        <f aca="false">IFERROR(E824/(F824*C824*Model!$B$5),"")</f>
        <v>112.482633247474</v>
      </c>
    </row>
    <row r="825" customFormat="false" ht="15" hidden="false" customHeight="false" outlineLevel="0" collapsed="false">
      <c r="A825" s="0" t="str">
        <f aca="false">Clean!A825</f>
        <v>SHP0824</v>
      </c>
      <c r="B825" s="0" t="str">
        <f aca="false">Clean!AA825</f>
        <v>Delhivery</v>
      </c>
      <c r="C825" s="28" t="n">
        <f aca="false">Clean!J825</f>
        <v>3.48</v>
      </c>
      <c r="D825" s="29" t="n">
        <f aca="false">Clean!AF825</f>
        <v>502.35</v>
      </c>
      <c r="E825" s="29" t="n">
        <f aca="false">Clean!AE825</f>
        <v>1197.2</v>
      </c>
      <c r="F825" s="22" t="n">
        <f aca="false">AVERAGEIFS(Clean!$V$2:$V$1001,Clean!$AA$2:$AA$1001,B825)</f>
        <v>0.72538860103627</v>
      </c>
      <c r="G825" s="29" t="n">
        <f aca="false">F825*C825*D825</f>
        <v>1268.10839378238</v>
      </c>
      <c r="H825" s="29" t="n">
        <f aca="false">G825*Model!$B$4</f>
        <v>1268.10839378238</v>
      </c>
      <c r="I825" s="0" t="str">
        <f aca="false">IF(E825&lt;Model!$B$5*H825,"Expedite","Standard")</f>
        <v>Expedite</v>
      </c>
      <c r="J825" s="29" t="n">
        <f aca="false">H825</f>
        <v>1268.10839378238</v>
      </c>
      <c r="K825" s="29" t="n">
        <f aca="false">E825+(1-Model!$B$5)*H825</f>
        <v>1197.2</v>
      </c>
      <c r="L825" s="29" t="n">
        <f aca="false">IF(I825="Expedite",K825,J825)</f>
        <v>1197.2</v>
      </c>
      <c r="M825" s="29" t="n">
        <f aca="false">J825-L825</f>
        <v>70.9083937823834</v>
      </c>
      <c r="N825" s="29" t="n">
        <f aca="false">IFERROR(E825/(F825*C825*Model!$B$5),"")</f>
        <v>474.26026272578</v>
      </c>
    </row>
    <row r="826" customFormat="false" ht="15" hidden="false" customHeight="false" outlineLevel="0" collapsed="false">
      <c r="A826" s="0" t="str">
        <f aca="false">Clean!A826</f>
        <v>SHP0825</v>
      </c>
      <c r="B826" s="0" t="str">
        <f aca="false">Clean!AA826</f>
        <v>BlueDart</v>
      </c>
      <c r="C826" s="28" t="n">
        <f aca="false">Clean!J826</f>
        <v>5.65</v>
      </c>
      <c r="D826" s="29" t="n">
        <f aca="false">Clean!AF826</f>
        <v>1440.4</v>
      </c>
      <c r="E826" s="29" t="n">
        <f aca="false">Clean!AE826</f>
        <v>1318.35</v>
      </c>
      <c r="F826" s="22" t="n">
        <f aca="false">AVERAGEIFS(Clean!$V$2:$V$1001,Clean!$AA$2:$AA$1001,B826)</f>
        <v>0.773869346733668</v>
      </c>
      <c r="G826" s="29" t="n">
        <f aca="false">F826*C826*D826</f>
        <v>6297.94994974874</v>
      </c>
      <c r="H826" s="29" t="n">
        <f aca="false">G826*Model!$B$4</f>
        <v>6297.94994974874</v>
      </c>
      <c r="I826" s="0" t="str">
        <f aca="false">IF(E826&lt;Model!$B$5*H826,"Expedite","Standard")</f>
        <v>Expedite</v>
      </c>
      <c r="J826" s="29" t="n">
        <f aca="false">H826</f>
        <v>6297.94994974874</v>
      </c>
      <c r="K826" s="29" t="n">
        <f aca="false">E826+(1-Model!$B$5)*H826</f>
        <v>1318.35</v>
      </c>
      <c r="L826" s="29" t="n">
        <f aca="false">IF(I826="Expedite",K826,J826)</f>
        <v>1318.35</v>
      </c>
      <c r="M826" s="29" t="n">
        <f aca="false">J826-L826</f>
        <v>4979.59994974875</v>
      </c>
      <c r="N826" s="29" t="n">
        <f aca="false">IFERROR(E826/(F826*C826*Model!$B$5),"")</f>
        <v>301.518963337547</v>
      </c>
    </row>
    <row r="827" customFormat="false" ht="15" hidden="false" customHeight="false" outlineLevel="0" collapsed="false">
      <c r="A827" s="0" t="str">
        <f aca="false">Clean!A827</f>
        <v>SHP0826</v>
      </c>
      <c r="B827" s="0" t="str">
        <f aca="false">Clean!AA827</f>
        <v>TCI Express</v>
      </c>
      <c r="C827" s="28" t="n">
        <f aca="false">Clean!J827</f>
        <v>5.95</v>
      </c>
      <c r="D827" s="29" t="n">
        <f aca="false">Clean!AF827</f>
        <v>837.2</v>
      </c>
      <c r="E827" s="29" t="n">
        <f aca="false">Clean!AE827</f>
        <v>3386.89</v>
      </c>
      <c r="F827" s="22" t="n">
        <f aca="false">AVERAGEIFS(Clean!$V$2:$V$1001,Clean!$AA$2:$AA$1001,B827)</f>
        <v>0.752336448598131</v>
      </c>
      <c r="G827" s="29" t="n">
        <f aca="false">F827*C827*D827</f>
        <v>3747.64364485981</v>
      </c>
      <c r="H827" s="29" t="n">
        <f aca="false">G827*Model!$B$4</f>
        <v>3747.64364485981</v>
      </c>
      <c r="I827" s="0" t="str">
        <f aca="false">IF(E827&lt;Model!$B$5*H827,"Expedite","Standard")</f>
        <v>Expedite</v>
      </c>
      <c r="J827" s="29" t="n">
        <f aca="false">H827</f>
        <v>3747.64364485981</v>
      </c>
      <c r="K827" s="29" t="n">
        <f aca="false">E827+(1-Model!$B$5)*H827</f>
        <v>3386.89</v>
      </c>
      <c r="L827" s="29" t="n">
        <f aca="false">IF(I827="Expedite",K827,J827)</f>
        <v>3386.89</v>
      </c>
      <c r="M827" s="29" t="n">
        <f aca="false">J827-L827</f>
        <v>360.753644859814</v>
      </c>
      <c r="N827" s="29" t="n">
        <f aca="false">IFERROR(E827/(F827*C827*Model!$B$5),"")</f>
        <v>756.609906571324</v>
      </c>
    </row>
    <row r="828" customFormat="false" ht="15" hidden="false" customHeight="false" outlineLevel="0" collapsed="false">
      <c r="A828" s="0" t="str">
        <f aca="false">Clean!A828</f>
        <v>SHP0827</v>
      </c>
      <c r="B828" s="0" t="str">
        <f aca="false">Clean!AA828</f>
        <v>VRL Cargo</v>
      </c>
      <c r="C828" s="28" t="n">
        <f aca="false">Clean!J828</f>
        <v>5.99</v>
      </c>
      <c r="D828" s="29" t="n">
        <f aca="false">Clean!AF828</f>
        <v>640.87</v>
      </c>
      <c r="E828" s="29" t="n">
        <f aca="false">Clean!AE828</f>
        <v>2525.64</v>
      </c>
      <c r="F828" s="22" t="n">
        <f aca="false">AVERAGEIFS(Clean!$V$2:$V$1001,Clean!$AA$2:$AA$1001,B828)</f>
        <v>0.72020725388601</v>
      </c>
      <c r="G828" s="29" t="n">
        <f aca="false">F828*C828*D828</f>
        <v>2764.73974455959</v>
      </c>
      <c r="H828" s="29" t="n">
        <f aca="false">G828*Model!$B$4</f>
        <v>2764.73974455959</v>
      </c>
      <c r="I828" s="0" t="str">
        <f aca="false">IF(E828&lt;Model!$B$5*H828,"Expedite","Standard")</f>
        <v>Expedite</v>
      </c>
      <c r="J828" s="29" t="n">
        <f aca="false">H828</f>
        <v>2764.73974455959</v>
      </c>
      <c r="K828" s="29" t="n">
        <f aca="false">E828+(1-Model!$B$5)*H828</f>
        <v>2525.64</v>
      </c>
      <c r="L828" s="29" t="n">
        <f aca="false">IF(I828="Expedite",K828,J828)</f>
        <v>2525.64</v>
      </c>
      <c r="M828" s="29" t="n">
        <f aca="false">J828-L828</f>
        <v>239.099744559586</v>
      </c>
      <c r="N828" s="29" t="n">
        <f aca="false">IFERROR(E828/(F828*C828*Model!$B$5),"")</f>
        <v>585.446391467794</v>
      </c>
    </row>
    <row r="829" customFormat="false" ht="15" hidden="false" customHeight="false" outlineLevel="0" collapsed="false">
      <c r="A829" s="0" t="str">
        <f aca="false">Clean!A829</f>
        <v>SHP0828</v>
      </c>
      <c r="B829" s="0" t="str">
        <f aca="false">Clean!AA829</f>
        <v>TCI Express</v>
      </c>
      <c r="C829" s="28" t="n">
        <f aca="false">Clean!J829</f>
        <v>12.87</v>
      </c>
      <c r="D829" s="29" t="n">
        <f aca="false">Clean!AF829</f>
        <v>557.13</v>
      </c>
      <c r="E829" s="29" t="n">
        <f aca="false">Clean!AE829</f>
        <v>3412.06</v>
      </c>
      <c r="F829" s="22" t="n">
        <f aca="false">AVERAGEIFS(Clean!$V$2:$V$1001,Clean!$AA$2:$AA$1001,B829)</f>
        <v>0.752336448598131</v>
      </c>
      <c r="G829" s="29" t="n">
        <f aca="false">F829*C829*D829</f>
        <v>5394.45027616822</v>
      </c>
      <c r="H829" s="29" t="n">
        <f aca="false">G829*Model!$B$4</f>
        <v>5394.45027616822</v>
      </c>
      <c r="I829" s="0" t="str">
        <f aca="false">IF(E829&lt;Model!$B$5*H829,"Expedite","Standard")</f>
        <v>Expedite</v>
      </c>
      <c r="J829" s="29" t="n">
        <f aca="false">H829</f>
        <v>5394.45027616822</v>
      </c>
      <c r="K829" s="29" t="n">
        <f aca="false">E829+(1-Model!$B$5)*H829</f>
        <v>3412.06</v>
      </c>
      <c r="L829" s="29" t="n">
        <f aca="false">IF(I829="Expedite",K829,J829)</f>
        <v>3412.06</v>
      </c>
      <c r="M829" s="29" t="n">
        <f aca="false">J829-L829</f>
        <v>1982.39027616822</v>
      </c>
      <c r="N829" s="29" t="n">
        <f aca="false">IFERROR(E829/(F829*C829*Model!$B$5),"")</f>
        <v>352.391975174584</v>
      </c>
    </row>
    <row r="830" customFormat="false" ht="15" hidden="false" customHeight="false" outlineLevel="0" collapsed="false">
      <c r="A830" s="0" t="str">
        <f aca="false">Clean!A830</f>
        <v>SHP0829</v>
      </c>
      <c r="B830" s="0" t="str">
        <f aca="false">Clean!AA830</f>
        <v>BlueDart</v>
      </c>
      <c r="C830" s="28" t="n">
        <f aca="false">Clean!J830</f>
        <v>17.98</v>
      </c>
      <c r="D830" s="29" t="n">
        <f aca="false">Clean!AF830</f>
        <v>530.97</v>
      </c>
      <c r="E830" s="29" t="n">
        <f aca="false">Clean!AE830</f>
        <v>3393.22</v>
      </c>
      <c r="F830" s="22" t="n">
        <f aca="false">AVERAGEIFS(Clean!$V$2:$V$1001,Clean!$AA$2:$AA$1001,B830)</f>
        <v>0.773869346733668</v>
      </c>
      <c r="G830" s="29" t="n">
        <f aca="false">F830*C830*D830</f>
        <v>7388.00729849246</v>
      </c>
      <c r="H830" s="29" t="n">
        <f aca="false">G830*Model!$B$4</f>
        <v>7388.00729849246</v>
      </c>
      <c r="I830" s="0" t="str">
        <f aca="false">IF(E830&lt;Model!$B$5*H830,"Expedite","Standard")</f>
        <v>Expedite</v>
      </c>
      <c r="J830" s="29" t="n">
        <f aca="false">H830</f>
        <v>7388.00729849246</v>
      </c>
      <c r="K830" s="29" t="n">
        <f aca="false">E830+(1-Model!$B$5)*H830</f>
        <v>3393.22</v>
      </c>
      <c r="L830" s="29" t="n">
        <f aca="false">IF(I830="Expedite",K830,J830)</f>
        <v>3393.22</v>
      </c>
      <c r="M830" s="29" t="n">
        <f aca="false">J830-L830</f>
        <v>3994.78729849246</v>
      </c>
      <c r="N830" s="29" t="n">
        <f aca="false">IFERROR(E830/(F830*C830*Model!$B$5),"")</f>
        <v>243.867926845124</v>
      </c>
    </row>
    <row r="831" customFormat="false" ht="15" hidden="false" customHeight="false" outlineLevel="0" collapsed="false">
      <c r="A831" s="0" t="str">
        <f aca="false">Clean!A831</f>
        <v>SHP0830</v>
      </c>
      <c r="B831" s="0" t="str">
        <f aca="false">Clean!AA831</f>
        <v>TCI Express</v>
      </c>
      <c r="C831" s="28" t="n">
        <f aca="false">Clean!J831</f>
        <v>6.22</v>
      </c>
      <c r="D831" s="29" t="n">
        <f aca="false">Clean!AF831</f>
        <v>1405.85</v>
      </c>
      <c r="E831" s="29" t="n">
        <f aca="false">Clean!AE831</f>
        <v>1646.55</v>
      </c>
      <c r="F831" s="22" t="n">
        <f aca="false">AVERAGEIFS(Clean!$V$2:$V$1001,Clean!$AA$2:$AA$1001,B831)</f>
        <v>0.752336448598131</v>
      </c>
      <c r="G831" s="29" t="n">
        <f aca="false">F831*C831*D831</f>
        <v>6578.72106074766</v>
      </c>
      <c r="H831" s="29" t="n">
        <f aca="false">G831*Model!$B$4</f>
        <v>6578.72106074766</v>
      </c>
      <c r="I831" s="0" t="str">
        <f aca="false">IF(E831&lt;Model!$B$5*H831,"Expedite","Standard")</f>
        <v>Expedite</v>
      </c>
      <c r="J831" s="29" t="n">
        <f aca="false">H831</f>
        <v>6578.72106074766</v>
      </c>
      <c r="K831" s="29" t="n">
        <f aca="false">E831+(1-Model!$B$5)*H831</f>
        <v>1646.55</v>
      </c>
      <c r="L831" s="29" t="n">
        <f aca="false">IF(I831="Expedite",K831,J831)</f>
        <v>1646.55</v>
      </c>
      <c r="M831" s="29" t="n">
        <f aca="false">J831-L831</f>
        <v>4932.17106074766</v>
      </c>
      <c r="N831" s="29" t="n">
        <f aca="false">IFERROR(E831/(F831*C831*Model!$B$5),"")</f>
        <v>351.862055880649</v>
      </c>
    </row>
    <row r="832" customFormat="false" ht="15" hidden="false" customHeight="false" outlineLevel="0" collapsed="false">
      <c r="A832" s="0" t="str">
        <f aca="false">Clean!A832</f>
        <v>SHP0831</v>
      </c>
      <c r="B832" s="0" t="str">
        <f aca="false">Clean!AA832</f>
        <v>VRL Cargo</v>
      </c>
      <c r="C832" s="28" t="n">
        <f aca="false">Clean!J832</f>
        <v>10.81</v>
      </c>
      <c r="D832" s="29" t="n">
        <f aca="false">Clean!AF832</f>
        <v>1282</v>
      </c>
      <c r="E832" s="29" t="n">
        <f aca="false">Clean!AE832</f>
        <v>2754.69</v>
      </c>
      <c r="F832" s="22" t="n">
        <f aca="false">AVERAGEIFS(Clean!$V$2:$V$1001,Clean!$AA$2:$AA$1001,B832)</f>
        <v>0.72020725388601</v>
      </c>
      <c r="G832" s="29" t="n">
        <f aca="false">F832*C832*D832</f>
        <v>9980.93461139897</v>
      </c>
      <c r="H832" s="29" t="n">
        <f aca="false">G832*Model!$B$4</f>
        <v>9980.93461139897</v>
      </c>
      <c r="I832" s="0" t="str">
        <f aca="false">IF(E832&lt;Model!$B$5*H832,"Expedite","Standard")</f>
        <v>Expedite</v>
      </c>
      <c r="J832" s="29" t="n">
        <f aca="false">H832</f>
        <v>9980.93461139897</v>
      </c>
      <c r="K832" s="29" t="n">
        <f aca="false">E832+(1-Model!$B$5)*H832</f>
        <v>2754.69</v>
      </c>
      <c r="L832" s="29" t="n">
        <f aca="false">IF(I832="Expedite",K832,J832)</f>
        <v>2754.69</v>
      </c>
      <c r="M832" s="29" t="n">
        <f aca="false">J832-L832</f>
        <v>7226.24461139896</v>
      </c>
      <c r="N832" s="29" t="n">
        <f aca="false">IFERROR(E832/(F832*C832*Model!$B$5),"")</f>
        <v>353.825840715032</v>
      </c>
    </row>
    <row r="833" customFormat="false" ht="15" hidden="false" customHeight="false" outlineLevel="0" collapsed="false">
      <c r="A833" s="0" t="str">
        <f aca="false">Clean!A833</f>
        <v>SHP0832</v>
      </c>
      <c r="B833" s="0" t="str">
        <f aca="false">Clean!AA833</f>
        <v>BlueDart</v>
      </c>
      <c r="C833" s="28" t="n">
        <f aca="false">Clean!J833</f>
        <v>15.9</v>
      </c>
      <c r="D833" s="29" t="n">
        <f aca="false">Clean!AF833</f>
        <v>814.84</v>
      </c>
      <c r="E833" s="29" t="n">
        <f aca="false">Clean!AE833</f>
        <v>2096.05</v>
      </c>
      <c r="F833" s="22" t="n">
        <f aca="false">AVERAGEIFS(Clean!$V$2:$V$1001,Clean!$AA$2:$AA$1001,B833)</f>
        <v>0.773869346733668</v>
      </c>
      <c r="G833" s="29" t="n">
        <f aca="false">F833*C833*D833</f>
        <v>10026.2172060302</v>
      </c>
      <c r="H833" s="29" t="n">
        <f aca="false">G833*Model!$B$4</f>
        <v>10026.2172060302</v>
      </c>
      <c r="I833" s="0" t="str">
        <f aca="false">IF(E833&lt;Model!$B$5*H833,"Expedite","Standard")</f>
        <v>Expedite</v>
      </c>
      <c r="J833" s="29" t="n">
        <f aca="false">H833</f>
        <v>10026.2172060302</v>
      </c>
      <c r="K833" s="29" t="n">
        <f aca="false">E833+(1-Model!$B$5)*H833</f>
        <v>2096.05</v>
      </c>
      <c r="L833" s="29" t="n">
        <f aca="false">IF(I833="Expedite",K833,J833)</f>
        <v>2096.05</v>
      </c>
      <c r="M833" s="29" t="n">
        <f aca="false">J833-L833</f>
        <v>7930.16720603015</v>
      </c>
      <c r="N833" s="29" t="n">
        <f aca="false">IFERROR(E833/(F833*C833*Model!$B$5),"")</f>
        <v>170.347933513028</v>
      </c>
    </row>
    <row r="834" customFormat="false" ht="15" hidden="false" customHeight="false" outlineLevel="0" collapsed="false">
      <c r="A834" s="0" t="str">
        <f aca="false">Clean!A834</f>
        <v>SHP0833</v>
      </c>
      <c r="B834" s="0" t="str">
        <f aca="false">Clean!AA834</f>
        <v>GATI Logistics</v>
      </c>
      <c r="C834" s="28" t="n">
        <f aca="false">Clean!J834</f>
        <v>3.22</v>
      </c>
      <c r="D834" s="29" t="n">
        <f aca="false">Clean!AF834</f>
        <v>1422.57</v>
      </c>
      <c r="E834" s="29" t="n">
        <f aca="false">Clean!AE834</f>
        <v>1383.02</v>
      </c>
      <c r="F834" s="22" t="n">
        <f aca="false">AVERAGEIFS(Clean!$V$2:$V$1001,Clean!$AA$2:$AA$1001,B834)</f>
        <v>0.751243781094527</v>
      </c>
      <c r="G834" s="29" t="n">
        <f aca="false">F834*C834*D834</f>
        <v>3441.20390746269</v>
      </c>
      <c r="H834" s="29" t="n">
        <f aca="false">G834*Model!$B$4</f>
        <v>3441.20390746269</v>
      </c>
      <c r="I834" s="0" t="str">
        <f aca="false">IF(E834&lt;Model!$B$5*H834,"Expedite","Standard")</f>
        <v>Expedite</v>
      </c>
      <c r="J834" s="29" t="n">
        <f aca="false">H834</f>
        <v>3441.20390746269</v>
      </c>
      <c r="K834" s="29" t="n">
        <f aca="false">E834+(1-Model!$B$5)*H834</f>
        <v>1383.02</v>
      </c>
      <c r="L834" s="29" t="n">
        <f aca="false">IF(I834="Expedite",K834,J834)</f>
        <v>1383.02</v>
      </c>
      <c r="M834" s="29" t="n">
        <f aca="false">J834-L834</f>
        <v>2058.18390746269</v>
      </c>
      <c r="N834" s="29" t="n">
        <f aca="false">IFERROR(E834/(F834*C834*Model!$B$5),"")</f>
        <v>571.730944839785</v>
      </c>
    </row>
    <row r="835" customFormat="false" ht="15" hidden="false" customHeight="false" outlineLevel="0" collapsed="false">
      <c r="A835" s="0" t="str">
        <f aca="false">Clean!A835</f>
        <v>SHP0834</v>
      </c>
      <c r="B835" s="0" t="str">
        <f aca="false">Clean!AA835</f>
        <v>GATI Logistics</v>
      </c>
      <c r="C835" s="28" t="n">
        <f aca="false">Clean!J835</f>
        <v>11.8</v>
      </c>
      <c r="D835" s="29" t="n">
        <f aca="false">Clean!AF835</f>
        <v>948.17</v>
      </c>
      <c r="E835" s="29" t="n">
        <f aca="false">Clean!AE835</f>
        <v>4357.63</v>
      </c>
      <c r="F835" s="22" t="n">
        <f aca="false">AVERAGEIFS(Clean!$V$2:$V$1001,Clean!$AA$2:$AA$1001,B835)</f>
        <v>0.751243781094527</v>
      </c>
      <c r="G835" s="29" t="n">
        <f aca="false">F835*C835*D835</f>
        <v>8405.2204278607</v>
      </c>
      <c r="H835" s="29" t="n">
        <f aca="false">G835*Model!$B$4</f>
        <v>8405.2204278607</v>
      </c>
      <c r="I835" s="0" t="str">
        <f aca="false">IF(E835&lt;Model!$B$5*H835,"Expedite","Standard")</f>
        <v>Expedite</v>
      </c>
      <c r="J835" s="29" t="n">
        <f aca="false">H835</f>
        <v>8405.2204278607</v>
      </c>
      <c r="K835" s="29" t="n">
        <f aca="false">E835+(1-Model!$B$5)*H835</f>
        <v>4357.63</v>
      </c>
      <c r="L835" s="29" t="n">
        <f aca="false">IF(I835="Expedite",K835,J835)</f>
        <v>4357.63</v>
      </c>
      <c r="M835" s="29" t="n">
        <f aca="false">J835-L835</f>
        <v>4047.5904278607</v>
      </c>
      <c r="N835" s="29" t="n">
        <f aca="false">IFERROR(E835/(F835*C835*Model!$B$5),"")</f>
        <v>491.572359411831</v>
      </c>
    </row>
    <row r="836" customFormat="false" ht="15" hidden="false" customHeight="false" outlineLevel="0" collapsed="false">
      <c r="A836" s="0" t="str">
        <f aca="false">Clean!A836</f>
        <v>SHP0835</v>
      </c>
      <c r="B836" s="0" t="str">
        <f aca="false">Clean!AA836</f>
        <v>TCI Express</v>
      </c>
      <c r="C836" s="28" t="n">
        <f aca="false">Clean!J836</f>
        <v>13.1</v>
      </c>
      <c r="D836" s="29" t="n">
        <f aca="false">Clean!AF836</f>
        <v>1301.35</v>
      </c>
      <c r="E836" s="29" t="n">
        <f aca="false">Clean!AE836</f>
        <v>4367.23</v>
      </c>
      <c r="F836" s="22" t="n">
        <f aca="false">AVERAGEIFS(Clean!$V$2:$V$1001,Clean!$AA$2:$AA$1001,B836)</f>
        <v>0.752336448598131</v>
      </c>
      <c r="G836" s="29" t="n">
        <f aca="false">F836*C836*D836</f>
        <v>12825.5947897196</v>
      </c>
      <c r="H836" s="29" t="n">
        <f aca="false">G836*Model!$B$4</f>
        <v>12825.5947897196</v>
      </c>
      <c r="I836" s="0" t="str">
        <f aca="false">IF(E836&lt;Model!$B$5*H836,"Expedite","Standard")</f>
        <v>Expedite</v>
      </c>
      <c r="J836" s="29" t="n">
        <f aca="false">H836</f>
        <v>12825.5947897196</v>
      </c>
      <c r="K836" s="29" t="n">
        <f aca="false">E836+(1-Model!$B$5)*H836</f>
        <v>4367.23</v>
      </c>
      <c r="L836" s="29" t="n">
        <f aca="false">IF(I836="Expedite",K836,J836)</f>
        <v>4367.23</v>
      </c>
      <c r="M836" s="29" t="n">
        <f aca="false">J836-L836</f>
        <v>8458.36478971963</v>
      </c>
      <c r="N836" s="29" t="n">
        <f aca="false">IFERROR(E836/(F836*C836*Model!$B$5),"")</f>
        <v>443.121340856289</v>
      </c>
    </row>
    <row r="837" customFormat="false" ht="15" hidden="false" customHeight="false" outlineLevel="0" collapsed="false">
      <c r="A837" s="0" t="str">
        <f aca="false">Clean!A837</f>
        <v>SHP0836</v>
      </c>
      <c r="B837" s="0" t="str">
        <f aca="false">Clean!AA837</f>
        <v>VRL Cargo</v>
      </c>
      <c r="C837" s="28" t="n">
        <f aca="false">Clean!J837</f>
        <v>8.8</v>
      </c>
      <c r="D837" s="29" t="n">
        <f aca="false">Clean!AF837</f>
        <v>853.48</v>
      </c>
      <c r="E837" s="29" t="n">
        <f aca="false">Clean!AE837</f>
        <v>4224.39</v>
      </c>
      <c r="F837" s="22" t="n">
        <f aca="false">AVERAGEIFS(Clean!$V$2:$V$1001,Clean!$AA$2:$AA$1001,B837)</f>
        <v>0.72020725388601</v>
      </c>
      <c r="G837" s="29" t="n">
        <f aca="false">F837*C837*D837</f>
        <v>5409.20588601036</v>
      </c>
      <c r="H837" s="29" t="n">
        <f aca="false">G837*Model!$B$4</f>
        <v>5409.20588601036</v>
      </c>
      <c r="I837" s="0" t="str">
        <f aca="false">IF(E837&lt;Model!$B$5*H837,"Expedite","Standard")</f>
        <v>Expedite</v>
      </c>
      <c r="J837" s="29" t="n">
        <f aca="false">H837</f>
        <v>5409.20588601036</v>
      </c>
      <c r="K837" s="29" t="n">
        <f aca="false">E837+(1-Model!$B$5)*H837</f>
        <v>4224.39</v>
      </c>
      <c r="L837" s="29" t="n">
        <f aca="false">IF(I837="Expedite",K837,J837)</f>
        <v>4224.39</v>
      </c>
      <c r="M837" s="29" t="n">
        <f aca="false">J837-L837</f>
        <v>1184.81588601036</v>
      </c>
      <c r="N837" s="29" t="n">
        <f aca="false">IFERROR(E837/(F837*C837*Model!$B$5),"")</f>
        <v>666.536355461086</v>
      </c>
    </row>
    <row r="838" customFormat="false" ht="15" hidden="false" customHeight="false" outlineLevel="0" collapsed="false">
      <c r="A838" s="0" t="str">
        <f aca="false">Clean!A838</f>
        <v>SHP0837</v>
      </c>
      <c r="B838" s="0" t="str">
        <f aca="false">Clean!AA838</f>
        <v>BlueDart</v>
      </c>
      <c r="C838" s="28" t="n">
        <f aca="false">Clean!J838</f>
        <v>13.2</v>
      </c>
      <c r="D838" s="29" t="n">
        <f aca="false">Clean!AF838</f>
        <v>956.94</v>
      </c>
      <c r="E838" s="29" t="n">
        <f aca="false">Clean!AE838</f>
        <v>1211.03</v>
      </c>
      <c r="F838" s="22" t="n">
        <f aca="false">AVERAGEIFS(Clean!$V$2:$V$1001,Clean!$AA$2:$AA$1001,B838)</f>
        <v>0.773869346733668</v>
      </c>
      <c r="G838" s="29" t="n">
        <f aca="false">F838*C838*D838</f>
        <v>9775.21423115578</v>
      </c>
      <c r="H838" s="29" t="n">
        <f aca="false">G838*Model!$B$4</f>
        <v>9775.21423115578</v>
      </c>
      <c r="I838" s="0" t="str">
        <f aca="false">IF(E838&lt;Model!$B$5*H838,"Expedite","Standard")</f>
        <v>Expedite</v>
      </c>
      <c r="J838" s="29" t="n">
        <f aca="false">H838</f>
        <v>9775.21423115578</v>
      </c>
      <c r="K838" s="29" t="n">
        <f aca="false">E838+(1-Model!$B$5)*H838</f>
        <v>1211.03</v>
      </c>
      <c r="L838" s="29" t="n">
        <f aca="false">IF(I838="Expedite",K838,J838)</f>
        <v>1211.03</v>
      </c>
      <c r="M838" s="29" t="n">
        <f aca="false">J838-L838</f>
        <v>8564.18423115578</v>
      </c>
      <c r="N838" s="29" t="n">
        <f aca="false">IFERROR(E838/(F838*C838*Model!$B$5),"")</f>
        <v>118.553212317985</v>
      </c>
    </row>
    <row r="839" customFormat="false" ht="15" hidden="false" customHeight="false" outlineLevel="0" collapsed="false">
      <c r="A839" s="0" t="str">
        <f aca="false">Clean!A839</f>
        <v>SHP0838</v>
      </c>
      <c r="B839" s="0" t="str">
        <f aca="false">Clean!AA839</f>
        <v>Delhivery</v>
      </c>
      <c r="C839" s="28" t="n">
        <f aca="false">Clean!J839</f>
        <v>18.9</v>
      </c>
      <c r="D839" s="29" t="n">
        <f aca="false">Clean!AF839</f>
        <v>1210.99</v>
      </c>
      <c r="E839" s="29" t="n">
        <f aca="false">Clean!AE839</f>
        <v>2886.43</v>
      </c>
      <c r="F839" s="22" t="n">
        <f aca="false">AVERAGEIFS(Clean!$V$2:$V$1001,Clean!$AA$2:$AA$1001,B839)</f>
        <v>0.72538860103627</v>
      </c>
      <c r="G839" s="29" t="n">
        <f aca="false">F839*C839*D839</f>
        <v>16602.4846632124</v>
      </c>
      <c r="H839" s="29" t="n">
        <f aca="false">G839*Model!$B$4</f>
        <v>16602.4846632124</v>
      </c>
      <c r="I839" s="0" t="str">
        <f aca="false">IF(E839&lt;Model!$B$5*H839,"Expedite","Standard")</f>
        <v>Expedite</v>
      </c>
      <c r="J839" s="29" t="n">
        <f aca="false">H839</f>
        <v>16602.4846632124</v>
      </c>
      <c r="K839" s="29" t="n">
        <f aca="false">E839+(1-Model!$B$5)*H839</f>
        <v>2886.43</v>
      </c>
      <c r="L839" s="29" t="n">
        <f aca="false">IF(I839="Expedite",K839,J839)</f>
        <v>2886.43</v>
      </c>
      <c r="M839" s="29" t="n">
        <f aca="false">J839-L839</f>
        <v>13716.0546632124</v>
      </c>
      <c r="N839" s="29" t="n">
        <f aca="false">IFERROR(E839/(F839*C839*Model!$B$5),"")</f>
        <v>210.537033257748</v>
      </c>
    </row>
    <row r="840" customFormat="false" ht="15" hidden="false" customHeight="false" outlineLevel="0" collapsed="false">
      <c r="A840" s="0" t="str">
        <f aca="false">Clean!A840</f>
        <v>SHP0839</v>
      </c>
      <c r="B840" s="0" t="str">
        <f aca="false">Clean!AA840</f>
        <v>Delhivery</v>
      </c>
      <c r="C840" s="28" t="n">
        <f aca="false">Clean!J840</f>
        <v>9.34</v>
      </c>
      <c r="D840" s="29" t="n">
        <f aca="false">Clean!AF840</f>
        <v>1051.83</v>
      </c>
      <c r="E840" s="29" t="n">
        <f aca="false">Clean!AE840</f>
        <v>2922.59</v>
      </c>
      <c r="F840" s="22" t="n">
        <f aca="false">AVERAGEIFS(Clean!$V$2:$V$1001,Clean!$AA$2:$AA$1001,B840)</f>
        <v>0.72538860103627</v>
      </c>
      <c r="G840" s="29" t="n">
        <f aca="false">F840*C840*D840</f>
        <v>7126.28449740933</v>
      </c>
      <c r="H840" s="29" t="n">
        <f aca="false">G840*Model!$B$4</f>
        <v>7126.28449740933</v>
      </c>
      <c r="I840" s="0" t="str">
        <f aca="false">IF(E840&lt;Model!$B$5*H840,"Expedite","Standard")</f>
        <v>Expedite</v>
      </c>
      <c r="J840" s="29" t="n">
        <f aca="false">H840</f>
        <v>7126.28449740933</v>
      </c>
      <c r="K840" s="29" t="n">
        <f aca="false">E840+(1-Model!$B$5)*H840</f>
        <v>2922.59</v>
      </c>
      <c r="L840" s="29" t="n">
        <f aca="false">IF(I840="Expedite",K840,J840)</f>
        <v>2922.59</v>
      </c>
      <c r="M840" s="29" t="n">
        <f aca="false">J840-L840</f>
        <v>4203.69449740933</v>
      </c>
      <c r="N840" s="29" t="n">
        <f aca="false">IFERROR(E840/(F840*C840*Model!$B$5),"")</f>
        <v>431.370350260018</v>
      </c>
    </row>
    <row r="841" customFormat="false" ht="15" hidden="false" customHeight="false" outlineLevel="0" collapsed="false">
      <c r="A841" s="0" t="str">
        <f aca="false">Clean!A841</f>
        <v>SHP0840</v>
      </c>
      <c r="B841" s="0" t="str">
        <f aca="false">Clean!AA841</f>
        <v>BlueDart</v>
      </c>
      <c r="C841" s="28" t="n">
        <f aca="false">Clean!J841</f>
        <v>13</v>
      </c>
      <c r="D841" s="29" t="n">
        <f aca="false">Clean!AF841</f>
        <v>833.37</v>
      </c>
      <c r="E841" s="29" t="n">
        <f aca="false">Clean!AE841</f>
        <v>2924.5</v>
      </c>
      <c r="F841" s="22" t="n">
        <f aca="false">AVERAGEIFS(Clean!$V$2:$V$1001,Clean!$AA$2:$AA$1001,B841)</f>
        <v>0.773869346733668</v>
      </c>
      <c r="G841" s="29" t="n">
        <f aca="false">F841*C841*D841</f>
        <v>8383.95346733668</v>
      </c>
      <c r="H841" s="29" t="n">
        <f aca="false">G841*Model!$B$4</f>
        <v>8383.95346733668</v>
      </c>
      <c r="I841" s="0" t="str">
        <f aca="false">IF(E841&lt;Model!$B$5*H841,"Expedite","Standard")</f>
        <v>Expedite</v>
      </c>
      <c r="J841" s="29" t="n">
        <f aca="false">H841</f>
        <v>8383.95346733668</v>
      </c>
      <c r="K841" s="29" t="n">
        <f aca="false">E841+(1-Model!$B$5)*H841</f>
        <v>2924.5</v>
      </c>
      <c r="L841" s="29" t="n">
        <f aca="false">IF(I841="Expedite",K841,J841)</f>
        <v>2924.5</v>
      </c>
      <c r="M841" s="29" t="n">
        <f aca="false">J841-L841</f>
        <v>5459.45346733668</v>
      </c>
      <c r="N841" s="29" t="n">
        <f aca="false">IFERROR(E841/(F841*C841*Model!$B$5),"")</f>
        <v>290.697052947053</v>
      </c>
    </row>
    <row r="842" customFormat="false" ht="15" hidden="false" customHeight="false" outlineLevel="0" collapsed="false">
      <c r="A842" s="0" t="str">
        <f aca="false">Clean!A842</f>
        <v>SHP0841</v>
      </c>
      <c r="B842" s="0" t="str">
        <f aca="false">Clean!AA842</f>
        <v>BlueDart</v>
      </c>
      <c r="C842" s="28" t="n">
        <f aca="false">Clean!J842</f>
        <v>9.53</v>
      </c>
      <c r="D842" s="29" t="n">
        <f aca="false">Clean!AF842</f>
        <v>1085.19</v>
      </c>
      <c r="E842" s="29" t="n">
        <f aca="false">Clean!AE842</f>
        <v>3438.11</v>
      </c>
      <c r="F842" s="22" t="n">
        <f aca="false">AVERAGEIFS(Clean!$V$2:$V$1001,Clean!$AA$2:$AA$1001,B842)</f>
        <v>0.773869346733668</v>
      </c>
      <c r="G842" s="29" t="n">
        <f aca="false">F842*C842*D842</f>
        <v>8003.2489839196</v>
      </c>
      <c r="H842" s="29" t="n">
        <f aca="false">G842*Model!$B$4</f>
        <v>8003.2489839196</v>
      </c>
      <c r="I842" s="0" t="str">
        <f aca="false">IF(E842&lt;Model!$B$5*H842,"Expedite","Standard")</f>
        <v>Expedite</v>
      </c>
      <c r="J842" s="29" t="n">
        <f aca="false">H842</f>
        <v>8003.2489839196</v>
      </c>
      <c r="K842" s="29" t="n">
        <f aca="false">E842+(1-Model!$B$5)*H842</f>
        <v>3438.11</v>
      </c>
      <c r="L842" s="29" t="n">
        <f aca="false">IF(I842="Expedite",K842,J842)</f>
        <v>3438.11</v>
      </c>
      <c r="M842" s="29" t="n">
        <f aca="false">J842-L842</f>
        <v>4565.1389839196</v>
      </c>
      <c r="N842" s="29" t="n">
        <f aca="false">IFERROR(E842/(F842*C842*Model!$B$5),"")</f>
        <v>466.185995012333</v>
      </c>
    </row>
    <row r="843" customFormat="false" ht="15" hidden="false" customHeight="false" outlineLevel="0" collapsed="false">
      <c r="A843" s="0" t="str">
        <f aca="false">Clean!A843</f>
        <v>SHP0842</v>
      </c>
      <c r="B843" s="0" t="str">
        <f aca="false">Clean!AA843</f>
        <v>GATI Logistics</v>
      </c>
      <c r="C843" s="28" t="n">
        <f aca="false">Clean!J843</f>
        <v>8.03</v>
      </c>
      <c r="D843" s="29" t="n">
        <f aca="false">Clean!AF843</f>
        <v>1160.73</v>
      </c>
      <c r="E843" s="29" t="n">
        <f aca="false">Clean!AE843</f>
        <v>3732.28</v>
      </c>
      <c r="F843" s="22" t="n">
        <f aca="false">AVERAGEIFS(Clean!$V$2:$V$1001,Clean!$AA$2:$AA$1001,B843)</f>
        <v>0.751243781094527</v>
      </c>
      <c r="G843" s="29" t="n">
        <f aca="false">F843*C843*D843</f>
        <v>7002.0892880597</v>
      </c>
      <c r="H843" s="29" t="n">
        <f aca="false">G843*Model!$B$4</f>
        <v>7002.0892880597</v>
      </c>
      <c r="I843" s="0" t="str">
        <f aca="false">IF(E843&lt;Model!$B$5*H843,"Expedite","Standard")</f>
        <v>Expedite</v>
      </c>
      <c r="J843" s="29" t="n">
        <f aca="false">H843</f>
        <v>7002.0892880597</v>
      </c>
      <c r="K843" s="29" t="n">
        <f aca="false">E843+(1-Model!$B$5)*H843</f>
        <v>3732.28</v>
      </c>
      <c r="L843" s="29" t="n">
        <f aca="false">IF(I843="Expedite",K843,J843)</f>
        <v>3732.28</v>
      </c>
      <c r="M843" s="29" t="n">
        <f aca="false">J843-L843</f>
        <v>3269.8092880597</v>
      </c>
      <c r="N843" s="29" t="n">
        <f aca="false">IFERROR(E843/(F843*C843*Model!$B$5),"")</f>
        <v>618.696675546172</v>
      </c>
    </row>
    <row r="844" customFormat="false" ht="15" hidden="false" customHeight="false" outlineLevel="0" collapsed="false">
      <c r="A844" s="0" t="str">
        <f aca="false">Clean!A844</f>
        <v>SHP0843</v>
      </c>
      <c r="B844" s="0" t="str">
        <f aca="false">Clean!AA844</f>
        <v>TCI Express</v>
      </c>
      <c r="C844" s="28" t="n">
        <f aca="false">Clean!J844</f>
        <v>19.06</v>
      </c>
      <c r="D844" s="29" t="n">
        <f aca="false">Clean!AF844</f>
        <v>1405.32</v>
      </c>
      <c r="E844" s="29" t="n">
        <f aca="false">Clean!AE844</f>
        <v>3129.22</v>
      </c>
      <c r="F844" s="22" t="n">
        <f aca="false">AVERAGEIFS(Clean!$V$2:$V$1001,Clean!$AA$2:$AA$1001,B844)</f>
        <v>0.752336448598131</v>
      </c>
      <c r="G844" s="29" t="n">
        <f aca="false">F844*C844*D844</f>
        <v>20151.6321084112</v>
      </c>
      <c r="H844" s="29" t="n">
        <f aca="false">G844*Model!$B$4</f>
        <v>20151.6321084112</v>
      </c>
      <c r="I844" s="0" t="str">
        <f aca="false">IF(E844&lt;Model!$B$5*H844,"Expedite","Standard")</f>
        <v>Expedite</v>
      </c>
      <c r="J844" s="29" t="n">
        <f aca="false">H844</f>
        <v>20151.6321084112</v>
      </c>
      <c r="K844" s="29" t="n">
        <f aca="false">E844+(1-Model!$B$5)*H844</f>
        <v>3129.22</v>
      </c>
      <c r="L844" s="29" t="n">
        <f aca="false">IF(I844="Expedite",K844,J844)</f>
        <v>3129.22</v>
      </c>
      <c r="M844" s="29" t="n">
        <f aca="false">J844-L844</f>
        <v>17022.4121084112</v>
      </c>
      <c r="N844" s="29" t="n">
        <f aca="false">IFERROR(E844/(F844*C844*Model!$B$5),"")</f>
        <v>218.22328964434</v>
      </c>
    </row>
    <row r="845" customFormat="false" ht="15" hidden="false" customHeight="false" outlineLevel="0" collapsed="false">
      <c r="A845" s="0" t="str">
        <f aca="false">Clean!A845</f>
        <v>SHP0844</v>
      </c>
      <c r="B845" s="0" t="str">
        <f aca="false">Clean!AA845</f>
        <v>Delhivery</v>
      </c>
      <c r="C845" s="28" t="n">
        <f aca="false">Clean!J845</f>
        <v>2.58</v>
      </c>
      <c r="D845" s="29" t="n">
        <f aca="false">Clean!AF845</f>
        <v>547.42</v>
      </c>
      <c r="E845" s="29" t="n">
        <f aca="false">Clean!AE845</f>
        <v>2555.41</v>
      </c>
      <c r="F845" s="22" t="n">
        <f aca="false">AVERAGEIFS(Clean!$V$2:$V$1001,Clean!$AA$2:$AA$1001,B845)</f>
        <v>0.72538860103627</v>
      </c>
      <c r="G845" s="29" t="n">
        <f aca="false">F845*C845*D845</f>
        <v>1024.49794818653</v>
      </c>
      <c r="H845" s="29" t="n">
        <f aca="false">G845*Model!$B$4</f>
        <v>1024.49794818653</v>
      </c>
      <c r="I845" s="0" t="str">
        <f aca="false">IF(E845&lt;Model!$B$5*H845,"Expedite","Standard")</f>
        <v>Standard</v>
      </c>
      <c r="J845" s="29" t="n">
        <f aca="false">H845</f>
        <v>1024.49794818653</v>
      </c>
      <c r="K845" s="29" t="n">
        <f aca="false">E845+(1-Model!$B$5)*H845</f>
        <v>2555.41</v>
      </c>
      <c r="L845" s="29" t="n">
        <f aca="false">IF(I845="Expedite",K845,J845)</f>
        <v>1024.49794818653</v>
      </c>
      <c r="M845" s="29" t="n">
        <f aca="false">J845-L845</f>
        <v>0</v>
      </c>
      <c r="N845" s="29" t="n">
        <f aca="false">IFERROR(E845/(F845*C845*Model!$B$5),"")</f>
        <v>1365.43225359911</v>
      </c>
    </row>
    <row r="846" customFormat="false" ht="15" hidden="false" customHeight="false" outlineLevel="0" collapsed="false">
      <c r="A846" s="0" t="str">
        <f aca="false">Clean!A846</f>
        <v>SHP0845</v>
      </c>
      <c r="B846" s="0" t="str">
        <f aca="false">Clean!AA846</f>
        <v>Delhivery</v>
      </c>
      <c r="C846" s="28" t="n">
        <f aca="false">Clean!J846</f>
        <v>16.22</v>
      </c>
      <c r="D846" s="29" t="n">
        <f aca="false">Clean!AF846</f>
        <v>1163.36</v>
      </c>
      <c r="E846" s="29" t="n">
        <f aca="false">Clean!AE846</f>
        <v>4894.97</v>
      </c>
      <c r="F846" s="22" t="n">
        <f aca="false">AVERAGEIFS(Clean!$V$2:$V$1001,Clean!$AA$2:$AA$1001,B846)</f>
        <v>0.72538860103627</v>
      </c>
      <c r="G846" s="29" t="n">
        <f aca="false">F846*C846*D846</f>
        <v>13687.8647046632</v>
      </c>
      <c r="H846" s="29" t="n">
        <f aca="false">G846*Model!$B$4</f>
        <v>13687.8647046632</v>
      </c>
      <c r="I846" s="0" t="str">
        <f aca="false">IF(E846&lt;Model!$B$5*H846,"Expedite","Standard")</f>
        <v>Expedite</v>
      </c>
      <c r="J846" s="29" t="n">
        <f aca="false">H846</f>
        <v>13687.8647046632</v>
      </c>
      <c r="K846" s="29" t="n">
        <f aca="false">E846+(1-Model!$B$5)*H846</f>
        <v>4894.97</v>
      </c>
      <c r="L846" s="29" t="n">
        <f aca="false">IF(I846="Expedite",K846,J846)</f>
        <v>4894.97</v>
      </c>
      <c r="M846" s="29" t="n">
        <f aca="false">J846-L846</f>
        <v>8792.89470466321</v>
      </c>
      <c r="N846" s="29" t="n">
        <f aca="false">IFERROR(E846/(F846*C846*Model!$B$5),"")</f>
        <v>416.033648934296</v>
      </c>
    </row>
    <row r="847" customFormat="false" ht="15" hidden="false" customHeight="false" outlineLevel="0" collapsed="false">
      <c r="A847" s="0" t="str">
        <f aca="false">Clean!A847</f>
        <v>SHP0846</v>
      </c>
      <c r="B847" s="0" t="str">
        <f aca="false">Clean!AA847</f>
        <v>VRL Cargo</v>
      </c>
      <c r="C847" s="28" t="n">
        <f aca="false">Clean!J847</f>
        <v>8.76</v>
      </c>
      <c r="D847" s="29" t="n">
        <f aca="false">Clean!AF847</f>
        <v>1128.91</v>
      </c>
      <c r="E847" s="29" t="n">
        <f aca="false">Clean!AE847</f>
        <v>2159.95</v>
      </c>
      <c r="F847" s="22" t="n">
        <f aca="false">AVERAGEIFS(Clean!$V$2:$V$1001,Clean!$AA$2:$AA$1001,B847)</f>
        <v>0.72020725388601</v>
      </c>
      <c r="G847" s="29" t="n">
        <f aca="false">F847*C847*D847</f>
        <v>7122.31073782384</v>
      </c>
      <c r="H847" s="29" t="n">
        <f aca="false">G847*Model!$B$4</f>
        <v>7122.31073782384</v>
      </c>
      <c r="I847" s="0" t="str">
        <f aca="false">IF(E847&lt;Model!$B$5*H847,"Expedite","Standard")</f>
        <v>Expedite</v>
      </c>
      <c r="J847" s="29" t="n">
        <f aca="false">H847</f>
        <v>7122.31073782384</v>
      </c>
      <c r="K847" s="29" t="n">
        <f aca="false">E847+(1-Model!$B$5)*H847</f>
        <v>2159.95</v>
      </c>
      <c r="L847" s="29" t="n">
        <f aca="false">IF(I847="Expedite",K847,J847)</f>
        <v>2159.95</v>
      </c>
      <c r="M847" s="29" t="n">
        <f aca="false">J847-L847</f>
        <v>4962.36073782384</v>
      </c>
      <c r="N847" s="29" t="n">
        <f aca="false">IFERROR(E847/(F847*C847*Model!$B$5),"")</f>
        <v>342.359276961992</v>
      </c>
    </row>
    <row r="848" customFormat="false" ht="15" hidden="false" customHeight="false" outlineLevel="0" collapsed="false">
      <c r="A848" s="0" t="str">
        <f aca="false">Clean!A848</f>
        <v>SHP0847</v>
      </c>
      <c r="B848" s="0" t="str">
        <f aca="false">Clean!AA848</f>
        <v>Delhivery</v>
      </c>
      <c r="C848" s="28" t="n">
        <f aca="false">Clean!J848</f>
        <v>3.24</v>
      </c>
      <c r="D848" s="29" t="n">
        <f aca="false">Clean!AF848</f>
        <v>1470.9</v>
      </c>
      <c r="E848" s="29" t="n">
        <f aca="false">Clean!AE848</f>
        <v>3434.29</v>
      </c>
      <c r="F848" s="22" t="n">
        <f aca="false">AVERAGEIFS(Clean!$V$2:$V$1001,Clean!$AA$2:$AA$1001,B848)</f>
        <v>0.72538860103627</v>
      </c>
      <c r="G848" s="29" t="n">
        <f aca="false">F848*C848*D848</f>
        <v>3456.99606217617</v>
      </c>
      <c r="H848" s="29" t="n">
        <f aca="false">G848*Model!$B$4</f>
        <v>3456.99606217617</v>
      </c>
      <c r="I848" s="0" t="str">
        <f aca="false">IF(E848&lt;Model!$B$5*H848,"Expedite","Standard")</f>
        <v>Expedite</v>
      </c>
      <c r="J848" s="29" t="n">
        <f aca="false">H848</f>
        <v>3456.99606217617</v>
      </c>
      <c r="K848" s="29" t="n">
        <f aca="false">E848+(1-Model!$B$5)*H848</f>
        <v>3434.29</v>
      </c>
      <c r="L848" s="29" t="n">
        <f aca="false">IF(I848="Expedite",K848,J848)</f>
        <v>3434.29</v>
      </c>
      <c r="M848" s="29" t="n">
        <f aca="false">J848-L848</f>
        <v>22.7060621761666</v>
      </c>
      <c r="N848" s="29" t="n">
        <f aca="false">IFERROR(E848/(F848*C848*Model!$B$5),"")</f>
        <v>1461.23891093474</v>
      </c>
    </row>
    <row r="849" customFormat="false" ht="15" hidden="false" customHeight="false" outlineLevel="0" collapsed="false">
      <c r="A849" s="0" t="str">
        <f aca="false">Clean!A849</f>
        <v>SHP0848</v>
      </c>
      <c r="B849" s="0" t="str">
        <f aca="false">Clean!AA849</f>
        <v>TCI Express</v>
      </c>
      <c r="C849" s="28" t="n">
        <f aca="false">Clean!J849</f>
        <v>8.1</v>
      </c>
      <c r="D849" s="29" t="n">
        <f aca="false">Clean!AF849</f>
        <v>620.27</v>
      </c>
      <c r="E849" s="29" t="n">
        <f aca="false">Clean!AE849</f>
        <v>2151.52</v>
      </c>
      <c r="F849" s="22" t="n">
        <f aca="false">AVERAGEIFS(Clean!$V$2:$V$1001,Clean!$AA$2:$AA$1001,B849)</f>
        <v>0.752336448598131</v>
      </c>
      <c r="G849" s="29" t="n">
        <f aca="false">F849*C849*D849</f>
        <v>3779.8790046729</v>
      </c>
      <c r="H849" s="29" t="n">
        <f aca="false">G849*Model!$B$4</f>
        <v>3779.8790046729</v>
      </c>
      <c r="I849" s="0" t="str">
        <f aca="false">IF(E849&lt;Model!$B$5*H849,"Expedite","Standard")</f>
        <v>Expedite</v>
      </c>
      <c r="J849" s="29" t="n">
        <f aca="false">H849</f>
        <v>3779.8790046729</v>
      </c>
      <c r="K849" s="29" t="n">
        <f aca="false">E849+(1-Model!$B$5)*H849</f>
        <v>2151.52</v>
      </c>
      <c r="L849" s="29" t="n">
        <f aca="false">IF(I849="Expedite",K849,J849)</f>
        <v>2151.52</v>
      </c>
      <c r="M849" s="29" t="n">
        <f aca="false">J849-L849</f>
        <v>1628.3590046729</v>
      </c>
      <c r="N849" s="29" t="n">
        <f aca="false">IFERROR(E849/(F849*C849*Model!$B$5),"")</f>
        <v>353.059796027912</v>
      </c>
    </row>
    <row r="850" customFormat="false" ht="15" hidden="false" customHeight="false" outlineLevel="0" collapsed="false">
      <c r="A850" s="0" t="str">
        <f aca="false">Clean!A850</f>
        <v>SHP0849</v>
      </c>
      <c r="B850" s="0" t="str">
        <f aca="false">Clean!AA850</f>
        <v>TCI Express</v>
      </c>
      <c r="C850" s="28" t="n">
        <f aca="false">Clean!J850</f>
        <v>14.37</v>
      </c>
      <c r="D850" s="29" t="n">
        <f aca="false">Clean!AF850</f>
        <v>1034.22</v>
      </c>
      <c r="E850" s="29" t="n">
        <f aca="false">Clean!AE850</f>
        <v>2009.01</v>
      </c>
      <c r="F850" s="22" t="n">
        <f aca="false">AVERAGEIFS(Clean!$V$2:$V$1001,Clean!$AA$2:$AA$1001,B850)</f>
        <v>0.752336448598131</v>
      </c>
      <c r="G850" s="29" t="n">
        <f aca="false">F850*C850*D850</f>
        <v>11181.0297448598</v>
      </c>
      <c r="H850" s="29" t="n">
        <f aca="false">G850*Model!$B$4</f>
        <v>11181.0297448598</v>
      </c>
      <c r="I850" s="0" t="str">
        <f aca="false">IF(E850&lt;Model!$B$5*H850,"Expedite","Standard")</f>
        <v>Expedite</v>
      </c>
      <c r="J850" s="29" t="n">
        <f aca="false">H850</f>
        <v>11181.0297448598</v>
      </c>
      <c r="K850" s="29" t="n">
        <f aca="false">E850+(1-Model!$B$5)*H850</f>
        <v>2009.01</v>
      </c>
      <c r="L850" s="29" t="n">
        <f aca="false">IF(I850="Expedite",K850,J850)</f>
        <v>2009.01</v>
      </c>
      <c r="M850" s="29" t="n">
        <f aca="false">J850-L850</f>
        <v>9172.01974485981</v>
      </c>
      <c r="N850" s="29" t="n">
        <f aca="false">IFERROR(E850/(F850*C850*Model!$B$5),"")</f>
        <v>185.828887822716</v>
      </c>
    </row>
    <row r="851" customFormat="false" ht="15" hidden="false" customHeight="false" outlineLevel="0" collapsed="false">
      <c r="A851" s="0" t="str">
        <f aca="false">Clean!A851</f>
        <v>SHP0850</v>
      </c>
      <c r="B851" s="0" t="str">
        <f aca="false">Clean!AA851</f>
        <v>BlueDart</v>
      </c>
      <c r="C851" s="28" t="n">
        <f aca="false">Clean!J851</f>
        <v>16.65</v>
      </c>
      <c r="D851" s="29" t="n">
        <f aca="false">Clean!AF851</f>
        <v>1177.89</v>
      </c>
      <c r="E851" s="29" t="n">
        <f aca="false">Clean!AE851</f>
        <v>1504.78</v>
      </c>
      <c r="F851" s="22" t="n">
        <f aca="false">AVERAGEIFS(Clean!$V$2:$V$1001,Clean!$AA$2:$AA$1001,B851)</f>
        <v>0.773869346733668</v>
      </c>
      <c r="G851" s="29" t="n">
        <f aca="false">F851*C851*D851</f>
        <v>15177.0238643216</v>
      </c>
      <c r="H851" s="29" t="n">
        <f aca="false">G851*Model!$B$4</f>
        <v>15177.0238643216</v>
      </c>
      <c r="I851" s="0" t="str">
        <f aca="false">IF(E851&lt;Model!$B$5*H851,"Expedite","Standard")</f>
        <v>Expedite</v>
      </c>
      <c r="J851" s="29" t="n">
        <f aca="false">H851</f>
        <v>15177.0238643216</v>
      </c>
      <c r="K851" s="29" t="n">
        <f aca="false">E851+(1-Model!$B$5)*H851</f>
        <v>1504.78</v>
      </c>
      <c r="L851" s="29" t="n">
        <f aca="false">IF(I851="Expedite",K851,J851)</f>
        <v>1504.78</v>
      </c>
      <c r="M851" s="29" t="n">
        <f aca="false">J851-L851</f>
        <v>13672.2438643216</v>
      </c>
      <c r="N851" s="29" t="n">
        <f aca="false">IFERROR(E851/(F851*C851*Model!$B$5),"")</f>
        <v>116.786092586093</v>
      </c>
    </row>
    <row r="852" customFormat="false" ht="15" hidden="false" customHeight="false" outlineLevel="0" collapsed="false">
      <c r="A852" s="0" t="str">
        <f aca="false">Clean!A852</f>
        <v>SHP0851</v>
      </c>
      <c r="B852" s="0" t="str">
        <f aca="false">Clean!AA852</f>
        <v>VRL Cargo</v>
      </c>
      <c r="C852" s="28" t="n">
        <f aca="false">Clean!J852</f>
        <v>11.87</v>
      </c>
      <c r="D852" s="29" t="n">
        <f aca="false">Clean!AF852</f>
        <v>1486.7</v>
      </c>
      <c r="E852" s="29" t="n">
        <f aca="false">Clean!AE852</f>
        <v>1432.68</v>
      </c>
      <c r="F852" s="22" t="n">
        <f aca="false">AVERAGEIFS(Clean!$V$2:$V$1001,Clean!$AA$2:$AA$1001,B852)</f>
        <v>0.72020725388601</v>
      </c>
      <c r="G852" s="29" t="n">
        <f aca="false">F852*C852*D852</f>
        <v>12709.5903160622</v>
      </c>
      <c r="H852" s="29" t="n">
        <f aca="false">G852*Model!$B$4</f>
        <v>12709.5903160622</v>
      </c>
      <c r="I852" s="0" t="str">
        <f aca="false">IF(E852&lt;Model!$B$5*H852,"Expedite","Standard")</f>
        <v>Expedite</v>
      </c>
      <c r="J852" s="29" t="n">
        <f aca="false">H852</f>
        <v>12709.5903160622</v>
      </c>
      <c r="K852" s="29" t="n">
        <f aca="false">E852+(1-Model!$B$5)*H852</f>
        <v>1432.68</v>
      </c>
      <c r="L852" s="29" t="n">
        <f aca="false">IF(I852="Expedite",K852,J852)</f>
        <v>1432.68</v>
      </c>
      <c r="M852" s="29" t="n">
        <f aca="false">J852-L852</f>
        <v>11276.9103160622</v>
      </c>
      <c r="N852" s="29" t="n">
        <f aca="false">IFERROR(E852/(F852*C852*Model!$B$5),"")</f>
        <v>167.587255216888</v>
      </c>
    </row>
    <row r="853" customFormat="false" ht="15" hidden="false" customHeight="false" outlineLevel="0" collapsed="false">
      <c r="A853" s="0" t="str">
        <f aca="false">Clean!A853</f>
        <v>SHP0852</v>
      </c>
      <c r="B853" s="0" t="str">
        <f aca="false">Clean!AA853</f>
        <v>GATI Logistics</v>
      </c>
      <c r="C853" s="28" t="n">
        <f aca="false">Clean!J853</f>
        <v>12.77</v>
      </c>
      <c r="D853" s="29" t="n">
        <f aca="false">Clean!AF853</f>
        <v>698.03</v>
      </c>
      <c r="E853" s="29" t="n">
        <f aca="false">Clean!AE853</f>
        <v>4929.56</v>
      </c>
      <c r="F853" s="22" t="n">
        <f aca="false">AVERAGEIFS(Clean!$V$2:$V$1001,Clean!$AA$2:$AA$1001,B853)</f>
        <v>0.751243781094527</v>
      </c>
      <c r="G853" s="29" t="n">
        <f aca="false">F853*C853*D853</f>
        <v>6696.46919452736</v>
      </c>
      <c r="H853" s="29" t="n">
        <f aca="false">G853*Model!$B$4</f>
        <v>6696.46919452736</v>
      </c>
      <c r="I853" s="0" t="str">
        <f aca="false">IF(E853&lt;Model!$B$5*H853,"Expedite","Standard")</f>
        <v>Expedite</v>
      </c>
      <c r="J853" s="29" t="n">
        <f aca="false">H853</f>
        <v>6696.46919452736</v>
      </c>
      <c r="K853" s="29" t="n">
        <f aca="false">E853+(1-Model!$B$5)*H853</f>
        <v>4929.56</v>
      </c>
      <c r="L853" s="29" t="n">
        <f aca="false">IF(I853="Expedite",K853,J853)</f>
        <v>4929.56</v>
      </c>
      <c r="M853" s="29" t="n">
        <f aca="false">J853-L853</f>
        <v>1766.90919452736</v>
      </c>
      <c r="N853" s="29" t="n">
        <f aca="false">IFERROR(E853/(F853*C853*Model!$B$5),"")</f>
        <v>513.850010631291</v>
      </c>
    </row>
    <row r="854" customFormat="false" ht="15" hidden="false" customHeight="false" outlineLevel="0" collapsed="false">
      <c r="A854" s="0" t="str">
        <f aca="false">Clean!A854</f>
        <v>SHP0853</v>
      </c>
      <c r="B854" s="0" t="str">
        <f aca="false">Clean!AA854</f>
        <v>BlueDart</v>
      </c>
      <c r="C854" s="28" t="n">
        <f aca="false">Clean!J854</f>
        <v>3.55</v>
      </c>
      <c r="D854" s="29" t="n">
        <f aca="false">Clean!AF854</f>
        <v>894.99</v>
      </c>
      <c r="E854" s="29" t="n">
        <f aca="false">Clean!AE854</f>
        <v>4493.57</v>
      </c>
      <c r="F854" s="22" t="n">
        <f aca="false">AVERAGEIFS(Clean!$V$2:$V$1001,Clean!$AA$2:$AA$1001,B854)</f>
        <v>0.773869346733668</v>
      </c>
      <c r="G854" s="29" t="n">
        <f aca="false">F854*C854*D854</f>
        <v>2458.74890954774</v>
      </c>
      <c r="H854" s="29" t="n">
        <f aca="false">G854*Model!$B$4</f>
        <v>2458.74890954774</v>
      </c>
      <c r="I854" s="0" t="str">
        <f aca="false">IF(E854&lt;Model!$B$5*H854,"Expedite","Standard")</f>
        <v>Standard</v>
      </c>
      <c r="J854" s="29" t="n">
        <f aca="false">H854</f>
        <v>2458.74890954774</v>
      </c>
      <c r="K854" s="29" t="n">
        <f aca="false">E854+(1-Model!$B$5)*H854</f>
        <v>4493.57</v>
      </c>
      <c r="L854" s="29" t="n">
        <f aca="false">IF(I854="Expedite",K854,J854)</f>
        <v>2458.74890954774</v>
      </c>
      <c r="M854" s="29" t="n">
        <f aca="false">J854-L854</f>
        <v>0</v>
      </c>
      <c r="N854" s="29" t="n">
        <f aca="false">IFERROR(E854/(F854*C854*Model!$B$5),"")</f>
        <v>1635.66934333272</v>
      </c>
    </row>
    <row r="855" customFormat="false" ht="15" hidden="false" customHeight="false" outlineLevel="0" collapsed="false">
      <c r="A855" s="0" t="str">
        <f aca="false">Clean!A855</f>
        <v>SHP0854</v>
      </c>
      <c r="B855" s="0" t="str">
        <f aca="false">Clean!AA855</f>
        <v>TCI Express</v>
      </c>
      <c r="C855" s="28" t="n">
        <f aca="false">Clean!J855</f>
        <v>7.37</v>
      </c>
      <c r="D855" s="29" t="n">
        <f aca="false">Clean!AF855</f>
        <v>502.84</v>
      </c>
      <c r="E855" s="29" t="n">
        <f aca="false">Clean!AE855</f>
        <v>3734.37</v>
      </c>
      <c r="F855" s="22" t="n">
        <f aca="false">AVERAGEIFS(Clean!$V$2:$V$1001,Clean!$AA$2:$AA$1001,B855)</f>
        <v>0.752336448598131</v>
      </c>
      <c r="G855" s="29" t="n">
        <f aca="false">F855*C855*D855</f>
        <v>2788.10681682243</v>
      </c>
      <c r="H855" s="29" t="n">
        <f aca="false">G855*Model!$B$4</f>
        <v>2788.10681682243</v>
      </c>
      <c r="I855" s="0" t="str">
        <f aca="false">IF(E855&lt;Model!$B$5*H855,"Expedite","Standard")</f>
        <v>Standard</v>
      </c>
      <c r="J855" s="29" t="n">
        <f aca="false">H855</f>
        <v>2788.10681682243</v>
      </c>
      <c r="K855" s="29" t="n">
        <f aca="false">E855+(1-Model!$B$5)*H855</f>
        <v>3734.37</v>
      </c>
      <c r="L855" s="29" t="n">
        <f aca="false">IF(I855="Expedite",K855,J855)</f>
        <v>2788.10681682243</v>
      </c>
      <c r="M855" s="29" t="n">
        <f aca="false">J855-L855</f>
        <v>0</v>
      </c>
      <c r="N855" s="29" t="n">
        <f aca="false">IFERROR(E855/(F855*C855*Model!$B$5),"")</f>
        <v>673.500240188105</v>
      </c>
    </row>
    <row r="856" customFormat="false" ht="15" hidden="false" customHeight="false" outlineLevel="0" collapsed="false">
      <c r="A856" s="0" t="str">
        <f aca="false">Clean!A856</f>
        <v>SHP0855</v>
      </c>
      <c r="B856" s="0" t="str">
        <f aca="false">Clean!AA856</f>
        <v>BlueDart</v>
      </c>
      <c r="C856" s="28" t="n">
        <f aca="false">Clean!J856</f>
        <v>18.69</v>
      </c>
      <c r="D856" s="29" t="n">
        <f aca="false">Clean!AF856</f>
        <v>1480.99</v>
      </c>
      <c r="E856" s="29" t="n">
        <f aca="false">Clean!AE856</f>
        <v>4243.31</v>
      </c>
      <c r="F856" s="22" t="n">
        <f aca="false">AVERAGEIFS(Clean!$V$2:$V$1001,Clean!$AA$2:$AA$1001,B856)</f>
        <v>0.773869346733668</v>
      </c>
      <c r="G856" s="29" t="n">
        <f aca="false">F856*C856*D856</f>
        <v>21420.4737557789</v>
      </c>
      <c r="H856" s="29" t="n">
        <f aca="false">G856*Model!$B$4</f>
        <v>21420.4737557789</v>
      </c>
      <c r="I856" s="0" t="str">
        <f aca="false">IF(E856&lt;Model!$B$5*H856,"Expedite","Standard")</f>
        <v>Expedite</v>
      </c>
      <c r="J856" s="29" t="n">
        <f aca="false">H856</f>
        <v>21420.4737557789</v>
      </c>
      <c r="K856" s="29" t="n">
        <f aca="false">E856+(1-Model!$B$5)*H856</f>
        <v>4243.31</v>
      </c>
      <c r="L856" s="29" t="n">
        <f aca="false">IF(I856="Expedite",K856,J856)</f>
        <v>4243.31</v>
      </c>
      <c r="M856" s="29" t="n">
        <f aca="false">J856-L856</f>
        <v>17177.1637557789</v>
      </c>
      <c r="N856" s="29" t="n">
        <f aca="false">IFERROR(E856/(F856*C856*Model!$B$5),"")</f>
        <v>293.378183346883</v>
      </c>
    </row>
    <row r="857" customFormat="false" ht="15" hidden="false" customHeight="false" outlineLevel="0" collapsed="false">
      <c r="A857" s="0" t="str">
        <f aca="false">Clean!A857</f>
        <v>SHP0856</v>
      </c>
      <c r="B857" s="0" t="str">
        <f aca="false">Clean!AA857</f>
        <v>BlueDart</v>
      </c>
      <c r="C857" s="28" t="n">
        <f aca="false">Clean!J857</f>
        <v>18.6</v>
      </c>
      <c r="D857" s="29" t="n">
        <f aca="false">Clean!AF857</f>
        <v>1233.4</v>
      </c>
      <c r="E857" s="29" t="n">
        <f aca="false">Clean!AE857</f>
        <v>2180.44</v>
      </c>
      <c r="F857" s="22" t="n">
        <f aca="false">AVERAGEIFS(Clean!$V$2:$V$1001,Clean!$AA$2:$AA$1001,B857)</f>
        <v>0.773869346733668</v>
      </c>
      <c r="G857" s="29" t="n">
        <f aca="false">F857*C857*D857</f>
        <v>17753.5224120603</v>
      </c>
      <c r="H857" s="29" t="n">
        <f aca="false">G857*Model!$B$4</f>
        <v>17753.5224120603</v>
      </c>
      <c r="I857" s="0" t="str">
        <f aca="false">IF(E857&lt;Model!$B$5*H857,"Expedite","Standard")</f>
        <v>Expedite</v>
      </c>
      <c r="J857" s="29" t="n">
        <f aca="false">H857</f>
        <v>17753.5224120603</v>
      </c>
      <c r="K857" s="29" t="n">
        <f aca="false">E857+(1-Model!$B$5)*H857</f>
        <v>2180.44</v>
      </c>
      <c r="L857" s="29" t="n">
        <f aca="false">IF(I857="Expedite",K857,J857)</f>
        <v>2180.44</v>
      </c>
      <c r="M857" s="29" t="n">
        <f aca="false">J857-L857</f>
        <v>15573.0824120603</v>
      </c>
      <c r="N857" s="29" t="n">
        <f aca="false">IFERROR(E857/(F857*C857*Model!$B$5),"")</f>
        <v>151.482879486105</v>
      </c>
    </row>
    <row r="858" customFormat="false" ht="15" hidden="false" customHeight="false" outlineLevel="0" collapsed="false">
      <c r="A858" s="0" t="str">
        <f aca="false">Clean!A858</f>
        <v>SHP0857</v>
      </c>
      <c r="B858" s="0" t="str">
        <f aca="false">Clean!AA858</f>
        <v>TCI Express</v>
      </c>
      <c r="C858" s="28" t="n">
        <f aca="false">Clean!J858</f>
        <v>17.55</v>
      </c>
      <c r="D858" s="29" t="n">
        <f aca="false">Clean!AF858</f>
        <v>1025.14</v>
      </c>
      <c r="E858" s="29" t="n">
        <f aca="false">Clean!AE858</f>
        <v>3357.33</v>
      </c>
      <c r="F858" s="22" t="n">
        <f aca="false">AVERAGEIFS(Clean!$V$2:$V$1001,Clean!$AA$2:$AA$1001,B858)</f>
        <v>0.752336448598131</v>
      </c>
      <c r="G858" s="29" t="n">
        <f aca="false">F858*C858*D858</f>
        <v>13535.4407803738</v>
      </c>
      <c r="H858" s="29" t="n">
        <f aca="false">G858*Model!$B$4</f>
        <v>13535.4407803738</v>
      </c>
      <c r="I858" s="0" t="str">
        <f aca="false">IF(E858&lt;Model!$B$5*H858,"Expedite","Standard")</f>
        <v>Expedite</v>
      </c>
      <c r="J858" s="29" t="n">
        <f aca="false">H858</f>
        <v>13535.4407803738</v>
      </c>
      <c r="K858" s="29" t="n">
        <f aca="false">E858+(1-Model!$B$5)*H858</f>
        <v>3357.33</v>
      </c>
      <c r="L858" s="29" t="n">
        <f aca="false">IF(I858="Expedite",K858,J858)</f>
        <v>3357.33</v>
      </c>
      <c r="M858" s="29" t="n">
        <f aca="false">J858-L858</f>
        <v>10178.1107803738</v>
      </c>
      <c r="N858" s="29" t="n">
        <f aca="false">IFERROR(E858/(F858*C858*Model!$B$5),"")</f>
        <v>254.275670223496</v>
      </c>
    </row>
    <row r="859" customFormat="false" ht="15" hidden="false" customHeight="false" outlineLevel="0" collapsed="false">
      <c r="A859" s="0" t="str">
        <f aca="false">Clean!A859</f>
        <v>SHP0858</v>
      </c>
      <c r="B859" s="0" t="str">
        <f aca="false">Clean!AA859</f>
        <v>VRL Cargo</v>
      </c>
      <c r="C859" s="28" t="n">
        <f aca="false">Clean!J859</f>
        <v>4.86</v>
      </c>
      <c r="D859" s="29" t="n">
        <f aca="false">Clean!AF859</f>
        <v>601.75</v>
      </c>
      <c r="E859" s="29" t="n">
        <f aca="false">Clean!AE859</f>
        <v>4636.93</v>
      </c>
      <c r="F859" s="22" t="n">
        <f aca="false">AVERAGEIFS(Clean!$V$2:$V$1001,Clean!$AA$2:$AA$1001,B859)</f>
        <v>0.72020725388601</v>
      </c>
      <c r="G859" s="29" t="n">
        <f aca="false">F859*C859*D859</f>
        <v>2106.24971502591</v>
      </c>
      <c r="H859" s="29" t="n">
        <f aca="false">G859*Model!$B$4</f>
        <v>2106.24971502591</v>
      </c>
      <c r="I859" s="0" t="str">
        <f aca="false">IF(E859&lt;Model!$B$5*H859,"Expedite","Standard")</f>
        <v>Standard</v>
      </c>
      <c r="J859" s="29" t="n">
        <f aca="false">H859</f>
        <v>2106.24971502591</v>
      </c>
      <c r="K859" s="29" t="n">
        <f aca="false">E859+(1-Model!$B$5)*H859</f>
        <v>4636.93</v>
      </c>
      <c r="L859" s="29" t="n">
        <f aca="false">IF(I859="Expedite",K859,J859)</f>
        <v>2106.24971502591</v>
      </c>
      <c r="M859" s="29" t="n">
        <f aca="false">J859-L859</f>
        <v>0</v>
      </c>
      <c r="N859" s="29" t="n">
        <f aca="false">IFERROR(E859/(F859*C859*Model!$B$5),"")</f>
        <v>1324.75869674631</v>
      </c>
    </row>
    <row r="860" customFormat="false" ht="15" hidden="false" customHeight="false" outlineLevel="0" collapsed="false">
      <c r="A860" s="0" t="str">
        <f aca="false">Clean!A860</f>
        <v>SHP0859</v>
      </c>
      <c r="B860" s="0" t="str">
        <f aca="false">Clean!AA860</f>
        <v>VRL Cargo</v>
      </c>
      <c r="C860" s="28" t="n">
        <f aca="false">Clean!J860</f>
        <v>1.93</v>
      </c>
      <c r="D860" s="29" t="n">
        <f aca="false">Clean!AF860</f>
        <v>890.75</v>
      </c>
      <c r="E860" s="29" t="n">
        <f aca="false">Clean!AE860</f>
        <v>1162.38</v>
      </c>
      <c r="F860" s="22" t="n">
        <f aca="false">AVERAGEIFS(Clean!$V$2:$V$1001,Clean!$AA$2:$AA$1001,B860)</f>
        <v>0.72020725388601</v>
      </c>
      <c r="G860" s="29" t="n">
        <f aca="false">F860*C860*D860</f>
        <v>1238.1425</v>
      </c>
      <c r="H860" s="29" t="n">
        <f aca="false">G860*Model!$B$4</f>
        <v>1238.1425</v>
      </c>
      <c r="I860" s="0" t="str">
        <f aca="false">IF(E860&lt;Model!$B$5*H860,"Expedite","Standard")</f>
        <v>Expedite</v>
      </c>
      <c r="J860" s="29" t="n">
        <f aca="false">H860</f>
        <v>1238.1425</v>
      </c>
      <c r="K860" s="29" t="n">
        <f aca="false">E860+(1-Model!$B$5)*H860</f>
        <v>1162.38</v>
      </c>
      <c r="L860" s="29" t="n">
        <f aca="false">IF(I860="Expedite",K860,J860)</f>
        <v>1162.38</v>
      </c>
      <c r="M860" s="29" t="n">
        <f aca="false">J860-L860</f>
        <v>75.7624999999998</v>
      </c>
      <c r="N860" s="29" t="n">
        <f aca="false">IFERROR(E860/(F860*C860*Model!$B$5),"")</f>
        <v>836.244604316547</v>
      </c>
    </row>
    <row r="861" customFormat="false" ht="15" hidden="false" customHeight="false" outlineLevel="0" collapsed="false">
      <c r="A861" s="0" t="str">
        <f aca="false">Clean!A861</f>
        <v>SHP0860</v>
      </c>
      <c r="B861" s="0" t="str">
        <f aca="false">Clean!AA861</f>
        <v>BlueDart</v>
      </c>
      <c r="C861" s="28" t="n">
        <f aca="false">Clean!J861</f>
        <v>16.03</v>
      </c>
      <c r="D861" s="29" t="n">
        <f aca="false">Clean!AF861</f>
        <v>680.66</v>
      </c>
      <c r="E861" s="29" t="n">
        <f aca="false">Clean!AE861</f>
        <v>1413.51</v>
      </c>
      <c r="F861" s="22" t="n">
        <f aca="false">AVERAGEIFS(Clean!$V$2:$V$1001,Clean!$AA$2:$AA$1001,B861)</f>
        <v>0.773869346733668</v>
      </c>
      <c r="G861" s="29" t="n">
        <f aca="false">F861*C861*D861</f>
        <v>8443.67281005025</v>
      </c>
      <c r="H861" s="29" t="n">
        <f aca="false">G861*Model!$B$4</f>
        <v>8443.67281005025</v>
      </c>
      <c r="I861" s="0" t="str">
        <f aca="false">IF(E861&lt;Model!$B$5*H861,"Expedite","Standard")</f>
        <v>Expedite</v>
      </c>
      <c r="J861" s="29" t="n">
        <f aca="false">H861</f>
        <v>8443.67281005025</v>
      </c>
      <c r="K861" s="29" t="n">
        <f aca="false">E861+(1-Model!$B$5)*H861</f>
        <v>1413.51</v>
      </c>
      <c r="L861" s="29" t="n">
        <f aca="false">IF(I861="Expedite",K861,J861)</f>
        <v>1413.51</v>
      </c>
      <c r="M861" s="29" t="n">
        <f aca="false">J861-L861</f>
        <v>7030.16281005025</v>
      </c>
      <c r="N861" s="29" t="n">
        <f aca="false">IFERROR(E861/(F861*C861*Model!$B$5),"")</f>
        <v>113.94564169455</v>
      </c>
    </row>
    <row r="862" customFormat="false" ht="15" hidden="false" customHeight="false" outlineLevel="0" collapsed="false">
      <c r="A862" s="0" t="str">
        <f aca="false">Clean!A862</f>
        <v>SHP0861</v>
      </c>
      <c r="B862" s="0" t="str">
        <f aca="false">Clean!AA862</f>
        <v>VRL Cargo</v>
      </c>
      <c r="C862" s="28" t="n">
        <f aca="false">Clean!J862</f>
        <v>3.47</v>
      </c>
      <c r="D862" s="29" t="n">
        <f aca="false">Clean!AF862</f>
        <v>569.65</v>
      </c>
      <c r="E862" s="29" t="n">
        <f aca="false">Clean!AE862</f>
        <v>1431.85</v>
      </c>
      <c r="F862" s="22" t="n">
        <f aca="false">AVERAGEIFS(Clean!$V$2:$V$1001,Clean!$AA$2:$AA$1001,B862)</f>
        <v>0.72020725388601</v>
      </c>
      <c r="G862" s="29" t="n">
        <f aca="false">F862*C862*D862</f>
        <v>1423.6232357513</v>
      </c>
      <c r="H862" s="29" t="n">
        <f aca="false">G862*Model!$B$4</f>
        <v>1423.6232357513</v>
      </c>
      <c r="I862" s="0" t="str">
        <f aca="false">IF(E862&lt;Model!$B$5*H862,"Expedite","Standard")</f>
        <v>Standard</v>
      </c>
      <c r="J862" s="29" t="n">
        <f aca="false">H862</f>
        <v>1423.6232357513</v>
      </c>
      <c r="K862" s="29" t="n">
        <f aca="false">E862+(1-Model!$B$5)*H862</f>
        <v>1431.85</v>
      </c>
      <c r="L862" s="29" t="n">
        <f aca="false">IF(I862="Expedite",K862,J862)</f>
        <v>1423.6232357513</v>
      </c>
      <c r="M862" s="29" t="n">
        <f aca="false">J862-L862</f>
        <v>0</v>
      </c>
      <c r="N862" s="29" t="n">
        <f aca="false">IFERROR(E862/(F862*C862*Model!$B$5),"")</f>
        <v>572.941865527751</v>
      </c>
    </row>
    <row r="863" customFormat="false" ht="15" hidden="false" customHeight="false" outlineLevel="0" collapsed="false">
      <c r="A863" s="0" t="str">
        <f aca="false">Clean!A863</f>
        <v>SHP0862</v>
      </c>
      <c r="B863" s="0" t="str">
        <f aca="false">Clean!AA863</f>
        <v>GATI Logistics</v>
      </c>
      <c r="C863" s="28" t="n">
        <f aca="false">Clean!J863</f>
        <v>12.19</v>
      </c>
      <c r="D863" s="29" t="n">
        <f aca="false">Clean!AF863</f>
        <v>835.56</v>
      </c>
      <c r="E863" s="29" t="n">
        <f aca="false">Clean!AE863</f>
        <v>1105.79</v>
      </c>
      <c r="F863" s="22" t="n">
        <f aca="false">AVERAGEIFS(Clean!$V$2:$V$1001,Clean!$AA$2:$AA$1001,B863)</f>
        <v>0.751243781094527</v>
      </c>
      <c r="G863" s="29" t="n">
        <f aca="false">F863*C863*D863</f>
        <v>7651.77580298508</v>
      </c>
      <c r="H863" s="29" t="n">
        <f aca="false">G863*Model!$B$4</f>
        <v>7651.77580298508</v>
      </c>
      <c r="I863" s="0" t="str">
        <f aca="false">IF(E863&lt;Model!$B$5*H863,"Expedite","Standard")</f>
        <v>Expedite</v>
      </c>
      <c r="J863" s="29" t="n">
        <f aca="false">H863</f>
        <v>7651.77580298508</v>
      </c>
      <c r="K863" s="29" t="n">
        <f aca="false">E863+(1-Model!$B$5)*H863</f>
        <v>1105.79</v>
      </c>
      <c r="L863" s="29" t="n">
        <f aca="false">IF(I863="Expedite",K863,J863)</f>
        <v>1105.79</v>
      </c>
      <c r="M863" s="29" t="n">
        <f aca="false">J863-L863</f>
        <v>6545.98580298508</v>
      </c>
      <c r="N863" s="29" t="n">
        <f aca="false">IFERROR(E863/(F863*C863*Model!$B$5),"")</f>
        <v>120.750256697217</v>
      </c>
    </row>
    <row r="864" customFormat="false" ht="15" hidden="false" customHeight="false" outlineLevel="0" collapsed="false">
      <c r="A864" s="0" t="str">
        <f aca="false">Clean!A864</f>
        <v>SHP0863</v>
      </c>
      <c r="B864" s="0" t="str">
        <f aca="false">Clean!AA864</f>
        <v>TCI Express</v>
      </c>
      <c r="C864" s="28" t="n">
        <f aca="false">Clean!J864</f>
        <v>19.54</v>
      </c>
      <c r="D864" s="29" t="n">
        <f aca="false">Clean!AF864</f>
        <v>1469.44</v>
      </c>
      <c r="E864" s="29" t="n">
        <f aca="false">Clean!AE864</f>
        <v>3041.57</v>
      </c>
      <c r="F864" s="22" t="n">
        <f aca="false">AVERAGEIFS(Clean!$V$2:$V$1001,Clean!$AA$2:$AA$1001,B864)</f>
        <v>0.752336448598131</v>
      </c>
      <c r="G864" s="29" t="n">
        <f aca="false">F864*C864*D864</f>
        <v>21601.7293158879</v>
      </c>
      <c r="H864" s="29" t="n">
        <f aca="false">G864*Model!$B$4</f>
        <v>21601.7293158879</v>
      </c>
      <c r="I864" s="0" t="str">
        <f aca="false">IF(E864&lt;Model!$B$5*H864,"Expedite","Standard")</f>
        <v>Expedite</v>
      </c>
      <c r="J864" s="29" t="n">
        <f aca="false">H864</f>
        <v>21601.7293158879</v>
      </c>
      <c r="K864" s="29" t="n">
        <f aca="false">E864+(1-Model!$B$5)*H864</f>
        <v>3041.57</v>
      </c>
      <c r="L864" s="29" t="n">
        <f aca="false">IF(I864="Expedite",K864,J864)</f>
        <v>3041.57</v>
      </c>
      <c r="M864" s="29" t="n">
        <f aca="false">J864-L864</f>
        <v>18560.1593158879</v>
      </c>
      <c r="N864" s="29" t="n">
        <f aca="false">IFERROR(E864/(F864*C864*Model!$B$5),"")</f>
        <v>206.900315962797</v>
      </c>
    </row>
    <row r="865" customFormat="false" ht="15" hidden="false" customHeight="false" outlineLevel="0" collapsed="false">
      <c r="A865" s="0" t="str">
        <f aca="false">Clean!A865</f>
        <v>SHP0864</v>
      </c>
      <c r="B865" s="0" t="str">
        <f aca="false">Clean!AA865</f>
        <v>TCI Express</v>
      </c>
      <c r="C865" s="28" t="n">
        <f aca="false">Clean!J865</f>
        <v>14.17</v>
      </c>
      <c r="D865" s="29" t="n">
        <f aca="false">Clean!AF865</f>
        <v>528.34</v>
      </c>
      <c r="E865" s="29" t="n">
        <f aca="false">Clean!AE865</f>
        <v>3577.69</v>
      </c>
      <c r="F865" s="22" t="n">
        <f aca="false">AVERAGEIFS(Clean!$V$2:$V$1001,Clean!$AA$2:$AA$1001,B865)</f>
        <v>0.752336448598131</v>
      </c>
      <c r="G865" s="29" t="n">
        <f aca="false">F865*C865*D865</f>
        <v>5632.42535420561</v>
      </c>
      <c r="H865" s="29" t="n">
        <f aca="false">G865*Model!$B$4</f>
        <v>5632.42535420561</v>
      </c>
      <c r="I865" s="0" t="str">
        <f aca="false">IF(E865&lt;Model!$B$5*H865,"Expedite","Standard")</f>
        <v>Expedite</v>
      </c>
      <c r="J865" s="29" t="n">
        <f aca="false">H865</f>
        <v>5632.42535420561</v>
      </c>
      <c r="K865" s="29" t="n">
        <f aca="false">E865+(1-Model!$B$5)*H865</f>
        <v>3577.69</v>
      </c>
      <c r="L865" s="29" t="n">
        <f aca="false">IF(I865="Expedite",K865,J865)</f>
        <v>3577.69</v>
      </c>
      <c r="M865" s="29" t="n">
        <f aca="false">J865-L865</f>
        <v>2054.73535420561</v>
      </c>
      <c r="N865" s="29" t="n">
        <f aca="false">IFERROR(E865/(F865*C865*Model!$B$5),"")</f>
        <v>335.599074240478</v>
      </c>
    </row>
    <row r="866" customFormat="false" ht="15" hidden="false" customHeight="false" outlineLevel="0" collapsed="false">
      <c r="A866" s="0" t="str">
        <f aca="false">Clean!A866</f>
        <v>SHP0865</v>
      </c>
      <c r="B866" s="0" t="str">
        <f aca="false">Clean!AA866</f>
        <v>BlueDart</v>
      </c>
      <c r="C866" s="28" t="n">
        <f aca="false">Clean!J866</f>
        <v>16.74</v>
      </c>
      <c r="D866" s="29" t="n">
        <f aca="false">Clean!AF866</f>
        <v>1139.96</v>
      </c>
      <c r="E866" s="29" t="n">
        <f aca="false">Clean!AE866</f>
        <v>4943.69</v>
      </c>
      <c r="F866" s="22" t="n">
        <f aca="false">AVERAGEIFS(Clean!$V$2:$V$1001,Clean!$AA$2:$AA$1001,B866)</f>
        <v>0.773869346733668</v>
      </c>
      <c r="G866" s="29" t="n">
        <f aca="false">F866*C866*D866</f>
        <v>14767.6948824121</v>
      </c>
      <c r="H866" s="29" t="n">
        <f aca="false">G866*Model!$B$4</f>
        <v>14767.6948824121</v>
      </c>
      <c r="I866" s="0" t="str">
        <f aca="false">IF(E866&lt;Model!$B$5*H866,"Expedite","Standard")</f>
        <v>Expedite</v>
      </c>
      <c r="J866" s="29" t="n">
        <f aca="false">H866</f>
        <v>14767.6948824121</v>
      </c>
      <c r="K866" s="29" t="n">
        <f aca="false">E866+(1-Model!$B$5)*H866</f>
        <v>4943.69</v>
      </c>
      <c r="L866" s="29" t="n">
        <f aca="false">IF(I866="Expedite",K866,J866)</f>
        <v>4943.69</v>
      </c>
      <c r="M866" s="29" t="n">
        <f aca="false">J866-L866</f>
        <v>9824.00488241206</v>
      </c>
      <c r="N866" s="29" t="n">
        <f aca="false">IFERROR(E866/(F866*C866*Model!$B$5),"")</f>
        <v>381.6173679964</v>
      </c>
    </row>
    <row r="867" customFormat="false" ht="15" hidden="false" customHeight="false" outlineLevel="0" collapsed="false">
      <c r="A867" s="0" t="str">
        <f aca="false">Clean!A867</f>
        <v>SHP0866</v>
      </c>
      <c r="B867" s="0" t="str">
        <f aca="false">Clean!AA867</f>
        <v>VRL Cargo</v>
      </c>
      <c r="C867" s="28" t="n">
        <f aca="false">Clean!J867</f>
        <v>17.34</v>
      </c>
      <c r="D867" s="29" t="n">
        <f aca="false">Clean!AF867</f>
        <v>605.4</v>
      </c>
      <c r="E867" s="29" t="n">
        <f aca="false">Clean!AE867</f>
        <v>1236.89</v>
      </c>
      <c r="F867" s="22" t="n">
        <f aca="false">AVERAGEIFS(Clean!$V$2:$V$1001,Clean!$AA$2:$AA$1001,B867)</f>
        <v>0.72020725388601</v>
      </c>
      <c r="G867" s="29" t="n">
        <f aca="false">F867*C867*D867</f>
        <v>7560.47359585492</v>
      </c>
      <c r="H867" s="29" t="n">
        <f aca="false">G867*Model!$B$4</f>
        <v>7560.47359585492</v>
      </c>
      <c r="I867" s="0" t="str">
        <f aca="false">IF(E867&lt;Model!$B$5*H867,"Expedite","Standard")</f>
        <v>Expedite</v>
      </c>
      <c r="J867" s="29" t="n">
        <f aca="false">H867</f>
        <v>7560.47359585492</v>
      </c>
      <c r="K867" s="29" t="n">
        <f aca="false">E867+(1-Model!$B$5)*H867</f>
        <v>1236.89</v>
      </c>
      <c r="L867" s="29" t="n">
        <f aca="false">IF(I867="Expedite",K867,J867)</f>
        <v>1236.89</v>
      </c>
      <c r="M867" s="29" t="n">
        <f aca="false">J867-L867</f>
        <v>6323.58359585492</v>
      </c>
      <c r="N867" s="29" t="n">
        <f aca="false">IFERROR(E867/(F867*C867*Model!$B$5),"")</f>
        <v>99.0431613186959</v>
      </c>
    </row>
    <row r="868" customFormat="false" ht="15" hidden="false" customHeight="false" outlineLevel="0" collapsed="false">
      <c r="A868" s="0" t="str">
        <f aca="false">Clean!A868</f>
        <v>SHP0867</v>
      </c>
      <c r="B868" s="0" t="str">
        <f aca="false">Clean!AA868</f>
        <v>VRL Cargo</v>
      </c>
      <c r="C868" s="28" t="n">
        <f aca="false">Clean!J868</f>
        <v>4.51</v>
      </c>
      <c r="D868" s="29" t="n">
        <f aca="false">Clean!AF868</f>
        <v>1066.3</v>
      </c>
      <c r="E868" s="29" t="n">
        <f aca="false">Clean!AE868</f>
        <v>1506.85</v>
      </c>
      <c r="F868" s="22" t="n">
        <f aca="false">AVERAGEIFS(Clean!$V$2:$V$1001,Clean!$AA$2:$AA$1001,B868)</f>
        <v>0.72020725388601</v>
      </c>
      <c r="G868" s="29" t="n">
        <f aca="false">F868*C868*D868</f>
        <v>3463.48604663212</v>
      </c>
      <c r="H868" s="29" t="n">
        <f aca="false">G868*Model!$B$4</f>
        <v>3463.48604663212</v>
      </c>
      <c r="I868" s="0" t="str">
        <f aca="false">IF(E868&lt;Model!$B$5*H868,"Expedite","Standard")</f>
        <v>Expedite</v>
      </c>
      <c r="J868" s="29" t="n">
        <f aca="false">H868</f>
        <v>3463.48604663212</v>
      </c>
      <c r="K868" s="29" t="n">
        <f aca="false">E868+(1-Model!$B$5)*H868</f>
        <v>1506.85</v>
      </c>
      <c r="L868" s="29" t="n">
        <f aca="false">IF(I868="Expedite",K868,J868)</f>
        <v>1506.85</v>
      </c>
      <c r="M868" s="29" t="n">
        <f aca="false">J868-L868</f>
        <v>1956.63604663212</v>
      </c>
      <c r="N868" s="29" t="n">
        <f aca="false">IFERROR(E868/(F868*C868*Model!$B$5),"")</f>
        <v>463.91240887556</v>
      </c>
    </row>
    <row r="869" customFormat="false" ht="15" hidden="false" customHeight="false" outlineLevel="0" collapsed="false">
      <c r="A869" s="0" t="str">
        <f aca="false">Clean!A869</f>
        <v>SHP0868</v>
      </c>
      <c r="B869" s="0" t="str">
        <f aca="false">Clean!AA869</f>
        <v>GATI Logistics</v>
      </c>
      <c r="C869" s="28" t="n">
        <f aca="false">Clean!J869</f>
        <v>8.57</v>
      </c>
      <c r="D869" s="29" t="n">
        <f aca="false">Clean!AF869</f>
        <v>624.92</v>
      </c>
      <c r="E869" s="29" t="n">
        <f aca="false">Clean!AE869</f>
        <v>1654.5</v>
      </c>
      <c r="F869" s="22" t="n">
        <f aca="false">AVERAGEIFS(Clean!$V$2:$V$1001,Clean!$AA$2:$AA$1001,B869)</f>
        <v>0.751243781094527</v>
      </c>
      <c r="G869" s="29" t="n">
        <f aca="false">F869*C869*D869</f>
        <v>4023.33444975124</v>
      </c>
      <c r="H869" s="29" t="n">
        <f aca="false">G869*Model!$B$4</f>
        <v>4023.33444975124</v>
      </c>
      <c r="I869" s="0" t="str">
        <f aca="false">IF(E869&lt;Model!$B$5*H869,"Expedite","Standard")</f>
        <v>Expedite</v>
      </c>
      <c r="J869" s="29" t="n">
        <f aca="false">H869</f>
        <v>4023.33444975124</v>
      </c>
      <c r="K869" s="29" t="n">
        <f aca="false">E869+(1-Model!$B$5)*H869</f>
        <v>1654.5</v>
      </c>
      <c r="L869" s="29" t="n">
        <f aca="false">IF(I869="Expedite",K869,J869)</f>
        <v>1654.5</v>
      </c>
      <c r="M869" s="29" t="n">
        <f aca="false">J869-L869</f>
        <v>2368.83444975124</v>
      </c>
      <c r="N869" s="29" t="n">
        <f aca="false">IFERROR(E869/(F869*C869*Model!$B$5),"")</f>
        <v>256.983393479487</v>
      </c>
    </row>
    <row r="870" customFormat="false" ht="15" hidden="false" customHeight="false" outlineLevel="0" collapsed="false">
      <c r="A870" s="0" t="str">
        <f aca="false">Clean!A870</f>
        <v>SHP0869</v>
      </c>
      <c r="B870" s="0" t="str">
        <f aca="false">Clean!AA870</f>
        <v>TCI Express</v>
      </c>
      <c r="C870" s="28" t="n">
        <f aca="false">Clean!J870</f>
        <v>1.51</v>
      </c>
      <c r="D870" s="29" t="n">
        <f aca="false">Clean!AF870</f>
        <v>817.26</v>
      </c>
      <c r="E870" s="29" t="n">
        <f aca="false">Clean!AE870</f>
        <v>1789.26</v>
      </c>
      <c r="F870" s="22" t="n">
        <f aca="false">AVERAGEIFS(Clean!$V$2:$V$1001,Clean!$AA$2:$AA$1001,B870)</f>
        <v>0.752336448598131</v>
      </c>
      <c r="G870" s="29" t="n">
        <f aca="false">F870*C870*D870</f>
        <v>928.430273831776</v>
      </c>
      <c r="H870" s="29" t="n">
        <f aca="false">G870*Model!$B$4</f>
        <v>928.430273831776</v>
      </c>
      <c r="I870" s="0" t="str">
        <f aca="false">IF(E870&lt;Model!$B$5*H870,"Expedite","Standard")</f>
        <v>Standard</v>
      </c>
      <c r="J870" s="29" t="n">
        <f aca="false">H870</f>
        <v>928.430273831776</v>
      </c>
      <c r="K870" s="29" t="n">
        <f aca="false">E870+(1-Model!$B$5)*H870</f>
        <v>1789.26</v>
      </c>
      <c r="L870" s="29" t="n">
        <f aca="false">IF(I870="Expedite",K870,J870)</f>
        <v>928.430273831776</v>
      </c>
      <c r="M870" s="29" t="n">
        <f aca="false">J870-L870</f>
        <v>0</v>
      </c>
      <c r="N870" s="29" t="n">
        <f aca="false">IFERROR(E870/(F870*C870*Model!$B$5),"")</f>
        <v>1575.01394430505</v>
      </c>
    </row>
    <row r="871" customFormat="false" ht="15" hidden="false" customHeight="false" outlineLevel="0" collapsed="false">
      <c r="A871" s="0" t="str">
        <f aca="false">Clean!A871</f>
        <v>SHP0870</v>
      </c>
      <c r="B871" s="0" t="str">
        <f aca="false">Clean!AA871</f>
        <v>TCI Express</v>
      </c>
      <c r="C871" s="28" t="n">
        <f aca="false">Clean!J871</f>
        <v>6.36</v>
      </c>
      <c r="D871" s="29" t="n">
        <f aca="false">Clean!AF871</f>
        <v>953.37</v>
      </c>
      <c r="E871" s="29" t="n">
        <f aca="false">Clean!AE871</f>
        <v>1933.59</v>
      </c>
      <c r="F871" s="22" t="n">
        <f aca="false">AVERAGEIFS(Clean!$V$2:$V$1001,Clean!$AA$2:$AA$1001,B871)</f>
        <v>0.752336448598131</v>
      </c>
      <c r="G871" s="29" t="n">
        <f aca="false">F871*C871*D871</f>
        <v>4561.7418</v>
      </c>
      <c r="H871" s="29" t="n">
        <f aca="false">G871*Model!$B$4</f>
        <v>4561.7418</v>
      </c>
      <c r="I871" s="0" t="str">
        <f aca="false">IF(E871&lt;Model!$B$5*H871,"Expedite","Standard")</f>
        <v>Expedite</v>
      </c>
      <c r="J871" s="29" t="n">
        <f aca="false">H871</f>
        <v>4561.7418</v>
      </c>
      <c r="K871" s="29" t="n">
        <f aca="false">E871+(1-Model!$B$5)*H871</f>
        <v>1933.59</v>
      </c>
      <c r="L871" s="29" t="n">
        <f aca="false">IF(I871="Expedite",K871,J871)</f>
        <v>1933.59</v>
      </c>
      <c r="M871" s="29" t="n">
        <f aca="false">J871-L871</f>
        <v>2628.1518</v>
      </c>
      <c r="N871" s="29" t="n">
        <f aca="false">IFERROR(E871/(F871*C871*Model!$B$5),"")</f>
        <v>404.105883042306</v>
      </c>
    </row>
    <row r="872" customFormat="false" ht="15" hidden="false" customHeight="false" outlineLevel="0" collapsed="false">
      <c r="A872" s="0" t="str">
        <f aca="false">Clean!A872</f>
        <v>SHP0871</v>
      </c>
      <c r="B872" s="0" t="str">
        <f aca="false">Clean!AA872</f>
        <v>GATI Logistics</v>
      </c>
      <c r="C872" s="28" t="n">
        <f aca="false">Clean!J872</f>
        <v>10.83</v>
      </c>
      <c r="D872" s="29" t="n">
        <f aca="false">Clean!AF872</f>
        <v>1243.54</v>
      </c>
      <c r="E872" s="29" t="n">
        <f aca="false">Clean!AE872</f>
        <v>2587.56</v>
      </c>
      <c r="F872" s="22" t="n">
        <f aca="false">AVERAGEIFS(Clean!$V$2:$V$1001,Clean!$AA$2:$AA$1001,B872)</f>
        <v>0.751243781094527</v>
      </c>
      <c r="G872" s="29" t="n">
        <f aca="false">F872*C872*D872</f>
        <v>10117.404319403</v>
      </c>
      <c r="H872" s="29" t="n">
        <f aca="false">G872*Model!$B$4</f>
        <v>10117.404319403</v>
      </c>
      <c r="I872" s="0" t="str">
        <f aca="false">IF(E872&lt;Model!$B$5*H872,"Expedite","Standard")</f>
        <v>Expedite</v>
      </c>
      <c r="J872" s="29" t="n">
        <f aca="false">H872</f>
        <v>10117.404319403</v>
      </c>
      <c r="K872" s="29" t="n">
        <f aca="false">E872+(1-Model!$B$5)*H872</f>
        <v>2587.56</v>
      </c>
      <c r="L872" s="29" t="n">
        <f aca="false">IF(I872="Expedite",K872,J872)</f>
        <v>2587.56</v>
      </c>
      <c r="M872" s="29" t="n">
        <f aca="false">J872-L872</f>
        <v>7529.84431940299</v>
      </c>
      <c r="N872" s="29" t="n">
        <f aca="false">IFERROR(E872/(F872*C872*Model!$B$5),"")</f>
        <v>318.039514960283</v>
      </c>
    </row>
    <row r="873" customFormat="false" ht="15" hidden="false" customHeight="false" outlineLevel="0" collapsed="false">
      <c r="A873" s="0" t="str">
        <f aca="false">Clean!A873</f>
        <v>SHP0872</v>
      </c>
      <c r="B873" s="0" t="str">
        <f aca="false">Clean!AA873</f>
        <v>BlueDart</v>
      </c>
      <c r="C873" s="28" t="n">
        <f aca="false">Clean!J873</f>
        <v>12.03</v>
      </c>
      <c r="D873" s="29" t="n">
        <f aca="false">Clean!AF873</f>
        <v>670.68</v>
      </c>
      <c r="E873" s="29" t="n">
        <f aca="false">Clean!AE873</f>
        <v>3059.71</v>
      </c>
      <c r="F873" s="22" t="n">
        <f aca="false">AVERAGEIFS(Clean!$V$2:$V$1001,Clean!$AA$2:$AA$1001,B873)</f>
        <v>0.773869346733668</v>
      </c>
      <c r="G873" s="29" t="n">
        <f aca="false">F873*C873*D873</f>
        <v>6243.79488241206</v>
      </c>
      <c r="H873" s="29" t="n">
        <f aca="false">G873*Model!$B$4</f>
        <v>6243.79488241206</v>
      </c>
      <c r="I873" s="0" t="str">
        <f aca="false">IF(E873&lt;Model!$B$5*H873,"Expedite","Standard")</f>
        <v>Expedite</v>
      </c>
      <c r="J873" s="29" t="n">
        <f aca="false">H873</f>
        <v>6243.79488241206</v>
      </c>
      <c r="K873" s="29" t="n">
        <f aca="false">E873+(1-Model!$B$5)*H873</f>
        <v>3059.71</v>
      </c>
      <c r="L873" s="29" t="n">
        <f aca="false">IF(I873="Expedite",K873,J873)</f>
        <v>3059.71</v>
      </c>
      <c r="M873" s="29" t="n">
        <f aca="false">J873-L873</f>
        <v>3184.08488241206</v>
      </c>
      <c r="N873" s="29" t="n">
        <f aca="false">IFERROR(E873/(F873*C873*Model!$B$5),"")</f>
        <v>328.660108387041</v>
      </c>
    </row>
    <row r="874" customFormat="false" ht="15" hidden="false" customHeight="false" outlineLevel="0" collapsed="false">
      <c r="A874" s="0" t="str">
        <f aca="false">Clean!A874</f>
        <v>SHP0873</v>
      </c>
      <c r="B874" s="0" t="str">
        <f aca="false">Clean!AA874</f>
        <v>VRL Cargo</v>
      </c>
      <c r="C874" s="28" t="n">
        <f aca="false">Clean!J874</f>
        <v>13.6</v>
      </c>
      <c r="D874" s="29" t="n">
        <f aca="false">Clean!AF874</f>
        <v>589.63</v>
      </c>
      <c r="E874" s="29" t="n">
        <f aca="false">Clean!AE874</f>
        <v>3424.06</v>
      </c>
      <c r="F874" s="22" t="n">
        <f aca="false">AVERAGEIFS(Clean!$V$2:$V$1001,Clean!$AA$2:$AA$1001,B874)</f>
        <v>0.72020725388601</v>
      </c>
      <c r="G874" s="29" t="n">
        <f aca="false">F874*C874*D874</f>
        <v>5775.31892227979</v>
      </c>
      <c r="H874" s="29" t="n">
        <f aca="false">G874*Model!$B$4</f>
        <v>5775.31892227979</v>
      </c>
      <c r="I874" s="0" t="str">
        <f aca="false">IF(E874&lt;Model!$B$5*H874,"Expedite","Standard")</f>
        <v>Expedite</v>
      </c>
      <c r="J874" s="29" t="n">
        <f aca="false">H874</f>
        <v>5775.31892227979</v>
      </c>
      <c r="K874" s="29" t="n">
        <f aca="false">E874+(1-Model!$B$5)*H874</f>
        <v>3424.06</v>
      </c>
      <c r="L874" s="29" t="n">
        <f aca="false">IF(I874="Expedite",K874,J874)</f>
        <v>3424.06</v>
      </c>
      <c r="M874" s="29" t="n">
        <f aca="false">J874-L874</f>
        <v>2351.25892227979</v>
      </c>
      <c r="N874" s="29" t="n">
        <f aca="false">IFERROR(E874/(F874*C874*Model!$B$5),"")</f>
        <v>349.578702920017</v>
      </c>
    </row>
    <row r="875" customFormat="false" ht="15" hidden="false" customHeight="false" outlineLevel="0" collapsed="false">
      <c r="A875" s="0" t="str">
        <f aca="false">Clean!A875</f>
        <v>SHP0874</v>
      </c>
      <c r="B875" s="0" t="str">
        <f aca="false">Clean!AA875</f>
        <v>GATI Logistics</v>
      </c>
      <c r="C875" s="28" t="n">
        <f aca="false">Clean!J875</f>
        <v>19.23</v>
      </c>
      <c r="D875" s="29" t="n">
        <f aca="false">Clean!AF875</f>
        <v>1456.84</v>
      </c>
      <c r="E875" s="29" t="n">
        <f aca="false">Clean!AE875</f>
        <v>4433.49</v>
      </c>
      <c r="F875" s="22" t="n">
        <f aca="false">AVERAGEIFS(Clean!$V$2:$V$1001,Clean!$AA$2:$AA$1001,B875)</f>
        <v>0.751243781094527</v>
      </c>
      <c r="G875" s="29" t="n">
        <f aca="false">F875*C875*D875</f>
        <v>21046.1194686567</v>
      </c>
      <c r="H875" s="29" t="n">
        <f aca="false">G875*Model!$B$4</f>
        <v>21046.1194686567</v>
      </c>
      <c r="I875" s="0" t="str">
        <f aca="false">IF(E875&lt;Model!$B$5*H875,"Expedite","Standard")</f>
        <v>Expedite</v>
      </c>
      <c r="J875" s="29" t="n">
        <f aca="false">H875</f>
        <v>21046.1194686567</v>
      </c>
      <c r="K875" s="29" t="n">
        <f aca="false">E875+(1-Model!$B$5)*H875</f>
        <v>4433.49</v>
      </c>
      <c r="L875" s="29" t="n">
        <f aca="false">IF(I875="Expedite",K875,J875)</f>
        <v>4433.49</v>
      </c>
      <c r="M875" s="29" t="n">
        <f aca="false">J875-L875</f>
        <v>16612.6294686567</v>
      </c>
      <c r="N875" s="29" t="n">
        <f aca="false">IFERROR(E875/(F875*C875*Model!$B$5),"")</f>
        <v>306.89199409036</v>
      </c>
    </row>
    <row r="876" customFormat="false" ht="15" hidden="false" customHeight="false" outlineLevel="0" collapsed="false">
      <c r="A876" s="0" t="str">
        <f aca="false">Clean!A876</f>
        <v>SHP0875</v>
      </c>
      <c r="B876" s="0" t="str">
        <f aca="false">Clean!AA876</f>
        <v>VRL Cargo</v>
      </c>
      <c r="C876" s="28" t="n">
        <f aca="false">Clean!J876</f>
        <v>10.48</v>
      </c>
      <c r="D876" s="29" t="n">
        <f aca="false">Clean!AF876</f>
        <v>879.96</v>
      </c>
      <c r="E876" s="29" t="n">
        <f aca="false">Clean!AE876</f>
        <v>3038.89</v>
      </c>
      <c r="F876" s="22" t="n">
        <f aca="false">AVERAGEIFS(Clean!$V$2:$V$1001,Clean!$AA$2:$AA$1001,B876)</f>
        <v>0.72020725388601</v>
      </c>
      <c r="G876" s="29" t="n">
        <f aca="false">F876*C876*D876</f>
        <v>6641.73746735751</v>
      </c>
      <c r="H876" s="29" t="n">
        <f aca="false">G876*Model!$B$4</f>
        <v>6641.73746735751</v>
      </c>
      <c r="I876" s="0" t="str">
        <f aca="false">IF(E876&lt;Model!$B$5*H876,"Expedite","Standard")</f>
        <v>Expedite</v>
      </c>
      <c r="J876" s="29" t="n">
        <f aca="false">H876</f>
        <v>6641.73746735751</v>
      </c>
      <c r="K876" s="29" t="n">
        <f aca="false">E876+(1-Model!$B$5)*H876</f>
        <v>3038.89</v>
      </c>
      <c r="L876" s="29" t="n">
        <f aca="false">IF(I876="Expedite",K876,J876)</f>
        <v>3038.89</v>
      </c>
      <c r="M876" s="29" t="n">
        <f aca="false">J876-L876</f>
        <v>3602.84746735751</v>
      </c>
      <c r="N876" s="29" t="n">
        <f aca="false">IFERROR(E876/(F876*C876*Model!$B$5),"")</f>
        <v>402.620798780823</v>
      </c>
    </row>
    <row r="877" customFormat="false" ht="15" hidden="false" customHeight="false" outlineLevel="0" collapsed="false">
      <c r="A877" s="0" t="str">
        <f aca="false">Clean!A877</f>
        <v>SHP0876</v>
      </c>
      <c r="B877" s="0" t="str">
        <f aca="false">Clean!AA877</f>
        <v>GATI Logistics</v>
      </c>
      <c r="C877" s="28" t="n">
        <f aca="false">Clean!J877</f>
        <v>9.52</v>
      </c>
      <c r="D877" s="29" t="n">
        <f aca="false">Clean!AF877</f>
        <v>665.99</v>
      </c>
      <c r="E877" s="29" t="n">
        <f aca="false">Clean!AE877</f>
        <v>2272.75</v>
      </c>
      <c r="F877" s="22" t="n">
        <f aca="false">AVERAGEIFS(Clean!$V$2:$V$1001,Clean!$AA$2:$AA$1001,B877)</f>
        <v>0.751243781094527</v>
      </c>
      <c r="G877" s="29" t="n">
        <f aca="false">F877*C877*D877</f>
        <v>4763.05445174129</v>
      </c>
      <c r="H877" s="29" t="n">
        <f aca="false">G877*Model!$B$4</f>
        <v>4763.05445174129</v>
      </c>
      <c r="I877" s="0" t="str">
        <f aca="false">IF(E877&lt;Model!$B$5*H877,"Expedite","Standard")</f>
        <v>Expedite</v>
      </c>
      <c r="J877" s="29" t="n">
        <f aca="false">H877</f>
        <v>4763.05445174129</v>
      </c>
      <c r="K877" s="29" t="n">
        <f aca="false">E877+(1-Model!$B$5)*H877</f>
        <v>2272.75</v>
      </c>
      <c r="L877" s="29" t="n">
        <f aca="false">IF(I877="Expedite",K877,J877)</f>
        <v>2272.75</v>
      </c>
      <c r="M877" s="29" t="n">
        <f aca="false">J877-L877</f>
        <v>2490.30445174129</v>
      </c>
      <c r="N877" s="29" t="n">
        <f aca="false">IFERROR(E877/(F877*C877*Model!$B$5),"")</f>
        <v>317.785317769492</v>
      </c>
    </row>
    <row r="878" customFormat="false" ht="15" hidden="false" customHeight="false" outlineLevel="0" collapsed="false">
      <c r="A878" s="0" t="str">
        <f aca="false">Clean!A878</f>
        <v>SHP0877</v>
      </c>
      <c r="B878" s="0" t="str">
        <f aca="false">Clean!AA878</f>
        <v>GATI Logistics</v>
      </c>
      <c r="C878" s="28" t="n">
        <f aca="false">Clean!J878</f>
        <v>15.17</v>
      </c>
      <c r="D878" s="29" t="n">
        <f aca="false">Clean!AF878</f>
        <v>530.38</v>
      </c>
      <c r="E878" s="29" t="n">
        <f aca="false">Clean!AE878</f>
        <v>4486.03</v>
      </c>
      <c r="F878" s="22" t="n">
        <f aca="false">AVERAGEIFS(Clean!$V$2:$V$1001,Clean!$AA$2:$AA$1001,B878)</f>
        <v>0.751243781094527</v>
      </c>
      <c r="G878" s="29" t="n">
        <f aca="false">F878*C878*D878</f>
        <v>6044.40574427861</v>
      </c>
      <c r="H878" s="29" t="n">
        <f aca="false">G878*Model!$B$4</f>
        <v>6044.40574427861</v>
      </c>
      <c r="I878" s="0" t="str">
        <f aca="false">IF(E878&lt;Model!$B$5*H878,"Expedite","Standard")</f>
        <v>Expedite</v>
      </c>
      <c r="J878" s="29" t="n">
        <f aca="false">H878</f>
        <v>6044.40574427861</v>
      </c>
      <c r="K878" s="29" t="n">
        <f aca="false">E878+(1-Model!$B$5)*H878</f>
        <v>4486.03</v>
      </c>
      <c r="L878" s="29" t="n">
        <f aca="false">IF(I878="Expedite",K878,J878)</f>
        <v>4486.03</v>
      </c>
      <c r="M878" s="29" t="n">
        <f aca="false">J878-L878</f>
        <v>1558.37574427861</v>
      </c>
      <c r="N878" s="29" t="n">
        <f aca="false">IFERROR(E878/(F878*C878*Model!$B$5),"")</f>
        <v>393.636809317798</v>
      </c>
    </row>
    <row r="879" customFormat="false" ht="15" hidden="false" customHeight="false" outlineLevel="0" collapsed="false">
      <c r="A879" s="0" t="str">
        <f aca="false">Clean!A879</f>
        <v>SHP0878</v>
      </c>
      <c r="B879" s="0" t="str">
        <f aca="false">Clean!AA879</f>
        <v>Delhivery</v>
      </c>
      <c r="C879" s="28" t="n">
        <f aca="false">Clean!J879</f>
        <v>14.54</v>
      </c>
      <c r="D879" s="29" t="n">
        <f aca="false">Clean!AF879</f>
        <v>1169.26</v>
      </c>
      <c r="E879" s="29" t="n">
        <f aca="false">Clean!AE879</f>
        <v>3910.83</v>
      </c>
      <c r="F879" s="22" t="n">
        <f aca="false">AVERAGEIFS(Clean!$V$2:$V$1001,Clean!$AA$2:$AA$1001,B879)</f>
        <v>0.72538860103627</v>
      </c>
      <c r="G879" s="29" t="n">
        <f aca="false">F879*C879*D879</f>
        <v>12332.3609119171</v>
      </c>
      <c r="H879" s="29" t="n">
        <f aca="false">G879*Model!$B$4</f>
        <v>12332.3609119171</v>
      </c>
      <c r="I879" s="0" t="str">
        <f aca="false">IF(E879&lt;Model!$B$5*H879,"Expedite","Standard")</f>
        <v>Expedite</v>
      </c>
      <c r="J879" s="29" t="n">
        <f aca="false">H879</f>
        <v>12332.3609119171</v>
      </c>
      <c r="K879" s="29" t="n">
        <f aca="false">E879+(1-Model!$B$5)*H879</f>
        <v>3910.83</v>
      </c>
      <c r="L879" s="29" t="n">
        <f aca="false">IF(I879="Expedite",K879,J879)</f>
        <v>3910.83</v>
      </c>
      <c r="M879" s="29" t="n">
        <f aca="false">J879-L879</f>
        <v>8421.5309119171</v>
      </c>
      <c r="N879" s="29" t="n">
        <f aca="false">IFERROR(E879/(F879*C879*Model!$B$5),"")</f>
        <v>370.794944979367</v>
      </c>
    </row>
    <row r="880" customFormat="false" ht="15" hidden="false" customHeight="false" outlineLevel="0" collapsed="false">
      <c r="A880" s="0" t="str">
        <f aca="false">Clean!A880</f>
        <v>SHP0879</v>
      </c>
      <c r="B880" s="0" t="str">
        <f aca="false">Clean!AA880</f>
        <v>GATI Logistics</v>
      </c>
      <c r="C880" s="28" t="n">
        <f aca="false">Clean!J880</f>
        <v>2.36</v>
      </c>
      <c r="D880" s="29" t="n">
        <f aca="false">Clean!AF880</f>
        <v>741.96</v>
      </c>
      <c r="E880" s="29" t="n">
        <f aca="false">Clean!AE880</f>
        <v>2238.91</v>
      </c>
      <c r="F880" s="22" t="n">
        <f aca="false">AVERAGEIFS(Clean!$V$2:$V$1001,Clean!$AA$2:$AA$1001,B880)</f>
        <v>0.751243781094527</v>
      </c>
      <c r="G880" s="29" t="n">
        <f aca="false">F880*C880*D880</f>
        <v>1315.44709253731</v>
      </c>
      <c r="H880" s="29" t="n">
        <f aca="false">G880*Model!$B$4</f>
        <v>1315.44709253731</v>
      </c>
      <c r="I880" s="0" t="str">
        <f aca="false">IF(E880&lt;Model!$B$5*H880,"Expedite","Standard")</f>
        <v>Standard</v>
      </c>
      <c r="J880" s="29" t="n">
        <f aca="false">H880</f>
        <v>1315.44709253731</v>
      </c>
      <c r="K880" s="29" t="n">
        <f aca="false">E880+(1-Model!$B$5)*H880</f>
        <v>2238.91</v>
      </c>
      <c r="L880" s="29" t="n">
        <f aca="false">IF(I880="Expedite",K880,J880)</f>
        <v>1315.44709253731</v>
      </c>
      <c r="M880" s="29" t="n">
        <f aca="false">J880-L880</f>
        <v>0</v>
      </c>
      <c r="N880" s="29" t="n">
        <f aca="false">IFERROR(E880/(F880*C880*Model!$B$5),"")</f>
        <v>1262.82666404759</v>
      </c>
    </row>
    <row r="881" customFormat="false" ht="15" hidden="false" customHeight="false" outlineLevel="0" collapsed="false">
      <c r="A881" s="0" t="str">
        <f aca="false">Clean!A881</f>
        <v>SHP0880</v>
      </c>
      <c r="B881" s="0" t="str">
        <f aca="false">Clean!AA881</f>
        <v>VRL Cargo</v>
      </c>
      <c r="C881" s="28" t="n">
        <f aca="false">Clean!J881</f>
        <v>6.29</v>
      </c>
      <c r="D881" s="29" t="n">
        <f aca="false">Clean!AF881</f>
        <v>697.82</v>
      </c>
      <c r="E881" s="29" t="n">
        <f aca="false">Clean!AE881</f>
        <v>3955.78</v>
      </c>
      <c r="F881" s="22" t="n">
        <f aca="false">AVERAGEIFS(Clean!$V$2:$V$1001,Clean!$AA$2:$AA$1001,B881)</f>
        <v>0.72020725388601</v>
      </c>
      <c r="G881" s="29" t="n">
        <f aca="false">F881*C881*D881</f>
        <v>3161.19691295337</v>
      </c>
      <c r="H881" s="29" t="n">
        <f aca="false">G881*Model!$B$4</f>
        <v>3161.19691295337</v>
      </c>
      <c r="I881" s="0" t="str">
        <f aca="false">IF(E881&lt;Model!$B$5*H881,"Expedite","Standard")</f>
        <v>Standard</v>
      </c>
      <c r="J881" s="29" t="n">
        <f aca="false">H881</f>
        <v>3161.19691295337</v>
      </c>
      <c r="K881" s="29" t="n">
        <f aca="false">E881+(1-Model!$B$5)*H881</f>
        <v>3955.78</v>
      </c>
      <c r="L881" s="29" t="n">
        <f aca="false">IF(I881="Expedite",K881,J881)</f>
        <v>3161.19691295337</v>
      </c>
      <c r="M881" s="29" t="n">
        <f aca="false">J881-L881</f>
        <v>0</v>
      </c>
      <c r="N881" s="29" t="n">
        <f aca="false">IFERROR(E881/(F881*C881*Model!$B$5),"")</f>
        <v>873.22064256385</v>
      </c>
    </row>
    <row r="882" customFormat="false" ht="15" hidden="false" customHeight="false" outlineLevel="0" collapsed="false">
      <c r="A882" s="0" t="str">
        <f aca="false">Clean!A882</f>
        <v>SHP0881</v>
      </c>
      <c r="B882" s="0" t="str">
        <f aca="false">Clean!AA882</f>
        <v>Delhivery</v>
      </c>
      <c r="C882" s="28" t="n">
        <f aca="false">Clean!J882</f>
        <v>17.02</v>
      </c>
      <c r="D882" s="29" t="n">
        <f aca="false">Clean!AF882</f>
        <v>808.85</v>
      </c>
      <c r="E882" s="29" t="n">
        <f aca="false">Clean!AE882</f>
        <v>1404.35</v>
      </c>
      <c r="F882" s="22" t="n">
        <f aca="false">AVERAGEIFS(Clean!$V$2:$V$1001,Clean!$AA$2:$AA$1001,B882)</f>
        <v>0.72538860103627</v>
      </c>
      <c r="G882" s="29" t="n">
        <f aca="false">F882*C882*D882</f>
        <v>9986.15430051814</v>
      </c>
      <c r="H882" s="29" t="n">
        <f aca="false">G882*Model!$B$4</f>
        <v>9986.15430051814</v>
      </c>
      <c r="I882" s="0" t="str">
        <f aca="false">IF(E882&lt;Model!$B$5*H882,"Expedite","Standard")</f>
        <v>Expedite</v>
      </c>
      <c r="J882" s="29" t="n">
        <f aca="false">H882</f>
        <v>9986.15430051814</v>
      </c>
      <c r="K882" s="29" t="n">
        <f aca="false">E882+(1-Model!$B$5)*H882</f>
        <v>1404.35</v>
      </c>
      <c r="L882" s="29" t="n">
        <f aca="false">IF(I882="Expedite",K882,J882)</f>
        <v>1404.35</v>
      </c>
      <c r="M882" s="29" t="n">
        <f aca="false">J882-L882</f>
        <v>8581.80430051814</v>
      </c>
      <c r="N882" s="29" t="n">
        <f aca="false">IFERROR(E882/(F882*C882*Model!$B$5),"")</f>
        <v>113.748342286386</v>
      </c>
    </row>
    <row r="883" customFormat="false" ht="15" hidden="false" customHeight="false" outlineLevel="0" collapsed="false">
      <c r="A883" s="0" t="str">
        <f aca="false">Clean!A883</f>
        <v>SHP0882</v>
      </c>
      <c r="B883" s="0" t="str">
        <f aca="false">Clean!AA883</f>
        <v>BlueDart</v>
      </c>
      <c r="C883" s="28" t="n">
        <f aca="false">Clean!J883</f>
        <v>12.62</v>
      </c>
      <c r="D883" s="29" t="n">
        <f aca="false">Clean!AF883</f>
        <v>1221.26</v>
      </c>
      <c r="E883" s="29" t="n">
        <f aca="false">Clean!AE883</f>
        <v>4631.26</v>
      </c>
      <c r="F883" s="22" t="n">
        <f aca="false">AVERAGEIFS(Clean!$V$2:$V$1001,Clean!$AA$2:$AA$1001,B883)</f>
        <v>0.773869346733668</v>
      </c>
      <c r="G883" s="29" t="n">
        <f aca="false">F883*C883*D883</f>
        <v>11927.1074613065</v>
      </c>
      <c r="H883" s="29" t="n">
        <f aca="false">G883*Model!$B$4</f>
        <v>11927.1074613065</v>
      </c>
      <c r="I883" s="0" t="str">
        <f aca="false">IF(E883&lt;Model!$B$5*H883,"Expedite","Standard")</f>
        <v>Expedite</v>
      </c>
      <c r="J883" s="29" t="n">
        <f aca="false">H883</f>
        <v>11927.1074613065</v>
      </c>
      <c r="K883" s="29" t="n">
        <f aca="false">E883+(1-Model!$B$5)*H883</f>
        <v>4631.26</v>
      </c>
      <c r="L883" s="29" t="n">
        <f aca="false">IF(I883="Expedite",K883,J883)</f>
        <v>4631.26</v>
      </c>
      <c r="M883" s="29" t="n">
        <f aca="false">J883-L883</f>
        <v>7295.84746130653</v>
      </c>
      <c r="N883" s="29" t="n">
        <f aca="false">IFERROR(E883/(F883*C883*Model!$B$5),"")</f>
        <v>474.21158951983</v>
      </c>
    </row>
    <row r="884" customFormat="false" ht="15" hidden="false" customHeight="false" outlineLevel="0" collapsed="false">
      <c r="A884" s="0" t="str">
        <f aca="false">Clean!A884</f>
        <v>SHP0883</v>
      </c>
      <c r="B884" s="0" t="str">
        <f aca="false">Clean!AA884</f>
        <v>Delhivery</v>
      </c>
      <c r="C884" s="28" t="n">
        <f aca="false">Clean!J884</f>
        <v>13.87</v>
      </c>
      <c r="D884" s="29" t="n">
        <f aca="false">Clean!AF884</f>
        <v>586.42</v>
      </c>
      <c r="E884" s="29" t="n">
        <f aca="false">Clean!AE884</f>
        <v>4737.01</v>
      </c>
      <c r="F884" s="22" t="n">
        <f aca="false">AVERAGEIFS(Clean!$V$2:$V$1001,Clean!$AA$2:$AA$1001,B884)</f>
        <v>0.72538860103627</v>
      </c>
      <c r="G884" s="29" t="n">
        <f aca="false">F884*C884*D884</f>
        <v>5900.05365803109</v>
      </c>
      <c r="H884" s="29" t="n">
        <f aca="false">G884*Model!$B$4</f>
        <v>5900.05365803109</v>
      </c>
      <c r="I884" s="0" t="str">
        <f aca="false">IF(E884&lt;Model!$B$5*H884,"Expedite","Standard")</f>
        <v>Expedite</v>
      </c>
      <c r="J884" s="29" t="n">
        <f aca="false">H884</f>
        <v>5900.05365803109</v>
      </c>
      <c r="K884" s="29" t="n">
        <f aca="false">E884+(1-Model!$B$5)*H884</f>
        <v>4737.01</v>
      </c>
      <c r="L884" s="29" t="n">
        <f aca="false">IF(I884="Expedite",K884,J884)</f>
        <v>4737.01</v>
      </c>
      <c r="M884" s="29" t="n">
        <f aca="false">J884-L884</f>
        <v>1163.04365803109</v>
      </c>
      <c r="N884" s="29" t="n">
        <f aca="false">IFERROR(E884/(F884*C884*Model!$B$5),"")</f>
        <v>470.822396745288</v>
      </c>
    </row>
    <row r="885" customFormat="false" ht="15" hidden="false" customHeight="false" outlineLevel="0" collapsed="false">
      <c r="A885" s="0" t="str">
        <f aca="false">Clean!A885</f>
        <v>SHP0884</v>
      </c>
      <c r="B885" s="0" t="str">
        <f aca="false">Clean!AA885</f>
        <v>VRL Cargo</v>
      </c>
      <c r="C885" s="28" t="n">
        <f aca="false">Clean!J885</f>
        <v>16.19</v>
      </c>
      <c r="D885" s="29" t="n">
        <f aca="false">Clean!AF885</f>
        <v>670.14</v>
      </c>
      <c r="E885" s="29" t="n">
        <f aca="false">Clean!AE885</f>
        <v>3222.47</v>
      </c>
      <c r="F885" s="22" t="n">
        <f aca="false">AVERAGEIFS(Clean!$V$2:$V$1001,Clean!$AA$2:$AA$1001,B885)</f>
        <v>0.72020725388601</v>
      </c>
      <c r="G885" s="29" t="n">
        <f aca="false">F885*C885*D885</f>
        <v>7813.93656683938</v>
      </c>
      <c r="H885" s="29" t="n">
        <f aca="false">G885*Model!$B$4</f>
        <v>7813.93656683938</v>
      </c>
      <c r="I885" s="0" t="str">
        <f aca="false">IF(E885&lt;Model!$B$5*H885,"Expedite","Standard")</f>
        <v>Expedite</v>
      </c>
      <c r="J885" s="29" t="n">
        <f aca="false">H885</f>
        <v>7813.93656683938</v>
      </c>
      <c r="K885" s="29" t="n">
        <f aca="false">E885+(1-Model!$B$5)*H885</f>
        <v>3222.47</v>
      </c>
      <c r="L885" s="29" t="n">
        <f aca="false">IF(I885="Expedite",K885,J885)</f>
        <v>3222.47</v>
      </c>
      <c r="M885" s="29" t="n">
        <f aca="false">J885-L885</f>
        <v>4591.46656683938</v>
      </c>
      <c r="N885" s="29" t="n">
        <f aca="false">IFERROR(E885/(F885*C885*Model!$B$5),"")</f>
        <v>276.365955536991</v>
      </c>
    </row>
    <row r="886" customFormat="false" ht="15" hidden="false" customHeight="false" outlineLevel="0" collapsed="false">
      <c r="A886" s="0" t="str">
        <f aca="false">Clean!A886</f>
        <v>SHP0885</v>
      </c>
      <c r="B886" s="0" t="str">
        <f aca="false">Clean!AA886</f>
        <v>Delhivery</v>
      </c>
      <c r="C886" s="28" t="n">
        <f aca="false">Clean!J886</f>
        <v>7.01</v>
      </c>
      <c r="D886" s="29" t="n">
        <f aca="false">Clean!AF886</f>
        <v>787.93</v>
      </c>
      <c r="E886" s="29" t="n">
        <f aca="false">Clean!AE886</f>
        <v>4663.77</v>
      </c>
      <c r="F886" s="22" t="n">
        <f aca="false">AVERAGEIFS(Clean!$V$2:$V$1001,Clean!$AA$2:$AA$1001,B886)</f>
        <v>0.72538860103627</v>
      </c>
      <c r="G886" s="29" t="n">
        <f aca="false">F886*C886*D886</f>
        <v>4006.6036373057</v>
      </c>
      <c r="H886" s="29" t="n">
        <f aca="false">G886*Model!$B$4</f>
        <v>4006.6036373057</v>
      </c>
      <c r="I886" s="0" t="str">
        <f aca="false">IF(E886&lt;Model!$B$5*H886,"Expedite","Standard")</f>
        <v>Standard</v>
      </c>
      <c r="J886" s="29" t="n">
        <f aca="false">H886</f>
        <v>4006.6036373057</v>
      </c>
      <c r="K886" s="29" t="n">
        <f aca="false">E886+(1-Model!$B$5)*H886</f>
        <v>4663.77</v>
      </c>
      <c r="L886" s="29" t="n">
        <f aca="false">IF(I886="Expedite",K886,J886)</f>
        <v>4006.6036373057</v>
      </c>
      <c r="M886" s="29" t="n">
        <f aca="false">J886-L886</f>
        <v>0</v>
      </c>
      <c r="N886" s="29" t="n">
        <f aca="false">IFERROR(E886/(F886*C886*Model!$B$5),"")</f>
        <v>917.166914611779</v>
      </c>
    </row>
    <row r="887" customFormat="false" ht="15" hidden="false" customHeight="false" outlineLevel="0" collapsed="false">
      <c r="A887" s="0" t="str">
        <f aca="false">Clean!A887</f>
        <v>SHP0886</v>
      </c>
      <c r="B887" s="0" t="str">
        <f aca="false">Clean!AA887</f>
        <v>TCI Express</v>
      </c>
      <c r="C887" s="28" t="n">
        <f aca="false">Clean!J887</f>
        <v>4.52</v>
      </c>
      <c r="D887" s="29" t="n">
        <f aca="false">Clean!AF887</f>
        <v>1423.3</v>
      </c>
      <c r="E887" s="29" t="n">
        <f aca="false">Clean!AE887</f>
        <v>4823.68</v>
      </c>
      <c r="F887" s="22" t="n">
        <f aca="false">AVERAGEIFS(Clean!$V$2:$V$1001,Clean!$AA$2:$AA$1001,B887)</f>
        <v>0.752336448598131</v>
      </c>
      <c r="G887" s="29" t="n">
        <f aca="false">F887*C887*D887</f>
        <v>4840.01811214953</v>
      </c>
      <c r="H887" s="29" t="n">
        <f aca="false">G887*Model!$B$4</f>
        <v>4840.01811214953</v>
      </c>
      <c r="I887" s="0" t="str">
        <f aca="false">IF(E887&lt;Model!$B$5*H887,"Expedite","Standard")</f>
        <v>Expedite</v>
      </c>
      <c r="J887" s="29" t="n">
        <f aca="false">H887</f>
        <v>4840.01811214953</v>
      </c>
      <c r="K887" s="29" t="n">
        <f aca="false">E887+(1-Model!$B$5)*H887</f>
        <v>4823.68</v>
      </c>
      <c r="L887" s="29" t="n">
        <f aca="false">IF(I887="Expedite",K887,J887)</f>
        <v>4823.68</v>
      </c>
      <c r="M887" s="29" t="n">
        <f aca="false">J887-L887</f>
        <v>16.3381121495322</v>
      </c>
      <c r="N887" s="29" t="n">
        <f aca="false">IFERROR(E887/(F887*C887*Model!$B$5),"")</f>
        <v>1418.49546528885</v>
      </c>
    </row>
    <row r="888" customFormat="false" ht="15" hidden="false" customHeight="false" outlineLevel="0" collapsed="false">
      <c r="A888" s="0" t="str">
        <f aca="false">Clean!A888</f>
        <v>SHP0887</v>
      </c>
      <c r="B888" s="0" t="str">
        <f aca="false">Clean!AA888</f>
        <v>TCI Express</v>
      </c>
      <c r="C888" s="28" t="n">
        <f aca="false">Clean!J888</f>
        <v>9.69</v>
      </c>
      <c r="D888" s="29" t="n">
        <f aca="false">Clean!AF888</f>
        <v>1180.05</v>
      </c>
      <c r="E888" s="29" t="n">
        <f aca="false">Clean!AE888</f>
        <v>4125.42</v>
      </c>
      <c r="F888" s="22" t="n">
        <f aca="false">AVERAGEIFS(Clean!$V$2:$V$1001,Clean!$AA$2:$AA$1001,B888)</f>
        <v>0.752336448598131</v>
      </c>
      <c r="G888" s="29" t="n">
        <f aca="false">F888*C888*D888</f>
        <v>8602.72992757009</v>
      </c>
      <c r="H888" s="29" t="n">
        <f aca="false">G888*Model!$B$4</f>
        <v>8602.72992757009</v>
      </c>
      <c r="I888" s="0" t="str">
        <f aca="false">IF(E888&lt;Model!$B$5*H888,"Expedite","Standard")</f>
        <v>Expedite</v>
      </c>
      <c r="J888" s="29" t="n">
        <f aca="false">H888</f>
        <v>8602.72992757009</v>
      </c>
      <c r="K888" s="29" t="n">
        <f aca="false">E888+(1-Model!$B$5)*H888</f>
        <v>4125.42</v>
      </c>
      <c r="L888" s="29" t="n">
        <f aca="false">IF(I888="Expedite",K888,J888)</f>
        <v>4125.42</v>
      </c>
      <c r="M888" s="29" t="n">
        <f aca="false">J888-L888</f>
        <v>4477.30992757009</v>
      </c>
      <c r="N888" s="29" t="n">
        <f aca="false">IFERROR(E888/(F888*C888*Model!$B$5),"")</f>
        <v>565.890352479665</v>
      </c>
    </row>
    <row r="889" customFormat="false" ht="15" hidden="false" customHeight="false" outlineLevel="0" collapsed="false">
      <c r="A889" s="0" t="str">
        <f aca="false">Clean!A889</f>
        <v>SHP0888</v>
      </c>
      <c r="B889" s="0" t="str">
        <f aca="false">Clean!AA889</f>
        <v>BlueDart</v>
      </c>
      <c r="C889" s="28" t="n">
        <f aca="false">Clean!J889</f>
        <v>13.07</v>
      </c>
      <c r="D889" s="29" t="n">
        <f aca="false">Clean!AF889</f>
        <v>636.25</v>
      </c>
      <c r="E889" s="29" t="n">
        <f aca="false">Clean!AE889</f>
        <v>2295.58</v>
      </c>
      <c r="F889" s="22" t="n">
        <f aca="false">AVERAGEIFS(Clean!$V$2:$V$1001,Clean!$AA$2:$AA$1001,B889)</f>
        <v>0.773869346733668</v>
      </c>
      <c r="G889" s="29" t="n">
        <f aca="false">F889*C889*D889</f>
        <v>6435.33304020101</v>
      </c>
      <c r="H889" s="29" t="n">
        <f aca="false">G889*Model!$B$4</f>
        <v>6435.33304020101</v>
      </c>
      <c r="I889" s="0" t="str">
        <f aca="false">IF(E889&lt;Model!$B$5*H889,"Expedite","Standard")</f>
        <v>Expedite</v>
      </c>
      <c r="J889" s="29" t="n">
        <f aca="false">H889</f>
        <v>6435.33304020101</v>
      </c>
      <c r="K889" s="29" t="n">
        <f aca="false">E889+(1-Model!$B$5)*H889</f>
        <v>2295.58</v>
      </c>
      <c r="L889" s="29" t="n">
        <f aca="false">IF(I889="Expedite",K889,J889)</f>
        <v>2295.58</v>
      </c>
      <c r="M889" s="29" t="n">
        <f aca="false">J889-L889</f>
        <v>4139.75304020101</v>
      </c>
      <c r="N889" s="29" t="n">
        <f aca="false">IFERROR(E889/(F889*C889*Model!$B$5),"")</f>
        <v>226.959936008903</v>
      </c>
    </row>
    <row r="890" customFormat="false" ht="15" hidden="false" customHeight="false" outlineLevel="0" collapsed="false">
      <c r="A890" s="0" t="str">
        <f aca="false">Clean!A890</f>
        <v>SHP0889</v>
      </c>
      <c r="B890" s="0" t="str">
        <f aca="false">Clean!AA890</f>
        <v>TCI Express</v>
      </c>
      <c r="C890" s="28" t="n">
        <f aca="false">Clean!J890</f>
        <v>17.86</v>
      </c>
      <c r="D890" s="29" t="n">
        <f aca="false">Clean!AF890</f>
        <v>1302.56</v>
      </c>
      <c r="E890" s="29" t="n">
        <f aca="false">Clean!AE890</f>
        <v>4263.42</v>
      </c>
      <c r="F890" s="22" t="n">
        <f aca="false">AVERAGEIFS(Clean!$V$2:$V$1001,Clean!$AA$2:$AA$1001,B890)</f>
        <v>0.752336448598131</v>
      </c>
      <c r="G890" s="29" t="n">
        <f aca="false">F890*C890*D890</f>
        <v>17502.1456897196</v>
      </c>
      <c r="H890" s="29" t="n">
        <f aca="false">G890*Model!$B$4</f>
        <v>17502.1456897196</v>
      </c>
      <c r="I890" s="0" t="str">
        <f aca="false">IF(E890&lt;Model!$B$5*H890,"Expedite","Standard")</f>
        <v>Expedite</v>
      </c>
      <c r="J890" s="29" t="n">
        <f aca="false">H890</f>
        <v>17502.1456897196</v>
      </c>
      <c r="K890" s="29" t="n">
        <f aca="false">E890+(1-Model!$B$5)*H890</f>
        <v>4263.42</v>
      </c>
      <c r="L890" s="29" t="n">
        <f aca="false">IF(I890="Expedite",K890,J890)</f>
        <v>4263.42</v>
      </c>
      <c r="M890" s="29" t="n">
        <f aca="false">J890-L890</f>
        <v>13238.7256897196</v>
      </c>
      <c r="N890" s="29" t="n">
        <f aca="false">IFERROR(E890/(F890*C890*Model!$B$5),"")</f>
        <v>317.295973513803</v>
      </c>
    </row>
    <row r="891" customFormat="false" ht="15" hidden="false" customHeight="false" outlineLevel="0" collapsed="false">
      <c r="A891" s="0" t="str">
        <f aca="false">Clean!A891</f>
        <v>SHP0890</v>
      </c>
      <c r="B891" s="0" t="str">
        <f aca="false">Clean!AA891</f>
        <v>TCI Express</v>
      </c>
      <c r="C891" s="28" t="n">
        <f aca="false">Clean!J891</f>
        <v>17.07</v>
      </c>
      <c r="D891" s="29" t="n">
        <f aca="false">Clean!AF891</f>
        <v>1492.83</v>
      </c>
      <c r="E891" s="29" t="n">
        <f aca="false">Clean!AE891</f>
        <v>1668.22</v>
      </c>
      <c r="F891" s="22" t="n">
        <f aca="false">AVERAGEIFS(Clean!$V$2:$V$1001,Clean!$AA$2:$AA$1001,B891)</f>
        <v>0.752336448598131</v>
      </c>
      <c r="G891" s="29" t="n">
        <f aca="false">F891*C891*D891</f>
        <v>19171.494878972</v>
      </c>
      <c r="H891" s="29" t="n">
        <f aca="false">G891*Model!$B$4</f>
        <v>19171.494878972</v>
      </c>
      <c r="I891" s="0" t="str">
        <f aca="false">IF(E891&lt;Model!$B$5*H891,"Expedite","Standard")</f>
        <v>Expedite</v>
      </c>
      <c r="J891" s="29" t="n">
        <f aca="false">H891</f>
        <v>19171.494878972</v>
      </c>
      <c r="K891" s="29" t="n">
        <f aca="false">E891+(1-Model!$B$5)*H891</f>
        <v>1668.22</v>
      </c>
      <c r="L891" s="29" t="n">
        <f aca="false">IF(I891="Expedite",K891,J891)</f>
        <v>1668.22</v>
      </c>
      <c r="M891" s="29" t="n">
        <f aca="false">J891-L891</f>
        <v>17503.274878972</v>
      </c>
      <c r="N891" s="29" t="n">
        <f aca="false">IFERROR(E891/(F891*C891*Model!$B$5),"")</f>
        <v>129.899565908735</v>
      </c>
    </row>
    <row r="892" customFormat="false" ht="15" hidden="false" customHeight="false" outlineLevel="0" collapsed="false">
      <c r="A892" s="0" t="str">
        <f aca="false">Clean!A892</f>
        <v>SHP0891</v>
      </c>
      <c r="B892" s="0" t="str">
        <f aca="false">Clean!AA892</f>
        <v>GATI Logistics</v>
      </c>
      <c r="C892" s="28" t="n">
        <f aca="false">Clean!J892</f>
        <v>11.7</v>
      </c>
      <c r="D892" s="29" t="n">
        <f aca="false">Clean!AF892</f>
        <v>1042.03</v>
      </c>
      <c r="E892" s="29" t="n">
        <f aca="false">Clean!AE892</f>
        <v>2941.12</v>
      </c>
      <c r="F892" s="22" t="n">
        <f aca="false">AVERAGEIFS(Clean!$V$2:$V$1001,Clean!$AA$2:$AA$1001,B892)</f>
        <v>0.751243781094527</v>
      </c>
      <c r="G892" s="29" t="n">
        <f aca="false">F892*C892*D892</f>
        <v>9158.97711940298</v>
      </c>
      <c r="H892" s="29" t="n">
        <f aca="false">G892*Model!$B$4</f>
        <v>9158.97711940298</v>
      </c>
      <c r="I892" s="0" t="str">
        <f aca="false">IF(E892&lt;Model!$B$5*H892,"Expedite","Standard")</f>
        <v>Expedite</v>
      </c>
      <c r="J892" s="29" t="n">
        <f aca="false">H892</f>
        <v>9158.97711940298</v>
      </c>
      <c r="K892" s="29" t="n">
        <f aca="false">E892+(1-Model!$B$5)*H892</f>
        <v>2941.12</v>
      </c>
      <c r="L892" s="29" t="n">
        <f aca="false">IF(I892="Expedite",K892,J892)</f>
        <v>2941.12</v>
      </c>
      <c r="M892" s="29" t="n">
        <f aca="false">J892-L892</f>
        <v>6217.85711940298</v>
      </c>
      <c r="N892" s="29" t="n">
        <f aca="false">IFERROR(E892/(F892*C892*Model!$B$5),"")</f>
        <v>334.615452538631</v>
      </c>
    </row>
    <row r="893" customFormat="false" ht="15" hidden="false" customHeight="false" outlineLevel="0" collapsed="false">
      <c r="A893" s="0" t="str">
        <f aca="false">Clean!A893</f>
        <v>SHP0892</v>
      </c>
      <c r="B893" s="0" t="str">
        <f aca="false">Clean!AA893</f>
        <v>BlueDart</v>
      </c>
      <c r="C893" s="28" t="n">
        <f aca="false">Clean!J893</f>
        <v>18.46</v>
      </c>
      <c r="D893" s="29" t="n">
        <f aca="false">Clean!AF893</f>
        <v>768.58</v>
      </c>
      <c r="E893" s="29" t="n">
        <f aca="false">Clean!AE893</f>
        <v>2147.47</v>
      </c>
      <c r="F893" s="22" t="n">
        <f aca="false">AVERAGEIFS(Clean!$V$2:$V$1001,Clean!$AA$2:$AA$1001,B893)</f>
        <v>0.773869346733668</v>
      </c>
      <c r="G893" s="29" t="n">
        <f aca="false">F893*C893*D893</f>
        <v>10979.6480763819</v>
      </c>
      <c r="H893" s="29" t="n">
        <f aca="false">G893*Model!$B$4</f>
        <v>10979.6480763819</v>
      </c>
      <c r="I893" s="0" t="str">
        <f aca="false">IF(E893&lt;Model!$B$5*H893,"Expedite","Standard")</f>
        <v>Expedite</v>
      </c>
      <c r="J893" s="29" t="n">
        <f aca="false">H893</f>
        <v>10979.6480763819</v>
      </c>
      <c r="K893" s="29" t="n">
        <f aca="false">E893+(1-Model!$B$5)*H893</f>
        <v>2147.47</v>
      </c>
      <c r="L893" s="29" t="n">
        <f aca="false">IF(I893="Expedite",K893,J893)</f>
        <v>2147.47</v>
      </c>
      <c r="M893" s="29" t="n">
        <f aca="false">J893-L893</f>
        <v>8832.17807638191</v>
      </c>
      <c r="N893" s="29" t="n">
        <f aca="false">IFERROR(E893/(F893*C893*Model!$B$5),"")</f>
        <v>150.323806475215</v>
      </c>
    </row>
    <row r="894" customFormat="false" ht="15" hidden="false" customHeight="false" outlineLevel="0" collapsed="false">
      <c r="A894" s="0" t="str">
        <f aca="false">Clean!A894</f>
        <v>SHP0893</v>
      </c>
      <c r="B894" s="0" t="str">
        <f aca="false">Clean!AA894</f>
        <v>GATI Logistics</v>
      </c>
      <c r="C894" s="28" t="n">
        <f aca="false">Clean!J894</f>
        <v>17.36</v>
      </c>
      <c r="D894" s="29" t="n">
        <f aca="false">Clean!AF894</f>
        <v>721.53</v>
      </c>
      <c r="E894" s="29" t="n">
        <f aca="false">Clean!AE894</f>
        <v>4540.06</v>
      </c>
      <c r="F894" s="22" t="n">
        <f aca="false">AVERAGEIFS(Clean!$V$2:$V$1001,Clean!$AA$2:$AA$1001,B894)</f>
        <v>0.751243781094527</v>
      </c>
      <c r="G894" s="29" t="n">
        <f aca="false">F894*C894*D894</f>
        <v>9409.89990447761</v>
      </c>
      <c r="H894" s="29" t="n">
        <f aca="false">G894*Model!$B$4</f>
        <v>9409.89990447761</v>
      </c>
      <c r="I894" s="0" t="str">
        <f aca="false">IF(E894&lt;Model!$B$5*H894,"Expedite","Standard")</f>
        <v>Expedite</v>
      </c>
      <c r="J894" s="29" t="n">
        <f aca="false">H894</f>
        <v>9409.89990447761</v>
      </c>
      <c r="K894" s="29" t="n">
        <f aca="false">E894+(1-Model!$B$5)*H894</f>
        <v>4540.06</v>
      </c>
      <c r="L894" s="29" t="n">
        <f aca="false">IF(I894="Expedite",K894,J894)</f>
        <v>4540.06</v>
      </c>
      <c r="M894" s="29" t="n">
        <f aca="false">J894-L894</f>
        <v>4869.83990447761</v>
      </c>
      <c r="N894" s="29" t="n">
        <f aca="false">IFERROR(E894/(F894*C894*Model!$B$5),"")</f>
        <v>348.121608630635</v>
      </c>
    </row>
    <row r="895" customFormat="false" ht="15" hidden="false" customHeight="false" outlineLevel="0" collapsed="false">
      <c r="A895" s="0" t="str">
        <f aca="false">Clean!A895</f>
        <v>SHP0894</v>
      </c>
      <c r="B895" s="0" t="str">
        <f aca="false">Clean!AA895</f>
        <v>VRL Cargo</v>
      </c>
      <c r="C895" s="28" t="n">
        <f aca="false">Clean!J895</f>
        <v>9.81</v>
      </c>
      <c r="D895" s="29" t="n">
        <f aca="false">Clean!AF895</f>
        <v>509.54</v>
      </c>
      <c r="E895" s="29" t="n">
        <f aca="false">Clean!AE895</f>
        <v>4389.42</v>
      </c>
      <c r="F895" s="22" t="n">
        <f aca="false">AVERAGEIFS(Clean!$V$2:$V$1001,Clean!$AA$2:$AA$1001,B895)</f>
        <v>0.72020725388601</v>
      </c>
      <c r="G895" s="29" t="n">
        <f aca="false">F895*C895*D895</f>
        <v>3600.01890466321</v>
      </c>
      <c r="H895" s="29" t="n">
        <f aca="false">G895*Model!$B$4</f>
        <v>3600.01890466321</v>
      </c>
      <c r="I895" s="0" t="str">
        <f aca="false">IF(E895&lt;Model!$B$5*H895,"Expedite","Standard")</f>
        <v>Standard</v>
      </c>
      <c r="J895" s="29" t="n">
        <f aca="false">H895</f>
        <v>3600.01890466321</v>
      </c>
      <c r="K895" s="29" t="n">
        <f aca="false">E895+(1-Model!$B$5)*H895</f>
        <v>4389.42</v>
      </c>
      <c r="L895" s="29" t="n">
        <f aca="false">IF(I895="Expedite",K895,J895)</f>
        <v>3600.01890466321</v>
      </c>
      <c r="M895" s="29" t="n">
        <f aca="false">J895-L895</f>
        <v>0</v>
      </c>
      <c r="N895" s="29" t="n">
        <f aca="false">IFERROR(E895/(F895*C895*Model!$B$5),"")</f>
        <v>621.270367192485</v>
      </c>
    </row>
    <row r="896" customFormat="false" ht="15" hidden="false" customHeight="false" outlineLevel="0" collapsed="false">
      <c r="A896" s="0" t="str">
        <f aca="false">Clean!A896</f>
        <v>SHP0895</v>
      </c>
      <c r="B896" s="0" t="str">
        <f aca="false">Clean!AA896</f>
        <v>BlueDart</v>
      </c>
      <c r="C896" s="28" t="n">
        <f aca="false">Clean!J896</f>
        <v>8.65</v>
      </c>
      <c r="D896" s="29" t="n">
        <f aca="false">Clean!AF896</f>
        <v>654.68</v>
      </c>
      <c r="E896" s="29" t="n">
        <f aca="false">Clean!AE896</f>
        <v>4444.93</v>
      </c>
      <c r="F896" s="22" t="n">
        <f aca="false">AVERAGEIFS(Clean!$V$2:$V$1001,Clean!$AA$2:$AA$1001,B896)</f>
        <v>0.773869346733668</v>
      </c>
      <c r="G896" s="29" t="n">
        <f aca="false">F896*C896*D896</f>
        <v>4382.40818090452</v>
      </c>
      <c r="H896" s="29" t="n">
        <f aca="false">G896*Model!$B$4</f>
        <v>4382.40818090452</v>
      </c>
      <c r="I896" s="0" t="str">
        <f aca="false">IF(E896&lt;Model!$B$5*H896,"Expedite","Standard")</f>
        <v>Standard</v>
      </c>
      <c r="J896" s="29" t="n">
        <f aca="false">H896</f>
        <v>4382.40818090452</v>
      </c>
      <c r="K896" s="29" t="n">
        <f aca="false">E896+(1-Model!$B$5)*H896</f>
        <v>4444.93</v>
      </c>
      <c r="L896" s="29" t="n">
        <f aca="false">IF(I896="Expedite",K896,J896)</f>
        <v>4382.40818090452</v>
      </c>
      <c r="M896" s="29" t="n">
        <f aca="false">J896-L896</f>
        <v>0</v>
      </c>
      <c r="N896" s="29" t="n">
        <f aca="false">IFERROR(E896/(F896*C896*Model!$B$5),"")</f>
        <v>664.020021019443</v>
      </c>
    </row>
    <row r="897" customFormat="false" ht="15" hidden="false" customHeight="false" outlineLevel="0" collapsed="false">
      <c r="A897" s="0" t="str">
        <f aca="false">Clean!A897</f>
        <v>SHP0896</v>
      </c>
      <c r="B897" s="0" t="str">
        <f aca="false">Clean!AA897</f>
        <v>GATI Logistics</v>
      </c>
      <c r="C897" s="28" t="n">
        <f aca="false">Clean!J897</f>
        <v>9.58</v>
      </c>
      <c r="D897" s="29" t="n">
        <f aca="false">Clean!AF897</f>
        <v>1411.02</v>
      </c>
      <c r="E897" s="29" t="n">
        <f aca="false">Clean!AE897</f>
        <v>2672.53</v>
      </c>
      <c r="F897" s="22" t="n">
        <f aca="false">AVERAGEIFS(Clean!$V$2:$V$1001,Clean!$AA$2:$AA$1001,B897)</f>
        <v>0.751243781094527</v>
      </c>
      <c r="G897" s="29" t="n">
        <f aca="false">F897*C897*D897</f>
        <v>10154.9916</v>
      </c>
      <c r="H897" s="29" t="n">
        <f aca="false">G897*Model!$B$4</f>
        <v>10154.9916</v>
      </c>
      <c r="I897" s="0" t="str">
        <f aca="false">IF(E897&lt;Model!$B$5*H897,"Expedite","Standard")</f>
        <v>Expedite</v>
      </c>
      <c r="J897" s="29" t="n">
        <f aca="false">H897</f>
        <v>10154.9916</v>
      </c>
      <c r="K897" s="29" t="n">
        <f aca="false">E897+(1-Model!$B$5)*H897</f>
        <v>2672.53</v>
      </c>
      <c r="L897" s="29" t="n">
        <f aca="false">IF(I897="Expedite",K897,J897)</f>
        <v>2672.53</v>
      </c>
      <c r="M897" s="29" t="n">
        <f aca="false">J897-L897</f>
        <v>7482.4616</v>
      </c>
      <c r="N897" s="29" t="n">
        <f aca="false">IFERROR(E897/(F897*C897*Model!$B$5),"")</f>
        <v>371.343810919548</v>
      </c>
    </row>
    <row r="898" customFormat="false" ht="15" hidden="false" customHeight="false" outlineLevel="0" collapsed="false">
      <c r="A898" s="0" t="str">
        <f aca="false">Clean!A898</f>
        <v>SHP0897</v>
      </c>
      <c r="B898" s="0" t="str">
        <f aca="false">Clean!AA898</f>
        <v>BlueDart</v>
      </c>
      <c r="C898" s="28" t="n">
        <f aca="false">Clean!J898</f>
        <v>19.87</v>
      </c>
      <c r="D898" s="29" t="n">
        <f aca="false">Clean!AF898</f>
        <v>1002.55</v>
      </c>
      <c r="E898" s="29" t="n">
        <f aca="false">Clean!AE898</f>
        <v>1720</v>
      </c>
      <c r="F898" s="22" t="n">
        <f aca="false">AVERAGEIFS(Clean!$V$2:$V$1001,Clean!$AA$2:$AA$1001,B898)</f>
        <v>0.773869346733668</v>
      </c>
      <c r="G898" s="29" t="n">
        <f aca="false">F898*C898*D898</f>
        <v>15415.994718593</v>
      </c>
      <c r="H898" s="29" t="n">
        <f aca="false">G898*Model!$B$4</f>
        <v>15415.994718593</v>
      </c>
      <c r="I898" s="0" t="str">
        <f aca="false">IF(E898&lt;Model!$B$5*H898,"Expedite","Standard")</f>
        <v>Expedite</v>
      </c>
      <c r="J898" s="29" t="n">
        <f aca="false">H898</f>
        <v>15415.994718593</v>
      </c>
      <c r="K898" s="29" t="n">
        <f aca="false">E898+(1-Model!$B$5)*H898</f>
        <v>1720</v>
      </c>
      <c r="L898" s="29" t="n">
        <f aca="false">IF(I898="Expedite",K898,J898)</f>
        <v>1720</v>
      </c>
      <c r="M898" s="29" t="n">
        <f aca="false">J898-L898</f>
        <v>13695.994718593</v>
      </c>
      <c r="N898" s="29" t="n">
        <f aca="false">IFERROR(E898/(F898*C898*Model!$B$5),"")</f>
        <v>111.856940241439</v>
      </c>
    </row>
    <row r="899" customFormat="false" ht="15" hidden="false" customHeight="false" outlineLevel="0" collapsed="false">
      <c r="A899" s="0" t="str">
        <f aca="false">Clean!A899</f>
        <v>SHP0898</v>
      </c>
      <c r="B899" s="0" t="str">
        <f aca="false">Clean!AA899</f>
        <v>Delhivery</v>
      </c>
      <c r="C899" s="28" t="n">
        <f aca="false">Clean!J899</f>
        <v>17.12</v>
      </c>
      <c r="D899" s="29" t="n">
        <f aca="false">Clean!AF899</f>
        <v>1174.22</v>
      </c>
      <c r="E899" s="29" t="n">
        <f aca="false">Clean!AE899</f>
        <v>3747.02</v>
      </c>
      <c r="F899" s="22" t="n">
        <f aca="false">AVERAGEIFS(Clean!$V$2:$V$1001,Clean!$AA$2:$AA$1001,B899)</f>
        <v>0.72538860103627</v>
      </c>
      <c r="G899" s="29" t="n">
        <f aca="false">F899*C899*D899</f>
        <v>14582.2305492228</v>
      </c>
      <c r="H899" s="29" t="n">
        <f aca="false">G899*Model!$B$4</f>
        <v>14582.2305492228</v>
      </c>
      <c r="I899" s="0" t="str">
        <f aca="false">IF(E899&lt;Model!$B$5*H899,"Expedite","Standard")</f>
        <v>Expedite</v>
      </c>
      <c r="J899" s="29" t="n">
        <f aca="false">H899</f>
        <v>14582.2305492228</v>
      </c>
      <c r="K899" s="29" t="n">
        <f aca="false">E899+(1-Model!$B$5)*H899</f>
        <v>3747.02</v>
      </c>
      <c r="L899" s="29" t="n">
        <f aca="false">IF(I899="Expedite",K899,J899)</f>
        <v>3747.02</v>
      </c>
      <c r="M899" s="29" t="n">
        <f aca="false">J899-L899</f>
        <v>10835.2105492228</v>
      </c>
      <c r="N899" s="29" t="n">
        <f aca="false">IFERROR(E899/(F899*C899*Model!$B$5),"")</f>
        <v>301.725158544726</v>
      </c>
    </row>
    <row r="900" customFormat="false" ht="15" hidden="false" customHeight="false" outlineLevel="0" collapsed="false">
      <c r="A900" s="0" t="str">
        <f aca="false">Clean!A900</f>
        <v>SHP0899</v>
      </c>
      <c r="B900" s="0" t="str">
        <f aca="false">Clean!AA900</f>
        <v>GATI Logistics</v>
      </c>
      <c r="C900" s="28" t="n">
        <f aca="false">Clean!J900</f>
        <v>5.21</v>
      </c>
      <c r="D900" s="29" t="n">
        <f aca="false">Clean!AF900</f>
        <v>878.64</v>
      </c>
      <c r="E900" s="29" t="n">
        <f aca="false">Clean!AE900</f>
        <v>2432.58</v>
      </c>
      <c r="F900" s="22" t="n">
        <f aca="false">AVERAGEIFS(Clean!$V$2:$V$1001,Clean!$AA$2:$AA$1001,B900)</f>
        <v>0.751243781094527</v>
      </c>
      <c r="G900" s="29" t="n">
        <f aca="false">F900*C900*D900</f>
        <v>3438.97947462687</v>
      </c>
      <c r="H900" s="29" t="n">
        <f aca="false">G900*Model!$B$4</f>
        <v>3438.97947462687</v>
      </c>
      <c r="I900" s="0" t="str">
        <f aca="false">IF(E900&lt;Model!$B$5*H900,"Expedite","Standard")</f>
        <v>Expedite</v>
      </c>
      <c r="J900" s="29" t="n">
        <f aca="false">H900</f>
        <v>3438.97947462687</v>
      </c>
      <c r="K900" s="29" t="n">
        <f aca="false">E900+(1-Model!$B$5)*H900</f>
        <v>2432.58</v>
      </c>
      <c r="L900" s="29" t="n">
        <f aca="false">IF(I900="Expedite",K900,J900)</f>
        <v>2432.58</v>
      </c>
      <c r="M900" s="29" t="n">
        <f aca="false">J900-L900</f>
        <v>1006.39947462687</v>
      </c>
      <c r="N900" s="29" t="n">
        <f aca="false">IFERROR(E900/(F900*C900*Model!$B$5),"")</f>
        <v>621.510569333045</v>
      </c>
    </row>
    <row r="901" customFormat="false" ht="15" hidden="false" customHeight="false" outlineLevel="0" collapsed="false">
      <c r="A901" s="0" t="str">
        <f aca="false">Clean!A901</f>
        <v>SHP0900</v>
      </c>
      <c r="B901" s="0" t="str">
        <f aca="false">Clean!AA901</f>
        <v>GATI Logistics</v>
      </c>
      <c r="C901" s="28" t="n">
        <f aca="false">Clean!J901</f>
        <v>8.94</v>
      </c>
      <c r="D901" s="29" t="n">
        <f aca="false">Clean!AF901</f>
        <v>907.74</v>
      </c>
      <c r="E901" s="29" t="n">
        <f aca="false">Clean!AE901</f>
        <v>3354.34</v>
      </c>
      <c r="F901" s="22" t="n">
        <f aca="false">AVERAGEIFS(Clean!$V$2:$V$1001,Clean!$AA$2:$AA$1001,B901)</f>
        <v>0.751243781094527</v>
      </c>
      <c r="G901" s="29" t="n">
        <f aca="false">F901*C901*D901</f>
        <v>6096.49022686567</v>
      </c>
      <c r="H901" s="29" t="n">
        <f aca="false">G901*Model!$B$4</f>
        <v>6096.49022686567</v>
      </c>
      <c r="I901" s="0" t="str">
        <f aca="false">IF(E901&lt;Model!$B$5*H901,"Expedite","Standard")</f>
        <v>Expedite</v>
      </c>
      <c r="J901" s="29" t="n">
        <f aca="false">H901</f>
        <v>6096.49022686567</v>
      </c>
      <c r="K901" s="29" t="n">
        <f aca="false">E901+(1-Model!$B$5)*H901</f>
        <v>3354.34</v>
      </c>
      <c r="L901" s="29" t="n">
        <f aca="false">IF(I901="Expedite",K901,J901)</f>
        <v>3354.34</v>
      </c>
      <c r="M901" s="29" t="n">
        <f aca="false">J901-L901</f>
        <v>2742.15022686567</v>
      </c>
      <c r="N901" s="29" t="n">
        <f aca="false">IFERROR(E901/(F901*C901*Model!$B$5),"")</f>
        <v>499.446153162363</v>
      </c>
    </row>
    <row r="902" customFormat="false" ht="15" hidden="false" customHeight="false" outlineLevel="0" collapsed="false">
      <c r="A902" s="0" t="str">
        <f aca="false">Clean!A902</f>
        <v>SHP0901</v>
      </c>
      <c r="B902" s="0" t="str">
        <f aca="false">Clean!AA902</f>
        <v>BlueDart</v>
      </c>
      <c r="C902" s="28" t="n">
        <f aca="false">Clean!J902</f>
        <v>13.37</v>
      </c>
      <c r="D902" s="29" t="n">
        <f aca="false">Clean!AF902</f>
        <v>1453.32</v>
      </c>
      <c r="E902" s="29" t="n">
        <f aca="false">Clean!AE902</f>
        <v>2579.2</v>
      </c>
      <c r="F902" s="22" t="n">
        <f aca="false">AVERAGEIFS(Clean!$V$2:$V$1001,Clean!$AA$2:$AA$1001,B902)</f>
        <v>0.773869346733668</v>
      </c>
      <c r="G902" s="29" t="n">
        <f aca="false">F902*C902*D902</f>
        <v>15036.9689125628</v>
      </c>
      <c r="H902" s="29" t="n">
        <f aca="false">G902*Model!$B$4</f>
        <v>15036.9689125628</v>
      </c>
      <c r="I902" s="0" t="str">
        <f aca="false">IF(E902&lt;Model!$B$5*H902,"Expedite","Standard")</f>
        <v>Expedite</v>
      </c>
      <c r="J902" s="29" t="n">
        <f aca="false">H902</f>
        <v>15036.9689125628</v>
      </c>
      <c r="K902" s="29" t="n">
        <f aca="false">E902+(1-Model!$B$5)*H902</f>
        <v>2579.2</v>
      </c>
      <c r="L902" s="29" t="n">
        <f aca="false">IF(I902="Expedite",K902,J902)</f>
        <v>2579.2</v>
      </c>
      <c r="M902" s="29" t="n">
        <f aca="false">J902-L902</f>
        <v>12457.7689125628</v>
      </c>
      <c r="N902" s="29" t="n">
        <f aca="false">IFERROR(E902/(F902*C902*Model!$B$5),"")</f>
        <v>249.279157641162</v>
      </c>
    </row>
    <row r="903" customFormat="false" ht="15" hidden="false" customHeight="false" outlineLevel="0" collapsed="false">
      <c r="A903" s="0" t="str">
        <f aca="false">Clean!A903</f>
        <v>SHP0902</v>
      </c>
      <c r="B903" s="0" t="str">
        <f aca="false">Clean!AA903</f>
        <v>Delhivery</v>
      </c>
      <c r="C903" s="28" t="n">
        <f aca="false">Clean!J903</f>
        <v>10.22</v>
      </c>
      <c r="D903" s="29" t="n">
        <f aca="false">Clean!AF903</f>
        <v>671.7</v>
      </c>
      <c r="E903" s="29" t="n">
        <f aca="false">Clean!AE903</f>
        <v>1052.31</v>
      </c>
      <c r="F903" s="22" t="n">
        <f aca="false">AVERAGEIFS(Clean!$V$2:$V$1001,Clean!$AA$2:$AA$1001,B903)</f>
        <v>0.72538860103627</v>
      </c>
      <c r="G903" s="29" t="n">
        <f aca="false">F903*C903*D903</f>
        <v>4979.62880829016</v>
      </c>
      <c r="H903" s="29" t="n">
        <f aca="false">G903*Model!$B$4</f>
        <v>4979.62880829016</v>
      </c>
      <c r="I903" s="0" t="str">
        <f aca="false">IF(E903&lt;Model!$B$5*H903,"Expedite","Standard")</f>
        <v>Expedite</v>
      </c>
      <c r="J903" s="29" t="n">
        <f aca="false">H903</f>
        <v>4979.62880829016</v>
      </c>
      <c r="K903" s="29" t="n">
        <f aca="false">E903+(1-Model!$B$5)*H903</f>
        <v>1052.31</v>
      </c>
      <c r="L903" s="29" t="n">
        <f aca="false">IF(I903="Expedite",K903,J903)</f>
        <v>1052.31</v>
      </c>
      <c r="M903" s="29" t="n">
        <f aca="false">J903-L903</f>
        <v>3927.31880829016</v>
      </c>
      <c r="N903" s="29" t="n">
        <f aca="false">IFERROR(E903/(F903*C903*Model!$B$5),"")</f>
        <v>141.945645792564</v>
      </c>
    </row>
    <row r="904" customFormat="false" ht="15" hidden="false" customHeight="false" outlineLevel="0" collapsed="false">
      <c r="A904" s="0" t="str">
        <f aca="false">Clean!A904</f>
        <v>SHP0903</v>
      </c>
      <c r="B904" s="0" t="str">
        <f aca="false">Clean!AA904</f>
        <v>Delhivery</v>
      </c>
      <c r="C904" s="28" t="n">
        <f aca="false">Clean!J904</f>
        <v>13.42</v>
      </c>
      <c r="D904" s="29" t="n">
        <f aca="false">Clean!AF904</f>
        <v>1093.94</v>
      </c>
      <c r="E904" s="29" t="n">
        <f aca="false">Clean!AE904</f>
        <v>2998.82</v>
      </c>
      <c r="F904" s="22" t="n">
        <f aca="false">AVERAGEIFS(Clean!$V$2:$V$1001,Clean!$AA$2:$AA$1001,B904)</f>
        <v>0.72538860103627</v>
      </c>
      <c r="G904" s="29" t="n">
        <f aca="false">F904*C904*D904</f>
        <v>10649.1941554404</v>
      </c>
      <c r="H904" s="29" t="n">
        <f aca="false">G904*Model!$B$4</f>
        <v>10649.1941554404</v>
      </c>
      <c r="I904" s="0" t="str">
        <f aca="false">IF(E904&lt;Model!$B$5*H904,"Expedite","Standard")</f>
        <v>Expedite</v>
      </c>
      <c r="J904" s="29" t="n">
        <f aca="false">H904</f>
        <v>10649.1941554404</v>
      </c>
      <c r="K904" s="29" t="n">
        <f aca="false">E904+(1-Model!$B$5)*H904</f>
        <v>2998.82</v>
      </c>
      <c r="L904" s="29" t="n">
        <f aca="false">IF(I904="Expedite",K904,J904)</f>
        <v>2998.82</v>
      </c>
      <c r="M904" s="29" t="n">
        <f aca="false">J904-L904</f>
        <v>7650.37415544042</v>
      </c>
      <c r="N904" s="29" t="n">
        <f aca="false">IFERROR(E904/(F904*C904*Model!$B$5),"")</f>
        <v>308.054215456675</v>
      </c>
    </row>
    <row r="905" customFormat="false" ht="15" hidden="false" customHeight="false" outlineLevel="0" collapsed="false">
      <c r="A905" s="0" t="str">
        <f aca="false">Clean!A905</f>
        <v>SHP0904</v>
      </c>
      <c r="B905" s="0" t="str">
        <f aca="false">Clean!AA905</f>
        <v>VRL Cargo</v>
      </c>
      <c r="C905" s="28" t="n">
        <f aca="false">Clean!J905</f>
        <v>3.82</v>
      </c>
      <c r="D905" s="29" t="n">
        <f aca="false">Clean!AF905</f>
        <v>1186.57</v>
      </c>
      <c r="E905" s="29" t="n">
        <f aca="false">Clean!AE905</f>
        <v>2578.64</v>
      </c>
      <c r="F905" s="22" t="n">
        <f aca="false">AVERAGEIFS(Clean!$V$2:$V$1001,Clean!$AA$2:$AA$1001,B905)</f>
        <v>0.72020725388601</v>
      </c>
      <c r="G905" s="29" t="n">
        <f aca="false">F905*C905*D905</f>
        <v>3264.48154715026</v>
      </c>
      <c r="H905" s="29" t="n">
        <f aca="false">G905*Model!$B$4</f>
        <v>3264.48154715026</v>
      </c>
      <c r="I905" s="0" t="str">
        <f aca="false">IF(E905&lt;Model!$B$5*H905,"Expedite","Standard")</f>
        <v>Expedite</v>
      </c>
      <c r="J905" s="29" t="n">
        <f aca="false">H905</f>
        <v>3264.48154715026</v>
      </c>
      <c r="K905" s="29" t="n">
        <f aca="false">E905+(1-Model!$B$5)*H905</f>
        <v>2578.64</v>
      </c>
      <c r="L905" s="29" t="n">
        <f aca="false">IF(I905="Expedite",K905,J905)</f>
        <v>2578.64</v>
      </c>
      <c r="M905" s="29" t="n">
        <f aca="false">J905-L905</f>
        <v>685.841547150259</v>
      </c>
      <c r="N905" s="29" t="n">
        <f aca="false">IFERROR(E905/(F905*C905*Model!$B$5),"")</f>
        <v>937.281102866398</v>
      </c>
    </row>
    <row r="906" customFormat="false" ht="15" hidden="false" customHeight="false" outlineLevel="0" collapsed="false">
      <c r="A906" s="0" t="str">
        <f aca="false">Clean!A906</f>
        <v>SHP0905</v>
      </c>
      <c r="B906" s="0" t="str">
        <f aca="false">Clean!AA906</f>
        <v>TCI Express</v>
      </c>
      <c r="C906" s="28" t="n">
        <f aca="false">Clean!J906</f>
        <v>8.92</v>
      </c>
      <c r="D906" s="29" t="n">
        <f aca="false">Clean!AF906</f>
        <v>1105.76</v>
      </c>
      <c r="E906" s="29" t="n">
        <f aca="false">Clean!AE906</f>
        <v>3075.75</v>
      </c>
      <c r="F906" s="22" t="n">
        <f aca="false">AVERAGEIFS(Clean!$V$2:$V$1001,Clean!$AA$2:$AA$1001,B906)</f>
        <v>0.752336448598131</v>
      </c>
      <c r="G906" s="29" t="n">
        <f aca="false">F906*C906*D906</f>
        <v>7420.57967850467</v>
      </c>
      <c r="H906" s="29" t="n">
        <f aca="false">G906*Model!$B$4</f>
        <v>7420.57967850467</v>
      </c>
      <c r="I906" s="0" t="str">
        <f aca="false">IF(E906&lt;Model!$B$5*H906,"Expedite","Standard")</f>
        <v>Expedite</v>
      </c>
      <c r="J906" s="29" t="n">
        <f aca="false">H906</f>
        <v>7420.57967850467</v>
      </c>
      <c r="K906" s="29" t="n">
        <f aca="false">E906+(1-Model!$B$5)*H906</f>
        <v>3075.75</v>
      </c>
      <c r="L906" s="29" t="n">
        <f aca="false">IF(I906="Expedite",K906,J906)</f>
        <v>3075.75</v>
      </c>
      <c r="M906" s="29" t="n">
        <f aca="false">J906-L906</f>
        <v>4344.82967850467</v>
      </c>
      <c r="N906" s="29" t="n">
        <f aca="false">IFERROR(E906/(F906*C906*Model!$B$5),"")</f>
        <v>458.325557752834</v>
      </c>
    </row>
    <row r="907" customFormat="false" ht="15" hidden="false" customHeight="false" outlineLevel="0" collapsed="false">
      <c r="A907" s="0" t="str">
        <f aca="false">Clean!A907</f>
        <v>SHP0906</v>
      </c>
      <c r="B907" s="0" t="str">
        <f aca="false">Clean!AA907</f>
        <v>VRL Cargo</v>
      </c>
      <c r="C907" s="28" t="n">
        <f aca="false">Clean!J907</f>
        <v>19.29</v>
      </c>
      <c r="D907" s="29" t="n">
        <f aca="false">Clean!AF907</f>
        <v>737.25</v>
      </c>
      <c r="E907" s="29" t="n">
        <f aca="false">Clean!AE907</f>
        <v>2291.91</v>
      </c>
      <c r="F907" s="22" t="n">
        <f aca="false">AVERAGEIFS(Clean!$V$2:$V$1001,Clean!$AA$2:$AA$1001,B907)</f>
        <v>0.72020725388601</v>
      </c>
      <c r="G907" s="29" t="n">
        <f aca="false">F907*C907*D907</f>
        <v>10242.4652720207</v>
      </c>
      <c r="H907" s="29" t="n">
        <f aca="false">G907*Model!$B$4</f>
        <v>10242.4652720207</v>
      </c>
      <c r="I907" s="0" t="str">
        <f aca="false">IF(E907&lt;Model!$B$5*H907,"Expedite","Standard")</f>
        <v>Expedite</v>
      </c>
      <c r="J907" s="29" t="n">
        <f aca="false">H907</f>
        <v>10242.4652720207</v>
      </c>
      <c r="K907" s="29" t="n">
        <f aca="false">E907+(1-Model!$B$5)*H907</f>
        <v>2291.91</v>
      </c>
      <c r="L907" s="29" t="n">
        <f aca="false">IF(I907="Expedite",K907,J907)</f>
        <v>2291.91</v>
      </c>
      <c r="M907" s="29" t="n">
        <f aca="false">J907-L907</f>
        <v>7950.55527202073</v>
      </c>
      <c r="N907" s="29" t="n">
        <f aca="false">IFERROR(E907/(F907*C907*Model!$B$5),"")</f>
        <v>164.971088758853</v>
      </c>
    </row>
    <row r="908" customFormat="false" ht="15" hidden="false" customHeight="false" outlineLevel="0" collapsed="false">
      <c r="A908" s="0" t="str">
        <f aca="false">Clean!A908</f>
        <v>SHP0907</v>
      </c>
      <c r="B908" s="0" t="str">
        <f aca="false">Clean!AA908</f>
        <v>Delhivery</v>
      </c>
      <c r="C908" s="28" t="n">
        <f aca="false">Clean!J908</f>
        <v>5.99</v>
      </c>
      <c r="D908" s="29" t="n">
        <f aca="false">Clean!AF908</f>
        <v>1346.56</v>
      </c>
      <c r="E908" s="29" t="n">
        <f aca="false">Clean!AE908</f>
        <v>3970.89</v>
      </c>
      <c r="F908" s="22" t="n">
        <f aca="false">AVERAGEIFS(Clean!$V$2:$V$1001,Clean!$AA$2:$AA$1001,B908)</f>
        <v>0.72538860103627</v>
      </c>
      <c r="G908" s="29" t="n">
        <f aca="false">F908*C908*D908</f>
        <v>5850.90785492228</v>
      </c>
      <c r="H908" s="29" t="n">
        <f aca="false">G908*Model!$B$4</f>
        <v>5850.90785492228</v>
      </c>
      <c r="I908" s="0" t="str">
        <f aca="false">IF(E908&lt;Model!$B$5*H908,"Expedite","Standard")</f>
        <v>Expedite</v>
      </c>
      <c r="J908" s="29" t="n">
        <f aca="false">H908</f>
        <v>5850.90785492228</v>
      </c>
      <c r="K908" s="29" t="n">
        <f aca="false">E908+(1-Model!$B$5)*H908</f>
        <v>3970.89</v>
      </c>
      <c r="L908" s="29" t="n">
        <f aca="false">IF(I908="Expedite",K908,J908)</f>
        <v>3970.89</v>
      </c>
      <c r="M908" s="29" t="n">
        <f aca="false">J908-L908</f>
        <v>1880.01785492228</v>
      </c>
      <c r="N908" s="29" t="n">
        <f aca="false">IFERROR(E908/(F908*C908*Model!$B$5),"")</f>
        <v>913.882387312187</v>
      </c>
    </row>
    <row r="909" customFormat="false" ht="15" hidden="false" customHeight="false" outlineLevel="0" collapsed="false">
      <c r="A909" s="0" t="str">
        <f aca="false">Clean!A909</f>
        <v>SHP0908</v>
      </c>
      <c r="B909" s="0" t="str">
        <f aca="false">Clean!AA909</f>
        <v>VRL Cargo</v>
      </c>
      <c r="C909" s="28" t="n">
        <f aca="false">Clean!J909</f>
        <v>2.21</v>
      </c>
      <c r="D909" s="29" t="n">
        <f aca="false">Clean!AF909</f>
        <v>888.53</v>
      </c>
      <c r="E909" s="29" t="n">
        <f aca="false">Clean!AE909</f>
        <v>1880.27</v>
      </c>
      <c r="F909" s="22" t="n">
        <f aca="false">AVERAGEIFS(Clean!$V$2:$V$1001,Clean!$AA$2:$AA$1001,B909)</f>
        <v>0.72020725388601</v>
      </c>
      <c r="G909" s="29" t="n">
        <f aca="false">F909*C909*D909</f>
        <v>1414.23591036269</v>
      </c>
      <c r="H909" s="29" t="n">
        <f aca="false">G909*Model!$B$4</f>
        <v>1414.23591036269</v>
      </c>
      <c r="I909" s="0" t="str">
        <f aca="false">IF(E909&lt;Model!$B$5*H909,"Expedite","Standard")</f>
        <v>Standard</v>
      </c>
      <c r="J909" s="29" t="n">
        <f aca="false">H909</f>
        <v>1414.23591036269</v>
      </c>
      <c r="K909" s="29" t="n">
        <f aca="false">E909+(1-Model!$B$5)*H909</f>
        <v>1880.27</v>
      </c>
      <c r="L909" s="29" t="n">
        <f aca="false">IF(I909="Expedite",K909,J909)</f>
        <v>1414.23591036269</v>
      </c>
      <c r="M909" s="29" t="n">
        <f aca="false">J909-L909</f>
        <v>0</v>
      </c>
      <c r="N909" s="29" t="n">
        <f aca="false">IFERROR(E909/(F909*C909*Model!$B$5),"")</f>
        <v>1181.32787525636</v>
      </c>
    </row>
    <row r="910" customFormat="false" ht="15" hidden="false" customHeight="false" outlineLevel="0" collapsed="false">
      <c r="A910" s="0" t="str">
        <f aca="false">Clean!A910</f>
        <v>SHP0909</v>
      </c>
      <c r="B910" s="0" t="str">
        <f aca="false">Clean!AA910</f>
        <v>Delhivery</v>
      </c>
      <c r="C910" s="28" t="n">
        <f aca="false">Clean!J910</f>
        <v>17.45</v>
      </c>
      <c r="D910" s="29" t="n">
        <f aca="false">Clean!AF910</f>
        <v>954.17</v>
      </c>
      <c r="E910" s="29" t="n">
        <f aca="false">Clean!AE910</f>
        <v>2008.28</v>
      </c>
      <c r="F910" s="22" t="n">
        <f aca="false">AVERAGEIFS(Clean!$V$2:$V$1001,Clean!$AA$2:$AA$1001,B910)</f>
        <v>0.72538860103627</v>
      </c>
      <c r="G910" s="29" t="n">
        <f aca="false">F910*C910*D910</f>
        <v>12077.9135233161</v>
      </c>
      <c r="H910" s="29" t="n">
        <f aca="false">G910*Model!$B$4</f>
        <v>12077.9135233161</v>
      </c>
      <c r="I910" s="0" t="str">
        <f aca="false">IF(E910&lt;Model!$B$5*H910,"Expedite","Standard")</f>
        <v>Expedite</v>
      </c>
      <c r="J910" s="29" t="n">
        <f aca="false">H910</f>
        <v>12077.9135233161</v>
      </c>
      <c r="K910" s="29" t="n">
        <f aca="false">E910+(1-Model!$B$5)*H910</f>
        <v>2008.28</v>
      </c>
      <c r="L910" s="29" t="n">
        <f aca="false">IF(I910="Expedite",K910,J910)</f>
        <v>2008.28</v>
      </c>
      <c r="M910" s="29" t="n">
        <f aca="false">J910-L910</f>
        <v>10069.6335233161</v>
      </c>
      <c r="N910" s="29" t="n">
        <f aca="false">IFERROR(E910/(F910*C910*Model!$B$5),"")</f>
        <v>158.656586164552</v>
      </c>
    </row>
    <row r="911" customFormat="false" ht="15" hidden="false" customHeight="false" outlineLevel="0" collapsed="false">
      <c r="A911" s="0" t="str">
        <f aca="false">Clean!A911</f>
        <v>SHP0910</v>
      </c>
      <c r="B911" s="0" t="str">
        <f aca="false">Clean!AA911</f>
        <v>BlueDart</v>
      </c>
      <c r="C911" s="28" t="n">
        <f aca="false">Clean!J911</f>
        <v>8.33</v>
      </c>
      <c r="D911" s="29" t="n">
        <f aca="false">Clean!AF911</f>
        <v>918.76</v>
      </c>
      <c r="E911" s="29" t="n">
        <f aca="false">Clean!AE911</f>
        <v>3397.45</v>
      </c>
      <c r="F911" s="22" t="n">
        <f aca="false">AVERAGEIFS(Clean!$V$2:$V$1001,Clean!$AA$2:$AA$1001,B911)</f>
        <v>0.773869346733668</v>
      </c>
      <c r="G911" s="29" t="n">
        <f aca="false">F911*C911*D911</f>
        <v>5922.63167437186</v>
      </c>
      <c r="H911" s="29" t="n">
        <f aca="false">G911*Model!$B$4</f>
        <v>5922.63167437186</v>
      </c>
      <c r="I911" s="0" t="str">
        <f aca="false">IF(E911&lt;Model!$B$5*H911,"Expedite","Standard")</f>
        <v>Expedite</v>
      </c>
      <c r="J911" s="29" t="n">
        <f aca="false">H911</f>
        <v>5922.63167437186</v>
      </c>
      <c r="K911" s="29" t="n">
        <f aca="false">E911+(1-Model!$B$5)*H911</f>
        <v>3397.45</v>
      </c>
      <c r="L911" s="29" t="n">
        <f aca="false">IF(I911="Expedite",K911,J911)</f>
        <v>3397.45</v>
      </c>
      <c r="M911" s="29" t="n">
        <f aca="false">J911-L911</f>
        <v>2525.18167437186</v>
      </c>
      <c r="N911" s="29" t="n">
        <f aca="false">IFERROR(E911/(F911*C911*Model!$B$5),"")</f>
        <v>527.036178107607</v>
      </c>
    </row>
    <row r="912" customFormat="false" ht="15" hidden="false" customHeight="false" outlineLevel="0" collapsed="false">
      <c r="A912" s="0" t="str">
        <f aca="false">Clean!A912</f>
        <v>SHP0911</v>
      </c>
      <c r="B912" s="0" t="str">
        <f aca="false">Clean!AA912</f>
        <v>VRL Cargo</v>
      </c>
      <c r="C912" s="28" t="n">
        <f aca="false">Clean!J912</f>
        <v>9.21</v>
      </c>
      <c r="D912" s="29" t="n">
        <f aca="false">Clean!AF912</f>
        <v>713.36</v>
      </c>
      <c r="E912" s="29" t="n">
        <f aca="false">Clean!AE912</f>
        <v>2445.07</v>
      </c>
      <c r="F912" s="22" t="n">
        <f aca="false">AVERAGEIFS(Clean!$V$2:$V$1001,Clean!$AA$2:$AA$1001,B912)</f>
        <v>0.72020725388601</v>
      </c>
      <c r="G912" s="29" t="n">
        <f aca="false">F912*C912*D912</f>
        <v>4731.79449948187</v>
      </c>
      <c r="H912" s="29" t="n">
        <f aca="false">G912*Model!$B$4</f>
        <v>4731.79449948187</v>
      </c>
      <c r="I912" s="0" t="str">
        <f aca="false">IF(E912&lt;Model!$B$5*H912,"Expedite","Standard")</f>
        <v>Expedite</v>
      </c>
      <c r="J912" s="29" t="n">
        <f aca="false">H912</f>
        <v>4731.79449948187</v>
      </c>
      <c r="K912" s="29" t="n">
        <f aca="false">E912+(1-Model!$B$5)*H912</f>
        <v>2445.07</v>
      </c>
      <c r="L912" s="29" t="n">
        <f aca="false">IF(I912="Expedite",K912,J912)</f>
        <v>2445.07</v>
      </c>
      <c r="M912" s="29" t="n">
        <f aca="false">J912-L912</f>
        <v>2286.72449948187</v>
      </c>
      <c r="N912" s="29" t="n">
        <f aca="false">IFERROR(E912/(F912*C912*Model!$B$5),"")</f>
        <v>368.615994500816</v>
      </c>
    </row>
    <row r="913" customFormat="false" ht="15" hidden="false" customHeight="false" outlineLevel="0" collapsed="false">
      <c r="A913" s="0" t="str">
        <f aca="false">Clean!A913</f>
        <v>SHP0912</v>
      </c>
      <c r="B913" s="0" t="str">
        <f aca="false">Clean!AA913</f>
        <v>VRL Cargo</v>
      </c>
      <c r="C913" s="28" t="n">
        <f aca="false">Clean!J913</f>
        <v>8.32</v>
      </c>
      <c r="D913" s="29" t="n">
        <f aca="false">Clean!AF913</f>
        <v>1304.11</v>
      </c>
      <c r="E913" s="29" t="n">
        <f aca="false">Clean!AE913</f>
        <v>1657.57</v>
      </c>
      <c r="F913" s="22" t="n">
        <f aca="false">AVERAGEIFS(Clean!$V$2:$V$1001,Clean!$AA$2:$AA$1001,B913)</f>
        <v>0.72020725388601</v>
      </c>
      <c r="G913" s="29" t="n">
        <f aca="false">F913*C913*D913</f>
        <v>7814.38928911917</v>
      </c>
      <c r="H913" s="29" t="n">
        <f aca="false">G913*Model!$B$4</f>
        <v>7814.38928911917</v>
      </c>
      <c r="I913" s="0" t="str">
        <f aca="false">IF(E913&lt;Model!$B$5*H913,"Expedite","Standard")</f>
        <v>Expedite</v>
      </c>
      <c r="J913" s="29" t="n">
        <f aca="false">H913</f>
        <v>7814.38928911917</v>
      </c>
      <c r="K913" s="29" t="n">
        <f aca="false">E913+(1-Model!$B$5)*H913</f>
        <v>1657.57</v>
      </c>
      <c r="L913" s="29" t="n">
        <f aca="false">IF(I913="Expedite",K913,J913)</f>
        <v>1657.57</v>
      </c>
      <c r="M913" s="29" t="n">
        <f aca="false">J913-L913</f>
        <v>6156.81928911917</v>
      </c>
      <c r="N913" s="29" t="n">
        <f aca="false">IFERROR(E913/(F913*C913*Model!$B$5),"")</f>
        <v>276.624766532928</v>
      </c>
    </row>
    <row r="914" customFormat="false" ht="15" hidden="false" customHeight="false" outlineLevel="0" collapsed="false">
      <c r="A914" s="0" t="str">
        <f aca="false">Clean!A914</f>
        <v>SHP0913</v>
      </c>
      <c r="B914" s="0" t="str">
        <f aca="false">Clean!AA914</f>
        <v>BlueDart</v>
      </c>
      <c r="C914" s="28" t="n">
        <f aca="false">Clean!J914</f>
        <v>16.05</v>
      </c>
      <c r="D914" s="29" t="n">
        <f aca="false">Clean!AF914</f>
        <v>778.57</v>
      </c>
      <c r="E914" s="29" t="n">
        <f aca="false">Clean!AE914</f>
        <v>1444.25</v>
      </c>
      <c r="F914" s="22" t="n">
        <f aca="false">AVERAGEIFS(Clean!$V$2:$V$1001,Clean!$AA$2:$AA$1001,B914)</f>
        <v>0.773869346733668</v>
      </c>
      <c r="G914" s="29" t="n">
        <f aca="false">F914*C914*D914</f>
        <v>9670.30888944724</v>
      </c>
      <c r="H914" s="29" t="n">
        <f aca="false">G914*Model!$B$4</f>
        <v>9670.30888944724</v>
      </c>
      <c r="I914" s="0" t="str">
        <f aca="false">IF(E914&lt;Model!$B$5*H914,"Expedite","Standard")</f>
        <v>Expedite</v>
      </c>
      <c r="J914" s="29" t="n">
        <f aca="false">H914</f>
        <v>9670.30888944724</v>
      </c>
      <c r="K914" s="29" t="n">
        <f aca="false">E914+(1-Model!$B$5)*H914</f>
        <v>1444.25</v>
      </c>
      <c r="L914" s="29" t="n">
        <f aca="false">IF(I914="Expedite",K914,J914)</f>
        <v>1444.25</v>
      </c>
      <c r="M914" s="29" t="n">
        <f aca="false">J914-L914</f>
        <v>8226.05888944724</v>
      </c>
      <c r="N914" s="29" t="n">
        <f aca="false">IFERROR(E914/(F914*C914*Model!$B$5),"")</f>
        <v>116.278573451471</v>
      </c>
    </row>
    <row r="915" customFormat="false" ht="15" hidden="false" customHeight="false" outlineLevel="0" collapsed="false">
      <c r="A915" s="0" t="str">
        <f aca="false">Clean!A915</f>
        <v>SHP0914</v>
      </c>
      <c r="B915" s="0" t="str">
        <f aca="false">Clean!AA915</f>
        <v>Delhivery</v>
      </c>
      <c r="C915" s="28" t="n">
        <f aca="false">Clean!J915</f>
        <v>15.66</v>
      </c>
      <c r="D915" s="29" t="n">
        <f aca="false">Clean!AF915</f>
        <v>516.11</v>
      </c>
      <c r="E915" s="29" t="n">
        <f aca="false">Clean!AE915</f>
        <v>2809.1</v>
      </c>
      <c r="F915" s="22" t="n">
        <f aca="false">AVERAGEIFS(Clean!$V$2:$V$1001,Clean!$AA$2:$AA$1001,B915)</f>
        <v>0.72538860103627</v>
      </c>
      <c r="G915" s="29" t="n">
        <f aca="false">F915*C915*D915</f>
        <v>5862.79566839378</v>
      </c>
      <c r="H915" s="29" t="n">
        <f aca="false">G915*Model!$B$4</f>
        <v>5862.79566839378</v>
      </c>
      <c r="I915" s="0" t="str">
        <f aca="false">IF(E915&lt;Model!$B$5*H915,"Expedite","Standard")</f>
        <v>Expedite</v>
      </c>
      <c r="J915" s="29" t="n">
        <f aca="false">H915</f>
        <v>5862.79566839378</v>
      </c>
      <c r="K915" s="29" t="n">
        <f aca="false">E915+(1-Model!$B$5)*H915</f>
        <v>2809.1</v>
      </c>
      <c r="L915" s="29" t="n">
        <f aca="false">IF(I915="Expedite",K915,J915)</f>
        <v>2809.1</v>
      </c>
      <c r="M915" s="29" t="n">
        <f aca="false">J915-L915</f>
        <v>3053.69566839378</v>
      </c>
      <c r="N915" s="29" t="n">
        <f aca="false">IFERROR(E915/(F915*C915*Model!$B$5),"")</f>
        <v>247.288952745849</v>
      </c>
    </row>
    <row r="916" customFormat="false" ht="15" hidden="false" customHeight="false" outlineLevel="0" collapsed="false">
      <c r="A916" s="0" t="str">
        <f aca="false">Clean!A916</f>
        <v>SHP0915</v>
      </c>
      <c r="B916" s="0" t="str">
        <f aca="false">Clean!AA916</f>
        <v>TCI Express</v>
      </c>
      <c r="C916" s="28" t="n">
        <f aca="false">Clean!J916</f>
        <v>3.22</v>
      </c>
      <c r="D916" s="29" t="n">
        <f aca="false">Clean!AF916</f>
        <v>983.61</v>
      </c>
      <c r="E916" s="29" t="n">
        <f aca="false">Clean!AE916</f>
        <v>3001.33</v>
      </c>
      <c r="F916" s="22" t="n">
        <f aca="false">AVERAGEIFS(Clean!$V$2:$V$1001,Clean!$AA$2:$AA$1001,B916)</f>
        <v>0.752336448598131</v>
      </c>
      <c r="G916" s="29" t="n">
        <f aca="false">F916*C916*D916</f>
        <v>2382.81820654206</v>
      </c>
      <c r="H916" s="29" t="n">
        <f aca="false">G916*Model!$B$4</f>
        <v>2382.81820654206</v>
      </c>
      <c r="I916" s="0" t="str">
        <f aca="false">IF(E916&lt;Model!$B$5*H916,"Expedite","Standard")</f>
        <v>Standard</v>
      </c>
      <c r="J916" s="29" t="n">
        <f aca="false">H916</f>
        <v>2382.81820654206</v>
      </c>
      <c r="K916" s="29" t="n">
        <f aca="false">E916+(1-Model!$B$5)*H916</f>
        <v>3001.33</v>
      </c>
      <c r="L916" s="29" t="n">
        <f aca="false">IF(I916="Expedite",K916,J916)</f>
        <v>2382.81820654206</v>
      </c>
      <c r="M916" s="29" t="n">
        <f aca="false">J916-L916</f>
        <v>0</v>
      </c>
      <c r="N916" s="29" t="n">
        <f aca="false">IFERROR(E916/(F916*C916*Model!$B$5),"")</f>
        <v>1238.92716330388</v>
      </c>
    </row>
    <row r="917" customFormat="false" ht="15" hidden="false" customHeight="false" outlineLevel="0" collapsed="false">
      <c r="A917" s="0" t="str">
        <f aca="false">Clean!A917</f>
        <v>SHP0916</v>
      </c>
      <c r="B917" s="0" t="str">
        <f aca="false">Clean!AA917</f>
        <v>VRL Cargo</v>
      </c>
      <c r="C917" s="28" t="n">
        <f aca="false">Clean!J917</f>
        <v>4</v>
      </c>
      <c r="D917" s="29" t="n">
        <f aca="false">Clean!AF917</f>
        <v>914.85</v>
      </c>
      <c r="E917" s="29" t="n">
        <f aca="false">Clean!AE917</f>
        <v>4365.43</v>
      </c>
      <c r="F917" s="22" t="n">
        <f aca="false">AVERAGEIFS(Clean!$V$2:$V$1001,Clean!$AA$2:$AA$1001,B917)</f>
        <v>0.72020725388601</v>
      </c>
      <c r="G917" s="29" t="n">
        <f aca="false">F917*C917*D917</f>
        <v>2635.52642487047</v>
      </c>
      <c r="H917" s="29" t="n">
        <f aca="false">G917*Model!$B$4</f>
        <v>2635.52642487047</v>
      </c>
      <c r="I917" s="0" t="str">
        <f aca="false">IF(E917&lt;Model!$B$5*H917,"Expedite","Standard")</f>
        <v>Standard</v>
      </c>
      <c r="J917" s="29" t="n">
        <f aca="false">H917</f>
        <v>2635.52642487047</v>
      </c>
      <c r="K917" s="29" t="n">
        <f aca="false">E917+(1-Model!$B$5)*H917</f>
        <v>4365.43</v>
      </c>
      <c r="L917" s="29" t="n">
        <f aca="false">IF(I917="Expedite",K917,J917)</f>
        <v>2635.52642487047</v>
      </c>
      <c r="M917" s="29" t="n">
        <f aca="false">J917-L917</f>
        <v>0</v>
      </c>
      <c r="N917" s="29" t="n">
        <f aca="false">IFERROR(E917/(F917*C917*Model!$B$5),"")</f>
        <v>1515.33811151079</v>
      </c>
    </row>
    <row r="918" customFormat="false" ht="15" hidden="false" customHeight="false" outlineLevel="0" collapsed="false">
      <c r="A918" s="0" t="str">
        <f aca="false">Clean!A918</f>
        <v>SHP0917</v>
      </c>
      <c r="B918" s="0" t="str">
        <f aca="false">Clean!AA918</f>
        <v>GATI Logistics</v>
      </c>
      <c r="C918" s="28" t="n">
        <f aca="false">Clean!J918</f>
        <v>15.59</v>
      </c>
      <c r="D918" s="29" t="n">
        <f aca="false">Clean!AF918</f>
        <v>1086.18</v>
      </c>
      <c r="E918" s="29" t="n">
        <f aca="false">Clean!AE918</f>
        <v>3837.26</v>
      </c>
      <c r="F918" s="22" t="n">
        <f aca="false">AVERAGEIFS(Clean!$V$2:$V$1001,Clean!$AA$2:$AA$1001,B918)</f>
        <v>0.751243781094527</v>
      </c>
      <c r="G918" s="29" t="n">
        <f aca="false">F918*C918*D918</f>
        <v>12721.2212746269</v>
      </c>
      <c r="H918" s="29" t="n">
        <f aca="false">G918*Model!$B$4</f>
        <v>12721.2212746269</v>
      </c>
      <c r="I918" s="0" t="str">
        <f aca="false">IF(E918&lt;Model!$B$5*H918,"Expedite","Standard")</f>
        <v>Expedite</v>
      </c>
      <c r="J918" s="29" t="n">
        <f aca="false">H918</f>
        <v>12721.2212746269</v>
      </c>
      <c r="K918" s="29" t="n">
        <f aca="false">E918+(1-Model!$B$5)*H918</f>
        <v>3837.26</v>
      </c>
      <c r="L918" s="29" t="n">
        <f aca="false">IF(I918="Expedite",K918,J918)</f>
        <v>3837.26</v>
      </c>
      <c r="M918" s="29" t="n">
        <f aca="false">J918-L918</f>
        <v>8883.96127462687</v>
      </c>
      <c r="N918" s="29" t="n">
        <f aca="false">IFERROR(E918/(F918*C918*Model!$B$5),"")</f>
        <v>327.637966262972</v>
      </c>
    </row>
    <row r="919" customFormat="false" ht="15" hidden="false" customHeight="false" outlineLevel="0" collapsed="false">
      <c r="A919" s="0" t="str">
        <f aca="false">Clean!A919</f>
        <v>SHP0918</v>
      </c>
      <c r="B919" s="0" t="str">
        <f aca="false">Clean!AA919</f>
        <v>BlueDart</v>
      </c>
      <c r="C919" s="28" t="n">
        <f aca="false">Clean!J919</f>
        <v>7.79</v>
      </c>
      <c r="D919" s="29" t="n">
        <f aca="false">Clean!AF919</f>
        <v>1378.53</v>
      </c>
      <c r="E919" s="29" t="n">
        <f aca="false">Clean!AE919</f>
        <v>1289.39</v>
      </c>
      <c r="F919" s="22" t="n">
        <f aca="false">AVERAGEIFS(Clean!$V$2:$V$1001,Clean!$AA$2:$AA$1001,B919)</f>
        <v>0.773869346733668</v>
      </c>
      <c r="G919" s="29" t="n">
        <f aca="false">F919*C919*D919</f>
        <v>8310.38844120603</v>
      </c>
      <c r="H919" s="29" t="n">
        <f aca="false">G919*Model!$B$4</f>
        <v>8310.38844120603</v>
      </c>
      <c r="I919" s="0" t="str">
        <f aca="false">IF(E919&lt;Model!$B$5*H919,"Expedite","Standard")</f>
        <v>Expedite</v>
      </c>
      <c r="J919" s="29" t="n">
        <f aca="false">H919</f>
        <v>8310.38844120603</v>
      </c>
      <c r="K919" s="29" t="n">
        <f aca="false">E919+(1-Model!$B$5)*H919</f>
        <v>1289.39</v>
      </c>
      <c r="L919" s="29" t="n">
        <f aca="false">IF(I919="Expedite",K919,J919)</f>
        <v>1289.39</v>
      </c>
      <c r="M919" s="29" t="n">
        <f aca="false">J919-L919</f>
        <v>7020.99844120603</v>
      </c>
      <c r="N919" s="29" t="n">
        <f aca="false">IFERROR(E919/(F919*C919*Model!$B$5),"")</f>
        <v>213.88444225864</v>
      </c>
    </row>
    <row r="920" customFormat="false" ht="15" hidden="false" customHeight="false" outlineLevel="0" collapsed="false">
      <c r="A920" s="0" t="str">
        <f aca="false">Clean!A920</f>
        <v>SHP0919</v>
      </c>
      <c r="B920" s="0" t="str">
        <f aca="false">Clean!AA920</f>
        <v>GATI Logistics</v>
      </c>
      <c r="C920" s="28" t="n">
        <f aca="false">Clean!J920</f>
        <v>6.73</v>
      </c>
      <c r="D920" s="29" t="n">
        <f aca="false">Clean!AF920</f>
        <v>541.88</v>
      </c>
      <c r="E920" s="29" t="n">
        <f aca="false">Clean!AE920</f>
        <v>4774.26</v>
      </c>
      <c r="F920" s="22" t="n">
        <f aca="false">AVERAGEIFS(Clean!$V$2:$V$1001,Clean!$AA$2:$AA$1001,B920)</f>
        <v>0.751243781094527</v>
      </c>
      <c r="G920" s="29" t="n">
        <f aca="false">F920*C920*D920</f>
        <v>2739.67518606965</v>
      </c>
      <c r="H920" s="29" t="n">
        <f aca="false">G920*Model!$B$4</f>
        <v>2739.67518606965</v>
      </c>
      <c r="I920" s="0" t="str">
        <f aca="false">IF(E920&lt;Model!$B$5*H920,"Expedite","Standard")</f>
        <v>Standard</v>
      </c>
      <c r="J920" s="29" t="n">
        <f aca="false">H920</f>
        <v>2739.67518606965</v>
      </c>
      <c r="K920" s="29" t="n">
        <f aca="false">E920+(1-Model!$B$5)*H920</f>
        <v>4774.26</v>
      </c>
      <c r="L920" s="29" t="n">
        <f aca="false">IF(I920="Expedite",K920,J920)</f>
        <v>2739.67518606965</v>
      </c>
      <c r="M920" s="29" t="n">
        <f aca="false">J920-L920</f>
        <v>0</v>
      </c>
      <c r="N920" s="29" t="n">
        <f aca="false">IFERROR(E920/(F920*C920*Model!$B$5),"")</f>
        <v>944.300266671915</v>
      </c>
    </row>
    <row r="921" customFormat="false" ht="15" hidden="false" customHeight="false" outlineLevel="0" collapsed="false">
      <c r="A921" s="0" t="str">
        <f aca="false">Clean!A921</f>
        <v>SHP0920</v>
      </c>
      <c r="B921" s="0" t="str">
        <f aca="false">Clean!AA921</f>
        <v>BlueDart</v>
      </c>
      <c r="C921" s="28" t="n">
        <f aca="false">Clean!J921</f>
        <v>10.56</v>
      </c>
      <c r="D921" s="29" t="n">
        <f aca="false">Clean!AF921</f>
        <v>1376.29</v>
      </c>
      <c r="E921" s="29" t="n">
        <f aca="false">Clean!AE921</f>
        <v>1967.71</v>
      </c>
      <c r="F921" s="22" t="n">
        <f aca="false">AVERAGEIFS(Clean!$V$2:$V$1001,Clean!$AA$2:$AA$1001,B921)</f>
        <v>0.773869346733668</v>
      </c>
      <c r="G921" s="29" t="n">
        <f aca="false">F921*C921*D921</f>
        <v>11247.1248723618</v>
      </c>
      <c r="H921" s="29" t="n">
        <f aca="false">G921*Model!$B$4</f>
        <v>11247.1248723618</v>
      </c>
      <c r="I921" s="0" t="str">
        <f aca="false">IF(E921&lt;Model!$B$5*H921,"Expedite","Standard")</f>
        <v>Expedite</v>
      </c>
      <c r="J921" s="29" t="n">
        <f aca="false">H921</f>
        <v>11247.1248723618</v>
      </c>
      <c r="K921" s="29" t="n">
        <f aca="false">E921+(1-Model!$B$5)*H921</f>
        <v>1967.71</v>
      </c>
      <c r="L921" s="29" t="n">
        <f aca="false">IF(I921="Expedite",K921,J921)</f>
        <v>1967.71</v>
      </c>
      <c r="M921" s="29" t="n">
        <f aca="false">J921-L921</f>
        <v>9279.41487236181</v>
      </c>
      <c r="N921" s="29" t="n">
        <f aca="false">IFERROR(E921/(F921*C921*Model!$B$5),"")</f>
        <v>240.785056326249</v>
      </c>
    </row>
    <row r="922" customFormat="false" ht="15" hidden="false" customHeight="false" outlineLevel="0" collapsed="false">
      <c r="A922" s="0" t="str">
        <f aca="false">Clean!A922</f>
        <v>SHP0921</v>
      </c>
      <c r="B922" s="0" t="str">
        <f aca="false">Clean!AA922</f>
        <v>TCI Express</v>
      </c>
      <c r="C922" s="28" t="n">
        <f aca="false">Clean!J922</f>
        <v>1.36</v>
      </c>
      <c r="D922" s="29" t="n">
        <f aca="false">Clean!AF922</f>
        <v>624.35</v>
      </c>
      <c r="E922" s="29" t="n">
        <f aca="false">Clean!AE922</f>
        <v>2927.35</v>
      </c>
      <c r="F922" s="22" t="n">
        <f aca="false">AVERAGEIFS(Clean!$V$2:$V$1001,Clean!$AA$2:$AA$1001,B922)</f>
        <v>0.752336448598131</v>
      </c>
      <c r="G922" s="29" t="n">
        <f aca="false">F922*C922*D922</f>
        <v>638.820915887851</v>
      </c>
      <c r="H922" s="29" t="n">
        <f aca="false">G922*Model!$B$4</f>
        <v>638.820915887851</v>
      </c>
      <c r="I922" s="0" t="str">
        <f aca="false">IF(E922&lt;Model!$B$5*H922,"Expedite","Standard")</f>
        <v>Standard</v>
      </c>
      <c r="J922" s="29" t="n">
        <f aca="false">H922</f>
        <v>638.820915887851</v>
      </c>
      <c r="K922" s="29" t="n">
        <f aca="false">E922+(1-Model!$B$5)*H922</f>
        <v>2927.35</v>
      </c>
      <c r="L922" s="29" t="n">
        <f aca="false">IF(I922="Expedite",K922,J922)</f>
        <v>638.820915887851</v>
      </c>
      <c r="M922" s="29" t="n">
        <f aca="false">J922-L922</f>
        <v>0</v>
      </c>
      <c r="N922" s="29" t="n">
        <f aca="false">IFERROR(E922/(F922*C922*Model!$B$5),"")</f>
        <v>2861.0380891487</v>
      </c>
    </row>
    <row r="923" customFormat="false" ht="15" hidden="false" customHeight="false" outlineLevel="0" collapsed="false">
      <c r="A923" s="0" t="str">
        <f aca="false">Clean!A923</f>
        <v>SHP0922</v>
      </c>
      <c r="B923" s="0" t="str">
        <f aca="false">Clean!AA923</f>
        <v>GATI Logistics</v>
      </c>
      <c r="C923" s="28" t="n">
        <f aca="false">Clean!J923</f>
        <v>5.07</v>
      </c>
      <c r="D923" s="29" t="n">
        <f aca="false">Clean!AF923</f>
        <v>1115.62</v>
      </c>
      <c r="E923" s="29" t="n">
        <f aca="false">Clean!AE923</f>
        <v>4444.04</v>
      </c>
      <c r="F923" s="22" t="n">
        <f aca="false">AVERAGEIFS(Clean!$V$2:$V$1001,Clean!$AA$2:$AA$1001,B923)</f>
        <v>0.751243781094527</v>
      </c>
      <c r="G923" s="29" t="n">
        <f aca="false">F923*C923*D923</f>
        <v>4249.18011641791</v>
      </c>
      <c r="H923" s="29" t="n">
        <f aca="false">G923*Model!$B$4</f>
        <v>4249.18011641791</v>
      </c>
      <c r="I923" s="0" t="str">
        <f aca="false">IF(E923&lt;Model!$B$5*H923,"Expedite","Standard")</f>
        <v>Standard</v>
      </c>
      <c r="J923" s="29" t="n">
        <f aca="false">H923</f>
        <v>4249.18011641791</v>
      </c>
      <c r="K923" s="29" t="n">
        <f aca="false">E923+(1-Model!$B$5)*H923</f>
        <v>4444.04</v>
      </c>
      <c r="L923" s="29" t="n">
        <f aca="false">IF(I923="Expedite",K923,J923)</f>
        <v>4249.18011641791</v>
      </c>
      <c r="M923" s="29" t="n">
        <f aca="false">J923-L923</f>
        <v>0</v>
      </c>
      <c r="N923" s="29" t="n">
        <f aca="false">IFERROR(E923/(F923*C923*Model!$B$5),"")</f>
        <v>1166.78035973196</v>
      </c>
    </row>
    <row r="924" customFormat="false" ht="15" hidden="false" customHeight="false" outlineLevel="0" collapsed="false">
      <c r="A924" s="0" t="str">
        <f aca="false">Clean!A924</f>
        <v>SHP0923</v>
      </c>
      <c r="B924" s="0" t="str">
        <f aca="false">Clean!AA924</f>
        <v>GATI Logistics</v>
      </c>
      <c r="C924" s="28" t="n">
        <f aca="false">Clean!J924</f>
        <v>1.24</v>
      </c>
      <c r="D924" s="29" t="n">
        <f aca="false">Clean!AF924</f>
        <v>504.36</v>
      </c>
      <c r="E924" s="29" t="n">
        <f aca="false">Clean!AE924</f>
        <v>3686.05</v>
      </c>
      <c r="F924" s="22" t="n">
        <f aca="false">AVERAGEIFS(Clean!$V$2:$V$1001,Clean!$AA$2:$AA$1001,B924)</f>
        <v>0.751243781094527</v>
      </c>
      <c r="G924" s="29" t="n">
        <f aca="false">F924*C924*D924</f>
        <v>469.832668656716</v>
      </c>
      <c r="H924" s="29" t="n">
        <f aca="false">G924*Model!$B$4</f>
        <v>469.832668656716</v>
      </c>
      <c r="I924" s="0" t="str">
        <f aca="false">IF(E924&lt;Model!$B$5*H924,"Expedite","Standard")</f>
        <v>Standard</v>
      </c>
      <c r="J924" s="29" t="n">
        <f aca="false">H924</f>
        <v>469.832668656716</v>
      </c>
      <c r="K924" s="29" t="n">
        <f aca="false">E924+(1-Model!$B$5)*H924</f>
        <v>3686.05</v>
      </c>
      <c r="L924" s="29" t="n">
        <f aca="false">IF(I924="Expedite",K924,J924)</f>
        <v>469.832668656716</v>
      </c>
      <c r="M924" s="29" t="n">
        <f aca="false">J924-L924</f>
        <v>0</v>
      </c>
      <c r="N924" s="29" t="n">
        <f aca="false">IFERROR(E924/(F924*C924*Model!$B$5),"")</f>
        <v>3956.93254646443</v>
      </c>
    </row>
    <row r="925" customFormat="false" ht="15" hidden="false" customHeight="false" outlineLevel="0" collapsed="false">
      <c r="A925" s="0" t="str">
        <f aca="false">Clean!A925</f>
        <v>SHP0924</v>
      </c>
      <c r="B925" s="0" t="str">
        <f aca="false">Clean!AA925</f>
        <v>TCI Express</v>
      </c>
      <c r="C925" s="28" t="n">
        <f aca="false">Clean!J925</f>
        <v>18.57</v>
      </c>
      <c r="D925" s="29" t="n">
        <f aca="false">Clean!AF925</f>
        <v>942.91</v>
      </c>
      <c r="E925" s="29" t="n">
        <f aca="false">Clean!AE925</f>
        <v>3340.49</v>
      </c>
      <c r="F925" s="22" t="n">
        <f aca="false">AVERAGEIFS(Clean!$V$2:$V$1001,Clean!$AA$2:$AA$1001,B925)</f>
        <v>0.752336448598131</v>
      </c>
      <c r="G925" s="29" t="n">
        <f aca="false">F925*C925*D925</f>
        <v>13173.2898630841</v>
      </c>
      <c r="H925" s="29" t="n">
        <f aca="false">G925*Model!$B$4</f>
        <v>13173.2898630841</v>
      </c>
      <c r="I925" s="0" t="str">
        <f aca="false">IF(E925&lt;Model!$B$5*H925,"Expedite","Standard")</f>
        <v>Expedite</v>
      </c>
      <c r="J925" s="29" t="n">
        <f aca="false">H925</f>
        <v>13173.2898630841</v>
      </c>
      <c r="K925" s="29" t="n">
        <f aca="false">E925+(1-Model!$B$5)*H925</f>
        <v>3340.49</v>
      </c>
      <c r="L925" s="29" t="n">
        <f aca="false">IF(I925="Expedite",K925,J925)</f>
        <v>3340.49</v>
      </c>
      <c r="M925" s="29" t="n">
        <f aca="false">J925-L925</f>
        <v>9832.79986308411</v>
      </c>
      <c r="N925" s="29" t="n">
        <f aca="false">IFERROR(E925/(F925*C925*Model!$B$5),"")</f>
        <v>239.103630045121</v>
      </c>
    </row>
    <row r="926" customFormat="false" ht="15" hidden="false" customHeight="false" outlineLevel="0" collapsed="false">
      <c r="A926" s="0" t="str">
        <f aca="false">Clean!A926</f>
        <v>SHP0925</v>
      </c>
      <c r="B926" s="0" t="str">
        <f aca="false">Clean!AA926</f>
        <v>BlueDart</v>
      </c>
      <c r="C926" s="28" t="n">
        <f aca="false">Clean!J926</f>
        <v>1.65</v>
      </c>
      <c r="D926" s="29" t="n">
        <f aca="false">Clean!AF926</f>
        <v>798.19</v>
      </c>
      <c r="E926" s="29" t="n">
        <f aca="false">Clean!AE926</f>
        <v>4395.17</v>
      </c>
      <c r="F926" s="22" t="n">
        <f aca="false">AVERAGEIFS(Clean!$V$2:$V$1001,Clean!$AA$2:$AA$1001,B926)</f>
        <v>0.773869346733668</v>
      </c>
      <c r="G926" s="29" t="n">
        <f aca="false">F926*C926*D926</f>
        <v>1019.19637688442</v>
      </c>
      <c r="H926" s="29" t="n">
        <f aca="false">G926*Model!$B$4</f>
        <v>1019.19637688442</v>
      </c>
      <c r="I926" s="0" t="str">
        <f aca="false">IF(E926&lt;Model!$B$5*H926,"Expedite","Standard")</f>
        <v>Standard</v>
      </c>
      <c r="J926" s="29" t="n">
        <f aca="false">H926</f>
        <v>1019.19637688442</v>
      </c>
      <c r="K926" s="29" t="n">
        <f aca="false">E926+(1-Model!$B$5)*H926</f>
        <v>4395.17</v>
      </c>
      <c r="L926" s="29" t="n">
        <f aca="false">IF(I926="Expedite",K926,J926)</f>
        <v>1019.19637688442</v>
      </c>
      <c r="M926" s="29" t="n">
        <f aca="false">J926-L926</f>
        <v>0</v>
      </c>
      <c r="N926" s="29" t="n">
        <f aca="false">IFERROR(E926/(F926*C926*Model!$B$5),"")</f>
        <v>3442.10480125935</v>
      </c>
    </row>
    <row r="927" customFormat="false" ht="15" hidden="false" customHeight="false" outlineLevel="0" collapsed="false">
      <c r="A927" s="0" t="str">
        <f aca="false">Clean!A927</f>
        <v>SHP0926</v>
      </c>
      <c r="B927" s="0" t="str">
        <f aca="false">Clean!AA927</f>
        <v>BlueDart</v>
      </c>
      <c r="C927" s="28" t="n">
        <f aca="false">Clean!J927</f>
        <v>12.37</v>
      </c>
      <c r="D927" s="29" t="n">
        <f aca="false">Clean!AF927</f>
        <v>838.53</v>
      </c>
      <c r="E927" s="29" t="n">
        <f aca="false">Clean!AE927</f>
        <v>1632.51</v>
      </c>
      <c r="F927" s="22" t="n">
        <f aca="false">AVERAGEIFS(Clean!$V$2:$V$1001,Clean!$AA$2:$AA$1001,B927)</f>
        <v>0.773869346733668</v>
      </c>
      <c r="G927" s="29" t="n">
        <f aca="false">F927*C927*D927</f>
        <v>8027.04964522613</v>
      </c>
      <c r="H927" s="29" t="n">
        <f aca="false">G927*Model!$B$4</f>
        <v>8027.04964522613</v>
      </c>
      <c r="I927" s="0" t="str">
        <f aca="false">IF(E927&lt;Model!$B$5*H927,"Expedite","Standard")</f>
        <v>Expedite</v>
      </c>
      <c r="J927" s="29" t="n">
        <f aca="false">H927</f>
        <v>8027.04964522613</v>
      </c>
      <c r="K927" s="29" t="n">
        <f aca="false">E927+(1-Model!$B$5)*H927</f>
        <v>1632.51</v>
      </c>
      <c r="L927" s="29" t="n">
        <f aca="false">IF(I927="Expedite",K927,J927)</f>
        <v>1632.51</v>
      </c>
      <c r="M927" s="29" t="n">
        <f aca="false">J927-L927</f>
        <v>6394.53964522613</v>
      </c>
      <c r="N927" s="29" t="n">
        <f aca="false">IFERROR(E927/(F927*C927*Model!$B$5),"")</f>
        <v>170.536955768565</v>
      </c>
    </row>
    <row r="928" customFormat="false" ht="15" hidden="false" customHeight="false" outlineLevel="0" collapsed="false">
      <c r="A928" s="0" t="str">
        <f aca="false">Clean!A928</f>
        <v>SHP0927</v>
      </c>
      <c r="B928" s="0" t="str">
        <f aca="false">Clean!AA928</f>
        <v>VRL Cargo</v>
      </c>
      <c r="C928" s="28" t="n">
        <f aca="false">Clean!J928</f>
        <v>1.39</v>
      </c>
      <c r="D928" s="29" t="n">
        <f aca="false">Clean!AF928</f>
        <v>1305.01</v>
      </c>
      <c r="E928" s="29" t="n">
        <f aca="false">Clean!AE928</f>
        <v>1111.4</v>
      </c>
      <c r="F928" s="22" t="n">
        <f aca="false">AVERAGEIFS(Clean!$V$2:$V$1001,Clean!$AA$2:$AA$1001,B928)</f>
        <v>0.72020725388601</v>
      </c>
      <c r="G928" s="29" t="n">
        <f aca="false">F928*C928*D928</f>
        <v>1306.42995906736</v>
      </c>
      <c r="H928" s="29" t="n">
        <f aca="false">G928*Model!$B$4</f>
        <v>1306.42995906736</v>
      </c>
      <c r="I928" s="0" t="str">
        <f aca="false">IF(E928&lt;Model!$B$5*H928,"Expedite","Standard")</f>
        <v>Expedite</v>
      </c>
      <c r="J928" s="29" t="n">
        <f aca="false">H928</f>
        <v>1306.42995906736</v>
      </c>
      <c r="K928" s="29" t="n">
        <f aca="false">E928+(1-Model!$B$5)*H928</f>
        <v>1111.4</v>
      </c>
      <c r="L928" s="29" t="n">
        <f aca="false">IF(I928="Expedite",K928,J928)</f>
        <v>1111.4</v>
      </c>
      <c r="M928" s="29" t="n">
        <f aca="false">J928-L928</f>
        <v>195.029959067357</v>
      </c>
      <c r="N928" s="29" t="n">
        <f aca="false">IFERROR(E928/(F928*C928*Model!$B$5),"")</f>
        <v>1110.19201904663</v>
      </c>
    </row>
    <row r="929" customFormat="false" ht="15" hidden="false" customHeight="false" outlineLevel="0" collapsed="false">
      <c r="A929" s="0" t="str">
        <f aca="false">Clean!A929</f>
        <v>SHP0928</v>
      </c>
      <c r="B929" s="0" t="str">
        <f aca="false">Clean!AA929</f>
        <v>TCI Express</v>
      </c>
      <c r="C929" s="28" t="n">
        <f aca="false">Clean!J929</f>
        <v>1.37</v>
      </c>
      <c r="D929" s="29" t="n">
        <f aca="false">Clean!AF929</f>
        <v>538.2</v>
      </c>
      <c r="E929" s="29" t="n">
        <f aca="false">Clean!AE929</f>
        <v>3108.28</v>
      </c>
      <c r="F929" s="22" t="n">
        <f aca="false">AVERAGEIFS(Clean!$V$2:$V$1001,Clean!$AA$2:$AA$1001,B929)</f>
        <v>0.752336448598131</v>
      </c>
      <c r="G929" s="29" t="n">
        <f aca="false">F929*C929*D929</f>
        <v>554.723242990654</v>
      </c>
      <c r="H929" s="29" t="n">
        <f aca="false">G929*Model!$B$4</f>
        <v>554.723242990654</v>
      </c>
      <c r="I929" s="0" t="str">
        <f aca="false">IF(E929&lt;Model!$B$5*H929,"Expedite","Standard")</f>
        <v>Standard</v>
      </c>
      <c r="J929" s="29" t="n">
        <f aca="false">H929</f>
        <v>554.723242990654</v>
      </c>
      <c r="K929" s="29" t="n">
        <f aca="false">E929+(1-Model!$B$5)*H929</f>
        <v>3108.28</v>
      </c>
      <c r="L929" s="29" t="n">
        <f aca="false">IF(I929="Expedite",K929,J929)</f>
        <v>554.723242990654</v>
      </c>
      <c r="M929" s="29" t="n">
        <f aca="false">J929-L929</f>
        <v>0</v>
      </c>
      <c r="N929" s="29" t="n">
        <f aca="false">IFERROR(E929/(F929*C929*Model!$B$5),"")</f>
        <v>3015.69533481434</v>
      </c>
    </row>
    <row r="930" customFormat="false" ht="15" hidden="false" customHeight="false" outlineLevel="0" collapsed="false">
      <c r="A930" s="0" t="str">
        <f aca="false">Clean!A930</f>
        <v>SHP0929</v>
      </c>
      <c r="B930" s="0" t="str">
        <f aca="false">Clean!AA930</f>
        <v>BlueDart</v>
      </c>
      <c r="C930" s="28" t="n">
        <f aca="false">Clean!J930</f>
        <v>12.69</v>
      </c>
      <c r="D930" s="29" t="n">
        <f aca="false">Clean!AF930</f>
        <v>1167.6</v>
      </c>
      <c r="E930" s="29" t="n">
        <f aca="false">Clean!AE930</f>
        <v>1685.3</v>
      </c>
      <c r="F930" s="22" t="n">
        <f aca="false">AVERAGEIFS(Clean!$V$2:$V$1001,Clean!$AA$2:$AA$1001,B930)</f>
        <v>0.773869346733668</v>
      </c>
      <c r="G930" s="29" t="n">
        <f aca="false">F930*C930*D930</f>
        <v>11466.3013869347</v>
      </c>
      <c r="H930" s="29" t="n">
        <f aca="false">G930*Model!$B$4</f>
        <v>11466.3013869347</v>
      </c>
      <c r="I930" s="0" t="str">
        <f aca="false">IF(E930&lt;Model!$B$5*H930,"Expedite","Standard")</f>
        <v>Expedite</v>
      </c>
      <c r="J930" s="29" t="n">
        <f aca="false">H930</f>
        <v>11466.3013869347</v>
      </c>
      <c r="K930" s="29" t="n">
        <f aca="false">E930+(1-Model!$B$5)*H930</f>
        <v>1685.3</v>
      </c>
      <c r="L930" s="29" t="n">
        <f aca="false">IF(I930="Expedite",K930,J930)</f>
        <v>1685.3</v>
      </c>
      <c r="M930" s="29" t="n">
        <f aca="false">J930-L930</f>
        <v>9781.00138693467</v>
      </c>
      <c r="N930" s="29" t="n">
        <f aca="false">IFERROR(E930/(F930*C930*Model!$B$5),"")</f>
        <v>171.612119165311</v>
      </c>
    </row>
    <row r="931" customFormat="false" ht="15" hidden="false" customHeight="false" outlineLevel="0" collapsed="false">
      <c r="A931" s="0" t="str">
        <f aca="false">Clean!A931</f>
        <v>SHP0930</v>
      </c>
      <c r="B931" s="0" t="str">
        <f aca="false">Clean!AA931</f>
        <v>VRL Cargo</v>
      </c>
      <c r="C931" s="28" t="n">
        <f aca="false">Clean!J931</f>
        <v>12.58</v>
      </c>
      <c r="D931" s="29" t="n">
        <f aca="false">Clean!AF931</f>
        <v>890.07</v>
      </c>
      <c r="E931" s="29" t="n">
        <f aca="false">Clean!AE931</f>
        <v>2849.45</v>
      </c>
      <c r="F931" s="22" t="n">
        <f aca="false">AVERAGEIFS(Clean!$V$2:$V$1001,Clean!$AA$2:$AA$1001,B931)</f>
        <v>0.72020725388601</v>
      </c>
      <c r="G931" s="29" t="n">
        <f aca="false">F931*C931*D931</f>
        <v>8064.21867046632</v>
      </c>
      <c r="H931" s="29" t="n">
        <f aca="false">G931*Model!$B$4</f>
        <v>8064.21867046632</v>
      </c>
      <c r="I931" s="0" t="str">
        <f aca="false">IF(E931&lt;Model!$B$5*H931,"Expedite","Standard")</f>
        <v>Expedite</v>
      </c>
      <c r="J931" s="29" t="n">
        <f aca="false">H931</f>
        <v>8064.21867046632</v>
      </c>
      <c r="K931" s="29" t="n">
        <f aca="false">E931+(1-Model!$B$5)*H931</f>
        <v>2849.45</v>
      </c>
      <c r="L931" s="29" t="n">
        <f aca="false">IF(I931="Expedite",K931,J931)</f>
        <v>2849.45</v>
      </c>
      <c r="M931" s="29" t="n">
        <f aca="false">J931-L931</f>
        <v>5214.76867046632</v>
      </c>
      <c r="N931" s="29" t="n">
        <f aca="false">IFERROR(E931/(F931*C931*Model!$B$5),"")</f>
        <v>314.501635575482</v>
      </c>
    </row>
    <row r="932" customFormat="false" ht="15" hidden="false" customHeight="false" outlineLevel="0" collapsed="false">
      <c r="A932" s="0" t="str">
        <f aca="false">Clean!A932</f>
        <v>SHP0931</v>
      </c>
      <c r="B932" s="0" t="str">
        <f aca="false">Clean!AA932</f>
        <v>TCI Express</v>
      </c>
      <c r="C932" s="28" t="n">
        <f aca="false">Clean!J932</f>
        <v>17.41</v>
      </c>
      <c r="D932" s="29" t="n">
        <f aca="false">Clean!AF932</f>
        <v>839.2</v>
      </c>
      <c r="E932" s="29" t="n">
        <f aca="false">Clean!AE932</f>
        <v>3259.28</v>
      </c>
      <c r="F932" s="22" t="n">
        <f aca="false">AVERAGEIFS(Clean!$V$2:$V$1001,Clean!$AA$2:$AA$1001,B932)</f>
        <v>0.752336448598131</v>
      </c>
      <c r="G932" s="29" t="n">
        <f aca="false">F932*C932*D932</f>
        <v>10991.9906168224</v>
      </c>
      <c r="H932" s="29" t="n">
        <f aca="false">G932*Model!$B$4</f>
        <v>10991.9906168224</v>
      </c>
      <c r="I932" s="0" t="str">
        <f aca="false">IF(E932&lt;Model!$B$5*H932,"Expedite","Standard")</f>
        <v>Expedite</v>
      </c>
      <c r="J932" s="29" t="n">
        <f aca="false">H932</f>
        <v>10991.9906168224</v>
      </c>
      <c r="K932" s="29" t="n">
        <f aca="false">E932+(1-Model!$B$5)*H932</f>
        <v>3259.28</v>
      </c>
      <c r="L932" s="29" t="n">
        <f aca="false">IF(I932="Expedite",K932,J932)</f>
        <v>3259.28</v>
      </c>
      <c r="M932" s="29" t="n">
        <f aca="false">J932-L932</f>
        <v>7732.71061682243</v>
      </c>
      <c r="N932" s="29" t="n">
        <f aca="false">IFERROR(E932/(F932*C932*Model!$B$5),"")</f>
        <v>248.834617072362</v>
      </c>
    </row>
    <row r="933" customFormat="false" ht="15" hidden="false" customHeight="false" outlineLevel="0" collapsed="false">
      <c r="A933" s="0" t="str">
        <f aca="false">Clean!A933</f>
        <v>SHP0932</v>
      </c>
      <c r="B933" s="0" t="str">
        <f aca="false">Clean!AA933</f>
        <v>Delhivery</v>
      </c>
      <c r="C933" s="28" t="n">
        <f aca="false">Clean!J933</f>
        <v>7.13</v>
      </c>
      <c r="D933" s="29" t="n">
        <f aca="false">Clean!AF933</f>
        <v>950.54</v>
      </c>
      <c r="E933" s="29" t="n">
        <f aca="false">Clean!AE933</f>
        <v>3078.01</v>
      </c>
      <c r="F933" s="22" t="n">
        <f aca="false">AVERAGEIFS(Clean!$V$2:$V$1001,Clean!$AA$2:$AA$1001,B933)</f>
        <v>0.72538860103627</v>
      </c>
      <c r="G933" s="29" t="n">
        <f aca="false">F933*C933*D933</f>
        <v>4916.21258031088</v>
      </c>
      <c r="H933" s="29" t="n">
        <f aca="false">G933*Model!$B$4</f>
        <v>4916.21258031088</v>
      </c>
      <c r="I933" s="0" t="str">
        <f aca="false">IF(E933&lt;Model!$B$5*H933,"Expedite","Standard")</f>
        <v>Expedite</v>
      </c>
      <c r="J933" s="29" t="n">
        <f aca="false">H933</f>
        <v>4916.21258031088</v>
      </c>
      <c r="K933" s="29" t="n">
        <f aca="false">E933+(1-Model!$B$5)*H933</f>
        <v>3078.01</v>
      </c>
      <c r="L933" s="29" t="n">
        <f aca="false">IF(I933="Expedite",K933,J933)</f>
        <v>3078.01</v>
      </c>
      <c r="M933" s="29" t="n">
        <f aca="false">J933-L933</f>
        <v>1838.20258031088</v>
      </c>
      <c r="N933" s="29" t="n">
        <f aca="false">IFERROR(E933/(F933*C933*Model!$B$5),"")</f>
        <v>595.127158885995</v>
      </c>
    </row>
    <row r="934" customFormat="false" ht="15" hidden="false" customHeight="false" outlineLevel="0" collapsed="false">
      <c r="A934" s="0" t="str">
        <f aca="false">Clean!A934</f>
        <v>SHP0933</v>
      </c>
      <c r="B934" s="0" t="str">
        <f aca="false">Clean!AA934</f>
        <v>GATI Logistics</v>
      </c>
      <c r="C934" s="28" t="n">
        <f aca="false">Clean!J934</f>
        <v>1.22</v>
      </c>
      <c r="D934" s="29" t="n">
        <f aca="false">Clean!AF934</f>
        <v>774.98</v>
      </c>
      <c r="E934" s="29" t="n">
        <f aca="false">Clean!AE934</f>
        <v>3385.9</v>
      </c>
      <c r="F934" s="22" t="n">
        <f aca="false">AVERAGEIFS(Clean!$V$2:$V$1001,Clean!$AA$2:$AA$1001,B934)</f>
        <v>0.751243781094527</v>
      </c>
      <c r="G934" s="29" t="n">
        <f aca="false">F934*C934*D934</f>
        <v>710.282664676617</v>
      </c>
      <c r="H934" s="29" t="n">
        <f aca="false">G934*Model!$B$4</f>
        <v>710.282664676617</v>
      </c>
      <c r="I934" s="0" t="str">
        <f aca="false">IF(E934&lt;Model!$B$5*H934,"Expedite","Standard")</f>
        <v>Standard</v>
      </c>
      <c r="J934" s="29" t="n">
        <f aca="false">H934</f>
        <v>710.282664676617</v>
      </c>
      <c r="K934" s="29" t="n">
        <f aca="false">E934+(1-Model!$B$5)*H934</f>
        <v>3385.9</v>
      </c>
      <c r="L934" s="29" t="n">
        <f aca="false">IF(I934="Expedite",K934,J934)</f>
        <v>710.282664676617</v>
      </c>
      <c r="M934" s="29" t="n">
        <f aca="false">J934-L934</f>
        <v>0</v>
      </c>
      <c r="N934" s="29" t="n">
        <f aca="false">IFERROR(E934/(F934*C934*Model!$B$5),"")</f>
        <v>3694.31060688308</v>
      </c>
    </row>
    <row r="935" customFormat="false" ht="15" hidden="false" customHeight="false" outlineLevel="0" collapsed="false">
      <c r="A935" s="0" t="str">
        <f aca="false">Clean!A935</f>
        <v>SHP0934</v>
      </c>
      <c r="B935" s="0" t="str">
        <f aca="false">Clean!AA935</f>
        <v>BlueDart</v>
      </c>
      <c r="C935" s="28" t="n">
        <f aca="false">Clean!J935</f>
        <v>2.51</v>
      </c>
      <c r="D935" s="29" t="n">
        <f aca="false">Clean!AF935</f>
        <v>1254.87</v>
      </c>
      <c r="E935" s="29" t="n">
        <f aca="false">Clean!AE935</f>
        <v>2331.27</v>
      </c>
      <c r="F935" s="22" t="n">
        <f aca="false">AVERAGEIFS(Clean!$V$2:$V$1001,Clean!$AA$2:$AA$1001,B935)</f>
        <v>0.773869346733668</v>
      </c>
      <c r="G935" s="29" t="n">
        <f aca="false">F935*C935*D935</f>
        <v>2437.47462211055</v>
      </c>
      <c r="H935" s="29" t="n">
        <f aca="false">G935*Model!$B$4</f>
        <v>2437.47462211055</v>
      </c>
      <c r="I935" s="0" t="str">
        <f aca="false">IF(E935&lt;Model!$B$5*H935,"Expedite","Standard")</f>
        <v>Expedite</v>
      </c>
      <c r="J935" s="29" t="n">
        <f aca="false">H935</f>
        <v>2437.47462211055</v>
      </c>
      <c r="K935" s="29" t="n">
        <f aca="false">E935+(1-Model!$B$5)*H935</f>
        <v>2331.27</v>
      </c>
      <c r="L935" s="29" t="n">
        <f aca="false">IF(I935="Expedite",K935,J935)</f>
        <v>2331.27</v>
      </c>
      <c r="M935" s="29" t="n">
        <f aca="false">J935-L935</f>
        <v>106.204622110552</v>
      </c>
      <c r="N935" s="29" t="n">
        <f aca="false">IFERROR(E935/(F935*C935*Model!$B$5),"")</f>
        <v>1200.19333057381</v>
      </c>
    </row>
    <row r="936" customFormat="false" ht="15" hidden="false" customHeight="false" outlineLevel="0" collapsed="false">
      <c r="A936" s="0" t="str">
        <f aca="false">Clean!A936</f>
        <v>SHP0935</v>
      </c>
      <c r="B936" s="0" t="str">
        <f aca="false">Clean!AA936</f>
        <v>Delhivery</v>
      </c>
      <c r="C936" s="28" t="n">
        <f aca="false">Clean!J936</f>
        <v>13.33</v>
      </c>
      <c r="D936" s="29" t="n">
        <f aca="false">Clean!AF936</f>
        <v>1142.32</v>
      </c>
      <c r="E936" s="29" t="n">
        <f aca="false">Clean!AE936</f>
        <v>2834.63</v>
      </c>
      <c r="F936" s="22" t="n">
        <f aca="false">AVERAGEIFS(Clean!$V$2:$V$1001,Clean!$AA$2:$AA$1001,B936)</f>
        <v>0.72538860103627</v>
      </c>
      <c r="G936" s="29" t="n">
        <f aca="false">F936*C936*D936</f>
        <v>11045.5833367876</v>
      </c>
      <c r="H936" s="29" t="n">
        <f aca="false">G936*Model!$B$4</f>
        <v>11045.5833367876</v>
      </c>
      <c r="I936" s="0" t="str">
        <f aca="false">IF(E936&lt;Model!$B$5*H936,"Expedite","Standard")</f>
        <v>Expedite</v>
      </c>
      <c r="J936" s="29" t="n">
        <f aca="false">H936</f>
        <v>11045.5833367876</v>
      </c>
      <c r="K936" s="29" t="n">
        <f aca="false">E936+(1-Model!$B$5)*H936</f>
        <v>2834.63</v>
      </c>
      <c r="L936" s="29" t="n">
        <f aca="false">IF(I936="Expedite",K936,J936)</f>
        <v>2834.63</v>
      </c>
      <c r="M936" s="29" t="n">
        <f aca="false">J936-L936</f>
        <v>8210.95333678756</v>
      </c>
      <c r="N936" s="29" t="n">
        <f aca="false">IFERROR(E936/(F936*C936*Model!$B$5),"")</f>
        <v>293.153783088629</v>
      </c>
    </row>
    <row r="937" customFormat="false" ht="15" hidden="false" customHeight="false" outlineLevel="0" collapsed="false">
      <c r="A937" s="0" t="str">
        <f aca="false">Clean!A937</f>
        <v>SHP0936</v>
      </c>
      <c r="B937" s="0" t="str">
        <f aca="false">Clean!AA937</f>
        <v>VRL Cargo</v>
      </c>
      <c r="C937" s="28" t="n">
        <f aca="false">Clean!J937</f>
        <v>13.92</v>
      </c>
      <c r="D937" s="29" t="n">
        <f aca="false">Clean!AF937</f>
        <v>1431.94</v>
      </c>
      <c r="E937" s="29" t="n">
        <f aca="false">Clean!AE937</f>
        <v>1431.7</v>
      </c>
      <c r="F937" s="22" t="n">
        <f aca="false">AVERAGEIFS(Clean!$V$2:$V$1001,Clean!$AA$2:$AA$1001,B937)</f>
        <v>0.72020725388601</v>
      </c>
      <c r="G937" s="29" t="n">
        <f aca="false">F937*C937*D937</f>
        <v>14355.6065658031</v>
      </c>
      <c r="H937" s="29" t="n">
        <f aca="false">G937*Model!$B$4</f>
        <v>14355.6065658031</v>
      </c>
      <c r="I937" s="0" t="str">
        <f aca="false">IF(E937&lt;Model!$B$5*H937,"Expedite","Standard")</f>
        <v>Expedite</v>
      </c>
      <c r="J937" s="29" t="n">
        <f aca="false">H937</f>
        <v>14355.6065658031</v>
      </c>
      <c r="K937" s="29" t="n">
        <f aca="false">E937+(1-Model!$B$5)*H937</f>
        <v>1431.7</v>
      </c>
      <c r="L937" s="29" t="n">
        <f aca="false">IF(I937="Expedite",K937,J937)</f>
        <v>1431.7</v>
      </c>
      <c r="M937" s="29" t="n">
        <f aca="false">J937-L937</f>
        <v>12923.9065658031</v>
      </c>
      <c r="N937" s="29" t="n">
        <f aca="false">IFERROR(E937/(F937*C937*Model!$B$5),"")</f>
        <v>142.808908045977</v>
      </c>
    </row>
    <row r="938" customFormat="false" ht="15" hidden="false" customHeight="false" outlineLevel="0" collapsed="false">
      <c r="A938" s="0" t="str">
        <f aca="false">Clean!A938</f>
        <v>SHP0937</v>
      </c>
      <c r="B938" s="0" t="str">
        <f aca="false">Clean!AA938</f>
        <v>Delhivery</v>
      </c>
      <c r="C938" s="28" t="n">
        <f aca="false">Clean!J938</f>
        <v>18.36</v>
      </c>
      <c r="D938" s="29" t="n">
        <f aca="false">Clean!AF938</f>
        <v>1260.68</v>
      </c>
      <c r="E938" s="29" t="n">
        <f aca="false">Clean!AE938</f>
        <v>1473.42</v>
      </c>
      <c r="F938" s="22" t="n">
        <f aca="false">AVERAGEIFS(Clean!$V$2:$V$1001,Clean!$AA$2:$AA$1001,B938)</f>
        <v>0.72538860103627</v>
      </c>
      <c r="G938" s="29" t="n">
        <f aca="false">F938*C938*D938</f>
        <v>16789.9060725389</v>
      </c>
      <c r="H938" s="29" t="n">
        <f aca="false">G938*Model!$B$4</f>
        <v>16789.9060725389</v>
      </c>
      <c r="I938" s="0" t="str">
        <f aca="false">IF(E938&lt;Model!$B$5*H938,"Expedite","Standard")</f>
        <v>Expedite</v>
      </c>
      <c r="J938" s="29" t="n">
        <f aca="false">H938</f>
        <v>16789.9060725389</v>
      </c>
      <c r="K938" s="29" t="n">
        <f aca="false">E938+(1-Model!$B$5)*H938</f>
        <v>1473.42</v>
      </c>
      <c r="L938" s="29" t="n">
        <f aca="false">IF(I938="Expedite",K938,J938)</f>
        <v>1473.42</v>
      </c>
      <c r="M938" s="29" t="n">
        <f aca="false">J938-L938</f>
        <v>15316.4860725389</v>
      </c>
      <c r="N938" s="29" t="n">
        <f aca="false">IFERROR(E938/(F938*C938*Model!$B$5),"")</f>
        <v>110.632609710551</v>
      </c>
    </row>
    <row r="939" customFormat="false" ht="15" hidden="false" customHeight="false" outlineLevel="0" collapsed="false">
      <c r="A939" s="0" t="str">
        <f aca="false">Clean!A939</f>
        <v>SHP0938</v>
      </c>
      <c r="B939" s="0" t="str">
        <f aca="false">Clean!AA939</f>
        <v>TCI Express</v>
      </c>
      <c r="C939" s="28" t="n">
        <f aca="false">Clean!J939</f>
        <v>18.62</v>
      </c>
      <c r="D939" s="29" t="n">
        <f aca="false">Clean!AF939</f>
        <v>1098.64</v>
      </c>
      <c r="E939" s="29" t="n">
        <f aca="false">Clean!AE939</f>
        <v>3467.27</v>
      </c>
      <c r="F939" s="22" t="n">
        <f aca="false">AVERAGEIFS(Clean!$V$2:$V$1001,Clean!$AA$2:$AA$1001,B939)</f>
        <v>0.752336448598131</v>
      </c>
      <c r="G939" s="29" t="n">
        <f aca="false">F939*C939*D939</f>
        <v>15390.3035738318</v>
      </c>
      <c r="H939" s="29" t="n">
        <f aca="false">G939*Model!$B$4</f>
        <v>15390.3035738318</v>
      </c>
      <c r="I939" s="0" t="str">
        <f aca="false">IF(E939&lt;Model!$B$5*H939,"Expedite","Standard")</f>
        <v>Expedite</v>
      </c>
      <c r="J939" s="29" t="n">
        <f aca="false">H939</f>
        <v>15390.3035738318</v>
      </c>
      <c r="K939" s="29" t="n">
        <f aca="false">E939+(1-Model!$B$5)*H939</f>
        <v>3467.27</v>
      </c>
      <c r="L939" s="29" t="n">
        <f aca="false">IF(I939="Expedite",K939,J939)</f>
        <v>3467.27</v>
      </c>
      <c r="M939" s="29" t="n">
        <f aca="false">J939-L939</f>
        <v>11923.0335738318</v>
      </c>
      <c r="N939" s="29" t="n">
        <f aca="false">IFERROR(E939/(F939*C939*Model!$B$5),"")</f>
        <v>247.511785230601</v>
      </c>
    </row>
    <row r="940" customFormat="false" ht="15" hidden="false" customHeight="false" outlineLevel="0" collapsed="false">
      <c r="A940" s="0" t="str">
        <f aca="false">Clean!A940</f>
        <v>SHP0939</v>
      </c>
      <c r="B940" s="0" t="str">
        <f aca="false">Clean!AA940</f>
        <v>GATI Logistics</v>
      </c>
      <c r="C940" s="28" t="n">
        <f aca="false">Clean!J940</f>
        <v>6.56</v>
      </c>
      <c r="D940" s="29" t="n">
        <f aca="false">Clean!AF940</f>
        <v>868.09</v>
      </c>
      <c r="E940" s="29" t="n">
        <f aca="false">Clean!AE940</f>
        <v>4231.86</v>
      </c>
      <c r="F940" s="22" t="n">
        <f aca="false">AVERAGEIFS(Clean!$V$2:$V$1001,Clean!$AA$2:$AA$1001,B940)</f>
        <v>0.751243781094527</v>
      </c>
      <c r="G940" s="29" t="n">
        <f aca="false">F940*C940*D940</f>
        <v>4278.08572338309</v>
      </c>
      <c r="H940" s="29" t="n">
        <f aca="false">G940*Model!$B$4</f>
        <v>4278.08572338309</v>
      </c>
      <c r="I940" s="0" t="str">
        <f aca="false">IF(E940&lt;Model!$B$5*H940,"Expedite","Standard")</f>
        <v>Expedite</v>
      </c>
      <c r="J940" s="29" t="n">
        <f aca="false">H940</f>
        <v>4278.08572338309</v>
      </c>
      <c r="K940" s="29" t="n">
        <f aca="false">E940+(1-Model!$B$5)*H940</f>
        <v>4231.86</v>
      </c>
      <c r="L940" s="29" t="n">
        <f aca="false">IF(I940="Expedite",K940,J940)</f>
        <v>4231.86</v>
      </c>
      <c r="M940" s="29" t="n">
        <f aca="false">J940-L940</f>
        <v>46.2257233830851</v>
      </c>
      <c r="N940" s="29" t="n">
        <f aca="false">IFERROR(E940/(F940*C940*Model!$B$5),"")</f>
        <v>858.710083185269</v>
      </c>
    </row>
    <row r="941" customFormat="false" ht="15" hidden="false" customHeight="false" outlineLevel="0" collapsed="false">
      <c r="A941" s="0" t="str">
        <f aca="false">Clean!A941</f>
        <v>SHP0940</v>
      </c>
      <c r="B941" s="0" t="str">
        <f aca="false">Clean!AA941</f>
        <v>GATI Logistics</v>
      </c>
      <c r="C941" s="28" t="n">
        <f aca="false">Clean!J941</f>
        <v>3.38</v>
      </c>
      <c r="D941" s="29" t="n">
        <f aca="false">Clean!AF941</f>
        <v>891.77</v>
      </c>
      <c r="E941" s="29" t="n">
        <f aca="false">Clean!AE941</f>
        <v>3082.28</v>
      </c>
      <c r="F941" s="22" t="n">
        <f aca="false">AVERAGEIFS(Clean!$V$2:$V$1001,Clean!$AA$2:$AA$1001,B941)</f>
        <v>0.751243781094527</v>
      </c>
      <c r="G941" s="29" t="n">
        <f aca="false">F941*C941*D941</f>
        <v>2264.38593333333</v>
      </c>
      <c r="H941" s="29" t="n">
        <f aca="false">G941*Model!$B$4</f>
        <v>2264.38593333333</v>
      </c>
      <c r="I941" s="0" t="str">
        <f aca="false">IF(E941&lt;Model!$B$5*H941,"Expedite","Standard")</f>
        <v>Standard</v>
      </c>
      <c r="J941" s="29" t="n">
        <f aca="false">H941</f>
        <v>2264.38593333333</v>
      </c>
      <c r="K941" s="29" t="n">
        <f aca="false">E941+(1-Model!$B$5)*H941</f>
        <v>3082.28</v>
      </c>
      <c r="L941" s="29" t="n">
        <f aca="false">IF(I941="Expedite",K941,J941)</f>
        <v>2264.38593333333</v>
      </c>
      <c r="M941" s="29" t="n">
        <f aca="false">J941-L941</f>
        <v>0</v>
      </c>
      <c r="N941" s="29" t="n">
        <f aca="false">IFERROR(E941/(F941*C941*Model!$B$5),"")</f>
        <v>1213.87648418825</v>
      </c>
    </row>
    <row r="942" customFormat="false" ht="15" hidden="false" customHeight="false" outlineLevel="0" collapsed="false">
      <c r="A942" s="0" t="str">
        <f aca="false">Clean!A942</f>
        <v>SHP0941</v>
      </c>
      <c r="B942" s="0" t="str">
        <f aca="false">Clean!AA942</f>
        <v>BlueDart</v>
      </c>
      <c r="C942" s="28" t="n">
        <f aca="false">Clean!J942</f>
        <v>11.97</v>
      </c>
      <c r="D942" s="29" t="n">
        <f aca="false">Clean!AF942</f>
        <v>989.83</v>
      </c>
      <c r="E942" s="29" t="n">
        <f aca="false">Clean!AE942</f>
        <v>3655.19</v>
      </c>
      <c r="F942" s="22" t="n">
        <f aca="false">AVERAGEIFS(Clean!$V$2:$V$1001,Clean!$AA$2:$AA$1001,B942)</f>
        <v>0.773869346733668</v>
      </c>
      <c r="G942" s="29" t="n">
        <f aca="false">F942*C942*D942</f>
        <v>9169.00917286432</v>
      </c>
      <c r="H942" s="29" t="n">
        <f aca="false">G942*Model!$B$4</f>
        <v>9169.00917286432</v>
      </c>
      <c r="I942" s="0" t="str">
        <f aca="false">IF(E942&lt;Model!$B$5*H942,"Expedite","Standard")</f>
        <v>Expedite</v>
      </c>
      <c r="J942" s="29" t="n">
        <f aca="false">H942</f>
        <v>9169.00917286432</v>
      </c>
      <c r="K942" s="29" t="n">
        <f aca="false">E942+(1-Model!$B$5)*H942</f>
        <v>3655.19</v>
      </c>
      <c r="L942" s="29" t="n">
        <f aca="false">IF(I942="Expedite",K942,J942)</f>
        <v>3655.19</v>
      </c>
      <c r="M942" s="29" t="n">
        <f aca="false">J942-L942</f>
        <v>5513.81917286432</v>
      </c>
      <c r="N942" s="29" t="n">
        <f aca="false">IFERROR(E942/(F942*C942*Model!$B$5),"")</f>
        <v>394.591896407686</v>
      </c>
    </row>
    <row r="943" customFormat="false" ht="15" hidden="false" customHeight="false" outlineLevel="0" collapsed="false">
      <c r="A943" s="0" t="str">
        <f aca="false">Clean!A943</f>
        <v>SHP0942</v>
      </c>
      <c r="B943" s="0" t="str">
        <f aca="false">Clean!AA943</f>
        <v>TCI Express</v>
      </c>
      <c r="C943" s="28" t="n">
        <f aca="false">Clean!J943</f>
        <v>10.83</v>
      </c>
      <c r="D943" s="29" t="n">
        <f aca="false">Clean!AF943</f>
        <v>792.61</v>
      </c>
      <c r="E943" s="29" t="n">
        <f aca="false">Clean!AE943</f>
        <v>4988.68</v>
      </c>
      <c r="F943" s="22" t="n">
        <f aca="false">AVERAGEIFS(Clean!$V$2:$V$1001,Clean!$AA$2:$AA$1001,B943)</f>
        <v>0.752336448598131</v>
      </c>
      <c r="G943" s="29" t="n">
        <f aca="false">F943*C943*D943</f>
        <v>6458.03072102804</v>
      </c>
      <c r="H943" s="29" t="n">
        <f aca="false">G943*Model!$B$4</f>
        <v>6458.03072102804</v>
      </c>
      <c r="I943" s="0" t="str">
        <f aca="false">IF(E943&lt;Model!$B$5*H943,"Expedite","Standard")</f>
        <v>Expedite</v>
      </c>
      <c r="J943" s="29" t="n">
        <f aca="false">H943</f>
        <v>6458.03072102804</v>
      </c>
      <c r="K943" s="29" t="n">
        <f aca="false">E943+(1-Model!$B$5)*H943</f>
        <v>4988.68</v>
      </c>
      <c r="L943" s="29" t="n">
        <f aca="false">IF(I943="Expedite",K943,J943)</f>
        <v>4988.68</v>
      </c>
      <c r="M943" s="29" t="n">
        <f aca="false">J943-L943</f>
        <v>1469.35072102804</v>
      </c>
      <c r="N943" s="29" t="n">
        <f aca="false">IFERROR(E943/(F943*C943*Model!$B$5),"")</f>
        <v>612.272970756411</v>
      </c>
    </row>
    <row r="944" customFormat="false" ht="15" hidden="false" customHeight="false" outlineLevel="0" collapsed="false">
      <c r="A944" s="0" t="str">
        <f aca="false">Clean!A944</f>
        <v>SHP0943</v>
      </c>
      <c r="B944" s="0" t="str">
        <f aca="false">Clean!AA944</f>
        <v>GATI Logistics</v>
      </c>
      <c r="C944" s="28" t="n">
        <f aca="false">Clean!J944</f>
        <v>7.8</v>
      </c>
      <c r="D944" s="29" t="n">
        <f aca="false">Clean!AF944</f>
        <v>530.5</v>
      </c>
      <c r="E944" s="29" t="n">
        <f aca="false">Clean!AE944</f>
        <v>3020.11</v>
      </c>
      <c r="F944" s="22" t="n">
        <f aca="false">AVERAGEIFS(Clean!$V$2:$V$1001,Clean!$AA$2:$AA$1001,B944)</f>
        <v>0.751243781094527</v>
      </c>
      <c r="G944" s="29" t="n">
        <f aca="false">F944*C944*D944</f>
        <v>3108.57164179105</v>
      </c>
      <c r="H944" s="29" t="n">
        <f aca="false">G944*Model!$B$4</f>
        <v>3108.57164179105</v>
      </c>
      <c r="I944" s="0" t="str">
        <f aca="false">IF(E944&lt;Model!$B$5*H944,"Expedite","Standard")</f>
        <v>Expedite</v>
      </c>
      <c r="J944" s="29" t="n">
        <f aca="false">H944</f>
        <v>3108.57164179105</v>
      </c>
      <c r="K944" s="29" t="n">
        <f aca="false">E944+(1-Model!$B$5)*H944</f>
        <v>3020.11</v>
      </c>
      <c r="L944" s="29" t="n">
        <f aca="false">IF(I944="Expedite",K944,J944)</f>
        <v>3020.11</v>
      </c>
      <c r="M944" s="29" t="n">
        <f aca="false">J944-L944</f>
        <v>88.4616417910447</v>
      </c>
      <c r="N944" s="29" t="n">
        <f aca="false">IFERROR(E944/(F944*C944*Model!$B$5),"")</f>
        <v>515.403387671931</v>
      </c>
    </row>
    <row r="945" customFormat="false" ht="15" hidden="false" customHeight="false" outlineLevel="0" collapsed="false">
      <c r="A945" s="0" t="str">
        <f aca="false">Clean!A945</f>
        <v>SHP0944</v>
      </c>
      <c r="B945" s="0" t="str">
        <f aca="false">Clean!AA945</f>
        <v>Delhivery</v>
      </c>
      <c r="C945" s="28" t="n">
        <f aca="false">Clean!J945</f>
        <v>3.5</v>
      </c>
      <c r="D945" s="29" t="n">
        <f aca="false">Clean!AF945</f>
        <v>1284.19</v>
      </c>
      <c r="E945" s="29" t="n">
        <f aca="false">Clean!AE945</f>
        <v>3963.12</v>
      </c>
      <c r="F945" s="22" t="n">
        <f aca="false">AVERAGEIFS(Clean!$V$2:$V$1001,Clean!$AA$2:$AA$1001,B945)</f>
        <v>0.72538860103627</v>
      </c>
      <c r="G945" s="29" t="n">
        <f aca="false">F945*C945*D945</f>
        <v>3260.37875647668</v>
      </c>
      <c r="H945" s="29" t="n">
        <f aca="false">G945*Model!$B$4</f>
        <v>3260.37875647668</v>
      </c>
      <c r="I945" s="0" t="str">
        <f aca="false">IF(E945&lt;Model!$B$5*H945,"Expedite","Standard")</f>
        <v>Standard</v>
      </c>
      <c r="J945" s="29" t="n">
        <f aca="false">H945</f>
        <v>3260.37875647668</v>
      </c>
      <c r="K945" s="29" t="n">
        <f aca="false">E945+(1-Model!$B$5)*H945</f>
        <v>3963.12</v>
      </c>
      <c r="L945" s="29" t="n">
        <f aca="false">IF(I945="Expedite",K945,J945)</f>
        <v>3260.37875647668</v>
      </c>
      <c r="M945" s="29" t="n">
        <f aca="false">J945-L945</f>
        <v>0</v>
      </c>
      <c r="N945" s="29" t="n">
        <f aca="false">IFERROR(E945/(F945*C945*Model!$B$5),"")</f>
        <v>1560.984</v>
      </c>
    </row>
    <row r="946" customFormat="false" ht="15" hidden="false" customHeight="false" outlineLevel="0" collapsed="false">
      <c r="A946" s="0" t="str">
        <f aca="false">Clean!A946</f>
        <v>SHP0945</v>
      </c>
      <c r="B946" s="0" t="str">
        <f aca="false">Clean!AA946</f>
        <v>GATI Logistics</v>
      </c>
      <c r="C946" s="28" t="n">
        <f aca="false">Clean!J946</f>
        <v>15.5</v>
      </c>
      <c r="D946" s="29" t="n">
        <f aca="false">Clean!AF946</f>
        <v>1302.46</v>
      </c>
      <c r="E946" s="29" t="n">
        <f aca="false">Clean!AE946</f>
        <v>4416.07</v>
      </c>
      <c r="F946" s="22" t="n">
        <f aca="false">AVERAGEIFS(Clean!$V$2:$V$1001,Clean!$AA$2:$AA$1001,B946)</f>
        <v>0.751243781094527</v>
      </c>
      <c r="G946" s="29" t="n">
        <f aca="false">F946*C946*D946</f>
        <v>15166.2071144279</v>
      </c>
      <c r="H946" s="29" t="n">
        <f aca="false">G946*Model!$B$4</f>
        <v>15166.2071144279</v>
      </c>
      <c r="I946" s="0" t="str">
        <f aca="false">IF(E946&lt;Model!$B$5*H946,"Expedite","Standard")</f>
        <v>Expedite</v>
      </c>
      <c r="J946" s="29" t="n">
        <f aca="false">H946</f>
        <v>15166.2071144279</v>
      </c>
      <c r="K946" s="29" t="n">
        <f aca="false">E946+(1-Model!$B$5)*H946</f>
        <v>4416.07</v>
      </c>
      <c r="L946" s="29" t="n">
        <f aca="false">IF(I946="Expedite",K946,J946)</f>
        <v>4416.07</v>
      </c>
      <c r="M946" s="29" t="n">
        <f aca="false">J946-L946</f>
        <v>10750.1371144279</v>
      </c>
      <c r="N946" s="29" t="n">
        <f aca="false">IFERROR(E946/(F946*C946*Model!$B$5),"")</f>
        <v>379.248053834651</v>
      </c>
    </row>
    <row r="947" customFormat="false" ht="15" hidden="false" customHeight="false" outlineLevel="0" collapsed="false">
      <c r="A947" s="0" t="str">
        <f aca="false">Clean!A947</f>
        <v>SHP0946</v>
      </c>
      <c r="B947" s="0" t="str">
        <f aca="false">Clean!AA947</f>
        <v>TCI Express</v>
      </c>
      <c r="C947" s="28" t="n">
        <f aca="false">Clean!J947</f>
        <v>1.79</v>
      </c>
      <c r="D947" s="29" t="n">
        <f aca="false">Clean!AF947</f>
        <v>951.09</v>
      </c>
      <c r="E947" s="29" t="n">
        <f aca="false">Clean!AE947</f>
        <v>1479.3</v>
      </c>
      <c r="F947" s="22" t="n">
        <f aca="false">AVERAGEIFS(Clean!$V$2:$V$1001,Clean!$AA$2:$AA$1001,B947)</f>
        <v>0.752336448598131</v>
      </c>
      <c r="G947" s="29" t="n">
        <f aca="false">F947*C947*D947</f>
        <v>1280.81601448598</v>
      </c>
      <c r="H947" s="29" t="n">
        <f aca="false">G947*Model!$B$4</f>
        <v>1280.81601448598</v>
      </c>
      <c r="I947" s="0" t="str">
        <f aca="false">IF(E947&lt;Model!$B$5*H947,"Expedite","Standard")</f>
        <v>Standard</v>
      </c>
      <c r="J947" s="29" t="n">
        <f aca="false">H947</f>
        <v>1280.81601448598</v>
      </c>
      <c r="K947" s="29" t="n">
        <f aca="false">E947+(1-Model!$B$5)*H947</f>
        <v>1479.3</v>
      </c>
      <c r="L947" s="29" t="n">
        <f aca="false">IF(I947="Expedite",K947,J947)</f>
        <v>1280.81601448598</v>
      </c>
      <c r="M947" s="29" t="n">
        <f aca="false">J947-L947</f>
        <v>0</v>
      </c>
      <c r="N947" s="29" t="n">
        <f aca="false">IFERROR(E947/(F947*C947*Model!$B$5),"")</f>
        <v>1098.47739338631</v>
      </c>
    </row>
    <row r="948" customFormat="false" ht="15" hidden="false" customHeight="false" outlineLevel="0" collapsed="false">
      <c r="A948" s="0" t="str">
        <f aca="false">Clean!A948</f>
        <v>SHP0947</v>
      </c>
      <c r="B948" s="0" t="str">
        <f aca="false">Clean!AA948</f>
        <v>Delhivery</v>
      </c>
      <c r="C948" s="28" t="n">
        <f aca="false">Clean!J948</f>
        <v>18.31</v>
      </c>
      <c r="D948" s="29" t="n">
        <f aca="false">Clean!AF948</f>
        <v>1430.53</v>
      </c>
      <c r="E948" s="29" t="n">
        <f aca="false">Clean!AE948</f>
        <v>2403.69</v>
      </c>
      <c r="F948" s="22" t="n">
        <f aca="false">AVERAGEIFS(Clean!$V$2:$V$1001,Clean!$AA$2:$AA$1001,B948)</f>
        <v>0.72538860103627</v>
      </c>
      <c r="G948" s="29" t="n">
        <f aca="false">F948*C948*D948</f>
        <v>19000.106746114</v>
      </c>
      <c r="H948" s="29" t="n">
        <f aca="false">G948*Model!$B$4</f>
        <v>19000.106746114</v>
      </c>
      <c r="I948" s="0" t="str">
        <f aca="false">IF(E948&lt;Model!$B$5*H948,"Expedite","Standard")</f>
        <v>Expedite</v>
      </c>
      <c r="J948" s="29" t="n">
        <f aca="false">H948</f>
        <v>19000.106746114</v>
      </c>
      <c r="K948" s="29" t="n">
        <f aca="false">E948+(1-Model!$B$5)*H948</f>
        <v>2403.69</v>
      </c>
      <c r="L948" s="29" t="n">
        <f aca="false">IF(I948="Expedite",K948,J948)</f>
        <v>2403.69</v>
      </c>
      <c r="M948" s="29" t="n">
        <f aca="false">J948-L948</f>
        <v>16596.416746114</v>
      </c>
      <c r="N948" s="29" t="n">
        <f aca="false">IFERROR(E948/(F948*C948*Model!$B$5),"")</f>
        <v>180.97533354139</v>
      </c>
    </row>
    <row r="949" customFormat="false" ht="15" hidden="false" customHeight="false" outlineLevel="0" collapsed="false">
      <c r="A949" s="0" t="str">
        <f aca="false">Clean!A949</f>
        <v>SHP0948</v>
      </c>
      <c r="B949" s="0" t="str">
        <f aca="false">Clean!AA949</f>
        <v>Delhivery</v>
      </c>
      <c r="C949" s="28" t="n">
        <f aca="false">Clean!J949</f>
        <v>16.19</v>
      </c>
      <c r="D949" s="29" t="n">
        <f aca="false">Clean!AF949</f>
        <v>541.82</v>
      </c>
      <c r="E949" s="29" t="n">
        <f aca="false">Clean!AE949</f>
        <v>1955.62</v>
      </c>
      <c r="F949" s="22" t="n">
        <f aca="false">AVERAGEIFS(Clean!$V$2:$V$1001,Clean!$AA$2:$AA$1001,B949)</f>
        <v>0.72538860103627</v>
      </c>
      <c r="G949" s="29" t="n">
        <f aca="false">F949*C949*D949</f>
        <v>6363.15653886011</v>
      </c>
      <c r="H949" s="29" t="n">
        <f aca="false">G949*Model!$B$4</f>
        <v>6363.15653886011</v>
      </c>
      <c r="I949" s="0" t="str">
        <f aca="false">IF(E949&lt;Model!$B$5*H949,"Expedite","Standard")</f>
        <v>Expedite</v>
      </c>
      <c r="J949" s="29" t="n">
        <f aca="false">H949</f>
        <v>6363.15653886011</v>
      </c>
      <c r="K949" s="29" t="n">
        <f aca="false">E949+(1-Model!$B$5)*H949</f>
        <v>1955.62</v>
      </c>
      <c r="L949" s="29" t="n">
        <f aca="false">IF(I949="Expedite",K949,J949)</f>
        <v>1955.62</v>
      </c>
      <c r="M949" s="29" t="n">
        <f aca="false">J949-L949</f>
        <v>4407.53653886011</v>
      </c>
      <c r="N949" s="29" t="n">
        <f aca="false">IFERROR(E949/(F949*C949*Model!$B$5),"")</f>
        <v>166.520188829083</v>
      </c>
    </row>
    <row r="950" customFormat="false" ht="15" hidden="false" customHeight="false" outlineLevel="0" collapsed="false">
      <c r="A950" s="0" t="str">
        <f aca="false">Clean!A950</f>
        <v>SHP0949</v>
      </c>
      <c r="B950" s="0" t="str">
        <f aca="false">Clean!AA950</f>
        <v>TCI Express</v>
      </c>
      <c r="C950" s="28" t="n">
        <f aca="false">Clean!J950</f>
        <v>12.85</v>
      </c>
      <c r="D950" s="29" t="n">
        <f aca="false">Clean!AF950</f>
        <v>1219.18</v>
      </c>
      <c r="E950" s="29" t="n">
        <f aca="false">Clean!AE950</f>
        <v>4572.01</v>
      </c>
      <c r="F950" s="22" t="n">
        <f aca="false">AVERAGEIFS(Clean!$V$2:$V$1001,Clean!$AA$2:$AA$1001,B950)</f>
        <v>0.752336448598131</v>
      </c>
      <c r="G950" s="29" t="n">
        <f aca="false">F950*C950*D950</f>
        <v>11786.451135514</v>
      </c>
      <c r="H950" s="29" t="n">
        <f aca="false">G950*Model!$B$4</f>
        <v>11786.451135514</v>
      </c>
      <c r="I950" s="0" t="str">
        <f aca="false">IF(E950&lt;Model!$B$5*H950,"Expedite","Standard")</f>
        <v>Expedite</v>
      </c>
      <c r="J950" s="29" t="n">
        <f aca="false">H950</f>
        <v>11786.451135514</v>
      </c>
      <c r="K950" s="29" t="n">
        <f aca="false">E950+(1-Model!$B$5)*H950</f>
        <v>4572.01</v>
      </c>
      <c r="L950" s="29" t="n">
        <f aca="false">IF(I950="Expedite",K950,J950)</f>
        <v>4572.01</v>
      </c>
      <c r="M950" s="29" t="n">
        <f aca="false">J950-L950</f>
        <v>7214.44113551402</v>
      </c>
      <c r="N950" s="29" t="n">
        <f aca="false">IFERROR(E950/(F950*C950*Model!$B$5),"")</f>
        <v>472.924639292361</v>
      </c>
    </row>
    <row r="951" customFormat="false" ht="15" hidden="false" customHeight="false" outlineLevel="0" collapsed="false">
      <c r="A951" s="0" t="str">
        <f aca="false">Clean!A951</f>
        <v>SHP0950</v>
      </c>
      <c r="B951" s="0" t="str">
        <f aca="false">Clean!AA951</f>
        <v>Delhivery</v>
      </c>
      <c r="C951" s="28" t="n">
        <f aca="false">Clean!J951</f>
        <v>12.11</v>
      </c>
      <c r="D951" s="29" t="n">
        <f aca="false">Clean!AF951</f>
        <v>752.28</v>
      </c>
      <c r="E951" s="29" t="n">
        <f aca="false">Clean!AE951</f>
        <v>3716.99</v>
      </c>
      <c r="F951" s="22" t="n">
        <f aca="false">AVERAGEIFS(Clean!$V$2:$V$1001,Clean!$AA$2:$AA$1001,B951)</f>
        <v>0.72538860103627</v>
      </c>
      <c r="G951" s="29" t="n">
        <f aca="false">F951*C951*D951</f>
        <v>6608.37052849741</v>
      </c>
      <c r="H951" s="29" t="n">
        <f aca="false">G951*Model!$B$4</f>
        <v>6608.37052849741</v>
      </c>
      <c r="I951" s="0" t="str">
        <f aca="false">IF(E951&lt;Model!$B$5*H951,"Expedite","Standard")</f>
        <v>Expedite</v>
      </c>
      <c r="J951" s="29" t="n">
        <f aca="false">H951</f>
        <v>6608.37052849741</v>
      </c>
      <c r="K951" s="29" t="n">
        <f aca="false">E951+(1-Model!$B$5)*H951</f>
        <v>3716.99</v>
      </c>
      <c r="L951" s="29" t="n">
        <f aca="false">IF(I951="Expedite",K951,J951)</f>
        <v>3716.99</v>
      </c>
      <c r="M951" s="29" t="n">
        <f aca="false">J951-L951</f>
        <v>2891.38052849741</v>
      </c>
      <c r="N951" s="29" t="n">
        <f aca="false">IFERROR(E951/(F951*C951*Model!$B$5),"")</f>
        <v>423.132635366285</v>
      </c>
    </row>
    <row r="952" customFormat="false" ht="15" hidden="false" customHeight="false" outlineLevel="0" collapsed="false">
      <c r="A952" s="0" t="str">
        <f aca="false">Clean!A952</f>
        <v>SHP0951</v>
      </c>
      <c r="B952" s="0" t="str">
        <f aca="false">Clean!AA952</f>
        <v>VRL Cargo</v>
      </c>
      <c r="C952" s="28" t="n">
        <f aca="false">Clean!J952</f>
        <v>12.15</v>
      </c>
      <c r="D952" s="29" t="n">
        <f aca="false">Clean!AF952</f>
        <v>1233.92</v>
      </c>
      <c r="E952" s="29" t="n">
        <f aca="false">Clean!AE952</f>
        <v>3045.87</v>
      </c>
      <c r="F952" s="22" t="n">
        <f aca="false">AVERAGEIFS(Clean!$V$2:$V$1001,Clean!$AA$2:$AA$1001,B952)</f>
        <v>0.72020725388601</v>
      </c>
      <c r="G952" s="29" t="n">
        <f aca="false">F952*C952*D952</f>
        <v>10797.4393367876</v>
      </c>
      <c r="H952" s="29" t="n">
        <f aca="false">G952*Model!$B$4</f>
        <v>10797.4393367876</v>
      </c>
      <c r="I952" s="0" t="str">
        <f aca="false">IF(E952&lt;Model!$B$5*H952,"Expedite","Standard")</f>
        <v>Expedite</v>
      </c>
      <c r="J952" s="29" t="n">
        <f aca="false">H952</f>
        <v>10797.4393367876</v>
      </c>
      <c r="K952" s="29" t="n">
        <f aca="false">E952+(1-Model!$B$5)*H952</f>
        <v>3045.87</v>
      </c>
      <c r="L952" s="29" t="n">
        <f aca="false">IF(I952="Expedite",K952,J952)</f>
        <v>3045.87</v>
      </c>
      <c r="M952" s="29" t="n">
        <f aca="false">J952-L952</f>
        <v>7751.56933678757</v>
      </c>
      <c r="N952" s="29" t="n">
        <f aca="false">IFERROR(E952/(F952*C952*Model!$B$5),"")</f>
        <v>348.078816946443</v>
      </c>
    </row>
    <row r="953" customFormat="false" ht="15" hidden="false" customHeight="false" outlineLevel="0" collapsed="false">
      <c r="A953" s="0" t="str">
        <f aca="false">Clean!A953</f>
        <v>SHP0952</v>
      </c>
      <c r="B953" s="0" t="str">
        <f aca="false">Clean!AA953</f>
        <v>BlueDart</v>
      </c>
      <c r="C953" s="28" t="n">
        <f aca="false">Clean!J953</f>
        <v>8.81</v>
      </c>
      <c r="D953" s="29" t="n">
        <f aca="false">Clean!AF953</f>
        <v>634.79</v>
      </c>
      <c r="E953" s="29" t="n">
        <f aca="false">Clean!AE953</f>
        <v>2988.62</v>
      </c>
      <c r="F953" s="22" t="n">
        <f aca="false">AVERAGEIFS(Clean!$V$2:$V$1001,Clean!$AA$2:$AA$1001,B953)</f>
        <v>0.773869346733668</v>
      </c>
      <c r="G953" s="29" t="n">
        <f aca="false">F953*C953*D953</f>
        <v>4327.86424422111</v>
      </c>
      <c r="H953" s="29" t="n">
        <f aca="false">G953*Model!$B$4</f>
        <v>4327.86424422111</v>
      </c>
      <c r="I953" s="0" t="str">
        <f aca="false">IF(E953&lt;Model!$B$5*H953,"Expedite","Standard")</f>
        <v>Expedite</v>
      </c>
      <c r="J953" s="29" t="n">
        <f aca="false">H953</f>
        <v>4327.86424422111</v>
      </c>
      <c r="K953" s="29" t="n">
        <f aca="false">E953+(1-Model!$B$5)*H953</f>
        <v>2988.62</v>
      </c>
      <c r="L953" s="29" t="n">
        <f aca="false">IF(I953="Expedite",K953,J953)</f>
        <v>2988.62</v>
      </c>
      <c r="M953" s="29" t="n">
        <f aca="false">J953-L953</f>
        <v>1339.24424422111</v>
      </c>
      <c r="N953" s="29" t="n">
        <f aca="false">IFERROR(E953/(F953*C953*Model!$B$5),"")</f>
        <v>438.356192048587</v>
      </c>
    </row>
    <row r="954" customFormat="false" ht="15" hidden="false" customHeight="false" outlineLevel="0" collapsed="false">
      <c r="A954" s="0" t="str">
        <f aca="false">Clean!A954</f>
        <v>SHP0953</v>
      </c>
      <c r="B954" s="0" t="str">
        <f aca="false">Clean!AA954</f>
        <v>VRL Cargo</v>
      </c>
      <c r="C954" s="28" t="n">
        <f aca="false">Clean!J954</f>
        <v>10.43</v>
      </c>
      <c r="D954" s="29" t="n">
        <f aca="false">Clean!AF954</f>
        <v>1269.17</v>
      </c>
      <c r="E954" s="29" t="n">
        <f aca="false">Clean!AE954</f>
        <v>3551.72</v>
      </c>
      <c r="F954" s="22" t="n">
        <f aca="false">AVERAGEIFS(Clean!$V$2:$V$1001,Clean!$AA$2:$AA$1001,B954)</f>
        <v>0.72020725388601</v>
      </c>
      <c r="G954" s="29" t="n">
        <f aca="false">F954*C954*D954</f>
        <v>9533.70254352332</v>
      </c>
      <c r="H954" s="29" t="n">
        <f aca="false">G954*Model!$B$4</f>
        <v>9533.70254352332</v>
      </c>
      <c r="I954" s="0" t="str">
        <f aca="false">IF(E954&lt;Model!$B$5*H954,"Expedite","Standard")</f>
        <v>Expedite</v>
      </c>
      <c r="J954" s="29" t="n">
        <f aca="false">H954</f>
        <v>9533.70254352332</v>
      </c>
      <c r="K954" s="29" t="n">
        <f aca="false">E954+(1-Model!$B$5)*H954</f>
        <v>3551.72</v>
      </c>
      <c r="L954" s="29" t="n">
        <f aca="false">IF(I954="Expedite",K954,J954)</f>
        <v>3551.72</v>
      </c>
      <c r="M954" s="29" t="n">
        <f aca="false">J954-L954</f>
        <v>5981.98254352332</v>
      </c>
      <c r="N954" s="29" t="n">
        <f aca="false">IFERROR(E954/(F954*C954*Model!$B$5),"")</f>
        <v>472.821178531767</v>
      </c>
    </row>
    <row r="955" customFormat="false" ht="15" hidden="false" customHeight="false" outlineLevel="0" collapsed="false">
      <c r="A955" s="0" t="str">
        <f aca="false">Clean!A955</f>
        <v>SHP0954</v>
      </c>
      <c r="B955" s="0" t="str">
        <f aca="false">Clean!AA955</f>
        <v>Delhivery</v>
      </c>
      <c r="C955" s="28" t="n">
        <f aca="false">Clean!J955</f>
        <v>8</v>
      </c>
      <c r="D955" s="29" t="n">
        <f aca="false">Clean!AF955</f>
        <v>770.91</v>
      </c>
      <c r="E955" s="29" t="n">
        <f aca="false">Clean!AE955</f>
        <v>2142.51</v>
      </c>
      <c r="F955" s="22" t="n">
        <f aca="false">AVERAGEIFS(Clean!$V$2:$V$1001,Clean!$AA$2:$AA$1001,B955)</f>
        <v>0.72538860103627</v>
      </c>
      <c r="G955" s="29" t="n">
        <f aca="false">F955*C955*D955</f>
        <v>4473.67461139896</v>
      </c>
      <c r="H955" s="29" t="n">
        <f aca="false">G955*Model!$B$4</f>
        <v>4473.67461139896</v>
      </c>
      <c r="I955" s="0" t="str">
        <f aca="false">IF(E955&lt;Model!$B$5*H955,"Expedite","Standard")</f>
        <v>Expedite</v>
      </c>
      <c r="J955" s="29" t="n">
        <f aca="false">H955</f>
        <v>4473.67461139896</v>
      </c>
      <c r="K955" s="29" t="n">
        <f aca="false">E955+(1-Model!$B$5)*H955</f>
        <v>2142.51</v>
      </c>
      <c r="L955" s="29" t="n">
        <f aca="false">IF(I955="Expedite",K955,J955)</f>
        <v>2142.51</v>
      </c>
      <c r="M955" s="29" t="n">
        <f aca="false">J955-L955</f>
        <v>2331.16461139896</v>
      </c>
      <c r="N955" s="29" t="n">
        <f aca="false">IFERROR(E955/(F955*C955*Model!$B$5),"")</f>
        <v>369.200383928571</v>
      </c>
    </row>
    <row r="956" customFormat="false" ht="15" hidden="false" customHeight="false" outlineLevel="0" collapsed="false">
      <c r="A956" s="0" t="str">
        <f aca="false">Clean!A956</f>
        <v>SHP0955</v>
      </c>
      <c r="B956" s="0" t="str">
        <f aca="false">Clean!AA956</f>
        <v>GATI Logistics</v>
      </c>
      <c r="C956" s="28" t="n">
        <f aca="false">Clean!J956</f>
        <v>17.25</v>
      </c>
      <c r="D956" s="29" t="n">
        <f aca="false">Clean!AF956</f>
        <v>929.32</v>
      </c>
      <c r="E956" s="29" t="n">
        <f aca="false">Clean!AE956</f>
        <v>1023.08</v>
      </c>
      <c r="F956" s="22" t="n">
        <f aca="false">AVERAGEIFS(Clean!$V$2:$V$1001,Clean!$AA$2:$AA$1001,B956)</f>
        <v>0.751243781094527</v>
      </c>
      <c r="G956" s="29" t="n">
        <f aca="false">F956*C956*D956</f>
        <v>12043.0162686567</v>
      </c>
      <c r="H956" s="29" t="n">
        <f aca="false">G956*Model!$B$4</f>
        <v>12043.0162686567</v>
      </c>
      <c r="I956" s="0" t="str">
        <f aca="false">IF(E956&lt;Model!$B$5*H956,"Expedite","Standard")</f>
        <v>Expedite</v>
      </c>
      <c r="J956" s="29" t="n">
        <f aca="false">H956</f>
        <v>12043.0162686567</v>
      </c>
      <c r="K956" s="29" t="n">
        <f aca="false">E956+(1-Model!$B$5)*H956</f>
        <v>1023.08</v>
      </c>
      <c r="L956" s="29" t="n">
        <f aca="false">IF(I956="Expedite",K956,J956)</f>
        <v>1023.08</v>
      </c>
      <c r="M956" s="29" t="n">
        <f aca="false">J956-L956</f>
        <v>11019.9362686567</v>
      </c>
      <c r="N956" s="29" t="n">
        <f aca="false">IFERROR(E956/(F956*C956*Model!$B$5),"")</f>
        <v>78.9477224301757</v>
      </c>
    </row>
    <row r="957" customFormat="false" ht="15" hidden="false" customHeight="false" outlineLevel="0" collapsed="false">
      <c r="A957" s="0" t="str">
        <f aca="false">Clean!A957</f>
        <v>SHP0956</v>
      </c>
      <c r="B957" s="0" t="str">
        <f aca="false">Clean!AA957</f>
        <v>VRL Cargo</v>
      </c>
      <c r="C957" s="28" t="n">
        <f aca="false">Clean!J957</f>
        <v>8.75</v>
      </c>
      <c r="D957" s="29" t="n">
        <f aca="false">Clean!AF957</f>
        <v>1453.92</v>
      </c>
      <c r="E957" s="29" t="n">
        <f aca="false">Clean!AE957</f>
        <v>1000.21</v>
      </c>
      <c r="F957" s="22" t="n">
        <f aca="false">AVERAGEIFS(Clean!$V$2:$V$1001,Clean!$AA$2:$AA$1001,B957)</f>
        <v>0.72020725388601</v>
      </c>
      <c r="G957" s="29" t="n">
        <f aca="false">F957*C957*D957</f>
        <v>9162.33264248705</v>
      </c>
      <c r="H957" s="29" t="n">
        <f aca="false">G957*Model!$B$4</f>
        <v>9162.33264248705</v>
      </c>
      <c r="I957" s="0" t="str">
        <f aca="false">IF(E957&lt;Model!$B$5*H957,"Expedite","Standard")</f>
        <v>Expedite</v>
      </c>
      <c r="J957" s="29" t="n">
        <f aca="false">H957</f>
        <v>9162.33264248705</v>
      </c>
      <c r="K957" s="29" t="n">
        <f aca="false">E957+(1-Model!$B$5)*H957</f>
        <v>1000.21</v>
      </c>
      <c r="L957" s="29" t="n">
        <f aca="false">IF(I957="Expedite",K957,J957)</f>
        <v>1000.21</v>
      </c>
      <c r="M957" s="29" t="n">
        <f aca="false">J957-L957</f>
        <v>8162.12264248705</v>
      </c>
      <c r="N957" s="29" t="n">
        <f aca="false">IFERROR(E957/(F957*C957*Model!$B$5),"")</f>
        <v>158.717804727646</v>
      </c>
    </row>
    <row r="958" customFormat="false" ht="15" hidden="false" customHeight="false" outlineLevel="0" collapsed="false">
      <c r="A958" s="0" t="str">
        <f aca="false">Clean!A958</f>
        <v>SHP0957</v>
      </c>
      <c r="B958" s="0" t="str">
        <f aca="false">Clean!AA958</f>
        <v>BlueDart</v>
      </c>
      <c r="C958" s="28" t="n">
        <f aca="false">Clean!J958</f>
        <v>16.47</v>
      </c>
      <c r="D958" s="29" t="n">
        <f aca="false">Clean!AF958</f>
        <v>1178.55</v>
      </c>
      <c r="E958" s="29" t="n">
        <f aca="false">Clean!AE958</f>
        <v>4839.67</v>
      </c>
      <c r="F958" s="22" t="n">
        <f aca="false">AVERAGEIFS(Clean!$V$2:$V$1001,Clean!$AA$2:$AA$1001,B958)</f>
        <v>0.773869346733668</v>
      </c>
      <c r="G958" s="29" t="n">
        <f aca="false">F958*C958*D958</f>
        <v>15021.3600452261</v>
      </c>
      <c r="H958" s="29" t="n">
        <f aca="false">G958*Model!$B$4</f>
        <v>15021.3600452261</v>
      </c>
      <c r="I958" s="0" t="str">
        <f aca="false">IF(E958&lt;Model!$B$5*H958,"Expedite","Standard")</f>
        <v>Expedite</v>
      </c>
      <c r="J958" s="29" t="n">
        <f aca="false">H958</f>
        <v>15021.3600452261</v>
      </c>
      <c r="K958" s="29" t="n">
        <f aca="false">E958+(1-Model!$B$5)*H958</f>
        <v>4839.67</v>
      </c>
      <c r="L958" s="29" t="n">
        <f aca="false">IF(I958="Expedite",K958,J958)</f>
        <v>4839.67</v>
      </c>
      <c r="M958" s="29" t="n">
        <f aca="false">J958-L958</f>
        <v>10181.6900452261</v>
      </c>
      <c r="N958" s="29" t="n">
        <f aca="false">IFERROR(E958/(F958*C958*Model!$B$5),"")</f>
        <v>379.71216063839</v>
      </c>
    </row>
    <row r="959" customFormat="false" ht="15" hidden="false" customHeight="false" outlineLevel="0" collapsed="false">
      <c r="A959" s="0" t="str">
        <f aca="false">Clean!A959</f>
        <v>SHP0958</v>
      </c>
      <c r="B959" s="0" t="str">
        <f aca="false">Clean!AA959</f>
        <v>GATI Logistics</v>
      </c>
      <c r="C959" s="28" t="n">
        <f aca="false">Clean!J959</f>
        <v>11.84</v>
      </c>
      <c r="D959" s="29" t="n">
        <f aca="false">Clean!AF959</f>
        <v>1291.91</v>
      </c>
      <c r="E959" s="29" t="n">
        <f aca="false">Clean!AE959</f>
        <v>3747.81</v>
      </c>
      <c r="F959" s="22" t="n">
        <f aca="false">AVERAGEIFS(Clean!$V$2:$V$1001,Clean!$AA$2:$AA$1001,B959)</f>
        <v>0.751243781094527</v>
      </c>
      <c r="G959" s="29" t="n">
        <f aca="false">F959*C959*D959</f>
        <v>11491.1859422886</v>
      </c>
      <c r="H959" s="29" t="n">
        <f aca="false">G959*Model!$B$4</f>
        <v>11491.1859422886</v>
      </c>
      <c r="I959" s="0" t="str">
        <f aca="false">IF(E959&lt;Model!$B$5*H959,"Expedite","Standard")</f>
        <v>Expedite</v>
      </c>
      <c r="J959" s="29" t="n">
        <f aca="false">H959</f>
        <v>11491.1859422886</v>
      </c>
      <c r="K959" s="29" t="n">
        <f aca="false">E959+(1-Model!$B$5)*H959</f>
        <v>3747.81</v>
      </c>
      <c r="L959" s="29" t="n">
        <f aca="false">IF(I959="Expedite",K959,J959)</f>
        <v>3747.81</v>
      </c>
      <c r="M959" s="29" t="n">
        <f aca="false">J959-L959</f>
        <v>7743.37594228856</v>
      </c>
      <c r="N959" s="29" t="n">
        <f aca="false">IFERROR(E959/(F959*C959*Model!$B$5),"")</f>
        <v>421.351916278862</v>
      </c>
    </row>
    <row r="960" customFormat="false" ht="15" hidden="false" customHeight="false" outlineLevel="0" collapsed="false">
      <c r="A960" s="0" t="str">
        <f aca="false">Clean!A960</f>
        <v>SHP0959</v>
      </c>
      <c r="B960" s="0" t="str">
        <f aca="false">Clean!AA960</f>
        <v>TCI Express</v>
      </c>
      <c r="C960" s="28" t="n">
        <f aca="false">Clean!J960</f>
        <v>12.08</v>
      </c>
      <c r="D960" s="29" t="n">
        <f aca="false">Clean!AF960</f>
        <v>593.03</v>
      </c>
      <c r="E960" s="29" t="n">
        <f aca="false">Clean!AE960</f>
        <v>1510</v>
      </c>
      <c r="F960" s="22" t="n">
        <f aca="false">AVERAGEIFS(Clean!$V$2:$V$1001,Clean!$AA$2:$AA$1001,B960)</f>
        <v>0.752336448598131</v>
      </c>
      <c r="G960" s="29" t="n">
        <f aca="false">F960*C960*D960</f>
        <v>5389.58965607477</v>
      </c>
      <c r="H960" s="29" t="n">
        <f aca="false">G960*Model!$B$4</f>
        <v>5389.58965607477</v>
      </c>
      <c r="I960" s="0" t="str">
        <f aca="false">IF(E960&lt;Model!$B$5*H960,"Expedite","Standard")</f>
        <v>Expedite</v>
      </c>
      <c r="J960" s="29" t="n">
        <f aca="false">H960</f>
        <v>5389.58965607477</v>
      </c>
      <c r="K960" s="29" t="n">
        <f aca="false">E960+(1-Model!$B$5)*H960</f>
        <v>1510</v>
      </c>
      <c r="L960" s="29" t="n">
        <f aca="false">IF(I960="Expedite",K960,J960)</f>
        <v>1510</v>
      </c>
      <c r="M960" s="29" t="n">
        <f aca="false">J960-L960</f>
        <v>3879.58965607477</v>
      </c>
      <c r="N960" s="29" t="n">
        <f aca="false">IFERROR(E960/(F960*C960*Model!$B$5),"")</f>
        <v>166.149068322981</v>
      </c>
    </row>
    <row r="961" customFormat="false" ht="15" hidden="false" customHeight="false" outlineLevel="0" collapsed="false">
      <c r="A961" s="0" t="str">
        <f aca="false">Clean!A961</f>
        <v>SHP0960</v>
      </c>
      <c r="B961" s="0" t="str">
        <f aca="false">Clean!AA961</f>
        <v>Delhivery</v>
      </c>
      <c r="C961" s="28" t="n">
        <f aca="false">Clean!J961</f>
        <v>12.2</v>
      </c>
      <c r="D961" s="29" t="n">
        <f aca="false">Clean!AF961</f>
        <v>756.09</v>
      </c>
      <c r="E961" s="29" t="n">
        <f aca="false">Clean!AE961</f>
        <v>2793.47</v>
      </c>
      <c r="F961" s="22" t="n">
        <f aca="false">AVERAGEIFS(Clean!$V$2:$V$1001,Clean!$AA$2:$AA$1001,B961)</f>
        <v>0.72538860103627</v>
      </c>
      <c r="G961" s="29" t="n">
        <f aca="false">F961*C961*D961</f>
        <v>6691.20062176166</v>
      </c>
      <c r="H961" s="29" t="n">
        <f aca="false">G961*Model!$B$4</f>
        <v>6691.20062176166</v>
      </c>
      <c r="I961" s="0" t="str">
        <f aca="false">IF(E961&lt;Model!$B$5*H961,"Expedite","Standard")</f>
        <v>Expedite</v>
      </c>
      <c r="J961" s="29" t="n">
        <f aca="false">H961</f>
        <v>6691.20062176166</v>
      </c>
      <c r="K961" s="29" t="n">
        <f aca="false">E961+(1-Model!$B$5)*H961</f>
        <v>2793.47</v>
      </c>
      <c r="L961" s="29" t="n">
        <f aca="false">IF(I961="Expedite",K961,J961)</f>
        <v>2793.47</v>
      </c>
      <c r="M961" s="29" t="n">
        <f aca="false">J961-L961</f>
        <v>3897.73062176166</v>
      </c>
      <c r="N961" s="29" t="n">
        <f aca="false">IFERROR(E961/(F961*C961*Model!$B$5),"")</f>
        <v>315.655567915691</v>
      </c>
    </row>
    <row r="962" customFormat="false" ht="15" hidden="false" customHeight="false" outlineLevel="0" collapsed="false">
      <c r="A962" s="0" t="str">
        <f aca="false">Clean!A962</f>
        <v>SHP0961</v>
      </c>
      <c r="B962" s="0" t="str">
        <f aca="false">Clean!AA962</f>
        <v>VRL Cargo</v>
      </c>
      <c r="C962" s="28" t="n">
        <f aca="false">Clean!J962</f>
        <v>3.29</v>
      </c>
      <c r="D962" s="29" t="n">
        <f aca="false">Clean!AF962</f>
        <v>914.48</v>
      </c>
      <c r="E962" s="29" t="n">
        <f aca="false">Clean!AE962</f>
        <v>1505.92</v>
      </c>
      <c r="F962" s="22" t="n">
        <f aca="false">AVERAGEIFS(Clean!$V$2:$V$1001,Clean!$AA$2:$AA$1001,B962)</f>
        <v>0.72020725388601</v>
      </c>
      <c r="G962" s="29" t="n">
        <f aca="false">F962*C962*D962</f>
        <v>2166.8437761658</v>
      </c>
      <c r="H962" s="29" t="n">
        <f aca="false">G962*Model!$B$4</f>
        <v>2166.8437761658</v>
      </c>
      <c r="I962" s="0" t="str">
        <f aca="false">IF(E962&lt;Model!$B$5*H962,"Expedite","Standard")</f>
        <v>Expedite</v>
      </c>
      <c r="J962" s="29" t="n">
        <f aca="false">H962</f>
        <v>2166.8437761658</v>
      </c>
      <c r="K962" s="29" t="n">
        <f aca="false">E962+(1-Model!$B$5)*H962</f>
        <v>1505.92</v>
      </c>
      <c r="L962" s="29" t="n">
        <f aca="false">IF(I962="Expedite",K962,J962)</f>
        <v>1505.92</v>
      </c>
      <c r="M962" s="29" t="n">
        <f aca="false">J962-L962</f>
        <v>660.923776165803</v>
      </c>
      <c r="N962" s="29" t="n">
        <f aca="false">IFERROR(E962/(F962*C962*Model!$B$5),"")</f>
        <v>635.548227679255</v>
      </c>
    </row>
    <row r="963" customFormat="false" ht="15" hidden="false" customHeight="false" outlineLevel="0" collapsed="false">
      <c r="A963" s="0" t="str">
        <f aca="false">Clean!A963</f>
        <v>SHP0962</v>
      </c>
      <c r="B963" s="0" t="str">
        <f aca="false">Clean!AA963</f>
        <v>GATI Logistics</v>
      </c>
      <c r="C963" s="28" t="n">
        <f aca="false">Clean!J963</f>
        <v>1.28</v>
      </c>
      <c r="D963" s="29" t="n">
        <f aca="false">Clean!AF963</f>
        <v>768.6</v>
      </c>
      <c r="E963" s="29" t="n">
        <f aca="false">Clean!AE963</f>
        <v>1755.48</v>
      </c>
      <c r="F963" s="22" t="n">
        <f aca="false">AVERAGEIFS(Clean!$V$2:$V$1001,Clean!$AA$2:$AA$1001,B963)</f>
        <v>0.751243781094527</v>
      </c>
      <c r="G963" s="29" t="n">
        <f aca="false">F963*C963*D963</f>
        <v>739.079641791045</v>
      </c>
      <c r="H963" s="29" t="n">
        <f aca="false">G963*Model!$B$4</f>
        <v>739.079641791045</v>
      </c>
      <c r="I963" s="0" t="str">
        <f aca="false">IF(E963&lt;Model!$B$5*H963,"Expedite","Standard")</f>
        <v>Standard</v>
      </c>
      <c r="J963" s="29" t="n">
        <f aca="false">H963</f>
        <v>739.079641791045</v>
      </c>
      <c r="K963" s="29" t="n">
        <f aca="false">E963+(1-Model!$B$5)*H963</f>
        <v>1755.48</v>
      </c>
      <c r="L963" s="29" t="n">
        <f aca="false">IF(I963="Expedite",K963,J963)</f>
        <v>739.079641791045</v>
      </c>
      <c r="M963" s="29" t="n">
        <f aca="false">J963-L963</f>
        <v>0</v>
      </c>
      <c r="N963" s="29" t="n">
        <f aca="false">IFERROR(E963/(F963*C963*Model!$B$5),"")</f>
        <v>1825.59747516556</v>
      </c>
    </row>
    <row r="964" customFormat="false" ht="15" hidden="false" customHeight="false" outlineLevel="0" collapsed="false">
      <c r="A964" s="0" t="str">
        <f aca="false">Clean!A964</f>
        <v>SHP0963</v>
      </c>
      <c r="B964" s="0" t="str">
        <f aca="false">Clean!AA964</f>
        <v>TCI Express</v>
      </c>
      <c r="C964" s="28" t="n">
        <f aca="false">Clean!J964</f>
        <v>11.15</v>
      </c>
      <c r="D964" s="29" t="n">
        <f aca="false">Clean!AF964</f>
        <v>629.71</v>
      </c>
      <c r="E964" s="29" t="n">
        <f aca="false">Clean!AE964</f>
        <v>4099.43</v>
      </c>
      <c r="F964" s="22" t="n">
        <f aca="false">AVERAGEIFS(Clean!$V$2:$V$1001,Clean!$AA$2:$AA$1001,B964)</f>
        <v>0.752336448598131</v>
      </c>
      <c r="G964" s="29" t="n">
        <f aca="false">F964*C964*D964</f>
        <v>5282.35470327103</v>
      </c>
      <c r="H964" s="29" t="n">
        <f aca="false">G964*Model!$B$4</f>
        <v>5282.35470327103</v>
      </c>
      <c r="I964" s="0" t="str">
        <f aca="false">IF(E964&lt;Model!$B$5*H964,"Expedite","Standard")</f>
        <v>Expedite</v>
      </c>
      <c r="J964" s="29" t="n">
        <f aca="false">H964</f>
        <v>5282.35470327103</v>
      </c>
      <c r="K964" s="29" t="n">
        <f aca="false">E964+(1-Model!$B$5)*H964</f>
        <v>4099.43</v>
      </c>
      <c r="L964" s="29" t="n">
        <f aca="false">IF(I964="Expedite",K964,J964)</f>
        <v>4099.43</v>
      </c>
      <c r="M964" s="29" t="n">
        <f aca="false">J964-L964</f>
        <v>1182.92470327103</v>
      </c>
      <c r="N964" s="29" t="n">
        <f aca="false">IFERROR(E964/(F964*C964*Model!$B$5),"")</f>
        <v>488.69343508899</v>
      </c>
    </row>
    <row r="965" customFormat="false" ht="15" hidden="false" customHeight="false" outlineLevel="0" collapsed="false">
      <c r="A965" s="0" t="str">
        <f aca="false">Clean!A965</f>
        <v>SHP0964</v>
      </c>
      <c r="B965" s="0" t="str">
        <f aca="false">Clean!AA965</f>
        <v>TCI Express</v>
      </c>
      <c r="C965" s="28" t="n">
        <f aca="false">Clean!J965</f>
        <v>9.62</v>
      </c>
      <c r="D965" s="29" t="n">
        <f aca="false">Clean!AF965</f>
        <v>789.18</v>
      </c>
      <c r="E965" s="29" t="n">
        <f aca="false">Clean!AE965</f>
        <v>1584.07</v>
      </c>
      <c r="F965" s="22" t="n">
        <f aca="false">AVERAGEIFS(Clean!$V$2:$V$1001,Clean!$AA$2:$AA$1001,B965)</f>
        <v>0.752336448598131</v>
      </c>
      <c r="G965" s="29" t="n">
        <f aca="false">F965*C965*D965</f>
        <v>5711.67181121495</v>
      </c>
      <c r="H965" s="29" t="n">
        <f aca="false">G965*Model!$B$4</f>
        <v>5711.67181121495</v>
      </c>
      <c r="I965" s="0" t="str">
        <f aca="false">IF(E965&lt;Model!$B$5*H965,"Expedite","Standard")</f>
        <v>Expedite</v>
      </c>
      <c r="J965" s="29" t="n">
        <f aca="false">H965</f>
        <v>5711.67181121495</v>
      </c>
      <c r="K965" s="29" t="n">
        <f aca="false">E965+(1-Model!$B$5)*H965</f>
        <v>1584.07</v>
      </c>
      <c r="L965" s="29" t="n">
        <f aca="false">IF(I965="Expedite",K965,J965)</f>
        <v>1584.07</v>
      </c>
      <c r="M965" s="29" t="n">
        <f aca="false">J965-L965</f>
        <v>4127.60181121495</v>
      </c>
      <c r="N965" s="29" t="n">
        <f aca="false">IFERROR(E965/(F965*C965*Model!$B$5),"")</f>
        <v>218.870482044395</v>
      </c>
    </row>
    <row r="966" customFormat="false" ht="15" hidden="false" customHeight="false" outlineLevel="0" collapsed="false">
      <c r="A966" s="0" t="str">
        <f aca="false">Clean!A966</f>
        <v>SHP0965</v>
      </c>
      <c r="B966" s="0" t="str">
        <f aca="false">Clean!AA966</f>
        <v>BlueDart</v>
      </c>
      <c r="C966" s="28" t="n">
        <f aca="false">Clean!J966</f>
        <v>6.89</v>
      </c>
      <c r="D966" s="29" t="n">
        <f aca="false">Clean!AF966</f>
        <v>1221.51</v>
      </c>
      <c r="E966" s="29" t="n">
        <f aca="false">Clean!AE966</f>
        <v>4771.65</v>
      </c>
      <c r="F966" s="22" t="n">
        <f aca="false">AVERAGEIFS(Clean!$V$2:$V$1001,Clean!$AA$2:$AA$1001,B966)</f>
        <v>0.773869346733668</v>
      </c>
      <c r="G966" s="29" t="n">
        <f aca="false">F966*C966*D966</f>
        <v>6513.04221407035</v>
      </c>
      <c r="H966" s="29" t="n">
        <f aca="false">G966*Model!$B$4</f>
        <v>6513.04221407035</v>
      </c>
      <c r="I966" s="0" t="str">
        <f aca="false">IF(E966&lt;Model!$B$5*H966,"Expedite","Standard")</f>
        <v>Expedite</v>
      </c>
      <c r="J966" s="29" t="n">
        <f aca="false">H966</f>
        <v>6513.04221407035</v>
      </c>
      <c r="K966" s="29" t="n">
        <f aca="false">E966+(1-Model!$B$5)*H966</f>
        <v>4771.65</v>
      </c>
      <c r="L966" s="29" t="n">
        <f aca="false">IF(I966="Expedite",K966,J966)</f>
        <v>4771.65</v>
      </c>
      <c r="M966" s="29" t="n">
        <f aca="false">J966-L966</f>
        <v>1741.39221407035</v>
      </c>
      <c r="N966" s="29" t="n">
        <f aca="false">IFERROR(E966/(F966*C966*Model!$B$5),"")</f>
        <v>894.914849301642</v>
      </c>
    </row>
    <row r="967" customFormat="false" ht="15" hidden="false" customHeight="false" outlineLevel="0" collapsed="false">
      <c r="A967" s="0" t="str">
        <f aca="false">Clean!A967</f>
        <v>SHP0966</v>
      </c>
      <c r="B967" s="0" t="str">
        <f aca="false">Clean!AA967</f>
        <v>BlueDart</v>
      </c>
      <c r="C967" s="28" t="n">
        <f aca="false">Clean!J967</f>
        <v>2.67</v>
      </c>
      <c r="D967" s="29" t="n">
        <f aca="false">Clean!AF967</f>
        <v>1469.04</v>
      </c>
      <c r="E967" s="29" t="n">
        <f aca="false">Clean!AE967</f>
        <v>4180.87</v>
      </c>
      <c r="F967" s="22" t="n">
        <f aca="false">AVERAGEIFS(Clean!$V$2:$V$1001,Clean!$AA$2:$AA$1001,B967)</f>
        <v>0.773869346733668</v>
      </c>
      <c r="G967" s="29" t="n">
        <f aca="false">F967*C967*D967</f>
        <v>3035.37621708543</v>
      </c>
      <c r="H967" s="29" t="n">
        <f aca="false">G967*Model!$B$4</f>
        <v>3035.37621708543</v>
      </c>
      <c r="I967" s="0" t="str">
        <f aca="false">IF(E967&lt;Model!$B$5*H967,"Expedite","Standard")</f>
        <v>Standard</v>
      </c>
      <c r="J967" s="29" t="n">
        <f aca="false">H967</f>
        <v>3035.37621708543</v>
      </c>
      <c r="K967" s="29" t="n">
        <f aca="false">E967+(1-Model!$B$5)*H967</f>
        <v>4180.87</v>
      </c>
      <c r="L967" s="29" t="n">
        <f aca="false">IF(I967="Expedite",K967,J967)</f>
        <v>3035.37621708543</v>
      </c>
      <c r="M967" s="29" t="n">
        <f aca="false">J967-L967</f>
        <v>0</v>
      </c>
      <c r="N967" s="29" t="n">
        <f aca="false">IFERROR(E967/(F967*C967*Model!$B$5),"")</f>
        <v>2023.42801206284</v>
      </c>
    </row>
    <row r="968" customFormat="false" ht="15" hidden="false" customHeight="false" outlineLevel="0" collapsed="false">
      <c r="A968" s="0" t="str">
        <f aca="false">Clean!A968</f>
        <v>SHP0967</v>
      </c>
      <c r="B968" s="0" t="str">
        <f aca="false">Clean!AA968</f>
        <v>Delhivery</v>
      </c>
      <c r="C968" s="28" t="n">
        <f aca="false">Clean!J968</f>
        <v>9.88</v>
      </c>
      <c r="D968" s="29" t="n">
        <f aca="false">Clean!AF968</f>
        <v>995.06</v>
      </c>
      <c r="E968" s="29" t="n">
        <f aca="false">Clean!AE968</f>
        <v>2060.49</v>
      </c>
      <c r="F968" s="22" t="n">
        <f aca="false">AVERAGEIFS(Clean!$V$2:$V$1001,Clean!$AA$2:$AA$1001,B968)</f>
        <v>0.72538860103627</v>
      </c>
      <c r="G968" s="29" t="n">
        <f aca="false">F968*C968*D968</f>
        <v>7131.43519170985</v>
      </c>
      <c r="H968" s="29" t="n">
        <f aca="false">G968*Model!$B$4</f>
        <v>7131.43519170985</v>
      </c>
      <c r="I968" s="0" t="str">
        <f aca="false">IF(E968&lt;Model!$B$5*H968,"Expedite","Standard")</f>
        <v>Expedite</v>
      </c>
      <c r="J968" s="29" t="n">
        <f aca="false">H968</f>
        <v>7131.43519170985</v>
      </c>
      <c r="K968" s="29" t="n">
        <f aca="false">E968+(1-Model!$B$5)*H968</f>
        <v>2060.49</v>
      </c>
      <c r="L968" s="29" t="n">
        <f aca="false">IF(I968="Expedite",K968,J968)</f>
        <v>2060.49</v>
      </c>
      <c r="M968" s="29" t="n">
        <f aca="false">J968-L968</f>
        <v>5070.94519170985</v>
      </c>
      <c r="N968" s="29" t="n">
        <f aca="false">IFERROR(E968/(F968*C968*Model!$B$5),"")</f>
        <v>287.503303932909</v>
      </c>
    </row>
    <row r="969" customFormat="false" ht="15" hidden="false" customHeight="false" outlineLevel="0" collapsed="false">
      <c r="A969" s="0" t="str">
        <f aca="false">Clean!A969</f>
        <v>SHP0968</v>
      </c>
      <c r="B969" s="0" t="str">
        <f aca="false">Clean!AA969</f>
        <v>GATI Logistics</v>
      </c>
      <c r="C969" s="28" t="n">
        <f aca="false">Clean!J969</f>
        <v>17.08</v>
      </c>
      <c r="D969" s="29" t="n">
        <f aca="false">Clean!AF969</f>
        <v>764.87</v>
      </c>
      <c r="E969" s="29" t="n">
        <f aca="false">Clean!AE969</f>
        <v>2405.42</v>
      </c>
      <c r="F969" s="22" t="n">
        <f aca="false">AVERAGEIFS(Clean!$V$2:$V$1001,Clean!$AA$2:$AA$1001,B969)</f>
        <v>0.751243781094527</v>
      </c>
      <c r="G969" s="29" t="n">
        <f aca="false">F969*C969*D969</f>
        <v>9814.23343084577</v>
      </c>
      <c r="H969" s="29" t="n">
        <f aca="false">G969*Model!$B$4</f>
        <v>9814.23343084577</v>
      </c>
      <c r="I969" s="0" t="str">
        <f aca="false">IF(E969&lt;Model!$B$5*H969,"Expedite","Standard")</f>
        <v>Expedite</v>
      </c>
      <c r="J969" s="29" t="n">
        <f aca="false">H969</f>
        <v>9814.23343084577</v>
      </c>
      <c r="K969" s="29" t="n">
        <f aca="false">E969+(1-Model!$B$5)*H969</f>
        <v>2405.42</v>
      </c>
      <c r="L969" s="29" t="n">
        <f aca="false">IF(I969="Expedite",K969,J969)</f>
        <v>2405.42</v>
      </c>
      <c r="M969" s="29" t="n">
        <f aca="false">J969-L969</f>
        <v>7408.81343084577</v>
      </c>
      <c r="N969" s="29" t="n">
        <f aca="false">IFERROR(E969/(F969*C969*Model!$B$5),"")</f>
        <v>187.465848286986</v>
      </c>
    </row>
    <row r="970" customFormat="false" ht="15" hidden="false" customHeight="false" outlineLevel="0" collapsed="false">
      <c r="A970" s="0" t="str">
        <f aca="false">Clean!A970</f>
        <v>SHP0969</v>
      </c>
      <c r="B970" s="0" t="str">
        <f aca="false">Clean!AA970</f>
        <v>TCI Express</v>
      </c>
      <c r="C970" s="28" t="n">
        <f aca="false">Clean!J970</f>
        <v>7.65</v>
      </c>
      <c r="D970" s="29" t="n">
        <f aca="false">Clean!AF970</f>
        <v>709.66</v>
      </c>
      <c r="E970" s="29" t="n">
        <f aca="false">Clean!AE970</f>
        <v>3901.56</v>
      </c>
      <c r="F970" s="22" t="n">
        <f aca="false">AVERAGEIFS(Clean!$V$2:$V$1001,Clean!$AA$2:$AA$1001,B970)</f>
        <v>0.752336448598131</v>
      </c>
      <c r="G970" s="29" t="n">
        <f aca="false">F970*C970*D970</f>
        <v>4084.35859345794</v>
      </c>
      <c r="H970" s="29" t="n">
        <f aca="false">G970*Model!$B$4</f>
        <v>4084.35859345794</v>
      </c>
      <c r="I970" s="0" t="str">
        <f aca="false">IF(E970&lt;Model!$B$5*H970,"Expedite","Standard")</f>
        <v>Expedite</v>
      </c>
      <c r="J970" s="29" t="n">
        <f aca="false">H970</f>
        <v>4084.35859345794</v>
      </c>
      <c r="K970" s="29" t="n">
        <f aca="false">E970+(1-Model!$B$5)*H970</f>
        <v>3901.56</v>
      </c>
      <c r="L970" s="29" t="n">
        <f aca="false">IF(I970="Expedite",K970,J970)</f>
        <v>3901.56</v>
      </c>
      <c r="M970" s="29" t="n">
        <f aca="false">J970-L970</f>
        <v>182.798593457944</v>
      </c>
      <c r="N970" s="29" t="n">
        <f aca="false">IFERROR(E970/(F970*C970*Model!$B$5),"")</f>
        <v>677.898623797345</v>
      </c>
    </row>
    <row r="971" customFormat="false" ht="15" hidden="false" customHeight="false" outlineLevel="0" collapsed="false">
      <c r="A971" s="0" t="str">
        <f aca="false">Clean!A971</f>
        <v>SHP0970</v>
      </c>
      <c r="B971" s="0" t="str">
        <f aca="false">Clean!AA971</f>
        <v>Delhivery</v>
      </c>
      <c r="C971" s="28" t="n">
        <f aca="false">Clean!J971</f>
        <v>17.81</v>
      </c>
      <c r="D971" s="29" t="n">
        <f aca="false">Clean!AF971</f>
        <v>837.71</v>
      </c>
      <c r="E971" s="29" t="n">
        <f aca="false">Clean!AE971</f>
        <v>1832.1</v>
      </c>
      <c r="F971" s="22" t="n">
        <f aca="false">AVERAGEIFS(Clean!$V$2:$V$1001,Clean!$AA$2:$AA$1001,B971)</f>
        <v>0.72538860103627</v>
      </c>
      <c r="G971" s="29" t="n">
        <f aca="false">F971*C971*D971</f>
        <v>10822.5187253886</v>
      </c>
      <c r="H971" s="29" t="n">
        <f aca="false">G971*Model!$B$4</f>
        <v>10822.5187253886</v>
      </c>
      <c r="I971" s="0" t="str">
        <f aca="false">IF(E971&lt;Model!$B$5*H971,"Expedite","Standard")</f>
        <v>Expedite</v>
      </c>
      <c r="J971" s="29" t="n">
        <f aca="false">H971</f>
        <v>10822.5187253886</v>
      </c>
      <c r="K971" s="29" t="n">
        <f aca="false">E971+(1-Model!$B$5)*H971</f>
        <v>1832.1</v>
      </c>
      <c r="L971" s="29" t="n">
        <f aca="false">IF(I971="Expedite",K971,J971)</f>
        <v>1832.1</v>
      </c>
      <c r="M971" s="29" t="n">
        <f aca="false">J971-L971</f>
        <v>8990.4187253886</v>
      </c>
      <c r="N971" s="29" t="n">
        <f aca="false">IFERROR(E971/(F971*C971*Model!$B$5),"")</f>
        <v>141.812505013235</v>
      </c>
    </row>
    <row r="972" customFormat="false" ht="15" hidden="false" customHeight="false" outlineLevel="0" collapsed="false">
      <c r="A972" s="0" t="str">
        <f aca="false">Clean!A972</f>
        <v>SHP0971</v>
      </c>
      <c r="B972" s="0" t="str">
        <f aca="false">Clean!AA972</f>
        <v>TCI Express</v>
      </c>
      <c r="C972" s="28" t="n">
        <f aca="false">Clean!J972</f>
        <v>16.38</v>
      </c>
      <c r="D972" s="29" t="n">
        <f aca="false">Clean!AF972</f>
        <v>810.6</v>
      </c>
      <c r="E972" s="29" t="n">
        <f aca="false">Clean!AE972</f>
        <v>4904.06</v>
      </c>
      <c r="F972" s="22" t="n">
        <f aca="false">AVERAGEIFS(Clean!$V$2:$V$1001,Clean!$AA$2:$AA$1001,B972)</f>
        <v>0.752336448598131</v>
      </c>
      <c r="G972" s="29" t="n">
        <f aca="false">F972*C972*D972</f>
        <v>9989.2434953271</v>
      </c>
      <c r="H972" s="29" t="n">
        <f aca="false">G972*Model!$B$4</f>
        <v>9989.2434953271</v>
      </c>
      <c r="I972" s="0" t="str">
        <f aca="false">IF(E972&lt;Model!$B$5*H972,"Expedite","Standard")</f>
        <v>Expedite</v>
      </c>
      <c r="J972" s="29" t="n">
        <f aca="false">H972</f>
        <v>9989.2434953271</v>
      </c>
      <c r="K972" s="29" t="n">
        <f aca="false">E972+(1-Model!$B$5)*H972</f>
        <v>4904.06</v>
      </c>
      <c r="L972" s="29" t="n">
        <f aca="false">IF(I972="Expedite",K972,J972)</f>
        <v>4904.06</v>
      </c>
      <c r="M972" s="29" t="n">
        <f aca="false">J972-L972</f>
        <v>5085.1834953271</v>
      </c>
      <c r="N972" s="29" t="n">
        <f aca="false">IFERROR(E972/(F972*C972*Model!$B$5),"")</f>
        <v>397.95115995116</v>
      </c>
    </row>
    <row r="973" customFormat="false" ht="15" hidden="false" customHeight="false" outlineLevel="0" collapsed="false">
      <c r="A973" s="0" t="str">
        <f aca="false">Clean!A973</f>
        <v>SHP0972</v>
      </c>
      <c r="B973" s="0" t="str">
        <f aca="false">Clean!AA973</f>
        <v>BlueDart</v>
      </c>
      <c r="C973" s="28" t="n">
        <f aca="false">Clean!J973</f>
        <v>9.76</v>
      </c>
      <c r="D973" s="29" t="n">
        <f aca="false">Clean!AF973</f>
        <v>1252.4</v>
      </c>
      <c r="E973" s="29" t="n">
        <f aca="false">Clean!AE973</f>
        <v>4993.68</v>
      </c>
      <c r="F973" s="22" t="n">
        <f aca="false">AVERAGEIFS(Clean!$V$2:$V$1001,Clean!$AA$2:$AA$1001,B973)</f>
        <v>0.773869346733668</v>
      </c>
      <c r="G973" s="29" t="n">
        <f aca="false">F973*C973*D973</f>
        <v>9459.33314572864</v>
      </c>
      <c r="H973" s="29" t="n">
        <f aca="false">G973*Model!$B$4</f>
        <v>9459.33314572864</v>
      </c>
      <c r="I973" s="0" t="str">
        <f aca="false">IF(E973&lt;Model!$B$5*H973,"Expedite","Standard")</f>
        <v>Expedite</v>
      </c>
      <c r="J973" s="29" t="n">
        <f aca="false">H973</f>
        <v>9459.33314572864</v>
      </c>
      <c r="K973" s="29" t="n">
        <f aca="false">E973+(1-Model!$B$5)*H973</f>
        <v>4993.68</v>
      </c>
      <c r="L973" s="29" t="n">
        <f aca="false">IF(I973="Expedite",K973,J973)</f>
        <v>4993.68</v>
      </c>
      <c r="M973" s="29" t="n">
        <f aca="false">J973-L973</f>
        <v>4465.65314572864</v>
      </c>
      <c r="N973" s="29" t="n">
        <f aca="false">IFERROR(E973/(F973*C973*Model!$B$5),"")</f>
        <v>661.154939322972</v>
      </c>
    </row>
    <row r="974" customFormat="false" ht="15" hidden="false" customHeight="false" outlineLevel="0" collapsed="false">
      <c r="A974" s="0" t="str">
        <f aca="false">Clean!A974</f>
        <v>SHP0973</v>
      </c>
      <c r="B974" s="0" t="str">
        <f aca="false">Clean!AA974</f>
        <v>GATI Logistics</v>
      </c>
      <c r="C974" s="28" t="n">
        <f aca="false">Clean!J974</f>
        <v>17.41</v>
      </c>
      <c r="D974" s="29" t="n">
        <f aca="false">Clean!AF974</f>
        <v>1085.9</v>
      </c>
      <c r="E974" s="29" t="n">
        <f aca="false">Clean!AE974</f>
        <v>3052.86</v>
      </c>
      <c r="F974" s="22" t="n">
        <f aca="false">AVERAGEIFS(Clean!$V$2:$V$1001,Clean!$AA$2:$AA$1001,B974)</f>
        <v>0.751243781094527</v>
      </c>
      <c r="G974" s="29" t="n">
        <f aca="false">F974*C974*D974</f>
        <v>14202.6535771144</v>
      </c>
      <c r="H974" s="29" t="n">
        <f aca="false">G974*Model!$B$4</f>
        <v>14202.6535771144</v>
      </c>
      <c r="I974" s="0" t="str">
        <f aca="false">IF(E974&lt;Model!$B$5*H974,"Expedite","Standard")</f>
        <v>Expedite</v>
      </c>
      <c r="J974" s="29" t="n">
        <f aca="false">H974</f>
        <v>14202.6535771144</v>
      </c>
      <c r="K974" s="29" t="n">
        <f aca="false">E974+(1-Model!$B$5)*H974</f>
        <v>3052.86</v>
      </c>
      <c r="L974" s="29" t="n">
        <f aca="false">IF(I974="Expedite",K974,J974)</f>
        <v>3052.86</v>
      </c>
      <c r="M974" s="29" t="n">
        <f aca="false">J974-L974</f>
        <v>11149.7935771144</v>
      </c>
      <c r="N974" s="29" t="n">
        <f aca="false">IFERROR(E974/(F974*C974*Model!$B$5),"")</f>
        <v>233.414175456748</v>
      </c>
    </row>
    <row r="975" customFormat="false" ht="15" hidden="false" customHeight="false" outlineLevel="0" collapsed="false">
      <c r="A975" s="0" t="str">
        <f aca="false">Clean!A975</f>
        <v>SHP0974</v>
      </c>
      <c r="B975" s="0" t="str">
        <f aca="false">Clean!AA975</f>
        <v>BlueDart</v>
      </c>
      <c r="C975" s="28" t="n">
        <f aca="false">Clean!J975</f>
        <v>4.41</v>
      </c>
      <c r="D975" s="29" t="n">
        <f aca="false">Clean!AF975</f>
        <v>1005.16</v>
      </c>
      <c r="E975" s="29" t="n">
        <f aca="false">Clean!AE975</f>
        <v>2139.41</v>
      </c>
      <c r="F975" s="22" t="n">
        <f aca="false">AVERAGEIFS(Clean!$V$2:$V$1001,Clean!$AA$2:$AA$1001,B975)</f>
        <v>0.773869346733668</v>
      </c>
      <c r="G975" s="29" t="n">
        <f aca="false">F975*C975*D975</f>
        <v>3430.37368040201</v>
      </c>
      <c r="H975" s="29" t="n">
        <f aca="false">G975*Model!$B$4</f>
        <v>3430.37368040201</v>
      </c>
      <c r="I975" s="0" t="str">
        <f aca="false">IF(E975&lt;Model!$B$5*H975,"Expedite","Standard")</f>
        <v>Expedite</v>
      </c>
      <c r="J975" s="29" t="n">
        <f aca="false">H975</f>
        <v>3430.37368040201</v>
      </c>
      <c r="K975" s="29" t="n">
        <f aca="false">E975+(1-Model!$B$5)*H975</f>
        <v>2139.41</v>
      </c>
      <c r="L975" s="29" t="n">
        <f aca="false">IF(I975="Expedite",K975,J975)</f>
        <v>2139.41</v>
      </c>
      <c r="M975" s="29" t="n">
        <f aca="false">J975-L975</f>
        <v>1290.96368040201</v>
      </c>
      <c r="N975" s="29" t="n">
        <f aca="false">IFERROR(E975/(F975*C975*Model!$B$5),"")</f>
        <v>626.884869099155</v>
      </c>
    </row>
    <row r="976" customFormat="false" ht="15" hidden="false" customHeight="false" outlineLevel="0" collapsed="false">
      <c r="A976" s="0" t="str">
        <f aca="false">Clean!A976</f>
        <v>SHP0975</v>
      </c>
      <c r="B976" s="0" t="str">
        <f aca="false">Clean!AA976</f>
        <v>VRL Cargo</v>
      </c>
      <c r="C976" s="28" t="n">
        <f aca="false">Clean!J976</f>
        <v>11.1</v>
      </c>
      <c r="D976" s="29" t="n">
        <f aca="false">Clean!AF976</f>
        <v>1064.13</v>
      </c>
      <c r="E976" s="29" t="n">
        <f aca="false">Clean!AE976</f>
        <v>2972.12</v>
      </c>
      <c r="F976" s="22" t="n">
        <f aca="false">AVERAGEIFS(Clean!$V$2:$V$1001,Clean!$AA$2:$AA$1001,B976)</f>
        <v>0.72020725388601</v>
      </c>
      <c r="G976" s="29" t="n">
        <f aca="false">F976*C976*D976</f>
        <v>8506.97501036269</v>
      </c>
      <c r="H976" s="29" t="n">
        <f aca="false">G976*Model!$B$4</f>
        <v>8506.97501036269</v>
      </c>
      <c r="I976" s="0" t="str">
        <f aca="false">IF(E976&lt;Model!$B$5*H976,"Expedite","Standard")</f>
        <v>Expedite</v>
      </c>
      <c r="J976" s="29" t="n">
        <f aca="false">H976</f>
        <v>8506.97501036269</v>
      </c>
      <c r="K976" s="29" t="n">
        <f aca="false">E976+(1-Model!$B$5)*H976</f>
        <v>2972.12</v>
      </c>
      <c r="L976" s="29" t="n">
        <f aca="false">IF(I976="Expedite",K976,J976)</f>
        <v>2972.12</v>
      </c>
      <c r="M976" s="29" t="n">
        <f aca="false">J976-L976</f>
        <v>5534.85501036269</v>
      </c>
      <c r="N976" s="29" t="n">
        <f aca="false">IFERROR(E976/(F976*C976*Model!$B$5),"")</f>
        <v>371.779869077711</v>
      </c>
    </row>
    <row r="977" customFormat="false" ht="15" hidden="false" customHeight="false" outlineLevel="0" collapsed="false">
      <c r="A977" s="0" t="str">
        <f aca="false">Clean!A977</f>
        <v>SHP0976</v>
      </c>
      <c r="B977" s="0" t="str">
        <f aca="false">Clean!AA977</f>
        <v>Delhivery</v>
      </c>
      <c r="C977" s="28" t="n">
        <f aca="false">Clean!J977</f>
        <v>13.42</v>
      </c>
      <c r="D977" s="29" t="n">
        <f aca="false">Clean!AF977</f>
        <v>1034.87</v>
      </c>
      <c r="E977" s="29" t="n">
        <f aca="false">Clean!AE977</f>
        <v>2503.75</v>
      </c>
      <c r="F977" s="22" t="n">
        <f aca="false">AVERAGEIFS(Clean!$V$2:$V$1001,Clean!$AA$2:$AA$1001,B977)</f>
        <v>0.72538860103627</v>
      </c>
      <c r="G977" s="29" t="n">
        <f aca="false">F977*C977*D977</f>
        <v>10074.1645388601</v>
      </c>
      <c r="H977" s="29" t="n">
        <f aca="false">G977*Model!$B$4</f>
        <v>10074.1645388601</v>
      </c>
      <c r="I977" s="0" t="str">
        <f aca="false">IF(E977&lt;Model!$B$5*H977,"Expedite","Standard")</f>
        <v>Expedite</v>
      </c>
      <c r="J977" s="29" t="n">
        <f aca="false">H977</f>
        <v>10074.1645388601</v>
      </c>
      <c r="K977" s="29" t="n">
        <f aca="false">E977+(1-Model!$B$5)*H977</f>
        <v>2503.75</v>
      </c>
      <c r="L977" s="29" t="n">
        <f aca="false">IF(I977="Expedite",K977,J977)</f>
        <v>2503.75</v>
      </c>
      <c r="M977" s="29" t="n">
        <f aca="false">J977-L977</f>
        <v>7570.4145388601</v>
      </c>
      <c r="N977" s="29" t="n">
        <f aca="false">IFERROR(E977/(F977*C977*Model!$B$5),"")</f>
        <v>257.198078560784</v>
      </c>
    </row>
    <row r="978" customFormat="false" ht="15" hidden="false" customHeight="false" outlineLevel="0" collapsed="false">
      <c r="A978" s="0" t="str">
        <f aca="false">Clean!A978</f>
        <v>SHP0977</v>
      </c>
      <c r="B978" s="0" t="str">
        <f aca="false">Clean!AA978</f>
        <v>TCI Express</v>
      </c>
      <c r="C978" s="28" t="n">
        <f aca="false">Clean!J978</f>
        <v>17.66</v>
      </c>
      <c r="D978" s="29" t="n">
        <f aca="false">Clean!AF978</f>
        <v>878.03</v>
      </c>
      <c r="E978" s="29" t="n">
        <f aca="false">Clean!AE978</f>
        <v>3907.92</v>
      </c>
      <c r="F978" s="22" t="n">
        <f aca="false">AVERAGEIFS(Clean!$V$2:$V$1001,Clean!$AA$2:$AA$1001,B978)</f>
        <v>0.752336448598131</v>
      </c>
      <c r="G978" s="29" t="n">
        <f aca="false">F978*C978*D978</f>
        <v>11665.7363448598</v>
      </c>
      <c r="H978" s="29" t="n">
        <f aca="false">G978*Model!$B$4</f>
        <v>11665.7363448598</v>
      </c>
      <c r="I978" s="0" t="str">
        <f aca="false">IF(E978&lt;Model!$B$5*H978,"Expedite","Standard")</f>
        <v>Expedite</v>
      </c>
      <c r="J978" s="29" t="n">
        <f aca="false">H978</f>
        <v>11665.7363448598</v>
      </c>
      <c r="K978" s="29" t="n">
        <f aca="false">E978+(1-Model!$B$5)*H978</f>
        <v>3907.92</v>
      </c>
      <c r="L978" s="29" t="n">
        <f aca="false">IF(I978="Expedite",K978,J978)</f>
        <v>3907.92</v>
      </c>
      <c r="M978" s="29" t="n">
        <f aca="false">J978-L978</f>
        <v>7757.81634485981</v>
      </c>
      <c r="N978" s="29" t="n">
        <f aca="false">IFERROR(E978/(F978*C978*Model!$B$5),"")</f>
        <v>294.132397318571</v>
      </c>
    </row>
    <row r="979" customFormat="false" ht="15" hidden="false" customHeight="false" outlineLevel="0" collapsed="false">
      <c r="A979" s="0" t="str">
        <f aca="false">Clean!A979</f>
        <v>SHP0978</v>
      </c>
      <c r="B979" s="0" t="str">
        <f aca="false">Clean!AA979</f>
        <v>TCI Express</v>
      </c>
      <c r="C979" s="28" t="n">
        <f aca="false">Clean!J979</f>
        <v>1.15</v>
      </c>
      <c r="D979" s="29" t="n">
        <f aca="false">Clean!AF979</f>
        <v>812.13</v>
      </c>
      <c r="E979" s="29" t="n">
        <f aca="false">Clean!AE979</f>
        <v>1044.11</v>
      </c>
      <c r="F979" s="22" t="n">
        <f aca="false">AVERAGEIFS(Clean!$V$2:$V$1001,Clean!$AA$2:$AA$1001,B979)</f>
        <v>0.752336448598131</v>
      </c>
      <c r="G979" s="29" t="n">
        <f aca="false">F979*C979*D979</f>
        <v>702.64425</v>
      </c>
      <c r="H979" s="29" t="n">
        <f aca="false">G979*Model!$B$4</f>
        <v>702.64425</v>
      </c>
      <c r="I979" s="0" t="str">
        <f aca="false">IF(E979&lt;Model!$B$5*H979,"Expedite","Standard")</f>
        <v>Standard</v>
      </c>
      <c r="J979" s="29" t="n">
        <f aca="false">H979</f>
        <v>702.64425</v>
      </c>
      <c r="K979" s="29" t="n">
        <f aca="false">E979+(1-Model!$B$5)*H979</f>
        <v>1044.11</v>
      </c>
      <c r="L979" s="29" t="n">
        <f aca="false">IF(I979="Expedite",K979,J979)</f>
        <v>702.64425</v>
      </c>
      <c r="M979" s="29" t="n">
        <f aca="false">J979-L979</f>
        <v>0</v>
      </c>
      <c r="N979" s="29" t="n">
        <f aca="false">IFERROR(E979/(F979*C979*Model!$B$5),"")</f>
        <v>1206.80280853362</v>
      </c>
    </row>
    <row r="980" customFormat="false" ht="15" hidden="false" customHeight="false" outlineLevel="0" collapsed="false">
      <c r="A980" s="0" t="str">
        <f aca="false">Clean!A980</f>
        <v>SHP0979</v>
      </c>
      <c r="B980" s="0" t="str">
        <f aca="false">Clean!AA980</f>
        <v>TCI Express</v>
      </c>
      <c r="C980" s="28" t="n">
        <f aca="false">Clean!J980</f>
        <v>1.24</v>
      </c>
      <c r="D980" s="29" t="n">
        <f aca="false">Clean!AF980</f>
        <v>805.33</v>
      </c>
      <c r="E980" s="29" t="n">
        <f aca="false">Clean!AE980</f>
        <v>1237.24</v>
      </c>
      <c r="F980" s="22" t="n">
        <f aca="false">AVERAGEIFS(Clean!$V$2:$V$1001,Clean!$AA$2:$AA$1001,B980)</f>
        <v>0.752336448598131</v>
      </c>
      <c r="G980" s="29" t="n">
        <f aca="false">F980*C980*D980</f>
        <v>751.290099065421</v>
      </c>
      <c r="H980" s="29" t="n">
        <f aca="false">G980*Model!$B$4</f>
        <v>751.290099065421</v>
      </c>
      <c r="I980" s="0" t="str">
        <f aca="false">IF(E980&lt;Model!$B$5*H980,"Expedite","Standard")</f>
        <v>Standard</v>
      </c>
      <c r="J980" s="29" t="n">
        <f aca="false">H980</f>
        <v>751.290099065421</v>
      </c>
      <c r="K980" s="29" t="n">
        <f aca="false">E980+(1-Model!$B$5)*H980</f>
        <v>1237.24</v>
      </c>
      <c r="L980" s="29" t="n">
        <f aca="false">IF(I980="Expedite",K980,J980)</f>
        <v>751.290099065421</v>
      </c>
      <c r="M980" s="29" t="n">
        <f aca="false">J980-L980</f>
        <v>0</v>
      </c>
      <c r="N980" s="29" t="n">
        <f aca="false">IFERROR(E980/(F980*C980*Model!$B$5),"")</f>
        <v>1326.23402123823</v>
      </c>
    </row>
    <row r="981" customFormat="false" ht="15" hidden="false" customHeight="false" outlineLevel="0" collapsed="false">
      <c r="A981" s="0" t="str">
        <f aca="false">Clean!A981</f>
        <v>SHP0980</v>
      </c>
      <c r="B981" s="0" t="str">
        <f aca="false">Clean!AA981</f>
        <v>GATI Logistics</v>
      </c>
      <c r="C981" s="28" t="n">
        <f aca="false">Clean!J981</f>
        <v>18.03</v>
      </c>
      <c r="D981" s="29" t="n">
        <f aca="false">Clean!AF981</f>
        <v>901.65</v>
      </c>
      <c r="E981" s="29" t="n">
        <f aca="false">Clean!AE981</f>
        <v>3331.99</v>
      </c>
      <c r="F981" s="22" t="n">
        <f aca="false">AVERAGEIFS(Clean!$V$2:$V$1001,Clean!$AA$2:$AA$1001,B981)</f>
        <v>0.751243781094527</v>
      </c>
      <c r="G981" s="29" t="n">
        <f aca="false">F981*C981*D981</f>
        <v>12212.7819626866</v>
      </c>
      <c r="H981" s="29" t="n">
        <f aca="false">G981*Model!$B$4</f>
        <v>12212.7819626866</v>
      </c>
      <c r="I981" s="0" t="str">
        <f aca="false">IF(E981&lt;Model!$B$5*H981,"Expedite","Standard")</f>
        <v>Expedite</v>
      </c>
      <c r="J981" s="29" t="n">
        <f aca="false">H981</f>
        <v>12212.7819626866</v>
      </c>
      <c r="K981" s="29" t="n">
        <f aca="false">E981+(1-Model!$B$5)*H981</f>
        <v>3331.99</v>
      </c>
      <c r="L981" s="29" t="n">
        <f aca="false">IF(I981="Expedite",K981,J981)</f>
        <v>3331.99</v>
      </c>
      <c r="M981" s="29" t="n">
        <f aca="false">J981-L981</f>
        <v>8880.79196268657</v>
      </c>
      <c r="N981" s="29" t="n">
        <f aca="false">IFERROR(E981/(F981*C981*Model!$B$5),"")</f>
        <v>245.99544908596</v>
      </c>
    </row>
    <row r="982" customFormat="false" ht="15" hidden="false" customHeight="false" outlineLevel="0" collapsed="false">
      <c r="A982" s="0" t="str">
        <f aca="false">Clean!A982</f>
        <v>SHP0981</v>
      </c>
      <c r="B982" s="0" t="str">
        <f aca="false">Clean!AA982</f>
        <v>Delhivery</v>
      </c>
      <c r="C982" s="28" t="n">
        <f aca="false">Clean!J982</f>
        <v>19.03</v>
      </c>
      <c r="D982" s="29" t="n">
        <f aca="false">Clean!AF982</f>
        <v>790.64</v>
      </c>
      <c r="E982" s="29" t="n">
        <f aca="false">Clean!AE982</f>
        <v>3804.56</v>
      </c>
      <c r="F982" s="22" t="n">
        <f aca="false">AVERAGEIFS(Clean!$V$2:$V$1001,Clean!$AA$2:$AA$1001,B982)</f>
        <v>0.72538860103627</v>
      </c>
      <c r="G982" s="29" t="n">
        <f aca="false">F982*C982*D982</f>
        <v>10914.1092642487</v>
      </c>
      <c r="H982" s="29" t="n">
        <f aca="false">G982*Model!$B$4</f>
        <v>10914.1092642487</v>
      </c>
      <c r="I982" s="0" t="str">
        <f aca="false">IF(E982&lt;Model!$B$5*H982,"Expedite","Standard")</f>
        <v>Expedite</v>
      </c>
      <c r="J982" s="29" t="n">
        <f aca="false">H982</f>
        <v>10914.1092642487</v>
      </c>
      <c r="K982" s="29" t="n">
        <f aca="false">E982+(1-Model!$B$5)*H982</f>
        <v>3804.56</v>
      </c>
      <c r="L982" s="29" t="n">
        <f aca="false">IF(I982="Expedite",K982,J982)</f>
        <v>3804.56</v>
      </c>
      <c r="M982" s="29" t="n">
        <f aca="false">J982-L982</f>
        <v>7109.54926424871</v>
      </c>
      <c r="N982" s="29" t="n">
        <f aca="false">IFERROR(E982/(F982*C982*Model!$B$5),"")</f>
        <v>275.60996922153</v>
      </c>
    </row>
    <row r="983" customFormat="false" ht="15" hidden="false" customHeight="false" outlineLevel="0" collapsed="false">
      <c r="A983" s="0" t="str">
        <f aca="false">Clean!A983</f>
        <v>SHP0982</v>
      </c>
      <c r="B983" s="0" t="str">
        <f aca="false">Clean!AA983</f>
        <v>GATI Logistics</v>
      </c>
      <c r="C983" s="28" t="n">
        <f aca="false">Clean!J983</f>
        <v>6.65</v>
      </c>
      <c r="D983" s="29" t="n">
        <f aca="false">Clean!AF983</f>
        <v>1214.22</v>
      </c>
      <c r="E983" s="29" t="n">
        <f aca="false">Clean!AE983</f>
        <v>2543.25</v>
      </c>
      <c r="F983" s="22" t="n">
        <f aca="false">AVERAGEIFS(Clean!$V$2:$V$1001,Clean!$AA$2:$AA$1001,B983)</f>
        <v>0.751243781094527</v>
      </c>
      <c r="G983" s="29" t="n">
        <f aca="false">F983*C983*D983</f>
        <v>6065.96523880597</v>
      </c>
      <c r="H983" s="29" t="n">
        <f aca="false">G983*Model!$B$4</f>
        <v>6065.96523880597</v>
      </c>
      <c r="I983" s="0" t="str">
        <f aca="false">IF(E983&lt;Model!$B$5*H983,"Expedite","Standard")</f>
        <v>Expedite</v>
      </c>
      <c r="J983" s="29" t="n">
        <f aca="false">H983</f>
        <v>6065.96523880597</v>
      </c>
      <c r="K983" s="29" t="n">
        <f aca="false">E983+(1-Model!$B$5)*H983</f>
        <v>2543.25</v>
      </c>
      <c r="L983" s="29" t="n">
        <f aca="false">IF(I983="Expedite",K983,J983)</f>
        <v>2543.25</v>
      </c>
      <c r="M983" s="29" t="n">
        <f aca="false">J983-L983</f>
        <v>3522.71523880597</v>
      </c>
      <c r="N983" s="29" t="n">
        <f aca="false">IFERROR(E983/(F983*C983*Model!$B$5),"")</f>
        <v>509.080565652542</v>
      </c>
    </row>
    <row r="984" customFormat="false" ht="15" hidden="false" customHeight="false" outlineLevel="0" collapsed="false">
      <c r="A984" s="0" t="str">
        <f aca="false">Clean!A984</f>
        <v>SHP0983</v>
      </c>
      <c r="B984" s="0" t="str">
        <f aca="false">Clean!AA984</f>
        <v>Delhivery</v>
      </c>
      <c r="C984" s="28" t="n">
        <f aca="false">Clean!J984</f>
        <v>2.32</v>
      </c>
      <c r="D984" s="29" t="n">
        <f aca="false">Clean!AF984</f>
        <v>855</v>
      </c>
      <c r="E984" s="29" t="n">
        <f aca="false">Clean!AE984</f>
        <v>2751.86</v>
      </c>
      <c r="F984" s="22" t="n">
        <f aca="false">AVERAGEIFS(Clean!$V$2:$V$1001,Clean!$AA$2:$AA$1001,B984)</f>
        <v>0.72538860103627</v>
      </c>
      <c r="G984" s="29" t="n">
        <f aca="false">F984*C984*D984</f>
        <v>1438.88082901554</v>
      </c>
      <c r="H984" s="29" t="n">
        <f aca="false">G984*Model!$B$4</f>
        <v>1438.88082901554</v>
      </c>
      <c r="I984" s="0" t="str">
        <f aca="false">IF(E984&lt;Model!$B$5*H984,"Expedite","Standard")</f>
        <v>Standard</v>
      </c>
      <c r="J984" s="29" t="n">
        <f aca="false">H984</f>
        <v>1438.88082901554</v>
      </c>
      <c r="K984" s="29" t="n">
        <f aca="false">E984+(1-Model!$B$5)*H984</f>
        <v>2751.86</v>
      </c>
      <c r="L984" s="29" t="n">
        <f aca="false">IF(I984="Expedite",K984,J984)</f>
        <v>1438.88082901554</v>
      </c>
      <c r="M984" s="29" t="n">
        <f aca="false">J984-L984</f>
        <v>0</v>
      </c>
      <c r="N984" s="29" t="n">
        <f aca="false">IFERROR(E984/(F984*C984*Model!$B$5),"")</f>
        <v>1635.18774630542</v>
      </c>
    </row>
    <row r="985" customFormat="false" ht="15" hidden="false" customHeight="false" outlineLevel="0" collapsed="false">
      <c r="A985" s="0" t="str">
        <f aca="false">Clean!A985</f>
        <v>SHP0984</v>
      </c>
      <c r="B985" s="0" t="str">
        <f aca="false">Clean!AA985</f>
        <v>GATI Logistics</v>
      </c>
      <c r="C985" s="28" t="n">
        <f aca="false">Clean!J985</f>
        <v>2.38</v>
      </c>
      <c r="D985" s="29" t="n">
        <f aca="false">Clean!AF985</f>
        <v>948.23</v>
      </c>
      <c r="E985" s="29" t="n">
        <f aca="false">Clean!AE985</f>
        <v>3647.16</v>
      </c>
      <c r="F985" s="22" t="n">
        <f aca="false">AVERAGEIFS(Clean!$V$2:$V$1001,Clean!$AA$2:$AA$1001,B985)</f>
        <v>0.751243781094527</v>
      </c>
      <c r="G985" s="29" t="n">
        <f aca="false">F985*C985*D985</f>
        <v>1695.39749950249</v>
      </c>
      <c r="H985" s="29" t="n">
        <f aca="false">G985*Model!$B$4</f>
        <v>1695.39749950249</v>
      </c>
      <c r="I985" s="0" t="str">
        <f aca="false">IF(E985&lt;Model!$B$5*H985,"Expedite","Standard")</f>
        <v>Standard</v>
      </c>
      <c r="J985" s="29" t="n">
        <f aca="false">H985</f>
        <v>1695.39749950249</v>
      </c>
      <c r="K985" s="29" t="n">
        <f aca="false">E985+(1-Model!$B$5)*H985</f>
        <v>3647.16</v>
      </c>
      <c r="L985" s="29" t="n">
        <f aca="false">IF(I985="Expedite",K985,J985)</f>
        <v>1695.39749950249</v>
      </c>
      <c r="M985" s="29" t="n">
        <f aca="false">J985-L985</f>
        <v>0</v>
      </c>
      <c r="N985" s="29" t="n">
        <f aca="false">IFERROR(E985/(F985*C985*Model!$B$5),"")</f>
        <v>2039.84406477823</v>
      </c>
    </row>
    <row r="986" customFormat="false" ht="15" hidden="false" customHeight="false" outlineLevel="0" collapsed="false">
      <c r="A986" s="0" t="str">
        <f aca="false">Clean!A986</f>
        <v>SHP0985</v>
      </c>
      <c r="B986" s="0" t="str">
        <f aca="false">Clean!AA986</f>
        <v>GATI Logistics</v>
      </c>
      <c r="C986" s="28" t="n">
        <f aca="false">Clean!J986</f>
        <v>9.49</v>
      </c>
      <c r="D986" s="29" t="n">
        <f aca="false">Clean!AF986</f>
        <v>1384</v>
      </c>
      <c r="E986" s="29" t="n">
        <f aca="false">Clean!AE986</f>
        <v>3759.58</v>
      </c>
      <c r="F986" s="22" t="n">
        <f aca="false">AVERAGEIFS(Clean!$V$2:$V$1001,Clean!$AA$2:$AA$1001,B986)</f>
        <v>0.751243781094527</v>
      </c>
      <c r="G986" s="29" t="n">
        <f aca="false">F986*C986*D986</f>
        <v>9866.9560199005</v>
      </c>
      <c r="H986" s="29" t="n">
        <f aca="false">G986*Model!$B$4</f>
        <v>9866.9560199005</v>
      </c>
      <c r="I986" s="0" t="str">
        <f aca="false">IF(E986&lt;Model!$B$5*H986,"Expedite","Standard")</f>
        <v>Expedite</v>
      </c>
      <c r="J986" s="29" t="n">
        <f aca="false">H986</f>
        <v>9866.9560199005</v>
      </c>
      <c r="K986" s="29" t="n">
        <f aca="false">E986+(1-Model!$B$5)*H986</f>
        <v>3759.58</v>
      </c>
      <c r="L986" s="29" t="n">
        <f aca="false">IF(I986="Expedite",K986,J986)</f>
        <v>3759.58</v>
      </c>
      <c r="M986" s="29" t="n">
        <f aca="false">J986-L986</f>
        <v>6107.3760199005</v>
      </c>
      <c r="N986" s="29" t="n">
        <f aca="false">IFERROR(E986/(F986*C986*Model!$B$5),"")</f>
        <v>527.341837696006</v>
      </c>
    </row>
    <row r="987" customFormat="false" ht="15" hidden="false" customHeight="false" outlineLevel="0" collapsed="false">
      <c r="A987" s="0" t="str">
        <f aca="false">Clean!A987</f>
        <v>SHP0986</v>
      </c>
      <c r="B987" s="0" t="str">
        <f aca="false">Clean!AA987</f>
        <v>Delhivery</v>
      </c>
      <c r="C987" s="28" t="n">
        <f aca="false">Clean!J987</f>
        <v>4.93</v>
      </c>
      <c r="D987" s="29" t="n">
        <f aca="false">Clean!AF987</f>
        <v>791.22</v>
      </c>
      <c r="E987" s="29" t="n">
        <f aca="false">Clean!AE987</f>
        <v>1448.96</v>
      </c>
      <c r="F987" s="22" t="n">
        <f aca="false">AVERAGEIFS(Clean!$V$2:$V$1001,Clean!$AA$2:$AA$1001,B987)</f>
        <v>0.72538860103627</v>
      </c>
      <c r="G987" s="29" t="n">
        <f aca="false">F987*C987*D987</f>
        <v>2829.53390673575</v>
      </c>
      <c r="H987" s="29" t="n">
        <f aca="false">G987*Model!$B$4</f>
        <v>2829.53390673575</v>
      </c>
      <c r="I987" s="0" t="str">
        <f aca="false">IF(E987&lt;Model!$B$5*H987,"Expedite","Standard")</f>
        <v>Expedite</v>
      </c>
      <c r="J987" s="29" t="n">
        <f aca="false">H987</f>
        <v>2829.53390673575</v>
      </c>
      <c r="K987" s="29" t="n">
        <f aca="false">E987+(1-Model!$B$5)*H987</f>
        <v>1448.96</v>
      </c>
      <c r="L987" s="29" t="n">
        <f aca="false">IF(I987="Expedite",K987,J987)</f>
        <v>1448.96</v>
      </c>
      <c r="M987" s="29" t="n">
        <f aca="false">J987-L987</f>
        <v>1380.57390673575</v>
      </c>
      <c r="N987" s="29" t="n">
        <f aca="false">IFERROR(E987/(F987*C987*Model!$B$5),"")</f>
        <v>405.171370617212</v>
      </c>
    </row>
    <row r="988" customFormat="false" ht="15" hidden="false" customHeight="false" outlineLevel="0" collapsed="false">
      <c r="A988" s="0" t="str">
        <f aca="false">Clean!A988</f>
        <v>SHP0987</v>
      </c>
      <c r="B988" s="0" t="str">
        <f aca="false">Clean!AA988</f>
        <v>GATI Logistics</v>
      </c>
      <c r="C988" s="28" t="n">
        <f aca="false">Clean!J988</f>
        <v>12.67</v>
      </c>
      <c r="D988" s="29" t="n">
        <f aca="false">Clean!AF988</f>
        <v>1147.07</v>
      </c>
      <c r="E988" s="29" t="n">
        <f aca="false">Clean!AE988</f>
        <v>1716.72</v>
      </c>
      <c r="F988" s="22" t="n">
        <f aca="false">AVERAGEIFS(Clean!$V$2:$V$1001,Clean!$AA$2:$AA$1001,B988)</f>
        <v>0.751243781094527</v>
      </c>
      <c r="G988" s="29" t="n">
        <f aca="false">F988*C988*D988</f>
        <v>10918.1090144279</v>
      </c>
      <c r="H988" s="29" t="n">
        <f aca="false">G988*Model!$B$4</f>
        <v>10918.1090144279</v>
      </c>
      <c r="I988" s="0" t="str">
        <f aca="false">IF(E988&lt;Model!$B$5*H988,"Expedite","Standard")</f>
        <v>Expedite</v>
      </c>
      <c r="J988" s="29" t="n">
        <f aca="false">H988</f>
        <v>10918.1090144279</v>
      </c>
      <c r="K988" s="29" t="n">
        <f aca="false">E988+(1-Model!$B$5)*H988</f>
        <v>1716.72</v>
      </c>
      <c r="L988" s="29" t="n">
        <f aca="false">IF(I988="Expedite",K988,J988)</f>
        <v>1716.72</v>
      </c>
      <c r="M988" s="29" t="n">
        <f aca="false">J988-L988</f>
        <v>9201.38901442786</v>
      </c>
      <c r="N988" s="29" t="n">
        <f aca="false">IFERROR(E988/(F988*C988*Model!$B$5),"")</f>
        <v>180.3607206887</v>
      </c>
    </row>
    <row r="989" customFormat="false" ht="15" hidden="false" customHeight="false" outlineLevel="0" collapsed="false">
      <c r="A989" s="0" t="str">
        <f aca="false">Clean!A989</f>
        <v>SHP0988</v>
      </c>
      <c r="B989" s="0" t="str">
        <f aca="false">Clean!AA989</f>
        <v>VRL Cargo</v>
      </c>
      <c r="C989" s="28" t="n">
        <f aca="false">Clean!J989</f>
        <v>9.82</v>
      </c>
      <c r="D989" s="29" t="n">
        <f aca="false">Clean!AF989</f>
        <v>1429.02</v>
      </c>
      <c r="E989" s="29" t="n">
        <f aca="false">Clean!AE989</f>
        <v>3227.38</v>
      </c>
      <c r="F989" s="22" t="n">
        <f aca="false">AVERAGEIFS(Clean!$V$2:$V$1001,Clean!$AA$2:$AA$1001,B989)</f>
        <v>0.72020725388601</v>
      </c>
      <c r="G989" s="29" t="n">
        <f aca="false">F989*C989*D989</f>
        <v>10106.6513968912</v>
      </c>
      <c r="H989" s="29" t="n">
        <f aca="false">G989*Model!$B$4</f>
        <v>10106.6513968912</v>
      </c>
      <c r="I989" s="0" t="str">
        <f aca="false">IF(E989&lt;Model!$B$5*H989,"Expedite","Standard")</f>
        <v>Expedite</v>
      </c>
      <c r="J989" s="29" t="n">
        <f aca="false">H989</f>
        <v>10106.6513968912</v>
      </c>
      <c r="K989" s="29" t="n">
        <f aca="false">E989+(1-Model!$B$5)*H989</f>
        <v>3227.38</v>
      </c>
      <c r="L989" s="29" t="n">
        <f aca="false">IF(I989="Expedite",K989,J989)</f>
        <v>3227.38</v>
      </c>
      <c r="M989" s="29" t="n">
        <f aca="false">J989-L989</f>
        <v>6879.27139689119</v>
      </c>
      <c r="N989" s="29" t="n">
        <f aca="false">IFERROR(E989/(F989*C989*Model!$B$5),"")</f>
        <v>456.332209995751</v>
      </c>
    </row>
    <row r="990" customFormat="false" ht="15" hidden="false" customHeight="false" outlineLevel="0" collapsed="false">
      <c r="A990" s="0" t="str">
        <f aca="false">Clean!A990</f>
        <v>SHP0989</v>
      </c>
      <c r="B990" s="0" t="str">
        <f aca="false">Clean!AA990</f>
        <v>BlueDart</v>
      </c>
      <c r="C990" s="28" t="n">
        <f aca="false">Clean!J990</f>
        <v>8.18</v>
      </c>
      <c r="D990" s="29" t="n">
        <f aca="false">Clean!AF990</f>
        <v>1198.22</v>
      </c>
      <c r="E990" s="29" t="n">
        <f aca="false">Clean!AE990</f>
        <v>1303.49</v>
      </c>
      <c r="F990" s="22" t="n">
        <f aca="false">AVERAGEIFS(Clean!$V$2:$V$1001,Clean!$AA$2:$AA$1001,B990)</f>
        <v>0.773869346733668</v>
      </c>
      <c r="G990" s="29" t="n">
        <f aca="false">F990*C990*D990</f>
        <v>7585.03366030151</v>
      </c>
      <c r="H990" s="29" t="n">
        <f aca="false">G990*Model!$B$4</f>
        <v>7585.03366030151</v>
      </c>
      <c r="I990" s="0" t="str">
        <f aca="false">IF(E990&lt;Model!$B$5*H990,"Expedite","Standard")</f>
        <v>Expedite</v>
      </c>
      <c r="J990" s="29" t="n">
        <f aca="false">H990</f>
        <v>7585.03366030151</v>
      </c>
      <c r="K990" s="29" t="n">
        <f aca="false">E990+(1-Model!$B$5)*H990</f>
        <v>1303.49</v>
      </c>
      <c r="L990" s="29" t="n">
        <f aca="false">IF(I990="Expedite",K990,J990)</f>
        <v>1303.49</v>
      </c>
      <c r="M990" s="29" t="n">
        <f aca="false">J990-L990</f>
        <v>6281.54366030151</v>
      </c>
      <c r="N990" s="29" t="n">
        <f aca="false">IFERROR(E990/(F990*C990*Model!$B$5),"")</f>
        <v>205.914417489601</v>
      </c>
    </row>
    <row r="991" customFormat="false" ht="15" hidden="false" customHeight="false" outlineLevel="0" collapsed="false">
      <c r="A991" s="0" t="str">
        <f aca="false">Clean!A991</f>
        <v>SHP0990</v>
      </c>
      <c r="B991" s="0" t="str">
        <f aca="false">Clean!AA991</f>
        <v>VRL Cargo</v>
      </c>
      <c r="C991" s="28" t="n">
        <f aca="false">Clean!J991</f>
        <v>12.85</v>
      </c>
      <c r="D991" s="29" t="n">
        <f aca="false">Clean!AF991</f>
        <v>1466.1</v>
      </c>
      <c r="E991" s="29" t="n">
        <f aca="false">Clean!AE991</f>
        <v>2962.59</v>
      </c>
      <c r="F991" s="22" t="n">
        <f aca="false">AVERAGEIFS(Clean!$V$2:$V$1001,Clean!$AA$2:$AA$1001,B991)</f>
        <v>0.72020725388601</v>
      </c>
      <c r="G991" s="29" t="n">
        <f aca="false">F991*C991*D991</f>
        <v>13568.2617357513</v>
      </c>
      <c r="H991" s="29" t="n">
        <f aca="false">G991*Model!$B$4</f>
        <v>13568.2617357513</v>
      </c>
      <c r="I991" s="0" t="str">
        <f aca="false">IF(E991&lt;Model!$B$5*H991,"Expedite","Standard")</f>
        <v>Expedite</v>
      </c>
      <c r="J991" s="29" t="n">
        <f aca="false">H991</f>
        <v>13568.2617357513</v>
      </c>
      <c r="K991" s="29" t="n">
        <f aca="false">E991+(1-Model!$B$5)*H991</f>
        <v>2962.59</v>
      </c>
      <c r="L991" s="29" t="n">
        <f aca="false">IF(I991="Expedite",K991,J991)</f>
        <v>2962.59</v>
      </c>
      <c r="M991" s="29" t="n">
        <f aca="false">J991-L991</f>
        <v>10605.6717357513</v>
      </c>
      <c r="N991" s="29" t="n">
        <f aca="false">IFERROR(E991/(F991*C991*Model!$B$5),"")</f>
        <v>320.118618257145</v>
      </c>
    </row>
    <row r="992" customFormat="false" ht="15" hidden="false" customHeight="false" outlineLevel="0" collapsed="false">
      <c r="A992" s="0" t="str">
        <f aca="false">Clean!A992</f>
        <v>SHP0991</v>
      </c>
      <c r="B992" s="0" t="str">
        <f aca="false">Clean!AA992</f>
        <v>GATI Logistics</v>
      </c>
      <c r="C992" s="28" t="n">
        <f aca="false">Clean!J992</f>
        <v>16.81</v>
      </c>
      <c r="D992" s="29" t="n">
        <f aca="false">Clean!AF992</f>
        <v>533.79</v>
      </c>
      <c r="E992" s="29" t="n">
        <f aca="false">Clean!AE992</f>
        <v>4097.91</v>
      </c>
      <c r="F992" s="22" t="n">
        <f aca="false">AVERAGEIFS(Clean!$V$2:$V$1001,Clean!$AA$2:$AA$1001,B992)</f>
        <v>0.751243781094527</v>
      </c>
      <c r="G992" s="29" t="n">
        <f aca="false">F992*C992*D992</f>
        <v>6740.91788507463</v>
      </c>
      <c r="H992" s="29" t="n">
        <f aca="false">G992*Model!$B$4</f>
        <v>6740.91788507463</v>
      </c>
      <c r="I992" s="0" t="str">
        <f aca="false">IF(E992&lt;Model!$B$5*H992,"Expedite","Standard")</f>
        <v>Expedite</v>
      </c>
      <c r="J992" s="29" t="n">
        <f aca="false">H992</f>
        <v>6740.91788507463</v>
      </c>
      <c r="K992" s="29" t="n">
        <f aca="false">E992+(1-Model!$B$5)*H992</f>
        <v>4097.91</v>
      </c>
      <c r="L992" s="29" t="n">
        <f aca="false">IF(I992="Expedite",K992,J992)</f>
        <v>4097.91</v>
      </c>
      <c r="M992" s="29" t="n">
        <f aca="false">J992-L992</f>
        <v>2643.00788507463</v>
      </c>
      <c r="N992" s="29" t="n">
        <f aca="false">IFERROR(E992/(F992*C992*Model!$B$5),"")</f>
        <v>324.499336172493</v>
      </c>
    </row>
    <row r="993" customFormat="false" ht="15" hidden="false" customHeight="false" outlineLevel="0" collapsed="false">
      <c r="A993" s="0" t="str">
        <f aca="false">Clean!A993</f>
        <v>SHP0992</v>
      </c>
      <c r="B993" s="0" t="str">
        <f aca="false">Clean!AA993</f>
        <v>TCI Express</v>
      </c>
      <c r="C993" s="28" t="n">
        <f aca="false">Clean!J993</f>
        <v>12.27</v>
      </c>
      <c r="D993" s="29" t="n">
        <f aca="false">Clean!AF993</f>
        <v>916.39</v>
      </c>
      <c r="E993" s="29" t="n">
        <f aca="false">Clean!AE993</f>
        <v>2575.95</v>
      </c>
      <c r="F993" s="22" t="n">
        <f aca="false">AVERAGEIFS(Clean!$V$2:$V$1001,Clean!$AA$2:$AA$1001,B993)</f>
        <v>0.752336448598131</v>
      </c>
      <c r="G993" s="29" t="n">
        <f aca="false">F993*C993*D993</f>
        <v>8459.35024906542</v>
      </c>
      <c r="H993" s="29" t="n">
        <f aca="false">G993*Model!$B$4</f>
        <v>8459.35024906542</v>
      </c>
      <c r="I993" s="0" t="str">
        <f aca="false">IF(E993&lt;Model!$B$5*H993,"Expedite","Standard")</f>
        <v>Expedite</v>
      </c>
      <c r="J993" s="29" t="n">
        <f aca="false">H993</f>
        <v>8459.35024906542</v>
      </c>
      <c r="K993" s="29" t="n">
        <f aca="false">E993+(1-Model!$B$5)*H993</f>
        <v>2575.95</v>
      </c>
      <c r="L993" s="29" t="n">
        <f aca="false">IF(I993="Expedite",K993,J993)</f>
        <v>2575.95</v>
      </c>
      <c r="M993" s="29" t="n">
        <f aca="false">J993-L993</f>
        <v>5883.40024906542</v>
      </c>
      <c r="N993" s="29" t="n">
        <f aca="false">IFERROR(E993/(F993*C993*Model!$B$5),"")</f>
        <v>279.049188294431</v>
      </c>
    </row>
    <row r="994" customFormat="false" ht="15" hidden="false" customHeight="false" outlineLevel="0" collapsed="false">
      <c r="A994" s="0" t="str">
        <f aca="false">Clean!A994</f>
        <v>SHP0993</v>
      </c>
      <c r="B994" s="0" t="str">
        <f aca="false">Clean!AA994</f>
        <v>Delhivery</v>
      </c>
      <c r="C994" s="28" t="n">
        <f aca="false">Clean!J994</f>
        <v>9.57</v>
      </c>
      <c r="D994" s="29" t="n">
        <f aca="false">Clean!AF994</f>
        <v>1286.29</v>
      </c>
      <c r="E994" s="29" t="n">
        <f aca="false">Clean!AE994</f>
        <v>3028.58</v>
      </c>
      <c r="F994" s="22" t="n">
        <f aca="false">AVERAGEIFS(Clean!$V$2:$V$1001,Clean!$AA$2:$AA$1001,B994)</f>
        <v>0.72538860103627</v>
      </c>
      <c r="G994" s="29" t="n">
        <f aca="false">F994*C994*D994</f>
        <v>8929.38519170985</v>
      </c>
      <c r="H994" s="29" t="n">
        <f aca="false">G994*Model!$B$4</f>
        <v>8929.38519170985</v>
      </c>
      <c r="I994" s="0" t="str">
        <f aca="false">IF(E994&lt;Model!$B$5*H994,"Expedite","Standard")</f>
        <v>Expedite</v>
      </c>
      <c r="J994" s="29" t="n">
        <f aca="false">H994</f>
        <v>8929.38519170985</v>
      </c>
      <c r="K994" s="29" t="n">
        <f aca="false">E994+(1-Model!$B$5)*H994</f>
        <v>3028.58</v>
      </c>
      <c r="L994" s="29" t="n">
        <f aca="false">IF(I994="Expedite",K994,J994)</f>
        <v>3028.58</v>
      </c>
      <c r="M994" s="29" t="n">
        <f aca="false">J994-L994</f>
        <v>5900.80519170985</v>
      </c>
      <c r="N994" s="29" t="n">
        <f aca="false">IFERROR(E994/(F994*C994*Model!$B$5),"")</f>
        <v>436.271040453799</v>
      </c>
    </row>
    <row r="995" customFormat="false" ht="15" hidden="false" customHeight="false" outlineLevel="0" collapsed="false">
      <c r="A995" s="0" t="str">
        <f aca="false">Clean!A995</f>
        <v>SHP0994</v>
      </c>
      <c r="B995" s="0" t="str">
        <f aca="false">Clean!AA995</f>
        <v>BlueDart</v>
      </c>
      <c r="C995" s="28" t="n">
        <f aca="false">Clean!J995</f>
        <v>17.75</v>
      </c>
      <c r="D995" s="29" t="n">
        <f aca="false">Clean!AF995</f>
        <v>939.21</v>
      </c>
      <c r="E995" s="29" t="n">
        <f aca="false">Clean!AE995</f>
        <v>1042.77</v>
      </c>
      <c r="F995" s="22" t="n">
        <f aca="false">AVERAGEIFS(Clean!$V$2:$V$1001,Clean!$AA$2:$AA$1001,B995)</f>
        <v>0.773869346733668</v>
      </c>
      <c r="G995" s="29" t="n">
        <f aca="false">F995*C995*D995</f>
        <v>12901.1584673367</v>
      </c>
      <c r="H995" s="29" t="n">
        <f aca="false">G995*Model!$B$4</f>
        <v>12901.1584673367</v>
      </c>
      <c r="I995" s="0" t="str">
        <f aca="false">IF(E995&lt;Model!$B$5*H995,"Expedite","Standard")</f>
        <v>Expedite</v>
      </c>
      <c r="J995" s="29" t="n">
        <f aca="false">H995</f>
        <v>12901.1584673367</v>
      </c>
      <c r="K995" s="29" t="n">
        <f aca="false">E995+(1-Model!$B$5)*H995</f>
        <v>1042.77</v>
      </c>
      <c r="L995" s="29" t="n">
        <f aca="false">IF(I995="Expedite",K995,J995)</f>
        <v>1042.77</v>
      </c>
      <c r="M995" s="29" t="n">
        <f aca="false">J995-L995</f>
        <v>11858.3884673367</v>
      </c>
      <c r="N995" s="29" t="n">
        <f aca="false">IFERROR(E995/(F995*C995*Model!$B$5),"")</f>
        <v>75.9141137735504</v>
      </c>
    </row>
    <row r="996" customFormat="false" ht="15" hidden="false" customHeight="false" outlineLevel="0" collapsed="false">
      <c r="A996" s="0" t="str">
        <f aca="false">Clean!A996</f>
        <v>SHP0995</v>
      </c>
      <c r="B996" s="0" t="str">
        <f aca="false">Clean!AA996</f>
        <v>VRL Cargo</v>
      </c>
      <c r="C996" s="28" t="n">
        <f aca="false">Clean!J996</f>
        <v>17.02</v>
      </c>
      <c r="D996" s="29" t="n">
        <f aca="false">Clean!AF996</f>
        <v>656.65</v>
      </c>
      <c r="E996" s="29" t="n">
        <f aca="false">Clean!AE996</f>
        <v>2009.08</v>
      </c>
      <c r="F996" s="22" t="n">
        <f aca="false">AVERAGEIFS(Clean!$V$2:$V$1001,Clean!$AA$2:$AA$1001,B996)</f>
        <v>0.72020725388601</v>
      </c>
      <c r="G996" s="29" t="n">
        <f aca="false">F996*C996*D996</f>
        <v>8049.16806735751</v>
      </c>
      <c r="H996" s="29" t="n">
        <f aca="false">G996*Model!$B$4</f>
        <v>8049.16806735751</v>
      </c>
      <c r="I996" s="0" t="str">
        <f aca="false">IF(E996&lt;Model!$B$5*H996,"Expedite","Standard")</f>
        <v>Expedite</v>
      </c>
      <c r="J996" s="29" t="n">
        <f aca="false">H996</f>
        <v>8049.16806735751</v>
      </c>
      <c r="K996" s="29" t="n">
        <f aca="false">E996+(1-Model!$B$5)*H996</f>
        <v>2009.08</v>
      </c>
      <c r="L996" s="29" t="n">
        <f aca="false">IF(I996="Expedite",K996,J996)</f>
        <v>2009.08</v>
      </c>
      <c r="M996" s="29" t="n">
        <f aca="false">J996-L996</f>
        <v>6040.08806735751</v>
      </c>
      <c r="N996" s="29" t="n">
        <f aca="false">IFERROR(E996/(F996*C996*Model!$B$5),"")</f>
        <v>163.900464117543</v>
      </c>
    </row>
    <row r="997" customFormat="false" ht="15" hidden="false" customHeight="false" outlineLevel="0" collapsed="false">
      <c r="A997" s="0" t="str">
        <f aca="false">Clean!A997</f>
        <v>SHP0996</v>
      </c>
      <c r="B997" s="0" t="str">
        <f aca="false">Clean!AA997</f>
        <v>Delhivery</v>
      </c>
      <c r="C997" s="28" t="n">
        <f aca="false">Clean!J997</f>
        <v>19.11</v>
      </c>
      <c r="D997" s="29" t="n">
        <f aca="false">Clean!AF997</f>
        <v>1010.74</v>
      </c>
      <c r="E997" s="29" t="n">
        <f aca="false">Clean!AE997</f>
        <v>1274.01</v>
      </c>
      <c r="F997" s="22" t="n">
        <f aca="false">AVERAGEIFS(Clean!$V$2:$V$1001,Clean!$AA$2:$AA$1001,B997)</f>
        <v>0.72538860103627</v>
      </c>
      <c r="G997" s="29" t="n">
        <f aca="false">F997*C997*D997</f>
        <v>14011.0559378238</v>
      </c>
      <c r="H997" s="29" t="n">
        <f aca="false">G997*Model!$B$4</f>
        <v>14011.0559378238</v>
      </c>
      <c r="I997" s="0" t="str">
        <f aca="false">IF(E997&lt;Model!$B$5*H997,"Expedite","Standard")</f>
        <v>Expedite</v>
      </c>
      <c r="J997" s="29" t="n">
        <f aca="false">H997</f>
        <v>14011.0559378238</v>
      </c>
      <c r="K997" s="29" t="n">
        <f aca="false">E997+(1-Model!$B$5)*H997</f>
        <v>1274.01</v>
      </c>
      <c r="L997" s="29" t="n">
        <f aca="false">IF(I997="Expedite",K997,J997)</f>
        <v>1274.01</v>
      </c>
      <c r="M997" s="29" t="n">
        <f aca="false">J997-L997</f>
        <v>12737.0459378238</v>
      </c>
      <c r="N997" s="29" t="n">
        <f aca="false">IFERROR(E997/(F997*C997*Model!$B$5),"")</f>
        <v>91.905483292218</v>
      </c>
    </row>
    <row r="998" customFormat="false" ht="15" hidden="false" customHeight="false" outlineLevel="0" collapsed="false">
      <c r="A998" s="0" t="str">
        <f aca="false">Clean!A998</f>
        <v>SHP0997</v>
      </c>
      <c r="B998" s="0" t="str">
        <f aca="false">Clean!AA998</f>
        <v>BlueDart</v>
      </c>
      <c r="C998" s="28" t="n">
        <f aca="false">Clean!J998</f>
        <v>9.65</v>
      </c>
      <c r="D998" s="29" t="n">
        <f aca="false">Clean!AF998</f>
        <v>564.41</v>
      </c>
      <c r="E998" s="29" t="n">
        <f aca="false">Clean!AE998</f>
        <v>4659.01</v>
      </c>
      <c r="F998" s="22" t="n">
        <f aca="false">AVERAGEIFS(Clean!$V$2:$V$1001,Clean!$AA$2:$AA$1001,B998)</f>
        <v>0.773869346733668</v>
      </c>
      <c r="G998" s="29" t="n">
        <f aca="false">F998*C998*D998</f>
        <v>4214.92312060301</v>
      </c>
      <c r="H998" s="29" t="n">
        <f aca="false">G998*Model!$B$4</f>
        <v>4214.92312060301</v>
      </c>
      <c r="I998" s="0" t="str">
        <f aca="false">IF(E998&lt;Model!$B$5*H998,"Expedite","Standard")</f>
        <v>Standard</v>
      </c>
      <c r="J998" s="29" t="n">
        <f aca="false">H998</f>
        <v>4214.92312060301</v>
      </c>
      <c r="K998" s="29" t="n">
        <f aca="false">E998+(1-Model!$B$5)*H998</f>
        <v>4659.01</v>
      </c>
      <c r="L998" s="29" t="n">
        <f aca="false">IF(I998="Expedite",K998,J998)</f>
        <v>4214.92312060301</v>
      </c>
      <c r="M998" s="29" t="n">
        <f aca="false">J998-L998</f>
        <v>0</v>
      </c>
      <c r="N998" s="29" t="n">
        <f aca="false">IFERROR(E998/(F998*C998*Model!$B$5),"")</f>
        <v>623.87658300249</v>
      </c>
    </row>
    <row r="999" customFormat="false" ht="15" hidden="false" customHeight="false" outlineLevel="0" collapsed="false">
      <c r="A999" s="0" t="str">
        <f aca="false">Clean!A999</f>
        <v>SHP0998</v>
      </c>
      <c r="B999" s="0" t="str">
        <f aca="false">Clean!AA999</f>
        <v>BlueDart</v>
      </c>
      <c r="C999" s="28" t="n">
        <f aca="false">Clean!J999</f>
        <v>2.05</v>
      </c>
      <c r="D999" s="29" t="n">
        <f aca="false">Clean!AF999</f>
        <v>858.29</v>
      </c>
      <c r="E999" s="29" t="n">
        <f aca="false">Clean!AE999</f>
        <v>2960.89</v>
      </c>
      <c r="F999" s="22" t="n">
        <f aca="false">AVERAGEIFS(Clean!$V$2:$V$1001,Clean!$AA$2:$AA$1001,B999)</f>
        <v>0.773869346733668</v>
      </c>
      <c r="G999" s="29" t="n">
        <f aca="false">F999*C999*D999</f>
        <v>1361.61885929648</v>
      </c>
      <c r="H999" s="29" t="n">
        <f aca="false">G999*Model!$B$4</f>
        <v>1361.61885929648</v>
      </c>
      <c r="I999" s="0" t="str">
        <f aca="false">IF(E999&lt;Model!$B$5*H999,"Expedite","Standard")</f>
        <v>Standard</v>
      </c>
      <c r="J999" s="29" t="n">
        <f aca="false">H999</f>
        <v>1361.61885929648</v>
      </c>
      <c r="K999" s="29" t="n">
        <f aca="false">E999+(1-Model!$B$5)*H999</f>
        <v>2960.89</v>
      </c>
      <c r="L999" s="29" t="n">
        <f aca="false">IF(I999="Expedite",K999,J999)</f>
        <v>1361.61885929648</v>
      </c>
      <c r="M999" s="29" t="n">
        <f aca="false">J999-L999</f>
        <v>0</v>
      </c>
      <c r="N999" s="29" t="n">
        <f aca="false">IFERROR(E999/(F999*C999*Model!$B$5),"")</f>
        <v>1866.38299018055</v>
      </c>
    </row>
    <row r="1000" customFormat="false" ht="15" hidden="false" customHeight="false" outlineLevel="0" collapsed="false">
      <c r="A1000" s="0" t="str">
        <f aca="false">Clean!A1000</f>
        <v>SHP0999</v>
      </c>
      <c r="B1000" s="0" t="str">
        <f aca="false">Clean!AA1000</f>
        <v>TCI Express</v>
      </c>
      <c r="C1000" s="28" t="n">
        <f aca="false">Clean!J1000</f>
        <v>16.73</v>
      </c>
      <c r="D1000" s="29" t="n">
        <f aca="false">Clean!AF1000</f>
        <v>1360.25</v>
      </c>
      <c r="E1000" s="29" t="n">
        <f aca="false">Clean!AE1000</f>
        <v>4930.75</v>
      </c>
      <c r="F1000" s="22" t="n">
        <f aca="false">AVERAGEIFS(Clean!$V$2:$V$1001,Clean!$AA$2:$AA$1001,B1000)</f>
        <v>0.752336448598131</v>
      </c>
      <c r="G1000" s="29" t="n">
        <f aca="false">F1000*C1000*D1000</f>
        <v>17120.9073948598</v>
      </c>
      <c r="H1000" s="29" t="n">
        <f aca="false">G1000*Model!$B$4</f>
        <v>17120.9073948598</v>
      </c>
      <c r="I1000" s="0" t="str">
        <f aca="false">IF(E1000&lt;Model!$B$5*H1000,"Expedite","Standard")</f>
        <v>Expedite</v>
      </c>
      <c r="J1000" s="29" t="n">
        <f aca="false">H1000</f>
        <v>17120.9073948598</v>
      </c>
      <c r="K1000" s="29" t="n">
        <f aca="false">E1000+(1-Model!$B$5)*H1000</f>
        <v>4930.75</v>
      </c>
      <c r="L1000" s="29" t="n">
        <f aca="false">IF(I1000="Expedite",K1000,J1000)</f>
        <v>4930.75</v>
      </c>
      <c r="M1000" s="29" t="n">
        <f aca="false">J1000-L1000</f>
        <v>12190.1573948598</v>
      </c>
      <c r="N1000" s="29" t="n">
        <f aca="false">IFERROR(E1000/(F1000*C1000*Model!$B$5),"")</f>
        <v>391.746332879159</v>
      </c>
    </row>
    <row r="1001" customFormat="false" ht="15" hidden="false" customHeight="false" outlineLevel="0" collapsed="false">
      <c r="A1001" s="0" t="str">
        <f aca="false">Clean!A1001</f>
        <v>SHP1000</v>
      </c>
      <c r="B1001" s="0" t="str">
        <f aca="false">Clean!AA1001</f>
        <v>TCI Express</v>
      </c>
      <c r="C1001" s="28" t="n">
        <f aca="false">Clean!J1001</f>
        <v>14.07</v>
      </c>
      <c r="D1001" s="29" t="n">
        <f aca="false">Clean!AF1001</f>
        <v>887.07</v>
      </c>
      <c r="E1001" s="29" t="n">
        <f aca="false">Clean!AE1001</f>
        <v>4671.39</v>
      </c>
      <c r="F1001" s="22" t="n">
        <f aca="false">AVERAGEIFS(Clean!$V$2:$V$1001,Clean!$AA$2:$AA$1001,B1001)</f>
        <v>0.752336448598131</v>
      </c>
      <c r="G1001" s="29" t="n">
        <f aca="false">F1001*C1001*D1001</f>
        <v>9389.96756495327</v>
      </c>
      <c r="H1001" s="29" t="n">
        <f aca="false">G1001*Model!$B$4</f>
        <v>9389.96756495327</v>
      </c>
      <c r="I1001" s="0" t="str">
        <f aca="false">IF(E1001&lt;Model!$B$5*H1001,"Expedite","Standard")</f>
        <v>Expedite</v>
      </c>
      <c r="J1001" s="29" t="n">
        <f aca="false">H1001</f>
        <v>9389.96756495327</v>
      </c>
      <c r="K1001" s="29" t="n">
        <f aca="false">E1001+(1-Model!$B$5)*H1001</f>
        <v>4671.39</v>
      </c>
      <c r="L1001" s="29" t="n">
        <f aca="false">IF(I1001="Expedite",K1001,J1001)</f>
        <v>4671.39</v>
      </c>
      <c r="M1001" s="29" t="n">
        <f aca="false">J1001-L1001</f>
        <v>4718.57756495327</v>
      </c>
      <c r="N1001" s="29" t="n">
        <f aca="false">IFERROR(E1001/(F1001*C1001*Model!$B$5),"")</f>
        <v>441.306095962071</v>
      </c>
    </row>
  </sheetData>
  <autoFilter ref="A1:N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0"/>
    <col collapsed="false" customWidth="true" hidden="false" outlineLevel="0" max="4" min="4" style="0" width="9"/>
    <col collapsed="false" customWidth="true" hidden="false" outlineLevel="0" max="5" min="5" style="0" width="48"/>
  </cols>
  <sheetData>
    <row r="1" customFormat="false" ht="19.7" hidden="false" customHeight="false" outlineLevel="0" collapsed="false">
      <c r="A1" s="15" t="s">
        <v>139</v>
      </c>
    </row>
    <row r="2" customFormat="false" ht="15" hidden="false" customHeight="false" outlineLevel="0" collapsed="false">
      <c r="A2" s="2" t="s">
        <v>140</v>
      </c>
    </row>
    <row r="4" customFormat="false" ht="15" hidden="false" customHeight="false" outlineLevel="0" collapsed="false">
      <c r="A4" s="9" t="s">
        <v>141</v>
      </c>
      <c r="B4" s="9" t="s">
        <v>142</v>
      </c>
      <c r="C4" s="9" t="s">
        <v>143</v>
      </c>
      <c r="D4" s="9" t="s">
        <v>144</v>
      </c>
      <c r="E4" s="9" t="s">
        <v>145</v>
      </c>
    </row>
    <row r="5" customFormat="false" ht="15" hidden="false" customHeight="false" outlineLevel="0" collapsed="false">
      <c r="A5" s="12" t="s">
        <v>146</v>
      </c>
      <c r="B5" s="12" t="n">
        <f aca="false">COUNTA(Raw!$A$2:$A$1001)</f>
        <v>1000</v>
      </c>
      <c r="C5" s="12" t="n">
        <v>1000</v>
      </c>
      <c r="D5" s="11" t="str">
        <f aca="false">IF(B5=C5,"PASS","CHECK")</f>
        <v>PASS</v>
      </c>
      <c r="E5" s="12" t="s">
        <v>147</v>
      </c>
    </row>
    <row r="6" customFormat="false" ht="15" hidden="false" customHeight="false" outlineLevel="0" collapsed="false">
      <c r="A6" s="12" t="s">
        <v>148</v>
      </c>
      <c r="B6" s="12" t="n">
        <f aca="false">COUNTBLANK(Raw!$A$2:$S$1001)</f>
        <v>0</v>
      </c>
      <c r="C6" s="12" t="n">
        <v>0</v>
      </c>
      <c r="D6" s="11" t="str">
        <f aca="false">IF(B6=C6,"PASS","CHECK")</f>
        <v>PASS</v>
      </c>
      <c r="E6" s="12" t="s">
        <v>149</v>
      </c>
    </row>
    <row r="7" customFormat="false" ht="15" hidden="false" customHeight="false" outlineLevel="0" collapsed="false">
      <c r="A7" s="12" t="s">
        <v>150</v>
      </c>
      <c r="B7" s="12" t="n">
        <f aca="false">SUMPRODUCT(--(COUNTIF(Raw!$A$2:$A$1001,Raw!$A$2:$A$1001)&gt;1))</f>
        <v>0</v>
      </c>
      <c r="C7" s="12" t="n">
        <v>0</v>
      </c>
      <c r="D7" s="11" t="str">
        <f aca="false">IF(B7=C7,"PASS","CHECK")</f>
        <v>PASS</v>
      </c>
      <c r="E7" s="12" t="s">
        <v>151</v>
      </c>
    </row>
    <row r="8" customFormat="false" ht="15" hidden="false" customHeight="false" outlineLevel="0" collapsed="false">
      <c r="A8" s="12" t="s">
        <v>152</v>
      </c>
      <c r="B8" s="12" t="n">
        <f aca="false">COUNTIF(Clean!$E$2:$H$1001,"UNMAPPED")</f>
        <v>0</v>
      </c>
      <c r="C8" s="12" t="n">
        <v>0</v>
      </c>
      <c r="D8" s="11" t="str">
        <f aca="false">IF(B8=C8,"PASS","CHECK")</f>
        <v>PASS</v>
      </c>
      <c r="E8" s="12" t="s">
        <v>153</v>
      </c>
    </row>
    <row r="9" customFormat="false" ht="15" hidden="false" customHeight="false" outlineLevel="0" collapsed="false">
      <c r="A9" s="12" t="s">
        <v>154</v>
      </c>
      <c r="B9" s="12" t="n">
        <f aca="false">COUNTIF(Clean!$U$2:$U$1001,"MISMATCH")</f>
        <v>0</v>
      </c>
      <c r="C9" s="12" t="n">
        <v>0</v>
      </c>
      <c r="D9" s="11" t="str">
        <f aca="false">IF(B9=C9,"PASS","CHECK")</f>
        <v>PASS</v>
      </c>
      <c r="E9" s="12" t="s">
        <v>155</v>
      </c>
    </row>
    <row r="10" customFormat="false" ht="15" hidden="false" customHeight="false" outlineLevel="0" collapsed="false">
      <c r="A10" s="12" t="s">
        <v>156</v>
      </c>
      <c r="B10" s="12" t="n">
        <f aca="false">COUNTIF(Clean!$W$2:$W$1001,"MISMATCH")</f>
        <v>0</v>
      </c>
      <c r="C10" s="12" t="n">
        <v>0</v>
      </c>
      <c r="D10" s="11" t="str">
        <f aca="false">IF(B10=C10,"PASS","CHECK")</f>
        <v>PASS</v>
      </c>
      <c r="E10" s="12" t="s">
        <v>157</v>
      </c>
    </row>
    <row r="11" customFormat="false" ht="15" hidden="false" customHeight="false" outlineLevel="0" collapsed="false">
      <c r="A11" s="12" t="s">
        <v>158</v>
      </c>
      <c r="B11" s="12" t="n">
        <f aca="false">SUMPRODUCT(--(Clean!$O$2:$O$1001&lt;Clean!$N$2:$N$1001))</f>
        <v>0</v>
      </c>
      <c r="C11" s="12" t="n">
        <v>0</v>
      </c>
      <c r="D11" s="11" t="str">
        <f aca="false">IF(B11=C11,"PASS","CHECK")</f>
        <v>PASS</v>
      </c>
      <c r="E11" s="12" t="s">
        <v>159</v>
      </c>
    </row>
    <row r="12" customFormat="false" ht="15" hidden="false" customHeight="false" outlineLevel="0" collapsed="false">
      <c r="A12" s="12" t="s">
        <v>160</v>
      </c>
      <c r="B12" s="12" t="n">
        <f aca="false">SUMPRODUCT(--(Clean!$L$2:$L$1001&lt;Clean!$K$2:$K$1001))</f>
        <v>0</v>
      </c>
      <c r="C12" s="12" t="n">
        <v>0</v>
      </c>
      <c r="D12" s="11" t="str">
        <f aca="false">IF(B12=C12,"PASS","CHECK")</f>
        <v>PASS</v>
      </c>
      <c r="E12" s="12" t="s">
        <v>161</v>
      </c>
    </row>
    <row r="13" customFormat="false" ht="15" hidden="false" customHeight="false" outlineLevel="0" collapsed="false">
      <c r="A13" s="12" t="s">
        <v>162</v>
      </c>
      <c r="B13" s="12" t="n">
        <f aca="false">COUNTIF(Clean!$S$2:$S$1001,"&lt;0")</f>
        <v>244</v>
      </c>
      <c r="C13" s="12" t="s">
        <v>163</v>
      </c>
      <c r="D13" s="11" t="s">
        <v>164</v>
      </c>
      <c r="E13" s="12" t="s">
        <v>165</v>
      </c>
    </row>
  </sheetData>
  <conditionalFormatting sqref="D5:D13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5" min="4" style="0" width="15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0"/>
    <col collapsed="false" customWidth="true" hidden="false" outlineLevel="0" max="13" min="11" style="0" width="13"/>
    <col collapsed="false" customWidth="true" hidden="false" outlineLevel="0" max="15" min="14" style="0" width="17"/>
    <col collapsed="false" customWidth="true" hidden="false" outlineLevel="0" max="19" min="16" style="0" width="10"/>
    <col collapsed="false" customWidth="true" hidden="false" outlineLevel="0" max="21" min="20" style="0" width="11"/>
    <col collapsed="false" customWidth="true" hidden="false" outlineLevel="0" max="22" min="22" style="0" width="9"/>
    <col collapsed="false" customWidth="true" hidden="false" outlineLevel="0" max="23" min="23" style="0" width="10"/>
    <col collapsed="false" customWidth="true" hidden="false" outlineLevel="0" max="24" min="24" style="0" width="20"/>
    <col collapsed="false" customWidth="true" hidden="false" outlineLevel="0" max="25" min="25" style="0" width="11"/>
    <col collapsed="false" customWidth="true" hidden="false" outlineLevel="0" max="26" min="26" style="0" width="24"/>
    <col collapsed="false" customWidth="true" hidden="false" outlineLevel="0" max="27" min="27" style="0" width="14"/>
    <col collapsed="false" customWidth="true" hidden="false" outlineLevel="0" max="28" min="28" style="0" width="11"/>
    <col collapsed="false" customWidth="true" hidden="false" outlineLevel="0" max="29" min="29" style="0" width="17"/>
    <col collapsed="false" customWidth="true" hidden="false" outlineLevel="0" max="33" min="30" style="0" width="11"/>
  </cols>
  <sheetData>
    <row r="1" customFormat="false" ht="31.5" hidden="false" customHeight="true" outlineLevel="0" collapsed="false">
      <c r="A1" s="9" t="s">
        <v>125</v>
      </c>
      <c r="B1" s="9" t="s">
        <v>166</v>
      </c>
      <c r="C1" s="9" t="s">
        <v>167</v>
      </c>
      <c r="D1" s="9" t="s">
        <v>168</v>
      </c>
      <c r="E1" s="9" t="s">
        <v>169</v>
      </c>
      <c r="F1" s="9" t="s">
        <v>170</v>
      </c>
      <c r="G1" s="9" t="s">
        <v>171</v>
      </c>
      <c r="H1" s="9" t="s">
        <v>172</v>
      </c>
      <c r="I1" s="9" t="s">
        <v>173</v>
      </c>
      <c r="J1" s="9" t="s">
        <v>127</v>
      </c>
      <c r="K1" s="9" t="s">
        <v>174</v>
      </c>
      <c r="L1" s="9" t="s">
        <v>175</v>
      </c>
      <c r="M1" s="9" t="s">
        <v>176</v>
      </c>
      <c r="N1" s="9" t="s">
        <v>177</v>
      </c>
      <c r="O1" s="9" t="s">
        <v>178</v>
      </c>
      <c r="P1" s="9" t="s">
        <v>179</v>
      </c>
      <c r="Q1" s="9" t="s">
        <v>180</v>
      </c>
      <c r="R1" s="9" t="s">
        <v>181</v>
      </c>
      <c r="S1" s="9" t="s">
        <v>182</v>
      </c>
      <c r="T1" s="9" t="s">
        <v>183</v>
      </c>
      <c r="U1" s="9" t="s">
        <v>184</v>
      </c>
      <c r="V1" s="9" t="s">
        <v>185</v>
      </c>
      <c r="W1" s="9" t="s">
        <v>186</v>
      </c>
      <c r="X1" s="9" t="s">
        <v>187</v>
      </c>
      <c r="Y1" s="9" t="s">
        <v>188</v>
      </c>
      <c r="Z1" s="9" t="s">
        <v>189</v>
      </c>
      <c r="AA1" s="9" t="s">
        <v>126</v>
      </c>
      <c r="AB1" s="9" t="s">
        <v>190</v>
      </c>
      <c r="AC1" s="9" t="s">
        <v>191</v>
      </c>
      <c r="AD1" s="9" t="s">
        <v>192</v>
      </c>
      <c r="AE1" s="9" t="s">
        <v>129</v>
      </c>
      <c r="AF1" s="9" t="s">
        <v>128</v>
      </c>
      <c r="AG1" s="9" t="s">
        <v>193</v>
      </c>
    </row>
    <row r="2" customFormat="false" ht="15" hidden="false" customHeight="false" outlineLevel="0" collapsed="false">
      <c r="A2" s="0" t="str">
        <f aca="false">Raw!A2</f>
        <v>SHP0001</v>
      </c>
      <c r="B2" s="0" t="str">
        <f aca="false">Raw!B2</f>
        <v>Outbound</v>
      </c>
      <c r="C2" s="0" t="str">
        <f aca="false">Raw!C2</f>
        <v>Surat</v>
      </c>
      <c r="D2" s="0" t="str">
        <f aca="false">Raw!D2</f>
        <v>Mumbai</v>
      </c>
      <c r="E2" s="0" t="str">
        <f aca="false">IFERROR(INDEX(Location_Map!$B$2:$B$15,MATCH(C2,Location_Map!$A$2:$A$15,0)),"UNMAPPED")</f>
        <v>Gujarat</v>
      </c>
      <c r="F2" s="0" t="str">
        <f aca="false">IFERROR(INDEX(Location_Map!$C$2:$C$15,MATCH(C2,Location_Map!$A$2:$A$15,0)),"UNMAPPED")</f>
        <v>West</v>
      </c>
      <c r="G2" s="0" t="str">
        <f aca="false">IFERROR(INDEX(Location_Map!$B$2:$B$15,MATCH(D2,Location_Map!$A$2:$A$15,0)),"UNMAPPED")</f>
        <v>Maharashtra</v>
      </c>
      <c r="H2" s="0" t="str">
        <f aca="false">IFERROR(INDEX(Location_Map!$C$2:$C$15,MATCH(D2,Location_Map!$A$2:$A$15,0)),"UNMAPPED")</f>
        <v>West</v>
      </c>
      <c r="I2" s="0" t="str">
        <f aca="false">Raw!E2</f>
        <v>Finished Yarn</v>
      </c>
      <c r="J2" s="28" t="n">
        <f aca="false">Raw!F2</f>
        <v>8.12</v>
      </c>
      <c r="K2" s="30" t="n">
        <f aca="false">DATE(LEFT(Raw!G2,4),MID(Raw!G2,6,2),MID(Raw!G2,9,2))</f>
        <v>45943</v>
      </c>
      <c r="L2" s="30" t="n">
        <f aca="false">DATE(LEFT(Raw!H2,4),MID(Raw!H2,6,2),MID(Raw!H2,9,2))</f>
        <v>45946</v>
      </c>
      <c r="M2" s="30" t="n">
        <f aca="false">DATE(LEFT(Raw!I2,4),MID(Raw!I2,6,2),MID(Raw!I2,9,2))</f>
        <v>45952</v>
      </c>
      <c r="N2" s="31" t="n">
        <f aca="false">DATE(LEFT(Raw!J2,4),MID(Raw!J2,6,2),MID(Raw!J2,9,2))+TIME(MID(Raw!J2,12,2),MID(Raw!J2,15,2),MID(Raw!J2,18,2))</f>
        <v>45946.0416666667</v>
      </c>
      <c r="O2" s="31" t="n">
        <f aca="false">DATE(LEFT(Raw!K2,4),MID(Raw!K2,6,2),MID(Raw!K2,9,2))+TIME(MID(Raw!K2,12,2),MID(Raw!K2,15,2),MID(Raw!K2,18,2))</f>
        <v>45951</v>
      </c>
      <c r="P2" s="32" t="n">
        <f aca="false">L2-K2</f>
        <v>3</v>
      </c>
      <c r="Q2" s="32" t="n">
        <f aca="false">M2-L2</f>
        <v>6</v>
      </c>
      <c r="R2" s="32" t="n">
        <f aca="false">O2-N2</f>
        <v>4.95833333333333</v>
      </c>
      <c r="S2" s="32" t="n">
        <f aca="false">Raw!L2</f>
        <v>-1</v>
      </c>
      <c r="T2" s="32" t="n">
        <f aca="false">O2-M2</f>
        <v>-1</v>
      </c>
      <c r="U2" s="0" t="str">
        <f aca="false">IF(ABS(T2-S2)&lt;0.01,"OK","MISMATCH")</f>
        <v>OK</v>
      </c>
      <c r="V2" s="33" t="n">
        <f aca="false">Raw!M2</f>
        <v>0</v>
      </c>
      <c r="W2" s="0" t="str">
        <f aca="false">IF((S2&gt;0)=(V2=1),"OK","MISMATCH")</f>
        <v>OK</v>
      </c>
      <c r="X2" s="0" t="str">
        <f aca="false">_xlfn.IFS(S2&lt;=0,"Early/On time",S2&lt;=2,"Minor (up to 2 days)",S2&lt;=5,"Moderate (2-5 days)",TRUE(),"Severe (over 5 days)")</f>
        <v>Early/On time</v>
      </c>
      <c r="Y2" s="0" t="str">
        <f aca="false">YEAR(K2)&amp;"-"&amp;TEXT(MONTH(K2),"00")</f>
        <v>2025-10</v>
      </c>
      <c r="Z2" s="0" t="str">
        <f aca="false">C2&amp;" → "&amp;D2</f>
        <v>Surat → Mumbai</v>
      </c>
      <c r="AA2" s="0" t="str">
        <f aca="false">Raw!Q2</f>
        <v>BlueDart</v>
      </c>
      <c r="AB2" s="0" t="str">
        <f aca="false">Raw!R2</f>
        <v>Yes</v>
      </c>
      <c r="AC2" s="0" t="str">
        <f aca="false">Raw!S2</f>
        <v>Expedited</v>
      </c>
      <c r="AD2" s="29" t="n">
        <f aca="false">Raw!N2</f>
        <v>3889.18</v>
      </c>
      <c r="AE2" s="29" t="n">
        <f aca="false">Raw!O2</f>
        <v>3404.46</v>
      </c>
      <c r="AF2" s="29" t="n">
        <f aca="false">Raw!P2</f>
        <v>1208.07</v>
      </c>
      <c r="AG2" s="29" t="n">
        <f aca="false">AD2/J2</f>
        <v>478.963054187192</v>
      </c>
    </row>
    <row r="3" customFormat="false" ht="15" hidden="false" customHeight="false" outlineLevel="0" collapsed="false">
      <c r="A3" s="0" t="str">
        <f aca="false">Raw!A3</f>
        <v>SHP0002</v>
      </c>
      <c r="B3" s="0" t="str">
        <f aca="false">Raw!B3</f>
        <v>Inbound</v>
      </c>
      <c r="C3" s="0" t="str">
        <f aca="false">Raw!C3</f>
        <v>Gujarat</v>
      </c>
      <c r="D3" s="0" t="str">
        <f aca="false">Raw!D3</f>
        <v>Surat</v>
      </c>
      <c r="E3" s="0" t="str">
        <f aca="false">IFERROR(INDEX(Location_Map!$B$2:$B$15,MATCH(C3,Location_Map!$A$2:$A$15,0)),"UNMAPPED")</f>
        <v>Gujarat</v>
      </c>
      <c r="F3" s="0" t="str">
        <f aca="false">IFERROR(INDEX(Location_Map!$C$2:$C$15,MATCH(C3,Location_Map!$A$2:$A$15,0)),"UNMAPPED")</f>
        <v>West</v>
      </c>
      <c r="G3" s="0" t="str">
        <f aca="false">IFERROR(INDEX(Location_Map!$B$2:$B$15,MATCH(D3,Location_Map!$A$2:$A$15,0)),"UNMAPPED")</f>
        <v>Gujarat</v>
      </c>
      <c r="H3" s="0" t="str">
        <f aca="false">IFERROR(INDEX(Location_Map!$C$2:$C$15,MATCH(D3,Location_Map!$A$2:$A$15,0)),"UNMAPPED")</f>
        <v>West</v>
      </c>
      <c r="I3" s="0" t="str">
        <f aca="false">Raw!E3</f>
        <v>Finished Yarn</v>
      </c>
      <c r="J3" s="28" t="n">
        <f aca="false">Raw!F3</f>
        <v>1.39</v>
      </c>
      <c r="K3" s="30" t="n">
        <f aca="false">DATE(LEFT(Raw!G3,4),MID(Raw!G3,6,2),MID(Raw!G3,9,2))</f>
        <v>45948</v>
      </c>
      <c r="L3" s="30" t="n">
        <f aca="false">DATE(LEFT(Raw!H3,4),MID(Raw!H3,6,2),MID(Raw!H3,9,2))</f>
        <v>45952</v>
      </c>
      <c r="M3" s="30" t="n">
        <f aca="false">DATE(LEFT(Raw!I3,4),MID(Raw!I3,6,2),MID(Raw!I3,9,2))</f>
        <v>45955</v>
      </c>
      <c r="N3" s="31" t="n">
        <f aca="false">DATE(LEFT(Raw!J3,4),MID(Raw!J3,6,2),MID(Raw!J3,9,2))+TIME(MID(Raw!J3,12,2),MID(Raw!J3,15,2),MID(Raw!J3,18,2))</f>
        <v>45952.25</v>
      </c>
      <c r="O3" s="31" t="n">
        <f aca="false">DATE(LEFT(Raw!K3,4),MID(Raw!K3,6,2),MID(Raw!K3,9,2))+TIME(MID(Raw!K3,12,2),MID(Raw!K3,15,2),MID(Raw!K3,18,2))</f>
        <v>45963.4</v>
      </c>
      <c r="P3" s="32" t="n">
        <f aca="false">L3-K3</f>
        <v>4</v>
      </c>
      <c r="Q3" s="32" t="n">
        <f aca="false">M3-L3</f>
        <v>3</v>
      </c>
      <c r="R3" s="32" t="n">
        <f aca="false">O3-N3</f>
        <v>11.15</v>
      </c>
      <c r="S3" s="32" t="n">
        <f aca="false">Raw!L3</f>
        <v>8.4</v>
      </c>
      <c r="T3" s="32" t="n">
        <f aca="false">O3-M3</f>
        <v>8.4</v>
      </c>
      <c r="U3" s="0" t="str">
        <f aca="false">IF(ABS(T3-S3)&lt;0.01,"OK","MISMATCH")</f>
        <v>OK</v>
      </c>
      <c r="V3" s="33" t="n">
        <f aca="false">Raw!M3</f>
        <v>1</v>
      </c>
      <c r="W3" s="0" t="str">
        <f aca="false">IF((S3&gt;0)=(V3=1),"OK","MISMATCH")</f>
        <v>OK</v>
      </c>
      <c r="X3" s="0" t="str">
        <f aca="false">_xlfn.IFS(S3&lt;=0,"Early/On time",S3&lt;=2,"Minor (up to 2 days)",S3&lt;=5,"Moderate (2-5 days)",TRUE(),"Severe (over 5 days)")</f>
        <v>Severe (over 5 days)</v>
      </c>
      <c r="Y3" s="0" t="str">
        <f aca="false">YEAR(K3)&amp;"-"&amp;TEXT(MONTH(K3),"00")</f>
        <v>2025-10</v>
      </c>
      <c r="Z3" s="0" t="str">
        <f aca="false">C3&amp;" → "&amp;D3</f>
        <v>Gujarat → Surat</v>
      </c>
      <c r="AA3" s="0" t="str">
        <f aca="false">Raw!Q3</f>
        <v>Delhivery</v>
      </c>
      <c r="AB3" s="0" t="str">
        <f aca="false">Raw!R3</f>
        <v>Yes</v>
      </c>
      <c r="AC3" s="0" t="str">
        <f aca="false">Raw!S3</f>
        <v>Returned</v>
      </c>
      <c r="AD3" s="29" t="n">
        <f aca="false">Raw!N3</f>
        <v>1372.05</v>
      </c>
      <c r="AE3" s="29" t="n">
        <f aca="false">Raw!O3</f>
        <v>3099.03</v>
      </c>
      <c r="AF3" s="29" t="n">
        <f aca="false">Raw!P3</f>
        <v>931.95</v>
      </c>
      <c r="AG3" s="29" t="n">
        <f aca="false">AD3/J3</f>
        <v>987.086330935252</v>
      </c>
    </row>
    <row r="4" customFormat="false" ht="15" hidden="false" customHeight="false" outlineLevel="0" collapsed="false">
      <c r="A4" s="0" t="str">
        <f aca="false">Raw!A4</f>
        <v>SHP0003</v>
      </c>
      <c r="B4" s="0" t="str">
        <f aca="false">Raw!B4</f>
        <v>Inbound</v>
      </c>
      <c r="C4" s="0" t="str">
        <f aca="false">Raw!C4</f>
        <v>Gujarat</v>
      </c>
      <c r="D4" s="0" t="str">
        <f aca="false">Raw!D4</f>
        <v>Surat</v>
      </c>
      <c r="E4" s="0" t="str">
        <f aca="false">IFERROR(INDEX(Location_Map!$B$2:$B$15,MATCH(C4,Location_Map!$A$2:$A$15,0)),"UNMAPPED")</f>
        <v>Gujarat</v>
      </c>
      <c r="F4" s="0" t="str">
        <f aca="false">IFERROR(INDEX(Location_Map!$C$2:$C$15,MATCH(C4,Location_Map!$A$2:$A$15,0)),"UNMAPPED")</f>
        <v>West</v>
      </c>
      <c r="G4" s="0" t="str">
        <f aca="false">IFERROR(INDEX(Location_Map!$B$2:$B$15,MATCH(D4,Location_Map!$A$2:$A$15,0)),"UNMAPPED")</f>
        <v>Gujarat</v>
      </c>
      <c r="H4" s="0" t="str">
        <f aca="false">IFERROR(INDEX(Location_Map!$C$2:$C$15,MATCH(D4,Location_Map!$A$2:$A$15,0)),"UNMAPPED")</f>
        <v>West</v>
      </c>
      <c r="I4" s="0" t="str">
        <f aca="false">Raw!E4</f>
        <v>Raw Yarn</v>
      </c>
      <c r="J4" s="28" t="n">
        <f aca="false">Raw!F4</f>
        <v>6.53</v>
      </c>
      <c r="K4" s="30" t="n">
        <f aca="false">DATE(LEFT(Raw!G4,4),MID(Raw!G4,6,2),MID(Raw!G4,9,2))</f>
        <v>45841</v>
      </c>
      <c r="L4" s="30" t="n">
        <f aca="false">DATE(LEFT(Raw!H4,4),MID(Raw!H4,6,2),MID(Raw!H4,9,2))</f>
        <v>45842</v>
      </c>
      <c r="M4" s="30" t="n">
        <f aca="false">DATE(LEFT(Raw!I4,4),MID(Raw!I4,6,2),MID(Raw!I4,9,2))</f>
        <v>45847</v>
      </c>
      <c r="N4" s="31" t="n">
        <f aca="false">DATE(LEFT(Raw!J4,4),MID(Raw!J4,6,2),MID(Raw!J4,9,2))+TIME(MID(Raw!J4,12,2),MID(Raw!J4,15,2),MID(Raw!J4,18,2))</f>
        <v>45842.25</v>
      </c>
      <c r="O4" s="31" t="n">
        <f aca="false">DATE(LEFT(Raw!K4,4),MID(Raw!K4,6,2),MID(Raw!K4,9,2))+TIME(MID(Raw!K4,12,2),MID(Raw!K4,15,2),MID(Raw!K4,18,2))</f>
        <v>45849.7</v>
      </c>
      <c r="P4" s="32" t="n">
        <f aca="false">L4-K4</f>
        <v>1</v>
      </c>
      <c r="Q4" s="32" t="n">
        <f aca="false">M4-L4</f>
        <v>5</v>
      </c>
      <c r="R4" s="32" t="n">
        <f aca="false">O4-N4</f>
        <v>7.45</v>
      </c>
      <c r="S4" s="32" t="n">
        <f aca="false">Raw!L4</f>
        <v>2.7</v>
      </c>
      <c r="T4" s="32" t="n">
        <f aca="false">O4-M4</f>
        <v>2.7</v>
      </c>
      <c r="U4" s="0" t="str">
        <f aca="false">IF(ABS(T4-S4)&lt;0.01,"OK","MISMATCH")</f>
        <v>OK</v>
      </c>
      <c r="V4" s="33" t="n">
        <f aca="false">Raw!M4</f>
        <v>1</v>
      </c>
      <c r="W4" s="0" t="str">
        <f aca="false">IF((S4&gt;0)=(V4=1),"OK","MISMATCH")</f>
        <v>OK</v>
      </c>
      <c r="X4" s="0" t="str">
        <f aca="false">_xlfn.IFS(S4&lt;=0,"Early/On time",S4&lt;=2,"Minor (up to 2 days)",S4&lt;=5,"Moderate (2-5 days)",TRUE(),"Severe (over 5 days)")</f>
        <v>Moderate (2-5 days)</v>
      </c>
      <c r="Y4" s="0" t="str">
        <f aca="false">YEAR(K4)&amp;"-"&amp;TEXT(MONTH(K4),"00")</f>
        <v>2025-07</v>
      </c>
      <c r="Z4" s="0" t="str">
        <f aca="false">C4&amp;" → "&amp;D4</f>
        <v>Gujarat → Surat</v>
      </c>
      <c r="AA4" s="0" t="str">
        <f aca="false">Raw!Q4</f>
        <v>VRL Cargo</v>
      </c>
      <c r="AB4" s="0" t="str">
        <f aca="false">Raw!R4</f>
        <v>Yes</v>
      </c>
      <c r="AC4" s="0" t="str">
        <f aca="false">Raw!S4</f>
        <v>Returned</v>
      </c>
      <c r="AD4" s="29" t="n">
        <f aca="false">Raw!N4</f>
        <v>4024.74</v>
      </c>
      <c r="AE4" s="29" t="n">
        <f aca="false">Raw!O4</f>
        <v>1185.8</v>
      </c>
      <c r="AF4" s="29" t="n">
        <f aca="false">Raw!P4</f>
        <v>1107.54</v>
      </c>
      <c r="AG4" s="29" t="n">
        <f aca="false">AD4/J4</f>
        <v>616.346094946401</v>
      </c>
    </row>
    <row r="5" customFormat="false" ht="15" hidden="false" customHeight="false" outlineLevel="0" collapsed="false">
      <c r="A5" s="0" t="str">
        <f aca="false">Raw!A5</f>
        <v>SHP0004</v>
      </c>
      <c r="B5" s="0" t="str">
        <f aca="false">Raw!B5</f>
        <v>Outbound</v>
      </c>
      <c r="C5" s="0" t="str">
        <f aca="false">Raw!C5</f>
        <v>Surat</v>
      </c>
      <c r="D5" s="0" t="str">
        <f aca="false">Raw!D5</f>
        <v>Uttarakhand</v>
      </c>
      <c r="E5" s="0" t="str">
        <f aca="false">IFERROR(INDEX(Location_Map!$B$2:$B$15,MATCH(C5,Location_Map!$A$2:$A$15,0)),"UNMAPPED")</f>
        <v>Gujarat</v>
      </c>
      <c r="F5" s="0" t="str">
        <f aca="false">IFERROR(INDEX(Location_Map!$C$2:$C$15,MATCH(C5,Location_Map!$A$2:$A$15,0)),"UNMAPPED")</f>
        <v>West</v>
      </c>
      <c r="G5" s="0" t="str">
        <f aca="false">IFERROR(INDEX(Location_Map!$B$2:$B$15,MATCH(D5,Location_Map!$A$2:$A$15,0)),"UNMAPPED")</f>
        <v>Uttarakhand</v>
      </c>
      <c r="H5" s="0" t="str">
        <f aca="false">IFERROR(INDEX(Location_Map!$C$2:$C$15,MATCH(D5,Location_Map!$A$2:$A$15,0)),"UNMAPPED")</f>
        <v>North</v>
      </c>
      <c r="I5" s="0" t="str">
        <f aca="false">Raw!E5</f>
        <v>Raw Yarn</v>
      </c>
      <c r="J5" s="28" t="n">
        <f aca="false">Raw!F5</f>
        <v>4.24</v>
      </c>
      <c r="K5" s="30" t="n">
        <f aca="false">DATE(LEFT(Raw!G5,4),MID(Raw!G5,6,2),MID(Raw!G5,9,2))</f>
        <v>45677</v>
      </c>
      <c r="L5" s="30" t="n">
        <f aca="false">DATE(LEFT(Raw!H5,4),MID(Raw!H5,6,2),MID(Raw!H5,9,2))</f>
        <v>45681</v>
      </c>
      <c r="M5" s="30" t="n">
        <f aca="false">DATE(LEFT(Raw!I5,4),MID(Raw!I5,6,2),MID(Raw!I5,9,2))</f>
        <v>45686</v>
      </c>
      <c r="N5" s="31" t="n">
        <f aca="false">DATE(LEFT(Raw!J5,4),MID(Raw!J5,6,2),MID(Raw!J5,9,2))+TIME(MID(Raw!J5,12,2),MID(Raw!J5,15,2),MID(Raw!J5,18,2))</f>
        <v>45681.3333333333</v>
      </c>
      <c r="O5" s="31" t="n">
        <f aca="false">DATE(LEFT(Raw!K5,4),MID(Raw!K5,6,2),MID(Raw!K5,9,2))+TIME(MID(Raw!K5,12,2),MID(Raw!K5,15,2),MID(Raw!K5,18,2))</f>
        <v>45685.7</v>
      </c>
      <c r="P5" s="32" t="n">
        <f aca="false">L5-K5</f>
        <v>4</v>
      </c>
      <c r="Q5" s="32" t="n">
        <f aca="false">M5-L5</f>
        <v>5</v>
      </c>
      <c r="R5" s="32" t="n">
        <f aca="false">O5-N5</f>
        <v>4.36666666666667</v>
      </c>
      <c r="S5" s="32" t="n">
        <f aca="false">Raw!L5</f>
        <v>-0.3</v>
      </c>
      <c r="T5" s="32" t="n">
        <f aca="false">O5-M5</f>
        <v>-0.300000000005833</v>
      </c>
      <c r="U5" s="0" t="str">
        <f aca="false">IF(ABS(T5-S5)&lt;0.01,"OK","MISMATCH")</f>
        <v>OK</v>
      </c>
      <c r="V5" s="33" t="n">
        <f aca="false">Raw!M5</f>
        <v>0</v>
      </c>
      <c r="W5" s="0" t="str">
        <f aca="false">IF((S5&gt;0)=(V5=1),"OK","MISMATCH")</f>
        <v>OK</v>
      </c>
      <c r="X5" s="0" t="str">
        <f aca="false">_xlfn.IFS(S5&lt;=0,"Early/On time",S5&lt;=2,"Minor (up to 2 days)",S5&lt;=5,"Moderate (2-5 days)",TRUE(),"Severe (over 5 days)")</f>
        <v>Early/On time</v>
      </c>
      <c r="Y5" s="0" t="str">
        <f aca="false">YEAR(K5)&amp;"-"&amp;TEXT(MONTH(K5),"00")</f>
        <v>2025-01</v>
      </c>
      <c r="Z5" s="0" t="str">
        <f aca="false">C5&amp;" → "&amp;D5</f>
        <v>Surat → Uttarakhand</v>
      </c>
      <c r="AA5" s="0" t="str">
        <f aca="false">Raw!Q5</f>
        <v>Delhivery</v>
      </c>
      <c r="AB5" s="0" t="str">
        <f aca="false">Raw!R5</f>
        <v>No</v>
      </c>
      <c r="AC5" s="0" t="str">
        <f aca="false">Raw!S5</f>
        <v>Expedited</v>
      </c>
      <c r="AD5" s="29" t="n">
        <f aca="false">Raw!N5</f>
        <v>2914.33</v>
      </c>
      <c r="AE5" s="29" t="n">
        <f aca="false">Raw!O5</f>
        <v>1390.69</v>
      </c>
      <c r="AF5" s="29" t="n">
        <f aca="false">Raw!P5</f>
        <v>1184.23</v>
      </c>
      <c r="AG5" s="29" t="n">
        <f aca="false">AD5/J5</f>
        <v>687.341981132075</v>
      </c>
    </row>
    <row r="6" customFormat="false" ht="15" hidden="false" customHeight="false" outlineLevel="0" collapsed="false">
      <c r="A6" s="0" t="str">
        <f aca="false">Raw!A6</f>
        <v>SHP0005</v>
      </c>
      <c r="B6" s="0" t="str">
        <f aca="false">Raw!B6</f>
        <v>Inbound</v>
      </c>
      <c r="C6" s="0" t="str">
        <f aca="false">Raw!C6</f>
        <v>Punjab</v>
      </c>
      <c r="D6" s="0" t="str">
        <f aca="false">Raw!D6</f>
        <v>Surat</v>
      </c>
      <c r="E6" s="0" t="str">
        <f aca="false">IFERROR(INDEX(Location_Map!$B$2:$B$15,MATCH(C6,Location_Map!$A$2:$A$15,0)),"UNMAPPED")</f>
        <v>Punjab</v>
      </c>
      <c r="F6" s="0" t="str">
        <f aca="false">IFERROR(INDEX(Location_Map!$C$2:$C$15,MATCH(C6,Location_Map!$A$2:$A$15,0)),"UNMAPPED")</f>
        <v>North</v>
      </c>
      <c r="G6" s="0" t="str">
        <f aca="false">IFERROR(INDEX(Location_Map!$B$2:$B$15,MATCH(D6,Location_Map!$A$2:$A$15,0)),"UNMAPPED")</f>
        <v>Gujarat</v>
      </c>
      <c r="H6" s="0" t="str">
        <f aca="false">IFERROR(INDEX(Location_Map!$C$2:$C$15,MATCH(D6,Location_Map!$A$2:$A$15,0)),"UNMAPPED")</f>
        <v>West</v>
      </c>
      <c r="I6" s="0" t="str">
        <f aca="false">Raw!E6</f>
        <v>Raw Yarn</v>
      </c>
      <c r="J6" s="28" t="n">
        <f aca="false">Raw!F6</f>
        <v>9.36</v>
      </c>
      <c r="K6" s="30" t="n">
        <f aca="false">DATE(LEFT(Raw!G6,4),MID(Raw!G6,6,2),MID(Raw!G6,9,2))</f>
        <v>45694</v>
      </c>
      <c r="L6" s="30" t="n">
        <f aca="false">DATE(LEFT(Raw!H6,4),MID(Raw!H6,6,2),MID(Raw!H6,9,2))</f>
        <v>45696</v>
      </c>
      <c r="M6" s="30" t="n">
        <f aca="false">DATE(LEFT(Raw!I6,4),MID(Raw!I6,6,2),MID(Raw!I6,9,2))</f>
        <v>45700</v>
      </c>
      <c r="N6" s="31" t="n">
        <f aca="false">DATE(LEFT(Raw!J6,4),MID(Raw!J6,6,2),MID(Raw!J6,9,2))+TIME(MID(Raw!J6,12,2),MID(Raw!J6,15,2),MID(Raw!J6,18,2))</f>
        <v>45696.0833333333</v>
      </c>
      <c r="O6" s="31" t="n">
        <f aca="false">DATE(LEFT(Raw!K6,4),MID(Raw!K6,6,2),MID(Raw!K6,9,2))+TIME(MID(Raw!K6,12,2),MID(Raw!K6,15,2),MID(Raw!K6,18,2))</f>
        <v>45701.3</v>
      </c>
      <c r="P6" s="32" t="n">
        <f aca="false">L6-K6</f>
        <v>2</v>
      </c>
      <c r="Q6" s="32" t="n">
        <f aca="false">M6-L6</f>
        <v>4</v>
      </c>
      <c r="R6" s="32" t="n">
        <f aca="false">O6-N6</f>
        <v>5.21666666666667</v>
      </c>
      <c r="S6" s="32" t="n">
        <f aca="false">Raw!L6</f>
        <v>1.3</v>
      </c>
      <c r="T6" s="32" t="n">
        <f aca="false">O6-M6</f>
        <v>1.3</v>
      </c>
      <c r="U6" s="0" t="str">
        <f aca="false">IF(ABS(T6-S6)&lt;0.01,"OK","MISMATCH")</f>
        <v>OK</v>
      </c>
      <c r="V6" s="33" t="n">
        <f aca="false">Raw!M6</f>
        <v>1</v>
      </c>
      <c r="W6" s="0" t="str">
        <f aca="false">IF((S6&gt;0)=(V6=1),"OK","MISMATCH")</f>
        <v>OK</v>
      </c>
      <c r="X6" s="0" t="str">
        <f aca="false">_xlfn.IFS(S6&lt;=0,"Early/On time",S6&lt;=2,"Minor (up to 2 days)",S6&lt;=5,"Moderate (2-5 days)",TRUE(),"Severe (over 5 days)")</f>
        <v>Minor (up to 2 days)</v>
      </c>
      <c r="Y6" s="0" t="str">
        <f aca="false">YEAR(K6)&amp;"-"&amp;TEXT(MONTH(K6),"00")</f>
        <v>2025-02</v>
      </c>
      <c r="Z6" s="0" t="str">
        <f aca="false">C6&amp;" → "&amp;D6</f>
        <v>Punjab → Surat</v>
      </c>
      <c r="AA6" s="0" t="str">
        <f aca="false">Raw!Q6</f>
        <v>VRL Cargo</v>
      </c>
      <c r="AB6" s="0" t="str">
        <f aca="false">Raw!R6</f>
        <v>No</v>
      </c>
      <c r="AC6" s="0" t="str">
        <f aca="false">Raw!S6</f>
        <v>Held at warehouse</v>
      </c>
      <c r="AD6" s="29" t="n">
        <f aca="false">Raw!N6</f>
        <v>5480.42</v>
      </c>
      <c r="AE6" s="29" t="n">
        <f aca="false">Raw!O6</f>
        <v>1831.77</v>
      </c>
      <c r="AF6" s="29" t="n">
        <f aca="false">Raw!P6</f>
        <v>1067.7</v>
      </c>
      <c r="AG6" s="29" t="n">
        <f aca="false">AD6/J6</f>
        <v>585.514957264957</v>
      </c>
    </row>
    <row r="7" customFormat="false" ht="15" hidden="false" customHeight="false" outlineLevel="0" collapsed="false">
      <c r="A7" s="0" t="str">
        <f aca="false">Raw!A7</f>
        <v>SHP0006</v>
      </c>
      <c r="B7" s="0" t="str">
        <f aca="false">Raw!B7</f>
        <v>Inbound</v>
      </c>
      <c r="C7" s="0" t="str">
        <f aca="false">Raw!C7</f>
        <v>Chennai</v>
      </c>
      <c r="D7" s="0" t="str">
        <f aca="false">Raw!D7</f>
        <v>Surat</v>
      </c>
      <c r="E7" s="0" t="str">
        <f aca="false">IFERROR(INDEX(Location_Map!$B$2:$B$15,MATCH(C7,Location_Map!$A$2:$A$15,0)),"UNMAPPED")</f>
        <v>Tamil Nadu</v>
      </c>
      <c r="F7" s="0" t="str">
        <f aca="false">IFERROR(INDEX(Location_Map!$C$2:$C$15,MATCH(C7,Location_Map!$A$2:$A$15,0)),"UNMAPPED")</f>
        <v>South</v>
      </c>
      <c r="G7" s="0" t="str">
        <f aca="false">IFERROR(INDEX(Location_Map!$B$2:$B$15,MATCH(D7,Location_Map!$A$2:$A$15,0)),"UNMAPPED")</f>
        <v>Gujarat</v>
      </c>
      <c r="H7" s="0" t="str">
        <f aca="false">IFERROR(INDEX(Location_Map!$C$2:$C$15,MATCH(D7,Location_Map!$A$2:$A$15,0)),"UNMAPPED")</f>
        <v>West</v>
      </c>
      <c r="I7" s="0" t="str">
        <f aca="false">Raw!E7</f>
        <v>Semi-Processed Yarn</v>
      </c>
      <c r="J7" s="28" t="n">
        <f aca="false">Raw!F7</f>
        <v>1.59</v>
      </c>
      <c r="K7" s="30" t="n">
        <f aca="false">DATE(LEFT(Raw!G7,4),MID(Raw!G7,6,2),MID(Raw!G7,9,2))</f>
        <v>45910</v>
      </c>
      <c r="L7" s="30" t="n">
        <f aca="false">DATE(LEFT(Raw!H7,4),MID(Raw!H7,6,2),MID(Raw!H7,9,2))</f>
        <v>45912</v>
      </c>
      <c r="M7" s="30" t="n">
        <f aca="false">DATE(LEFT(Raw!I7,4),MID(Raw!I7,6,2),MID(Raw!I7,9,2))</f>
        <v>45915</v>
      </c>
      <c r="N7" s="31" t="n">
        <f aca="false">DATE(LEFT(Raw!J7,4),MID(Raw!J7,6,2),MID(Raw!J7,9,2))+TIME(MID(Raw!J7,12,2),MID(Raw!J7,15,2),MID(Raw!J7,18,2))</f>
        <v>45912.3333333333</v>
      </c>
      <c r="O7" s="31" t="n">
        <f aca="false">DATE(LEFT(Raw!K7,4),MID(Raw!K7,6,2),MID(Raw!K7,9,2))+TIME(MID(Raw!K7,12,2),MID(Raw!K7,15,2),MID(Raw!K7,18,2))</f>
        <v>45918.2</v>
      </c>
      <c r="P7" s="32" t="n">
        <f aca="false">L7-K7</f>
        <v>2</v>
      </c>
      <c r="Q7" s="32" t="n">
        <f aca="false">M7-L7</f>
        <v>3</v>
      </c>
      <c r="R7" s="32" t="n">
        <f aca="false">O7-N7</f>
        <v>5.86666666666667</v>
      </c>
      <c r="S7" s="32" t="n">
        <f aca="false">Raw!L7</f>
        <v>3.2</v>
      </c>
      <c r="T7" s="32" t="n">
        <f aca="false">O7-M7</f>
        <v>3.2</v>
      </c>
      <c r="U7" s="0" t="str">
        <f aca="false">IF(ABS(T7-S7)&lt;0.01,"OK","MISMATCH")</f>
        <v>OK</v>
      </c>
      <c r="V7" s="33" t="n">
        <f aca="false">Raw!M7</f>
        <v>1</v>
      </c>
      <c r="W7" s="0" t="str">
        <f aca="false">IF((S7&gt;0)=(V7=1),"OK","MISMATCH")</f>
        <v>OK</v>
      </c>
      <c r="X7" s="0" t="str">
        <f aca="false">_xlfn.IFS(S7&lt;=0,"Early/On time",S7&lt;=2,"Minor (up to 2 days)",S7&lt;=5,"Moderate (2-5 days)",TRUE(),"Severe (over 5 days)")</f>
        <v>Moderate (2-5 days)</v>
      </c>
      <c r="Y7" s="0" t="str">
        <f aca="false">YEAR(K7)&amp;"-"&amp;TEXT(MONTH(K7),"00")</f>
        <v>2025-09</v>
      </c>
      <c r="Z7" s="0" t="str">
        <f aca="false">C7&amp;" → "&amp;D7</f>
        <v>Chennai → Surat</v>
      </c>
      <c r="AA7" s="0" t="str">
        <f aca="false">Raw!Q7</f>
        <v>GATI Logistics</v>
      </c>
      <c r="AB7" s="0" t="str">
        <f aca="false">Raw!R7</f>
        <v>Yes</v>
      </c>
      <c r="AC7" s="0" t="str">
        <f aca="false">Raw!S7</f>
        <v>Damaged</v>
      </c>
      <c r="AD7" s="29" t="n">
        <f aca="false">Raw!N7</f>
        <v>2304.02</v>
      </c>
      <c r="AE7" s="29" t="n">
        <f aca="false">Raw!O7</f>
        <v>2306.16</v>
      </c>
      <c r="AF7" s="29" t="n">
        <f aca="false">Raw!P7</f>
        <v>1070.44</v>
      </c>
      <c r="AG7" s="29" t="n">
        <f aca="false">AD7/J7</f>
        <v>1449.06918238994</v>
      </c>
    </row>
    <row r="8" customFormat="false" ht="15" hidden="false" customHeight="false" outlineLevel="0" collapsed="false">
      <c r="A8" s="0" t="str">
        <f aca="false">Raw!A8</f>
        <v>SHP0007</v>
      </c>
      <c r="B8" s="0" t="str">
        <f aca="false">Raw!B8</f>
        <v>Inbound</v>
      </c>
      <c r="C8" s="0" t="str">
        <f aca="false">Raw!C8</f>
        <v>Punjab</v>
      </c>
      <c r="D8" s="0" t="str">
        <f aca="false">Raw!D8</f>
        <v>Surat</v>
      </c>
      <c r="E8" s="0" t="str">
        <f aca="false">IFERROR(INDEX(Location_Map!$B$2:$B$15,MATCH(C8,Location_Map!$A$2:$A$15,0)),"UNMAPPED")</f>
        <v>Punjab</v>
      </c>
      <c r="F8" s="0" t="str">
        <f aca="false">IFERROR(INDEX(Location_Map!$C$2:$C$15,MATCH(C8,Location_Map!$A$2:$A$15,0)),"UNMAPPED")</f>
        <v>North</v>
      </c>
      <c r="G8" s="0" t="str">
        <f aca="false">IFERROR(INDEX(Location_Map!$B$2:$B$15,MATCH(D8,Location_Map!$A$2:$A$15,0)),"UNMAPPED")</f>
        <v>Gujarat</v>
      </c>
      <c r="H8" s="0" t="str">
        <f aca="false">IFERROR(INDEX(Location_Map!$C$2:$C$15,MATCH(D8,Location_Map!$A$2:$A$15,0)),"UNMAPPED")</f>
        <v>West</v>
      </c>
      <c r="I8" s="0" t="str">
        <f aca="false">Raw!E8</f>
        <v>Finished Yarn</v>
      </c>
      <c r="J8" s="28" t="n">
        <f aca="false">Raw!F8</f>
        <v>10.9</v>
      </c>
      <c r="K8" s="30" t="n">
        <f aca="false">DATE(LEFT(Raw!G8,4),MID(Raw!G8,6,2),MID(Raw!G8,9,2))</f>
        <v>45946</v>
      </c>
      <c r="L8" s="30" t="n">
        <f aca="false">DATE(LEFT(Raw!H8,4),MID(Raw!H8,6,2),MID(Raw!H8,9,2))</f>
        <v>45950</v>
      </c>
      <c r="M8" s="30" t="n">
        <f aca="false">DATE(LEFT(Raw!I8,4),MID(Raw!I8,6,2),MID(Raw!I8,9,2))</f>
        <v>45956</v>
      </c>
      <c r="N8" s="31" t="n">
        <f aca="false">DATE(LEFT(Raw!J8,4),MID(Raw!J8,6,2),MID(Raw!J8,9,2))+TIME(MID(Raw!J8,12,2),MID(Raw!J8,15,2),MID(Raw!J8,18,2))</f>
        <v>45950.1666666667</v>
      </c>
      <c r="O8" s="31" t="n">
        <f aca="false">DATE(LEFT(Raw!K8,4),MID(Raw!K8,6,2),MID(Raw!K8,9,2))+TIME(MID(Raw!K8,12,2),MID(Raw!K8,15,2),MID(Raw!K8,18,2))</f>
        <v>45960.3</v>
      </c>
      <c r="P8" s="32" t="n">
        <f aca="false">L8-K8</f>
        <v>4</v>
      </c>
      <c r="Q8" s="32" t="n">
        <f aca="false">M8-L8</f>
        <v>6</v>
      </c>
      <c r="R8" s="32" t="n">
        <f aca="false">O8-N8</f>
        <v>10.1333333333333</v>
      </c>
      <c r="S8" s="32" t="n">
        <f aca="false">Raw!L8</f>
        <v>4.3</v>
      </c>
      <c r="T8" s="32" t="n">
        <f aca="false">O8-M8</f>
        <v>4.3</v>
      </c>
      <c r="U8" s="0" t="str">
        <f aca="false">IF(ABS(T8-S8)&lt;0.01,"OK","MISMATCH")</f>
        <v>OK</v>
      </c>
      <c r="V8" s="33" t="n">
        <f aca="false">Raw!M8</f>
        <v>1</v>
      </c>
      <c r="W8" s="0" t="str">
        <f aca="false">IF((S8&gt;0)=(V8=1),"OK","MISMATCH")</f>
        <v>OK</v>
      </c>
      <c r="X8" s="0" t="str">
        <f aca="false">_xlfn.IFS(S8&lt;=0,"Early/On time",S8&lt;=2,"Minor (up to 2 days)",S8&lt;=5,"Moderate (2-5 days)",TRUE(),"Severe (over 5 days)")</f>
        <v>Moderate (2-5 days)</v>
      </c>
      <c r="Y8" s="0" t="str">
        <f aca="false">YEAR(K8)&amp;"-"&amp;TEXT(MONTH(K8),"00")</f>
        <v>2025-10</v>
      </c>
      <c r="Z8" s="0" t="str">
        <f aca="false">C8&amp;" → "&amp;D8</f>
        <v>Punjab → Surat</v>
      </c>
      <c r="AA8" s="0" t="str">
        <f aca="false">Raw!Q8</f>
        <v>BlueDart</v>
      </c>
      <c r="AB8" s="0" t="str">
        <f aca="false">Raw!R8</f>
        <v>Yes</v>
      </c>
      <c r="AC8" s="0" t="str">
        <f aca="false">Raw!S8</f>
        <v>Damaged</v>
      </c>
      <c r="AD8" s="29" t="n">
        <f aca="false">Raw!N8</f>
        <v>7761.59</v>
      </c>
      <c r="AE8" s="29" t="n">
        <f aca="false">Raw!O8</f>
        <v>2104</v>
      </c>
      <c r="AF8" s="29" t="n">
        <f aca="false">Raw!P8</f>
        <v>796.27</v>
      </c>
      <c r="AG8" s="29" t="n">
        <f aca="false">AD8/J8</f>
        <v>712.07247706422</v>
      </c>
    </row>
    <row r="9" customFormat="false" ht="15" hidden="false" customHeight="false" outlineLevel="0" collapsed="false">
      <c r="A9" s="0" t="str">
        <f aca="false">Raw!A9</f>
        <v>SHP0008</v>
      </c>
      <c r="B9" s="0" t="str">
        <f aca="false">Raw!B9</f>
        <v>Inbound</v>
      </c>
      <c r="C9" s="0" t="str">
        <f aca="false">Raw!C9</f>
        <v>Rajasthan</v>
      </c>
      <c r="D9" s="0" t="str">
        <f aca="false">Raw!D9</f>
        <v>Surat</v>
      </c>
      <c r="E9" s="0" t="str">
        <f aca="false">IFERROR(INDEX(Location_Map!$B$2:$B$15,MATCH(C9,Location_Map!$A$2:$A$15,0)),"UNMAPPED")</f>
        <v>Rajasthan</v>
      </c>
      <c r="F9" s="0" t="str">
        <f aca="false">IFERROR(INDEX(Location_Map!$C$2:$C$15,MATCH(C9,Location_Map!$A$2:$A$15,0)),"UNMAPPED")</f>
        <v>North</v>
      </c>
      <c r="G9" s="0" t="str">
        <f aca="false">IFERROR(INDEX(Location_Map!$B$2:$B$15,MATCH(D9,Location_Map!$A$2:$A$15,0)),"UNMAPPED")</f>
        <v>Gujarat</v>
      </c>
      <c r="H9" s="0" t="str">
        <f aca="false">IFERROR(INDEX(Location_Map!$C$2:$C$15,MATCH(D9,Location_Map!$A$2:$A$15,0)),"UNMAPPED")</f>
        <v>West</v>
      </c>
      <c r="I9" s="0" t="str">
        <f aca="false">Raw!E9</f>
        <v>Raw Yarn</v>
      </c>
      <c r="J9" s="28" t="n">
        <f aca="false">Raw!F9</f>
        <v>4.14</v>
      </c>
      <c r="K9" s="30" t="n">
        <f aca="false">DATE(LEFT(Raw!G9,4),MID(Raw!G9,6,2),MID(Raw!G9,9,2))</f>
        <v>45662</v>
      </c>
      <c r="L9" s="30" t="n">
        <f aca="false">DATE(LEFT(Raw!H9,4),MID(Raw!H9,6,2),MID(Raw!H9,9,2))</f>
        <v>45664</v>
      </c>
      <c r="M9" s="30" t="n">
        <f aca="false">DATE(LEFT(Raw!I9,4),MID(Raw!I9,6,2),MID(Raw!I9,9,2))</f>
        <v>45666</v>
      </c>
      <c r="N9" s="31" t="n">
        <f aca="false">DATE(LEFT(Raw!J9,4),MID(Raw!J9,6,2),MID(Raw!J9,9,2))+TIME(MID(Raw!J9,12,2),MID(Raw!J9,15,2),MID(Raw!J9,18,2))</f>
        <v>45664.25</v>
      </c>
      <c r="O9" s="31" t="n">
        <f aca="false">DATE(LEFT(Raw!K9,4),MID(Raw!K9,6,2),MID(Raw!K9,9,2))+TIME(MID(Raw!K9,12,2),MID(Raw!K9,15,2),MID(Raw!K9,18,2))</f>
        <v>45666.4</v>
      </c>
      <c r="P9" s="32" t="n">
        <f aca="false">L9-K9</f>
        <v>2</v>
      </c>
      <c r="Q9" s="32" t="n">
        <f aca="false">M9-L9</f>
        <v>2</v>
      </c>
      <c r="R9" s="32" t="n">
        <f aca="false">O9-N9</f>
        <v>2.15</v>
      </c>
      <c r="S9" s="32" t="n">
        <f aca="false">Raw!L9</f>
        <v>0.4</v>
      </c>
      <c r="T9" s="32" t="n">
        <f aca="false">O9-M9</f>
        <v>0.4</v>
      </c>
      <c r="U9" s="0" t="str">
        <f aca="false">IF(ABS(T9-S9)&lt;0.01,"OK","MISMATCH")</f>
        <v>OK</v>
      </c>
      <c r="V9" s="33" t="n">
        <f aca="false">Raw!M9</f>
        <v>1</v>
      </c>
      <c r="W9" s="0" t="str">
        <f aca="false">IF((S9&gt;0)=(V9=1),"OK","MISMATCH")</f>
        <v>OK</v>
      </c>
      <c r="X9" s="0" t="str">
        <f aca="false">_xlfn.IFS(S9&lt;=0,"Early/On time",S9&lt;=2,"Minor (up to 2 days)",S9&lt;=5,"Moderate (2-5 days)",TRUE(),"Severe (over 5 days)")</f>
        <v>Minor (up to 2 days)</v>
      </c>
      <c r="Y9" s="0" t="str">
        <f aca="false">YEAR(K9)&amp;"-"&amp;TEXT(MONTH(K9),"00")</f>
        <v>2025-01</v>
      </c>
      <c r="Z9" s="0" t="str">
        <f aca="false">C9&amp;" → "&amp;D9</f>
        <v>Rajasthan → Surat</v>
      </c>
      <c r="AA9" s="0" t="str">
        <f aca="false">Raw!Q9</f>
        <v>Delhivery</v>
      </c>
      <c r="AB9" s="0" t="str">
        <f aca="false">Raw!R9</f>
        <v>No</v>
      </c>
      <c r="AC9" s="0" t="str">
        <f aca="false">Raw!S9</f>
        <v>Returned</v>
      </c>
      <c r="AD9" s="29" t="n">
        <f aca="false">Raw!N9</f>
        <v>1775.62</v>
      </c>
      <c r="AE9" s="29" t="n">
        <f aca="false">Raw!O9</f>
        <v>1795.37</v>
      </c>
      <c r="AF9" s="29" t="n">
        <f aca="false">Raw!P9</f>
        <v>1211.34</v>
      </c>
      <c r="AG9" s="29" t="n">
        <f aca="false">AD9/J9</f>
        <v>428.893719806763</v>
      </c>
    </row>
    <row r="10" customFormat="false" ht="15" hidden="false" customHeight="false" outlineLevel="0" collapsed="false">
      <c r="A10" s="0" t="str">
        <f aca="false">Raw!A10</f>
        <v>SHP0009</v>
      </c>
      <c r="B10" s="0" t="str">
        <f aca="false">Raw!B10</f>
        <v>Outbound</v>
      </c>
      <c r="C10" s="0" t="str">
        <f aca="false">Raw!C10</f>
        <v>Surat</v>
      </c>
      <c r="D10" s="0" t="str">
        <f aca="false">Raw!D10</f>
        <v>West Bengal</v>
      </c>
      <c r="E10" s="0" t="str">
        <f aca="false">IFERROR(INDEX(Location_Map!$B$2:$B$15,MATCH(C10,Location_Map!$A$2:$A$15,0)),"UNMAPPED")</f>
        <v>Gujarat</v>
      </c>
      <c r="F10" s="0" t="str">
        <f aca="false">IFERROR(INDEX(Location_Map!$C$2:$C$15,MATCH(C10,Location_Map!$A$2:$A$15,0)),"UNMAPPED")</f>
        <v>West</v>
      </c>
      <c r="G10" s="0" t="str">
        <f aca="false">IFERROR(INDEX(Location_Map!$B$2:$B$15,MATCH(D10,Location_Map!$A$2:$A$15,0)),"UNMAPPED")</f>
        <v>West Bengal</v>
      </c>
      <c r="H10" s="0" t="str">
        <f aca="false">IFERROR(INDEX(Location_Map!$C$2:$C$15,MATCH(D10,Location_Map!$A$2:$A$15,0)),"UNMAPPED")</f>
        <v>East</v>
      </c>
      <c r="I10" s="0" t="str">
        <f aca="false">Raw!E10</f>
        <v>Finished Yarn</v>
      </c>
      <c r="J10" s="28" t="n">
        <f aca="false">Raw!F10</f>
        <v>16.01</v>
      </c>
      <c r="K10" s="30" t="n">
        <f aca="false">DATE(LEFT(Raw!G10,4),MID(Raw!G10,6,2),MID(Raw!G10,9,2))</f>
        <v>45839</v>
      </c>
      <c r="L10" s="30" t="n">
        <f aca="false">DATE(LEFT(Raw!H10,4),MID(Raw!H10,6,2),MID(Raw!H10,9,2))</f>
        <v>45843</v>
      </c>
      <c r="M10" s="30" t="n">
        <f aca="false">DATE(LEFT(Raw!I10,4),MID(Raw!I10,6,2),MID(Raw!I10,9,2))</f>
        <v>45846</v>
      </c>
      <c r="N10" s="31" t="n">
        <f aca="false">DATE(LEFT(Raw!J10,4),MID(Raw!J10,6,2),MID(Raw!J10,9,2))+TIME(MID(Raw!J10,12,2),MID(Raw!J10,15,2),MID(Raw!J10,18,2))</f>
        <v>45843.0416666667</v>
      </c>
      <c r="O10" s="31" t="n">
        <f aca="false">DATE(LEFT(Raw!K10,4),MID(Raw!K10,6,2),MID(Raw!K10,9,2))+TIME(MID(Raw!K10,12,2),MID(Raw!K10,15,2),MID(Raw!K10,18,2))</f>
        <v>45845</v>
      </c>
      <c r="P10" s="32" t="n">
        <f aca="false">L10-K10</f>
        <v>4</v>
      </c>
      <c r="Q10" s="32" t="n">
        <f aca="false">M10-L10</f>
        <v>3</v>
      </c>
      <c r="R10" s="32" t="n">
        <f aca="false">O10-N10</f>
        <v>1.95833333333333</v>
      </c>
      <c r="S10" s="32" t="n">
        <f aca="false">Raw!L10</f>
        <v>-1</v>
      </c>
      <c r="T10" s="32" t="n">
        <f aca="false">O10-M10</f>
        <v>-1</v>
      </c>
      <c r="U10" s="0" t="str">
        <f aca="false">IF(ABS(T10-S10)&lt;0.01,"OK","MISMATCH")</f>
        <v>OK</v>
      </c>
      <c r="V10" s="33" t="n">
        <f aca="false">Raw!M10</f>
        <v>0</v>
      </c>
      <c r="W10" s="0" t="str">
        <f aca="false">IF((S10&gt;0)=(V10=1),"OK","MISMATCH")</f>
        <v>OK</v>
      </c>
      <c r="X10" s="0" t="str">
        <f aca="false">_xlfn.IFS(S10&lt;=0,"Early/On time",S10&lt;=2,"Minor (up to 2 days)",S10&lt;=5,"Moderate (2-5 days)",TRUE(),"Severe (over 5 days)")</f>
        <v>Early/On time</v>
      </c>
      <c r="Y10" s="0" t="str">
        <f aca="false">YEAR(K10)&amp;"-"&amp;TEXT(MONTH(K10),"00")</f>
        <v>2025-07</v>
      </c>
      <c r="Z10" s="0" t="str">
        <f aca="false">C10&amp;" → "&amp;D10</f>
        <v>Surat → West Bengal</v>
      </c>
      <c r="AA10" s="0" t="str">
        <f aca="false">Raw!Q10</f>
        <v>VRL Cargo</v>
      </c>
      <c r="AB10" s="0" t="str">
        <f aca="false">Raw!R10</f>
        <v>Yes</v>
      </c>
      <c r="AC10" s="0" t="str">
        <f aca="false">Raw!S10</f>
        <v>Normal</v>
      </c>
      <c r="AD10" s="29" t="n">
        <f aca="false">Raw!N10</f>
        <v>5853.01</v>
      </c>
      <c r="AE10" s="29" t="n">
        <f aca="false">Raw!O10</f>
        <v>3918.42</v>
      </c>
      <c r="AF10" s="29" t="n">
        <f aca="false">Raw!P10</f>
        <v>1137.56</v>
      </c>
      <c r="AG10" s="29" t="n">
        <f aca="false">AD10/J10</f>
        <v>365.584634603373</v>
      </c>
    </row>
    <row r="11" customFormat="false" ht="15" hidden="false" customHeight="false" outlineLevel="0" collapsed="false">
      <c r="A11" s="0" t="str">
        <f aca="false">Raw!A11</f>
        <v>SHP0010</v>
      </c>
      <c r="B11" s="0" t="str">
        <f aca="false">Raw!B11</f>
        <v>Outbound</v>
      </c>
      <c r="C11" s="0" t="str">
        <f aca="false">Raw!C11</f>
        <v>Surat</v>
      </c>
      <c r="D11" s="0" t="str">
        <f aca="false">Raw!D11</f>
        <v>Kerala</v>
      </c>
      <c r="E11" s="0" t="str">
        <f aca="false">IFERROR(INDEX(Location_Map!$B$2:$B$15,MATCH(C11,Location_Map!$A$2:$A$15,0)),"UNMAPPED")</f>
        <v>Gujarat</v>
      </c>
      <c r="F11" s="0" t="str">
        <f aca="false">IFERROR(INDEX(Location_Map!$C$2:$C$15,MATCH(C11,Location_Map!$A$2:$A$15,0)),"UNMAPPED")</f>
        <v>West</v>
      </c>
      <c r="G11" s="0" t="str">
        <f aca="false">IFERROR(INDEX(Location_Map!$B$2:$B$15,MATCH(D11,Location_Map!$A$2:$A$15,0)),"UNMAPPED")</f>
        <v>Kerala</v>
      </c>
      <c r="H11" s="0" t="str">
        <f aca="false">IFERROR(INDEX(Location_Map!$C$2:$C$15,MATCH(D11,Location_Map!$A$2:$A$15,0)),"UNMAPPED")</f>
        <v>South</v>
      </c>
      <c r="I11" s="0" t="str">
        <f aca="false">Raw!E11</f>
        <v>Raw Yarn</v>
      </c>
      <c r="J11" s="28" t="n">
        <f aca="false">Raw!F11</f>
        <v>17.86</v>
      </c>
      <c r="K11" s="30" t="n">
        <f aca="false">DATE(LEFT(Raw!G11,4),MID(Raw!G11,6,2),MID(Raw!G11,9,2))</f>
        <v>45799</v>
      </c>
      <c r="L11" s="30" t="n">
        <f aca="false">DATE(LEFT(Raw!H11,4),MID(Raw!H11,6,2),MID(Raw!H11,9,2))</f>
        <v>45800</v>
      </c>
      <c r="M11" s="30" t="n">
        <f aca="false">DATE(LEFT(Raw!I11,4),MID(Raw!I11,6,2),MID(Raw!I11,9,2))</f>
        <v>45804</v>
      </c>
      <c r="N11" s="31" t="n">
        <f aca="false">DATE(LEFT(Raw!J11,4),MID(Raw!J11,6,2),MID(Raw!J11,9,2))+TIME(MID(Raw!J11,12,2),MID(Raw!J11,15,2),MID(Raw!J11,18,2))</f>
        <v>45799.7916666667</v>
      </c>
      <c r="O11" s="31" t="n">
        <f aca="false">DATE(LEFT(Raw!K11,4),MID(Raw!K11,6,2),MID(Raw!K11,9,2))+TIME(MID(Raw!K11,12,2),MID(Raw!K11,15,2),MID(Raw!K11,18,2))</f>
        <v>45809.3</v>
      </c>
      <c r="P11" s="32" t="n">
        <f aca="false">L11-K11</f>
        <v>1</v>
      </c>
      <c r="Q11" s="32" t="n">
        <f aca="false">M11-L11</f>
        <v>4</v>
      </c>
      <c r="R11" s="32" t="n">
        <f aca="false">O11-N11</f>
        <v>9.50833333333333</v>
      </c>
      <c r="S11" s="32" t="n">
        <f aca="false">Raw!L11</f>
        <v>5.3</v>
      </c>
      <c r="T11" s="32" t="n">
        <f aca="false">O11-M11</f>
        <v>5.3</v>
      </c>
      <c r="U11" s="0" t="str">
        <f aca="false">IF(ABS(T11-S11)&lt;0.01,"OK","MISMATCH")</f>
        <v>OK</v>
      </c>
      <c r="V11" s="33" t="n">
        <f aca="false">Raw!M11</f>
        <v>1</v>
      </c>
      <c r="W11" s="0" t="str">
        <f aca="false">IF((S11&gt;0)=(V11=1),"OK","MISMATCH")</f>
        <v>OK</v>
      </c>
      <c r="X11" s="0" t="str">
        <f aca="false">_xlfn.IFS(S11&lt;=0,"Early/On time",S11&lt;=2,"Minor (up to 2 days)",S11&lt;=5,"Moderate (2-5 days)",TRUE(),"Severe (over 5 days)")</f>
        <v>Severe (over 5 days)</v>
      </c>
      <c r="Y11" s="0" t="str">
        <f aca="false">YEAR(K11)&amp;"-"&amp;TEXT(MONTH(K11),"00")</f>
        <v>2025-05</v>
      </c>
      <c r="Z11" s="0" t="str">
        <f aca="false">C11&amp;" → "&amp;D11</f>
        <v>Surat → Kerala</v>
      </c>
      <c r="AA11" s="0" t="str">
        <f aca="false">Raw!Q11</f>
        <v>VRL Cargo</v>
      </c>
      <c r="AB11" s="0" t="str">
        <f aca="false">Raw!R11</f>
        <v>Yes</v>
      </c>
      <c r="AC11" s="0" t="str">
        <f aca="false">Raw!S11</f>
        <v>Damaged</v>
      </c>
      <c r="AD11" s="29" t="n">
        <f aca="false">Raw!N11</f>
        <v>8145.26</v>
      </c>
      <c r="AE11" s="29" t="n">
        <f aca="false">Raw!O11</f>
        <v>2024.27</v>
      </c>
      <c r="AF11" s="29" t="n">
        <f aca="false">Raw!P11</f>
        <v>540.43</v>
      </c>
      <c r="AG11" s="29" t="n">
        <f aca="false">AD11/J11</f>
        <v>456.061590145577</v>
      </c>
    </row>
    <row r="12" customFormat="false" ht="15" hidden="false" customHeight="false" outlineLevel="0" collapsed="false">
      <c r="A12" s="0" t="str">
        <f aca="false">Raw!A12</f>
        <v>SHP0011</v>
      </c>
      <c r="B12" s="0" t="str">
        <f aca="false">Raw!B12</f>
        <v>Inbound</v>
      </c>
      <c r="C12" s="0" t="str">
        <f aca="false">Raw!C12</f>
        <v>Punjab</v>
      </c>
      <c r="D12" s="0" t="str">
        <f aca="false">Raw!D12</f>
        <v>Surat</v>
      </c>
      <c r="E12" s="0" t="str">
        <f aca="false">IFERROR(INDEX(Location_Map!$B$2:$B$15,MATCH(C12,Location_Map!$A$2:$A$15,0)),"UNMAPPED")</f>
        <v>Punjab</v>
      </c>
      <c r="F12" s="0" t="str">
        <f aca="false">IFERROR(INDEX(Location_Map!$C$2:$C$15,MATCH(C12,Location_Map!$A$2:$A$15,0)),"UNMAPPED")</f>
        <v>North</v>
      </c>
      <c r="G12" s="0" t="str">
        <f aca="false">IFERROR(INDEX(Location_Map!$B$2:$B$15,MATCH(D12,Location_Map!$A$2:$A$15,0)),"UNMAPPED")</f>
        <v>Gujarat</v>
      </c>
      <c r="H12" s="0" t="str">
        <f aca="false">IFERROR(INDEX(Location_Map!$C$2:$C$15,MATCH(D12,Location_Map!$A$2:$A$15,0)),"UNMAPPED")</f>
        <v>West</v>
      </c>
      <c r="I12" s="0" t="str">
        <f aca="false">Raw!E12</f>
        <v>Raw Yarn</v>
      </c>
      <c r="J12" s="28" t="n">
        <f aca="false">Raw!F12</f>
        <v>14.5</v>
      </c>
      <c r="K12" s="30" t="n">
        <f aca="false">DATE(LEFT(Raw!G12,4),MID(Raw!G12,6,2),MID(Raw!G12,9,2))</f>
        <v>45691</v>
      </c>
      <c r="L12" s="30" t="n">
        <f aca="false">DATE(LEFT(Raw!H12,4),MID(Raw!H12,6,2),MID(Raw!H12,9,2))</f>
        <v>45693</v>
      </c>
      <c r="M12" s="30" t="n">
        <f aca="false">DATE(LEFT(Raw!I12,4),MID(Raw!I12,6,2),MID(Raw!I12,9,2))</f>
        <v>45697</v>
      </c>
      <c r="N12" s="31" t="n">
        <f aca="false">DATE(LEFT(Raw!J12,4),MID(Raw!J12,6,2),MID(Raw!J12,9,2))+TIME(MID(Raw!J12,12,2),MID(Raw!J12,15,2),MID(Raw!J12,18,2))</f>
        <v>45692.9166666667</v>
      </c>
      <c r="O12" s="31" t="n">
        <f aca="false">DATE(LEFT(Raw!K12,4),MID(Raw!K12,6,2),MID(Raw!K12,9,2))+TIME(MID(Raw!K12,12,2),MID(Raw!K12,15,2),MID(Raw!K12,18,2))</f>
        <v>45699.3</v>
      </c>
      <c r="P12" s="32" t="n">
        <f aca="false">L12-K12</f>
        <v>2</v>
      </c>
      <c r="Q12" s="32" t="n">
        <f aca="false">M12-L12</f>
        <v>4</v>
      </c>
      <c r="R12" s="32" t="n">
        <f aca="false">O12-N12</f>
        <v>6.38333333333333</v>
      </c>
      <c r="S12" s="32" t="n">
        <f aca="false">Raw!L12</f>
        <v>2.3</v>
      </c>
      <c r="T12" s="32" t="n">
        <f aca="false">O12-M12</f>
        <v>2.3</v>
      </c>
      <c r="U12" s="0" t="str">
        <f aca="false">IF(ABS(T12-S12)&lt;0.01,"OK","MISMATCH")</f>
        <v>OK</v>
      </c>
      <c r="V12" s="33" t="n">
        <f aca="false">Raw!M12</f>
        <v>1</v>
      </c>
      <c r="W12" s="0" t="str">
        <f aca="false">IF((S12&gt;0)=(V12=1),"OK","MISMATCH")</f>
        <v>OK</v>
      </c>
      <c r="X12" s="0" t="str">
        <f aca="false">_xlfn.IFS(S12&lt;=0,"Early/On time",S12&lt;=2,"Minor (up to 2 days)",S12&lt;=5,"Moderate (2-5 days)",TRUE(),"Severe (over 5 days)")</f>
        <v>Moderate (2-5 days)</v>
      </c>
      <c r="Y12" s="0" t="str">
        <f aca="false">YEAR(K12)&amp;"-"&amp;TEXT(MONTH(K12),"00")</f>
        <v>2025-02</v>
      </c>
      <c r="Z12" s="0" t="str">
        <f aca="false">C12&amp;" → "&amp;D12</f>
        <v>Punjab → Surat</v>
      </c>
      <c r="AA12" s="0" t="str">
        <f aca="false">Raw!Q12</f>
        <v>BlueDart</v>
      </c>
      <c r="AB12" s="0" t="str">
        <f aca="false">Raw!R12</f>
        <v>No</v>
      </c>
      <c r="AC12" s="0" t="str">
        <f aca="false">Raw!S12</f>
        <v>Expedited</v>
      </c>
      <c r="AD12" s="29" t="n">
        <f aca="false">Raw!N12</f>
        <v>8171.89</v>
      </c>
      <c r="AE12" s="29" t="n">
        <f aca="false">Raw!O12</f>
        <v>1557.33</v>
      </c>
      <c r="AF12" s="29" t="n">
        <f aca="false">Raw!P12</f>
        <v>1104.42</v>
      </c>
      <c r="AG12" s="29" t="n">
        <f aca="false">AD12/J12</f>
        <v>563.578620689655</v>
      </c>
    </row>
    <row r="13" customFormat="false" ht="15" hidden="false" customHeight="false" outlineLevel="0" collapsed="false">
      <c r="A13" s="0" t="str">
        <f aca="false">Raw!A13</f>
        <v>SHP0012</v>
      </c>
      <c r="B13" s="0" t="str">
        <f aca="false">Raw!B13</f>
        <v>Outbound</v>
      </c>
      <c r="C13" s="0" t="str">
        <f aca="false">Raw!C13</f>
        <v>Surat</v>
      </c>
      <c r="D13" s="0" t="str">
        <f aca="false">Raw!D13</f>
        <v>Madhya Pradesh</v>
      </c>
      <c r="E13" s="0" t="str">
        <f aca="false">IFERROR(INDEX(Location_Map!$B$2:$B$15,MATCH(C13,Location_Map!$A$2:$A$15,0)),"UNMAPPED")</f>
        <v>Gujarat</v>
      </c>
      <c r="F13" s="0" t="str">
        <f aca="false">IFERROR(INDEX(Location_Map!$C$2:$C$15,MATCH(C13,Location_Map!$A$2:$A$15,0)),"UNMAPPED")</f>
        <v>West</v>
      </c>
      <c r="G13" s="0" t="str">
        <f aca="false">IFERROR(INDEX(Location_Map!$B$2:$B$15,MATCH(D13,Location_Map!$A$2:$A$15,0)),"UNMAPPED")</f>
        <v>Madhya Pradesh</v>
      </c>
      <c r="H13" s="0" t="str">
        <f aca="false">IFERROR(INDEX(Location_Map!$C$2:$C$15,MATCH(D13,Location_Map!$A$2:$A$15,0)),"UNMAPPED")</f>
        <v>Central</v>
      </c>
      <c r="I13" s="0" t="str">
        <f aca="false">Raw!E13</f>
        <v>Finished Yarn</v>
      </c>
      <c r="J13" s="28" t="n">
        <f aca="false">Raw!F13</f>
        <v>11.26</v>
      </c>
      <c r="K13" s="30" t="n">
        <f aca="false">DATE(LEFT(Raw!G13,4),MID(Raw!G13,6,2),MID(Raw!G13,9,2))</f>
        <v>45718</v>
      </c>
      <c r="L13" s="30" t="n">
        <f aca="false">DATE(LEFT(Raw!H13,4),MID(Raw!H13,6,2),MID(Raw!H13,9,2))</f>
        <v>45722</v>
      </c>
      <c r="M13" s="30" t="n">
        <f aca="false">DATE(LEFT(Raw!I13,4),MID(Raw!I13,6,2),MID(Raw!I13,9,2))</f>
        <v>45726</v>
      </c>
      <c r="N13" s="31" t="n">
        <f aca="false">DATE(LEFT(Raw!J13,4),MID(Raw!J13,6,2),MID(Raw!J13,9,2))+TIME(MID(Raw!J13,12,2),MID(Raw!J13,15,2),MID(Raw!J13,18,2))</f>
        <v>45721.875</v>
      </c>
      <c r="O13" s="31" t="n">
        <f aca="false">DATE(LEFT(Raw!K13,4),MID(Raw!K13,6,2),MID(Raw!K13,9,2))+TIME(MID(Raw!K13,12,2),MID(Raw!K13,15,2),MID(Raw!K13,18,2))</f>
        <v>45727.1</v>
      </c>
      <c r="P13" s="32" t="n">
        <f aca="false">L13-K13</f>
        <v>4</v>
      </c>
      <c r="Q13" s="32" t="n">
        <f aca="false">M13-L13</f>
        <v>4</v>
      </c>
      <c r="R13" s="32" t="n">
        <f aca="false">O13-N13</f>
        <v>5.225</v>
      </c>
      <c r="S13" s="32" t="n">
        <f aca="false">Raw!L13</f>
        <v>1.1</v>
      </c>
      <c r="T13" s="32" t="n">
        <f aca="false">O13-M13</f>
        <v>1.1</v>
      </c>
      <c r="U13" s="0" t="str">
        <f aca="false">IF(ABS(T13-S13)&lt;0.01,"OK","MISMATCH")</f>
        <v>OK</v>
      </c>
      <c r="V13" s="33" t="n">
        <f aca="false">Raw!M13</f>
        <v>1</v>
      </c>
      <c r="W13" s="0" t="str">
        <f aca="false">IF((S13&gt;0)=(V13=1),"OK","MISMATCH")</f>
        <v>OK</v>
      </c>
      <c r="X13" s="0" t="str">
        <f aca="false">_xlfn.IFS(S13&lt;=0,"Early/On time",S13&lt;=2,"Minor (up to 2 days)",S13&lt;=5,"Moderate (2-5 days)",TRUE(),"Severe (over 5 days)")</f>
        <v>Minor (up to 2 days)</v>
      </c>
      <c r="Y13" s="0" t="str">
        <f aca="false">YEAR(K13)&amp;"-"&amp;TEXT(MONTH(K13),"00")</f>
        <v>2025-03</v>
      </c>
      <c r="Z13" s="0" t="str">
        <f aca="false">C13&amp;" → "&amp;D13</f>
        <v>Surat → Madhya Pradesh</v>
      </c>
      <c r="AA13" s="0" t="str">
        <f aca="false">Raw!Q13</f>
        <v>VRL Cargo</v>
      </c>
      <c r="AB13" s="0" t="str">
        <f aca="false">Raw!R13</f>
        <v>Yes</v>
      </c>
      <c r="AC13" s="0" t="str">
        <f aca="false">Raw!S13</f>
        <v>Expedited</v>
      </c>
      <c r="AD13" s="29" t="n">
        <f aca="false">Raw!N13</f>
        <v>5508.07</v>
      </c>
      <c r="AE13" s="29" t="n">
        <f aca="false">Raw!O13</f>
        <v>4232.48</v>
      </c>
      <c r="AF13" s="29" t="n">
        <f aca="false">Raw!P13</f>
        <v>1133.4</v>
      </c>
      <c r="AG13" s="29" t="n">
        <f aca="false">AD13/J13</f>
        <v>489.171403197158</v>
      </c>
    </row>
    <row r="14" customFormat="false" ht="15" hidden="false" customHeight="false" outlineLevel="0" collapsed="false">
      <c r="A14" s="0" t="str">
        <f aca="false">Raw!A14</f>
        <v>SHP0013</v>
      </c>
      <c r="B14" s="0" t="str">
        <f aca="false">Raw!B14</f>
        <v>Inbound</v>
      </c>
      <c r="C14" s="0" t="str">
        <f aca="false">Raw!C14</f>
        <v>Punjab</v>
      </c>
      <c r="D14" s="0" t="str">
        <f aca="false">Raw!D14</f>
        <v>Surat</v>
      </c>
      <c r="E14" s="0" t="str">
        <f aca="false">IFERROR(INDEX(Location_Map!$B$2:$B$15,MATCH(C14,Location_Map!$A$2:$A$15,0)),"UNMAPPED")</f>
        <v>Punjab</v>
      </c>
      <c r="F14" s="0" t="str">
        <f aca="false">IFERROR(INDEX(Location_Map!$C$2:$C$15,MATCH(C14,Location_Map!$A$2:$A$15,0)),"UNMAPPED")</f>
        <v>North</v>
      </c>
      <c r="G14" s="0" t="str">
        <f aca="false">IFERROR(INDEX(Location_Map!$B$2:$B$15,MATCH(D14,Location_Map!$A$2:$A$15,0)),"UNMAPPED")</f>
        <v>Gujarat</v>
      </c>
      <c r="H14" s="0" t="str">
        <f aca="false">IFERROR(INDEX(Location_Map!$C$2:$C$15,MATCH(D14,Location_Map!$A$2:$A$15,0)),"UNMAPPED")</f>
        <v>West</v>
      </c>
      <c r="I14" s="0" t="str">
        <f aca="false">Raw!E14</f>
        <v>Finished Yarn</v>
      </c>
      <c r="J14" s="28" t="n">
        <f aca="false">Raw!F14</f>
        <v>17.56</v>
      </c>
      <c r="K14" s="30" t="n">
        <f aca="false">DATE(LEFT(Raw!G14,4),MID(Raw!G14,6,2),MID(Raw!G14,9,2))</f>
        <v>45899</v>
      </c>
      <c r="L14" s="30" t="n">
        <f aca="false">DATE(LEFT(Raw!H14,4),MID(Raw!H14,6,2),MID(Raw!H14,9,2))</f>
        <v>45900</v>
      </c>
      <c r="M14" s="30" t="n">
        <f aca="false">DATE(LEFT(Raw!I14,4),MID(Raw!I14,6,2),MID(Raw!I14,9,2))</f>
        <v>45904</v>
      </c>
      <c r="N14" s="31" t="n">
        <f aca="false">DATE(LEFT(Raw!J14,4),MID(Raw!J14,6,2),MID(Raw!J14,9,2))+TIME(MID(Raw!J14,12,2),MID(Raw!J14,15,2),MID(Raw!J14,18,2))</f>
        <v>45900.125</v>
      </c>
      <c r="O14" s="31" t="n">
        <f aca="false">DATE(LEFT(Raw!K14,4),MID(Raw!K14,6,2),MID(Raw!K14,9,2))+TIME(MID(Raw!K14,12,2),MID(Raw!K14,15,2),MID(Raw!K14,18,2))</f>
        <v>45903.7</v>
      </c>
      <c r="P14" s="32" t="n">
        <f aca="false">L14-K14</f>
        <v>1</v>
      </c>
      <c r="Q14" s="32" t="n">
        <f aca="false">M14-L14</f>
        <v>4</v>
      </c>
      <c r="R14" s="32" t="n">
        <f aca="false">O14-N14</f>
        <v>3.575</v>
      </c>
      <c r="S14" s="32" t="n">
        <f aca="false">Raw!L14</f>
        <v>-0.3</v>
      </c>
      <c r="T14" s="32" t="n">
        <f aca="false">O14-M14</f>
        <v>-0.300000000005833</v>
      </c>
      <c r="U14" s="0" t="str">
        <f aca="false">IF(ABS(T14-S14)&lt;0.01,"OK","MISMATCH")</f>
        <v>OK</v>
      </c>
      <c r="V14" s="33" t="n">
        <f aca="false">Raw!M14</f>
        <v>0</v>
      </c>
      <c r="W14" s="0" t="str">
        <f aca="false">IF((S14&gt;0)=(V14=1),"OK","MISMATCH")</f>
        <v>OK</v>
      </c>
      <c r="X14" s="0" t="str">
        <f aca="false">_xlfn.IFS(S14&lt;=0,"Early/On time",S14&lt;=2,"Minor (up to 2 days)",S14&lt;=5,"Moderate (2-5 days)",TRUE(),"Severe (over 5 days)")</f>
        <v>Early/On time</v>
      </c>
      <c r="Y14" s="0" t="str">
        <f aca="false">YEAR(K14)&amp;"-"&amp;TEXT(MONTH(K14),"00")</f>
        <v>2025-08</v>
      </c>
      <c r="Z14" s="0" t="str">
        <f aca="false">C14&amp;" → "&amp;D14</f>
        <v>Punjab → Surat</v>
      </c>
      <c r="AA14" s="0" t="str">
        <f aca="false">Raw!Q14</f>
        <v>Delhivery</v>
      </c>
      <c r="AB14" s="0" t="str">
        <f aca="false">Raw!R14</f>
        <v>Yes</v>
      </c>
      <c r="AC14" s="0" t="str">
        <f aca="false">Raw!S14</f>
        <v>Held at warehouse</v>
      </c>
      <c r="AD14" s="29" t="n">
        <f aca="false">Raw!N14</f>
        <v>5426.44</v>
      </c>
      <c r="AE14" s="29" t="n">
        <f aca="false">Raw!O14</f>
        <v>1911.74</v>
      </c>
      <c r="AF14" s="29" t="n">
        <f aca="false">Raw!P14</f>
        <v>927.11</v>
      </c>
      <c r="AG14" s="29" t="n">
        <f aca="false">AD14/J14</f>
        <v>309.02277904328</v>
      </c>
    </row>
    <row r="15" customFormat="false" ht="15" hidden="false" customHeight="false" outlineLevel="0" collapsed="false">
      <c r="A15" s="0" t="str">
        <f aca="false">Raw!A15</f>
        <v>SHP0014</v>
      </c>
      <c r="B15" s="0" t="str">
        <f aca="false">Raw!B15</f>
        <v>Outbound</v>
      </c>
      <c r="C15" s="0" t="str">
        <f aca="false">Raw!C15</f>
        <v>Surat</v>
      </c>
      <c r="D15" s="0" t="str">
        <f aca="false">Raw!D15</f>
        <v>Mumbai</v>
      </c>
      <c r="E15" s="0" t="str">
        <f aca="false">IFERROR(INDEX(Location_Map!$B$2:$B$15,MATCH(C15,Location_Map!$A$2:$A$15,0)),"UNMAPPED")</f>
        <v>Gujarat</v>
      </c>
      <c r="F15" s="0" t="str">
        <f aca="false">IFERROR(INDEX(Location_Map!$C$2:$C$15,MATCH(C15,Location_Map!$A$2:$A$15,0)),"UNMAPPED")</f>
        <v>West</v>
      </c>
      <c r="G15" s="0" t="str">
        <f aca="false">IFERROR(INDEX(Location_Map!$B$2:$B$15,MATCH(D15,Location_Map!$A$2:$A$15,0)),"UNMAPPED")</f>
        <v>Maharashtra</v>
      </c>
      <c r="H15" s="0" t="str">
        <f aca="false">IFERROR(INDEX(Location_Map!$C$2:$C$15,MATCH(D15,Location_Map!$A$2:$A$15,0)),"UNMAPPED")</f>
        <v>West</v>
      </c>
      <c r="I15" s="0" t="str">
        <f aca="false">Raw!E15</f>
        <v>Raw Yarn</v>
      </c>
      <c r="J15" s="28" t="n">
        <f aca="false">Raw!F15</f>
        <v>16.54</v>
      </c>
      <c r="K15" s="30" t="n">
        <f aca="false">DATE(LEFT(Raw!G15,4),MID(Raw!G15,6,2),MID(Raw!G15,9,2))</f>
        <v>45916</v>
      </c>
      <c r="L15" s="30" t="n">
        <f aca="false">DATE(LEFT(Raw!H15,4),MID(Raw!H15,6,2),MID(Raw!H15,9,2))</f>
        <v>45917</v>
      </c>
      <c r="M15" s="30" t="n">
        <f aca="false">DATE(LEFT(Raw!I15,4),MID(Raw!I15,6,2),MID(Raw!I15,9,2))</f>
        <v>45921</v>
      </c>
      <c r="N15" s="31" t="n">
        <f aca="false">DATE(LEFT(Raw!J15,4),MID(Raw!J15,6,2),MID(Raw!J15,9,2))+TIME(MID(Raw!J15,12,2),MID(Raw!J15,15,2),MID(Raw!J15,18,2))</f>
        <v>45917.125</v>
      </c>
      <c r="O15" s="31" t="n">
        <f aca="false">DATE(LEFT(Raw!K15,4),MID(Raw!K15,6,2),MID(Raw!K15,9,2))+TIME(MID(Raw!K15,12,2),MID(Raw!K15,15,2),MID(Raw!K15,18,2))</f>
        <v>45921.9</v>
      </c>
      <c r="P15" s="32" t="n">
        <f aca="false">L15-K15</f>
        <v>1</v>
      </c>
      <c r="Q15" s="32" t="n">
        <f aca="false">M15-L15</f>
        <v>4</v>
      </c>
      <c r="R15" s="32" t="n">
        <f aca="false">O15-N15</f>
        <v>4.775</v>
      </c>
      <c r="S15" s="32" t="n">
        <f aca="false">Raw!L15</f>
        <v>0.9</v>
      </c>
      <c r="T15" s="32" t="n">
        <f aca="false">O15-M15</f>
        <v>0.9</v>
      </c>
      <c r="U15" s="0" t="str">
        <f aca="false">IF(ABS(T15-S15)&lt;0.01,"OK","MISMATCH")</f>
        <v>OK</v>
      </c>
      <c r="V15" s="33" t="n">
        <f aca="false">Raw!M15</f>
        <v>1</v>
      </c>
      <c r="W15" s="0" t="str">
        <f aca="false">IF((S15&gt;0)=(V15=1),"OK","MISMATCH")</f>
        <v>OK</v>
      </c>
      <c r="X15" s="0" t="str">
        <f aca="false">_xlfn.IFS(S15&lt;=0,"Early/On time",S15&lt;=2,"Minor (up to 2 days)",S15&lt;=5,"Moderate (2-5 days)",TRUE(),"Severe (over 5 days)")</f>
        <v>Minor (up to 2 days)</v>
      </c>
      <c r="Y15" s="0" t="str">
        <f aca="false">YEAR(K15)&amp;"-"&amp;TEXT(MONTH(K15),"00")</f>
        <v>2025-09</v>
      </c>
      <c r="Z15" s="0" t="str">
        <f aca="false">C15&amp;" → "&amp;D15</f>
        <v>Surat → Mumbai</v>
      </c>
      <c r="AA15" s="0" t="str">
        <f aca="false">Raw!Q15</f>
        <v>GATI Logistics</v>
      </c>
      <c r="AB15" s="0" t="str">
        <f aca="false">Raw!R15</f>
        <v>No</v>
      </c>
      <c r="AC15" s="0" t="str">
        <f aca="false">Raw!S15</f>
        <v>Damaged</v>
      </c>
      <c r="AD15" s="29" t="n">
        <f aca="false">Raw!N15</f>
        <v>8625.16</v>
      </c>
      <c r="AE15" s="29" t="n">
        <f aca="false">Raw!O15</f>
        <v>2077.65</v>
      </c>
      <c r="AF15" s="29" t="n">
        <f aca="false">Raw!P15</f>
        <v>744.13</v>
      </c>
      <c r="AG15" s="29" t="n">
        <f aca="false">AD15/J15</f>
        <v>521.472793228537</v>
      </c>
    </row>
    <row r="16" customFormat="false" ht="15" hidden="false" customHeight="false" outlineLevel="0" collapsed="false">
      <c r="A16" s="0" t="str">
        <f aca="false">Raw!A16</f>
        <v>SHP0015</v>
      </c>
      <c r="B16" s="0" t="str">
        <f aca="false">Raw!B16</f>
        <v>Inbound</v>
      </c>
      <c r="C16" s="0" t="str">
        <f aca="false">Raw!C16</f>
        <v>Chennai</v>
      </c>
      <c r="D16" s="0" t="str">
        <f aca="false">Raw!D16</f>
        <v>Surat</v>
      </c>
      <c r="E16" s="0" t="str">
        <f aca="false">IFERROR(INDEX(Location_Map!$B$2:$B$15,MATCH(C16,Location_Map!$A$2:$A$15,0)),"UNMAPPED")</f>
        <v>Tamil Nadu</v>
      </c>
      <c r="F16" s="0" t="str">
        <f aca="false">IFERROR(INDEX(Location_Map!$C$2:$C$15,MATCH(C16,Location_Map!$A$2:$A$15,0)),"UNMAPPED")</f>
        <v>South</v>
      </c>
      <c r="G16" s="0" t="str">
        <f aca="false">IFERROR(INDEX(Location_Map!$B$2:$B$15,MATCH(D16,Location_Map!$A$2:$A$15,0)),"UNMAPPED")</f>
        <v>Gujarat</v>
      </c>
      <c r="H16" s="0" t="str">
        <f aca="false">IFERROR(INDEX(Location_Map!$C$2:$C$15,MATCH(D16,Location_Map!$A$2:$A$15,0)),"UNMAPPED")</f>
        <v>West</v>
      </c>
      <c r="I16" s="0" t="str">
        <f aca="false">Raw!E16</f>
        <v>Finished Yarn</v>
      </c>
      <c r="J16" s="28" t="n">
        <f aca="false">Raw!F16</f>
        <v>4.2</v>
      </c>
      <c r="K16" s="30" t="n">
        <f aca="false">DATE(LEFT(Raw!G16,4),MID(Raw!G16,6,2),MID(Raw!G16,9,2))</f>
        <v>45723</v>
      </c>
      <c r="L16" s="30" t="n">
        <f aca="false">DATE(LEFT(Raw!H16,4),MID(Raw!H16,6,2),MID(Raw!H16,9,2))</f>
        <v>45726</v>
      </c>
      <c r="M16" s="30" t="n">
        <f aca="false">DATE(LEFT(Raw!I16,4),MID(Raw!I16,6,2),MID(Raw!I16,9,2))</f>
        <v>45731</v>
      </c>
      <c r="N16" s="31" t="n">
        <f aca="false">DATE(LEFT(Raw!J16,4),MID(Raw!J16,6,2),MID(Raw!J16,9,2))+TIME(MID(Raw!J16,12,2),MID(Raw!J16,15,2),MID(Raw!J16,18,2))</f>
        <v>45725.9166666667</v>
      </c>
      <c r="O16" s="31" t="n">
        <f aca="false">DATE(LEFT(Raw!K16,4),MID(Raw!K16,6,2),MID(Raw!K16,9,2))+TIME(MID(Raw!K16,12,2),MID(Raw!K16,15,2),MID(Raw!K16,18,2))</f>
        <v>45733.8</v>
      </c>
      <c r="P16" s="32" t="n">
        <f aca="false">L16-K16</f>
        <v>3</v>
      </c>
      <c r="Q16" s="32" t="n">
        <f aca="false">M16-L16</f>
        <v>5</v>
      </c>
      <c r="R16" s="32" t="n">
        <f aca="false">O16-N16</f>
        <v>7.88333333333333</v>
      </c>
      <c r="S16" s="32" t="n">
        <f aca="false">Raw!L16</f>
        <v>2.8</v>
      </c>
      <c r="T16" s="32" t="n">
        <f aca="false">O16-M16</f>
        <v>2.8</v>
      </c>
      <c r="U16" s="0" t="str">
        <f aca="false">IF(ABS(T16-S16)&lt;0.01,"OK","MISMATCH")</f>
        <v>OK</v>
      </c>
      <c r="V16" s="33" t="n">
        <f aca="false">Raw!M16</f>
        <v>1</v>
      </c>
      <c r="W16" s="0" t="str">
        <f aca="false">IF((S16&gt;0)=(V16=1),"OK","MISMATCH")</f>
        <v>OK</v>
      </c>
      <c r="X16" s="0" t="str">
        <f aca="false">_xlfn.IFS(S16&lt;=0,"Early/On time",S16&lt;=2,"Minor (up to 2 days)",S16&lt;=5,"Moderate (2-5 days)",TRUE(),"Severe (over 5 days)")</f>
        <v>Moderate (2-5 days)</v>
      </c>
      <c r="Y16" s="0" t="str">
        <f aca="false">YEAR(K16)&amp;"-"&amp;TEXT(MONTH(K16),"00")</f>
        <v>2025-03</v>
      </c>
      <c r="Z16" s="0" t="str">
        <f aca="false">C16&amp;" → "&amp;D16</f>
        <v>Chennai → Surat</v>
      </c>
      <c r="AA16" s="0" t="str">
        <f aca="false">Raw!Q16</f>
        <v>BlueDart</v>
      </c>
      <c r="AB16" s="0" t="str">
        <f aca="false">Raw!R16</f>
        <v>Yes</v>
      </c>
      <c r="AC16" s="0" t="str">
        <f aca="false">Raw!S16</f>
        <v>Damaged</v>
      </c>
      <c r="AD16" s="29" t="n">
        <f aca="false">Raw!N16</f>
        <v>2769.31</v>
      </c>
      <c r="AE16" s="29" t="n">
        <f aca="false">Raw!O16</f>
        <v>3849.08</v>
      </c>
      <c r="AF16" s="29" t="n">
        <f aca="false">Raw!P16</f>
        <v>648.09</v>
      </c>
      <c r="AG16" s="29" t="n">
        <f aca="false">AD16/J16</f>
        <v>659.359523809524</v>
      </c>
    </row>
    <row r="17" customFormat="false" ht="15" hidden="false" customHeight="false" outlineLevel="0" collapsed="false">
      <c r="A17" s="0" t="str">
        <f aca="false">Raw!A17</f>
        <v>SHP0016</v>
      </c>
      <c r="B17" s="0" t="str">
        <f aca="false">Raw!B17</f>
        <v>Inbound</v>
      </c>
      <c r="C17" s="0" t="str">
        <f aca="false">Raw!C17</f>
        <v>Rajasthan</v>
      </c>
      <c r="D17" s="0" t="str">
        <f aca="false">Raw!D17</f>
        <v>Surat</v>
      </c>
      <c r="E17" s="0" t="str">
        <f aca="false">IFERROR(INDEX(Location_Map!$B$2:$B$15,MATCH(C17,Location_Map!$A$2:$A$15,0)),"UNMAPPED")</f>
        <v>Rajasthan</v>
      </c>
      <c r="F17" s="0" t="str">
        <f aca="false">IFERROR(INDEX(Location_Map!$C$2:$C$15,MATCH(C17,Location_Map!$A$2:$A$15,0)),"UNMAPPED")</f>
        <v>North</v>
      </c>
      <c r="G17" s="0" t="str">
        <f aca="false">IFERROR(INDEX(Location_Map!$B$2:$B$15,MATCH(D17,Location_Map!$A$2:$A$15,0)),"UNMAPPED")</f>
        <v>Gujarat</v>
      </c>
      <c r="H17" s="0" t="str">
        <f aca="false">IFERROR(INDEX(Location_Map!$C$2:$C$15,MATCH(D17,Location_Map!$A$2:$A$15,0)),"UNMAPPED")</f>
        <v>West</v>
      </c>
      <c r="I17" s="0" t="str">
        <f aca="false">Raw!E17</f>
        <v>Raw Yarn</v>
      </c>
      <c r="J17" s="28" t="n">
        <f aca="false">Raw!F17</f>
        <v>19.96</v>
      </c>
      <c r="K17" s="30" t="n">
        <f aca="false">DATE(LEFT(Raw!G17,4),MID(Raw!G17,6,2),MID(Raw!G17,9,2))</f>
        <v>45738</v>
      </c>
      <c r="L17" s="30" t="n">
        <f aca="false">DATE(LEFT(Raw!H17,4),MID(Raw!H17,6,2),MID(Raw!H17,9,2))</f>
        <v>45742</v>
      </c>
      <c r="M17" s="30" t="n">
        <f aca="false">DATE(LEFT(Raw!I17,4),MID(Raw!I17,6,2),MID(Raw!I17,9,2))</f>
        <v>45747</v>
      </c>
      <c r="N17" s="31" t="n">
        <f aca="false">DATE(LEFT(Raw!J17,4),MID(Raw!J17,6,2),MID(Raw!J17,9,2))+TIME(MID(Raw!J17,12,2),MID(Raw!J17,15,2),MID(Raw!J17,18,2))</f>
        <v>45742</v>
      </c>
      <c r="O17" s="31" t="n">
        <f aca="false">DATE(LEFT(Raw!K17,4),MID(Raw!K17,6,2),MID(Raw!K17,9,2))+TIME(MID(Raw!K17,12,2),MID(Raw!K17,15,2),MID(Raw!K17,18,2))</f>
        <v>45748.8</v>
      </c>
      <c r="P17" s="32" t="n">
        <f aca="false">L17-K17</f>
        <v>4</v>
      </c>
      <c r="Q17" s="32" t="n">
        <f aca="false">M17-L17</f>
        <v>5</v>
      </c>
      <c r="R17" s="32" t="n">
        <f aca="false">O17-N17</f>
        <v>6.8</v>
      </c>
      <c r="S17" s="32" t="n">
        <f aca="false">Raw!L17</f>
        <v>1.8</v>
      </c>
      <c r="T17" s="32" t="n">
        <f aca="false">O17-M17</f>
        <v>1.8</v>
      </c>
      <c r="U17" s="0" t="str">
        <f aca="false">IF(ABS(T17-S17)&lt;0.01,"OK","MISMATCH")</f>
        <v>OK</v>
      </c>
      <c r="V17" s="33" t="n">
        <f aca="false">Raw!M17</f>
        <v>1</v>
      </c>
      <c r="W17" s="0" t="str">
        <f aca="false">IF((S17&gt;0)=(V17=1),"OK","MISMATCH")</f>
        <v>OK</v>
      </c>
      <c r="X17" s="0" t="str">
        <f aca="false">_xlfn.IFS(S17&lt;=0,"Early/On time",S17&lt;=2,"Minor (up to 2 days)",S17&lt;=5,"Moderate (2-5 days)",TRUE(),"Severe (over 5 days)")</f>
        <v>Minor (up to 2 days)</v>
      </c>
      <c r="Y17" s="0" t="str">
        <f aca="false">YEAR(K17)&amp;"-"&amp;TEXT(MONTH(K17),"00")</f>
        <v>2025-03</v>
      </c>
      <c r="Z17" s="0" t="str">
        <f aca="false">C17&amp;" → "&amp;D17</f>
        <v>Rajasthan → Surat</v>
      </c>
      <c r="AA17" s="0" t="str">
        <f aca="false">Raw!Q17</f>
        <v>BlueDart</v>
      </c>
      <c r="AB17" s="0" t="str">
        <f aca="false">Raw!R17</f>
        <v>Yes</v>
      </c>
      <c r="AC17" s="0" t="str">
        <f aca="false">Raw!S17</f>
        <v>Expedited</v>
      </c>
      <c r="AD17" s="29" t="n">
        <f aca="false">Raw!N17</f>
        <v>5405.55</v>
      </c>
      <c r="AE17" s="29" t="n">
        <f aca="false">Raw!O17</f>
        <v>3537.41</v>
      </c>
      <c r="AF17" s="29" t="n">
        <f aca="false">Raw!P17</f>
        <v>1180.71</v>
      </c>
      <c r="AG17" s="29" t="n">
        <f aca="false">AD17/J17</f>
        <v>270.819138276553</v>
      </c>
    </row>
    <row r="18" customFormat="false" ht="15" hidden="false" customHeight="false" outlineLevel="0" collapsed="false">
      <c r="A18" s="0" t="str">
        <f aca="false">Raw!A18</f>
        <v>SHP0017</v>
      </c>
      <c r="B18" s="0" t="str">
        <f aca="false">Raw!B18</f>
        <v>Outbound</v>
      </c>
      <c r="C18" s="0" t="str">
        <f aca="false">Raw!C18</f>
        <v>Surat</v>
      </c>
      <c r="D18" s="0" t="str">
        <f aca="false">Raw!D18</f>
        <v>Uttarakhand</v>
      </c>
      <c r="E18" s="0" t="str">
        <f aca="false">IFERROR(INDEX(Location_Map!$B$2:$B$15,MATCH(C18,Location_Map!$A$2:$A$15,0)),"UNMAPPED")</f>
        <v>Gujarat</v>
      </c>
      <c r="F18" s="0" t="str">
        <f aca="false">IFERROR(INDEX(Location_Map!$C$2:$C$15,MATCH(C18,Location_Map!$A$2:$A$15,0)),"UNMAPPED")</f>
        <v>West</v>
      </c>
      <c r="G18" s="0" t="str">
        <f aca="false">IFERROR(INDEX(Location_Map!$B$2:$B$15,MATCH(D18,Location_Map!$A$2:$A$15,0)),"UNMAPPED")</f>
        <v>Uttarakhand</v>
      </c>
      <c r="H18" s="0" t="str">
        <f aca="false">IFERROR(INDEX(Location_Map!$C$2:$C$15,MATCH(D18,Location_Map!$A$2:$A$15,0)),"UNMAPPED")</f>
        <v>North</v>
      </c>
      <c r="I18" s="0" t="str">
        <f aca="false">Raw!E18</f>
        <v>Semi-Processed Yarn</v>
      </c>
      <c r="J18" s="28" t="n">
        <f aca="false">Raw!F18</f>
        <v>11.09</v>
      </c>
      <c r="K18" s="30" t="n">
        <f aca="false">DATE(LEFT(Raw!G18,4),MID(Raw!G18,6,2),MID(Raw!G18,9,2))</f>
        <v>45792</v>
      </c>
      <c r="L18" s="30" t="n">
        <f aca="false">DATE(LEFT(Raw!H18,4),MID(Raw!H18,6,2),MID(Raw!H18,9,2))</f>
        <v>45795</v>
      </c>
      <c r="M18" s="30" t="n">
        <f aca="false">DATE(LEFT(Raw!I18,4),MID(Raw!I18,6,2),MID(Raw!I18,9,2))</f>
        <v>45800</v>
      </c>
      <c r="N18" s="31" t="n">
        <f aca="false">DATE(LEFT(Raw!J18,4),MID(Raw!J18,6,2),MID(Raw!J18,9,2))+TIME(MID(Raw!J18,12,2),MID(Raw!J18,15,2),MID(Raw!J18,18,2))</f>
        <v>45794.7916666667</v>
      </c>
      <c r="O18" s="31" t="n">
        <f aca="false">DATE(LEFT(Raw!K18,4),MID(Raw!K18,6,2),MID(Raw!K18,9,2))+TIME(MID(Raw!K18,12,2),MID(Raw!K18,15,2),MID(Raw!K18,18,2))</f>
        <v>45801.4</v>
      </c>
      <c r="P18" s="32" t="n">
        <f aca="false">L18-K18</f>
        <v>3</v>
      </c>
      <c r="Q18" s="32" t="n">
        <f aca="false">M18-L18</f>
        <v>5</v>
      </c>
      <c r="R18" s="32" t="n">
        <f aca="false">O18-N18</f>
        <v>6.60833333333333</v>
      </c>
      <c r="S18" s="32" t="n">
        <f aca="false">Raw!L18</f>
        <v>1.4</v>
      </c>
      <c r="T18" s="32" t="n">
        <f aca="false">O18-M18</f>
        <v>1.4</v>
      </c>
      <c r="U18" s="0" t="str">
        <f aca="false">IF(ABS(T18-S18)&lt;0.01,"OK","MISMATCH")</f>
        <v>OK</v>
      </c>
      <c r="V18" s="33" t="n">
        <f aca="false">Raw!M18</f>
        <v>1</v>
      </c>
      <c r="W18" s="0" t="str">
        <f aca="false">IF((S18&gt;0)=(V18=1),"OK","MISMATCH")</f>
        <v>OK</v>
      </c>
      <c r="X18" s="0" t="str">
        <f aca="false">_xlfn.IFS(S18&lt;=0,"Early/On time",S18&lt;=2,"Minor (up to 2 days)",S18&lt;=5,"Moderate (2-5 days)",TRUE(),"Severe (over 5 days)")</f>
        <v>Minor (up to 2 days)</v>
      </c>
      <c r="Y18" s="0" t="str">
        <f aca="false">YEAR(K18)&amp;"-"&amp;TEXT(MONTH(K18),"00")</f>
        <v>2025-05</v>
      </c>
      <c r="Z18" s="0" t="str">
        <f aca="false">C18&amp;" → "&amp;D18</f>
        <v>Surat → Uttarakhand</v>
      </c>
      <c r="AA18" s="0" t="str">
        <f aca="false">Raw!Q18</f>
        <v>Delhivery</v>
      </c>
      <c r="AB18" s="0" t="str">
        <f aca="false">Raw!R18</f>
        <v>No</v>
      </c>
      <c r="AC18" s="0" t="str">
        <f aca="false">Raw!S18</f>
        <v>Returned</v>
      </c>
      <c r="AD18" s="29" t="n">
        <f aca="false">Raw!N18</f>
        <v>5964.83</v>
      </c>
      <c r="AE18" s="29" t="n">
        <f aca="false">Raw!O18</f>
        <v>3529.22</v>
      </c>
      <c r="AF18" s="29" t="n">
        <f aca="false">Raw!P18</f>
        <v>1133.53</v>
      </c>
      <c r="AG18" s="29" t="n">
        <f aca="false">AD18/J18</f>
        <v>537.856627592426</v>
      </c>
    </row>
    <row r="19" customFormat="false" ht="15" hidden="false" customHeight="false" outlineLevel="0" collapsed="false">
      <c r="A19" s="0" t="str">
        <f aca="false">Raw!A19</f>
        <v>SHP0018</v>
      </c>
      <c r="B19" s="0" t="str">
        <f aca="false">Raw!B19</f>
        <v>Inbound</v>
      </c>
      <c r="C19" s="0" t="str">
        <f aca="false">Raw!C19</f>
        <v>Chennai</v>
      </c>
      <c r="D19" s="0" t="str">
        <f aca="false">Raw!D19</f>
        <v>Surat</v>
      </c>
      <c r="E19" s="0" t="str">
        <f aca="false">IFERROR(INDEX(Location_Map!$B$2:$B$15,MATCH(C19,Location_Map!$A$2:$A$15,0)),"UNMAPPED")</f>
        <v>Tamil Nadu</v>
      </c>
      <c r="F19" s="0" t="str">
        <f aca="false">IFERROR(INDEX(Location_Map!$C$2:$C$15,MATCH(C19,Location_Map!$A$2:$A$15,0)),"UNMAPPED")</f>
        <v>South</v>
      </c>
      <c r="G19" s="0" t="str">
        <f aca="false">IFERROR(INDEX(Location_Map!$B$2:$B$15,MATCH(D19,Location_Map!$A$2:$A$15,0)),"UNMAPPED")</f>
        <v>Gujarat</v>
      </c>
      <c r="H19" s="0" t="str">
        <f aca="false">IFERROR(INDEX(Location_Map!$C$2:$C$15,MATCH(D19,Location_Map!$A$2:$A$15,0)),"UNMAPPED")</f>
        <v>West</v>
      </c>
      <c r="I19" s="0" t="str">
        <f aca="false">Raw!E19</f>
        <v>Raw Yarn</v>
      </c>
      <c r="J19" s="28" t="n">
        <f aca="false">Raw!F19</f>
        <v>11.18</v>
      </c>
      <c r="K19" s="30" t="n">
        <f aca="false">DATE(LEFT(Raw!G19,4),MID(Raw!G19,6,2),MID(Raw!G19,9,2))</f>
        <v>45685</v>
      </c>
      <c r="L19" s="30" t="n">
        <f aca="false">DATE(LEFT(Raw!H19,4),MID(Raw!H19,6,2),MID(Raw!H19,9,2))</f>
        <v>45689</v>
      </c>
      <c r="M19" s="30" t="n">
        <f aca="false">DATE(LEFT(Raw!I19,4),MID(Raw!I19,6,2),MID(Raw!I19,9,2))</f>
        <v>45694</v>
      </c>
      <c r="N19" s="31" t="n">
        <f aca="false">DATE(LEFT(Raw!J19,4),MID(Raw!J19,6,2),MID(Raw!J19,9,2))+TIME(MID(Raw!J19,12,2),MID(Raw!J19,15,2),MID(Raw!J19,18,2))</f>
        <v>45689.2083333333</v>
      </c>
      <c r="O19" s="31" t="n">
        <f aca="false">DATE(LEFT(Raw!K19,4),MID(Raw!K19,6,2),MID(Raw!K19,9,2))+TIME(MID(Raw!K19,12,2),MID(Raw!K19,15,2),MID(Raw!K19,18,2))</f>
        <v>45693.9</v>
      </c>
      <c r="P19" s="32" t="n">
        <f aca="false">L19-K19</f>
        <v>4</v>
      </c>
      <c r="Q19" s="32" t="n">
        <f aca="false">M19-L19</f>
        <v>5</v>
      </c>
      <c r="R19" s="32" t="n">
        <f aca="false">O19-N19</f>
        <v>4.69166666666667</v>
      </c>
      <c r="S19" s="32" t="n">
        <f aca="false">Raw!L19</f>
        <v>-0.1</v>
      </c>
      <c r="T19" s="32" t="n">
        <f aca="false">O19-M19</f>
        <v>-0.1</v>
      </c>
      <c r="U19" s="0" t="str">
        <f aca="false">IF(ABS(T19-S19)&lt;0.01,"OK","MISMATCH")</f>
        <v>OK</v>
      </c>
      <c r="V19" s="33" t="n">
        <f aca="false">Raw!M19</f>
        <v>0</v>
      </c>
      <c r="W19" s="0" t="str">
        <f aca="false">IF((S19&gt;0)=(V19=1),"OK","MISMATCH")</f>
        <v>OK</v>
      </c>
      <c r="X19" s="0" t="str">
        <f aca="false">_xlfn.IFS(S19&lt;=0,"Early/On time",S19&lt;=2,"Minor (up to 2 days)",S19&lt;=5,"Moderate (2-5 days)",TRUE(),"Severe (over 5 days)")</f>
        <v>Early/On time</v>
      </c>
      <c r="Y19" s="0" t="str">
        <f aca="false">YEAR(K19)&amp;"-"&amp;TEXT(MONTH(K19),"00")</f>
        <v>2025-01</v>
      </c>
      <c r="Z19" s="0" t="str">
        <f aca="false">C19&amp;" → "&amp;D19</f>
        <v>Chennai → Surat</v>
      </c>
      <c r="AA19" s="0" t="str">
        <f aca="false">Raw!Q19</f>
        <v>Delhivery</v>
      </c>
      <c r="AB19" s="0" t="str">
        <f aca="false">Raw!R19</f>
        <v>No</v>
      </c>
      <c r="AC19" s="0" t="str">
        <f aca="false">Raw!S19</f>
        <v>Normal</v>
      </c>
      <c r="AD19" s="29" t="n">
        <f aca="false">Raw!N19</f>
        <v>3199.49</v>
      </c>
      <c r="AE19" s="29" t="n">
        <f aca="false">Raw!O19</f>
        <v>3363.57</v>
      </c>
      <c r="AF19" s="29" t="n">
        <f aca="false">Raw!P19</f>
        <v>1177.56</v>
      </c>
      <c r="AG19" s="29" t="n">
        <f aca="false">AD19/J19</f>
        <v>286.179785330948</v>
      </c>
    </row>
    <row r="20" customFormat="false" ht="15" hidden="false" customHeight="false" outlineLevel="0" collapsed="false">
      <c r="A20" s="0" t="str">
        <f aca="false">Raw!A20</f>
        <v>SHP0019</v>
      </c>
      <c r="B20" s="0" t="str">
        <f aca="false">Raw!B20</f>
        <v>Outbound</v>
      </c>
      <c r="C20" s="0" t="str">
        <f aca="false">Raw!C20</f>
        <v>Surat</v>
      </c>
      <c r="D20" s="0" t="str">
        <f aca="false">Raw!D20</f>
        <v>Madhya Pradesh</v>
      </c>
      <c r="E20" s="0" t="str">
        <f aca="false">IFERROR(INDEX(Location_Map!$B$2:$B$15,MATCH(C20,Location_Map!$A$2:$A$15,0)),"UNMAPPED")</f>
        <v>Gujarat</v>
      </c>
      <c r="F20" s="0" t="str">
        <f aca="false">IFERROR(INDEX(Location_Map!$C$2:$C$15,MATCH(C20,Location_Map!$A$2:$A$15,0)),"UNMAPPED")</f>
        <v>West</v>
      </c>
      <c r="G20" s="0" t="str">
        <f aca="false">IFERROR(INDEX(Location_Map!$B$2:$B$15,MATCH(D20,Location_Map!$A$2:$A$15,0)),"UNMAPPED")</f>
        <v>Madhya Pradesh</v>
      </c>
      <c r="H20" s="0" t="str">
        <f aca="false">IFERROR(INDEX(Location_Map!$C$2:$C$15,MATCH(D20,Location_Map!$A$2:$A$15,0)),"UNMAPPED")</f>
        <v>Central</v>
      </c>
      <c r="I20" s="0" t="str">
        <f aca="false">Raw!E20</f>
        <v>Raw Yarn</v>
      </c>
      <c r="J20" s="28" t="n">
        <f aca="false">Raw!F20</f>
        <v>1.32</v>
      </c>
      <c r="K20" s="30" t="n">
        <f aca="false">DATE(LEFT(Raw!G20,4),MID(Raw!G20,6,2),MID(Raw!G20,9,2))</f>
        <v>45811</v>
      </c>
      <c r="L20" s="30" t="n">
        <f aca="false">DATE(LEFT(Raw!H20,4),MID(Raw!H20,6,2),MID(Raw!H20,9,2))</f>
        <v>45812</v>
      </c>
      <c r="M20" s="30" t="n">
        <f aca="false">DATE(LEFT(Raw!I20,4),MID(Raw!I20,6,2),MID(Raw!I20,9,2))</f>
        <v>45817</v>
      </c>
      <c r="N20" s="31" t="n">
        <f aca="false">DATE(LEFT(Raw!J20,4),MID(Raw!J20,6,2),MID(Raw!J20,9,2))+TIME(MID(Raw!J20,12,2),MID(Raw!J20,15,2),MID(Raw!J20,18,2))</f>
        <v>45812.0416666667</v>
      </c>
      <c r="O20" s="31" t="n">
        <f aca="false">DATE(LEFT(Raw!K20,4),MID(Raw!K20,6,2),MID(Raw!K20,9,2))+TIME(MID(Raw!K20,12,2),MID(Raw!K20,15,2),MID(Raw!K20,18,2))</f>
        <v>45818.6</v>
      </c>
      <c r="P20" s="32" t="n">
        <f aca="false">L20-K20</f>
        <v>1</v>
      </c>
      <c r="Q20" s="32" t="n">
        <f aca="false">M20-L20</f>
        <v>5</v>
      </c>
      <c r="R20" s="32" t="n">
        <f aca="false">O20-N20</f>
        <v>6.55833333333333</v>
      </c>
      <c r="S20" s="32" t="n">
        <f aca="false">Raw!L20</f>
        <v>1.6</v>
      </c>
      <c r="T20" s="32" t="n">
        <f aca="false">O20-M20</f>
        <v>1.6</v>
      </c>
      <c r="U20" s="0" t="str">
        <f aca="false">IF(ABS(T20-S20)&lt;0.01,"OK","MISMATCH")</f>
        <v>OK</v>
      </c>
      <c r="V20" s="33" t="n">
        <f aca="false">Raw!M20</f>
        <v>1</v>
      </c>
      <c r="W20" s="0" t="str">
        <f aca="false">IF((S20&gt;0)=(V20=1),"OK","MISMATCH")</f>
        <v>OK</v>
      </c>
      <c r="X20" s="0" t="str">
        <f aca="false">_xlfn.IFS(S20&lt;=0,"Early/On time",S20&lt;=2,"Minor (up to 2 days)",S20&lt;=5,"Moderate (2-5 days)",TRUE(),"Severe (over 5 days)")</f>
        <v>Minor (up to 2 days)</v>
      </c>
      <c r="Y20" s="0" t="str">
        <f aca="false">YEAR(K20)&amp;"-"&amp;TEXT(MONTH(K20),"00")</f>
        <v>2025-06</v>
      </c>
      <c r="Z20" s="0" t="str">
        <f aca="false">C20&amp;" → "&amp;D20</f>
        <v>Surat → Madhya Pradesh</v>
      </c>
      <c r="AA20" s="0" t="str">
        <f aca="false">Raw!Q20</f>
        <v>VRL Cargo</v>
      </c>
      <c r="AB20" s="0" t="str">
        <f aca="false">Raw!R20</f>
        <v>No</v>
      </c>
      <c r="AC20" s="0" t="str">
        <f aca="false">Raw!S20</f>
        <v>Returned</v>
      </c>
      <c r="AD20" s="29" t="n">
        <f aca="false">Raw!N20</f>
        <v>1465.34</v>
      </c>
      <c r="AE20" s="29" t="n">
        <f aca="false">Raw!O20</f>
        <v>2364.27</v>
      </c>
      <c r="AF20" s="29" t="n">
        <f aca="false">Raw!P20</f>
        <v>613.47</v>
      </c>
      <c r="AG20" s="29" t="n">
        <f aca="false">AD20/J20</f>
        <v>1110.10606060606</v>
      </c>
    </row>
    <row r="21" customFormat="false" ht="15" hidden="false" customHeight="false" outlineLevel="0" collapsed="false">
      <c r="A21" s="0" t="str">
        <f aca="false">Raw!A21</f>
        <v>SHP0020</v>
      </c>
      <c r="B21" s="0" t="str">
        <f aca="false">Raw!B21</f>
        <v>Inbound</v>
      </c>
      <c r="C21" s="0" t="str">
        <f aca="false">Raw!C21</f>
        <v>Rajasthan</v>
      </c>
      <c r="D21" s="0" t="str">
        <f aca="false">Raw!D21</f>
        <v>Surat</v>
      </c>
      <c r="E21" s="0" t="str">
        <f aca="false">IFERROR(INDEX(Location_Map!$B$2:$B$15,MATCH(C21,Location_Map!$A$2:$A$15,0)),"UNMAPPED")</f>
        <v>Rajasthan</v>
      </c>
      <c r="F21" s="0" t="str">
        <f aca="false">IFERROR(INDEX(Location_Map!$C$2:$C$15,MATCH(C21,Location_Map!$A$2:$A$15,0)),"UNMAPPED")</f>
        <v>North</v>
      </c>
      <c r="G21" s="0" t="str">
        <f aca="false">IFERROR(INDEX(Location_Map!$B$2:$B$15,MATCH(D21,Location_Map!$A$2:$A$15,0)),"UNMAPPED")</f>
        <v>Gujarat</v>
      </c>
      <c r="H21" s="0" t="str">
        <f aca="false">IFERROR(INDEX(Location_Map!$C$2:$C$15,MATCH(D21,Location_Map!$A$2:$A$15,0)),"UNMAPPED")</f>
        <v>West</v>
      </c>
      <c r="I21" s="0" t="str">
        <f aca="false">Raw!E21</f>
        <v>Finished Yarn</v>
      </c>
      <c r="J21" s="28" t="n">
        <f aca="false">Raw!F21</f>
        <v>18.57</v>
      </c>
      <c r="K21" s="30" t="n">
        <f aca="false">DATE(LEFT(Raw!G21,4),MID(Raw!G21,6,2),MID(Raw!G21,9,2))</f>
        <v>45921</v>
      </c>
      <c r="L21" s="30" t="n">
        <f aca="false">DATE(LEFT(Raw!H21,4),MID(Raw!H21,6,2),MID(Raw!H21,9,2))</f>
        <v>45923</v>
      </c>
      <c r="M21" s="30" t="n">
        <f aca="false">DATE(LEFT(Raw!I21,4),MID(Raw!I21,6,2),MID(Raw!I21,9,2))</f>
        <v>45928</v>
      </c>
      <c r="N21" s="31" t="n">
        <f aca="false">DATE(LEFT(Raw!J21,4),MID(Raw!J21,6,2),MID(Raw!J21,9,2))+TIME(MID(Raw!J21,12,2),MID(Raw!J21,15,2),MID(Raw!J21,18,2))</f>
        <v>45923.1666666667</v>
      </c>
      <c r="O21" s="31" t="n">
        <f aca="false">DATE(LEFT(Raw!K21,4),MID(Raw!K21,6,2),MID(Raw!K21,9,2))+TIME(MID(Raw!K21,12,2),MID(Raw!K21,15,2),MID(Raw!K21,18,2))</f>
        <v>45931.9</v>
      </c>
      <c r="P21" s="32" t="n">
        <f aca="false">L21-K21</f>
        <v>2</v>
      </c>
      <c r="Q21" s="32" t="n">
        <f aca="false">M21-L21</f>
        <v>5</v>
      </c>
      <c r="R21" s="32" t="n">
        <f aca="false">O21-N21</f>
        <v>8.73333333333333</v>
      </c>
      <c r="S21" s="32" t="n">
        <f aca="false">Raw!L21</f>
        <v>3.9</v>
      </c>
      <c r="T21" s="32" t="n">
        <f aca="false">O21-M21</f>
        <v>3.9</v>
      </c>
      <c r="U21" s="0" t="str">
        <f aca="false">IF(ABS(T21-S21)&lt;0.01,"OK","MISMATCH")</f>
        <v>OK</v>
      </c>
      <c r="V21" s="33" t="n">
        <f aca="false">Raw!M21</f>
        <v>1</v>
      </c>
      <c r="W21" s="0" t="str">
        <f aca="false">IF((S21&gt;0)=(V21=1),"OK","MISMATCH")</f>
        <v>OK</v>
      </c>
      <c r="X21" s="0" t="str">
        <f aca="false">_xlfn.IFS(S21&lt;=0,"Early/On time",S21&lt;=2,"Minor (up to 2 days)",S21&lt;=5,"Moderate (2-5 days)",TRUE(),"Severe (over 5 days)")</f>
        <v>Moderate (2-5 days)</v>
      </c>
      <c r="Y21" s="0" t="str">
        <f aca="false">YEAR(K21)&amp;"-"&amp;TEXT(MONTH(K21),"00")</f>
        <v>2025-09</v>
      </c>
      <c r="Z21" s="0" t="str">
        <f aca="false">C21&amp;" → "&amp;D21</f>
        <v>Rajasthan → Surat</v>
      </c>
      <c r="AA21" s="0" t="str">
        <f aca="false">Raw!Q21</f>
        <v>TCI Express</v>
      </c>
      <c r="AB21" s="0" t="str">
        <f aca="false">Raw!R21</f>
        <v>No</v>
      </c>
      <c r="AC21" s="0" t="str">
        <f aca="false">Raw!S21</f>
        <v>Returned</v>
      </c>
      <c r="AD21" s="29" t="n">
        <f aca="false">Raw!N21</f>
        <v>11832.12</v>
      </c>
      <c r="AE21" s="29" t="n">
        <f aca="false">Raw!O21</f>
        <v>2043.32</v>
      </c>
      <c r="AF21" s="29" t="n">
        <f aca="false">Raw!P21</f>
        <v>1496.25</v>
      </c>
      <c r="AG21" s="29" t="n">
        <f aca="false">AD21/J21</f>
        <v>637.163166397415</v>
      </c>
    </row>
    <row r="22" customFormat="false" ht="15" hidden="false" customHeight="false" outlineLevel="0" collapsed="false">
      <c r="A22" s="0" t="str">
        <f aca="false">Raw!A22</f>
        <v>SHP0021</v>
      </c>
      <c r="B22" s="0" t="str">
        <f aca="false">Raw!B22</f>
        <v>Outbound</v>
      </c>
      <c r="C22" s="0" t="str">
        <f aca="false">Raw!C22</f>
        <v>Surat</v>
      </c>
      <c r="D22" s="0" t="str">
        <f aca="false">Raw!D22</f>
        <v>Mumbai</v>
      </c>
      <c r="E22" s="0" t="str">
        <f aca="false">IFERROR(INDEX(Location_Map!$B$2:$B$15,MATCH(C22,Location_Map!$A$2:$A$15,0)),"UNMAPPED")</f>
        <v>Gujarat</v>
      </c>
      <c r="F22" s="0" t="str">
        <f aca="false">IFERROR(INDEX(Location_Map!$C$2:$C$15,MATCH(C22,Location_Map!$A$2:$A$15,0)),"UNMAPPED")</f>
        <v>West</v>
      </c>
      <c r="G22" s="0" t="str">
        <f aca="false">IFERROR(INDEX(Location_Map!$B$2:$B$15,MATCH(D22,Location_Map!$A$2:$A$15,0)),"UNMAPPED")</f>
        <v>Maharashtra</v>
      </c>
      <c r="H22" s="0" t="str">
        <f aca="false">IFERROR(INDEX(Location_Map!$C$2:$C$15,MATCH(D22,Location_Map!$A$2:$A$15,0)),"UNMAPPED")</f>
        <v>West</v>
      </c>
      <c r="I22" s="0" t="str">
        <f aca="false">Raw!E22</f>
        <v>Finished Yarn</v>
      </c>
      <c r="J22" s="28" t="n">
        <f aca="false">Raw!F22</f>
        <v>19.34</v>
      </c>
      <c r="K22" s="30" t="n">
        <f aca="false">DATE(LEFT(Raw!G22,4),MID(Raw!G22,6,2),MID(Raw!G22,9,2))</f>
        <v>45825</v>
      </c>
      <c r="L22" s="30" t="n">
        <f aca="false">DATE(LEFT(Raw!H22,4),MID(Raw!H22,6,2),MID(Raw!H22,9,2))</f>
        <v>45829</v>
      </c>
      <c r="M22" s="30" t="n">
        <f aca="false">DATE(LEFT(Raw!I22,4),MID(Raw!I22,6,2),MID(Raw!I22,9,2))</f>
        <v>45831</v>
      </c>
      <c r="N22" s="31" t="n">
        <f aca="false">DATE(LEFT(Raw!J22,4),MID(Raw!J22,6,2),MID(Raw!J22,9,2))+TIME(MID(Raw!J22,12,2),MID(Raw!J22,15,2),MID(Raw!J22,18,2))</f>
        <v>45828.875</v>
      </c>
      <c r="O22" s="31" t="n">
        <f aca="false">DATE(LEFT(Raw!K22,4),MID(Raw!K22,6,2),MID(Raw!K22,9,2))+TIME(MID(Raw!K22,12,2),MID(Raw!K22,15,2),MID(Raw!K22,18,2))</f>
        <v>45835.9</v>
      </c>
      <c r="P22" s="32" t="n">
        <f aca="false">L22-K22</f>
        <v>4</v>
      </c>
      <c r="Q22" s="32" t="n">
        <f aca="false">M22-L22</f>
        <v>2</v>
      </c>
      <c r="R22" s="32" t="n">
        <f aca="false">O22-N22</f>
        <v>7.025</v>
      </c>
      <c r="S22" s="32" t="n">
        <f aca="false">Raw!L22</f>
        <v>4.9</v>
      </c>
      <c r="T22" s="32" t="n">
        <f aca="false">O22-M22</f>
        <v>4.9</v>
      </c>
      <c r="U22" s="0" t="str">
        <f aca="false">IF(ABS(T22-S22)&lt;0.01,"OK","MISMATCH")</f>
        <v>OK</v>
      </c>
      <c r="V22" s="33" t="n">
        <f aca="false">Raw!M22</f>
        <v>1</v>
      </c>
      <c r="W22" s="0" t="str">
        <f aca="false">IF((S22&gt;0)=(V22=1),"OK","MISMATCH")</f>
        <v>OK</v>
      </c>
      <c r="X22" s="0" t="str">
        <f aca="false">_xlfn.IFS(S22&lt;=0,"Early/On time",S22&lt;=2,"Minor (up to 2 days)",S22&lt;=5,"Moderate (2-5 days)",TRUE(),"Severe (over 5 days)")</f>
        <v>Moderate (2-5 days)</v>
      </c>
      <c r="Y22" s="0" t="str">
        <f aca="false">YEAR(K22)&amp;"-"&amp;TEXT(MONTH(K22),"00")</f>
        <v>2025-06</v>
      </c>
      <c r="Z22" s="0" t="str">
        <f aca="false">C22&amp;" → "&amp;D22</f>
        <v>Surat → Mumbai</v>
      </c>
      <c r="AA22" s="0" t="str">
        <f aca="false">Raw!Q22</f>
        <v>GATI Logistics</v>
      </c>
      <c r="AB22" s="0" t="str">
        <f aca="false">Raw!R22</f>
        <v>No</v>
      </c>
      <c r="AC22" s="0" t="str">
        <f aca="false">Raw!S22</f>
        <v>Held at warehouse</v>
      </c>
      <c r="AD22" s="29" t="n">
        <f aca="false">Raw!N22</f>
        <v>10654.35</v>
      </c>
      <c r="AE22" s="29" t="n">
        <f aca="false">Raw!O22</f>
        <v>4551.08</v>
      </c>
      <c r="AF22" s="29" t="n">
        <f aca="false">Raw!P22</f>
        <v>1350.93</v>
      </c>
      <c r="AG22" s="29" t="n">
        <f aca="false">AD22/J22</f>
        <v>550.897104446743</v>
      </c>
    </row>
    <row r="23" customFormat="false" ht="15" hidden="false" customHeight="false" outlineLevel="0" collapsed="false">
      <c r="A23" s="0" t="str">
        <f aca="false">Raw!A23</f>
        <v>SHP0022</v>
      </c>
      <c r="B23" s="0" t="str">
        <f aca="false">Raw!B23</f>
        <v>Inbound</v>
      </c>
      <c r="C23" s="0" t="str">
        <f aca="false">Raw!C23</f>
        <v>Rajasthan</v>
      </c>
      <c r="D23" s="0" t="str">
        <f aca="false">Raw!D23</f>
        <v>Surat</v>
      </c>
      <c r="E23" s="0" t="str">
        <f aca="false">IFERROR(INDEX(Location_Map!$B$2:$B$15,MATCH(C23,Location_Map!$A$2:$A$15,0)),"UNMAPPED")</f>
        <v>Rajasthan</v>
      </c>
      <c r="F23" s="0" t="str">
        <f aca="false">IFERROR(INDEX(Location_Map!$C$2:$C$15,MATCH(C23,Location_Map!$A$2:$A$15,0)),"UNMAPPED")</f>
        <v>North</v>
      </c>
      <c r="G23" s="0" t="str">
        <f aca="false">IFERROR(INDEX(Location_Map!$B$2:$B$15,MATCH(D23,Location_Map!$A$2:$A$15,0)),"UNMAPPED")</f>
        <v>Gujarat</v>
      </c>
      <c r="H23" s="0" t="str">
        <f aca="false">IFERROR(INDEX(Location_Map!$C$2:$C$15,MATCH(D23,Location_Map!$A$2:$A$15,0)),"UNMAPPED")</f>
        <v>West</v>
      </c>
      <c r="I23" s="0" t="str">
        <f aca="false">Raw!E23</f>
        <v>Raw Yarn</v>
      </c>
      <c r="J23" s="28" t="n">
        <f aca="false">Raw!F23</f>
        <v>18.78</v>
      </c>
      <c r="K23" s="30" t="n">
        <f aca="false">DATE(LEFT(Raw!G23,4),MID(Raw!G23,6,2),MID(Raw!G23,9,2))</f>
        <v>45893</v>
      </c>
      <c r="L23" s="30" t="n">
        <f aca="false">DATE(LEFT(Raw!H23,4),MID(Raw!H23,6,2),MID(Raw!H23,9,2))</f>
        <v>45896</v>
      </c>
      <c r="M23" s="30" t="n">
        <f aca="false">DATE(LEFT(Raw!I23,4),MID(Raw!I23,6,2),MID(Raw!I23,9,2))</f>
        <v>45900</v>
      </c>
      <c r="N23" s="31" t="n">
        <f aca="false">DATE(LEFT(Raw!J23,4),MID(Raw!J23,6,2),MID(Raw!J23,9,2))+TIME(MID(Raw!J23,12,2),MID(Raw!J23,15,2),MID(Raw!J23,18,2))</f>
        <v>45896.3333333333</v>
      </c>
      <c r="O23" s="31" t="n">
        <f aca="false">DATE(LEFT(Raw!K23,4),MID(Raw!K23,6,2),MID(Raw!K23,9,2))+TIME(MID(Raw!K23,12,2),MID(Raw!K23,15,2),MID(Raw!K23,18,2))</f>
        <v>45899</v>
      </c>
      <c r="P23" s="32" t="n">
        <f aca="false">L23-K23</f>
        <v>3</v>
      </c>
      <c r="Q23" s="32" t="n">
        <f aca="false">M23-L23</f>
        <v>4</v>
      </c>
      <c r="R23" s="32" t="n">
        <f aca="false">O23-N23</f>
        <v>2.66666666666667</v>
      </c>
      <c r="S23" s="32" t="n">
        <f aca="false">Raw!L23</f>
        <v>-1</v>
      </c>
      <c r="T23" s="32" t="n">
        <f aca="false">O23-M23</f>
        <v>-1</v>
      </c>
      <c r="U23" s="0" t="str">
        <f aca="false">IF(ABS(T23-S23)&lt;0.01,"OK","MISMATCH")</f>
        <v>OK</v>
      </c>
      <c r="V23" s="33" t="n">
        <f aca="false">Raw!M23</f>
        <v>0</v>
      </c>
      <c r="W23" s="0" t="str">
        <f aca="false">IF((S23&gt;0)=(V23=1),"OK","MISMATCH")</f>
        <v>OK</v>
      </c>
      <c r="X23" s="0" t="str">
        <f aca="false">_xlfn.IFS(S23&lt;=0,"Early/On time",S23&lt;=2,"Minor (up to 2 days)",S23&lt;=5,"Moderate (2-5 days)",TRUE(),"Severe (over 5 days)")</f>
        <v>Early/On time</v>
      </c>
      <c r="Y23" s="0" t="str">
        <f aca="false">YEAR(K23)&amp;"-"&amp;TEXT(MONTH(K23),"00")</f>
        <v>2025-08</v>
      </c>
      <c r="Z23" s="0" t="str">
        <f aca="false">C23&amp;" → "&amp;D23</f>
        <v>Rajasthan → Surat</v>
      </c>
      <c r="AA23" s="0" t="str">
        <f aca="false">Raw!Q23</f>
        <v>TCI Express</v>
      </c>
      <c r="AB23" s="0" t="str">
        <f aca="false">Raw!R23</f>
        <v>Yes</v>
      </c>
      <c r="AC23" s="0" t="str">
        <f aca="false">Raw!S23</f>
        <v>Held at warehouse</v>
      </c>
      <c r="AD23" s="29" t="n">
        <f aca="false">Raw!N23</f>
        <v>14893.74</v>
      </c>
      <c r="AE23" s="29" t="n">
        <f aca="false">Raw!O23</f>
        <v>2135.68</v>
      </c>
      <c r="AF23" s="29" t="n">
        <f aca="false">Raw!P23</f>
        <v>805.36</v>
      </c>
      <c r="AG23" s="29" t="n">
        <f aca="false">AD23/J23</f>
        <v>793.063897763578</v>
      </c>
    </row>
    <row r="24" customFormat="false" ht="15" hidden="false" customHeight="false" outlineLevel="0" collapsed="false">
      <c r="A24" s="0" t="str">
        <f aca="false">Raw!A24</f>
        <v>SHP0023</v>
      </c>
      <c r="B24" s="0" t="str">
        <f aca="false">Raw!B24</f>
        <v>Outbound</v>
      </c>
      <c r="C24" s="0" t="str">
        <f aca="false">Raw!C24</f>
        <v>Surat</v>
      </c>
      <c r="D24" s="0" t="str">
        <f aca="false">Raw!D24</f>
        <v>Assam</v>
      </c>
      <c r="E24" s="0" t="str">
        <f aca="false">IFERROR(INDEX(Location_Map!$B$2:$B$15,MATCH(C24,Location_Map!$A$2:$A$15,0)),"UNMAPPED")</f>
        <v>Gujarat</v>
      </c>
      <c r="F24" s="0" t="str">
        <f aca="false">IFERROR(INDEX(Location_Map!$C$2:$C$15,MATCH(C24,Location_Map!$A$2:$A$15,0)),"UNMAPPED")</f>
        <v>West</v>
      </c>
      <c r="G24" s="0" t="str">
        <f aca="false">IFERROR(INDEX(Location_Map!$B$2:$B$15,MATCH(D24,Location_Map!$A$2:$A$15,0)),"UNMAPPED")</f>
        <v>Assam</v>
      </c>
      <c r="H24" s="0" t="str">
        <f aca="false">IFERROR(INDEX(Location_Map!$C$2:$C$15,MATCH(D24,Location_Map!$A$2:$A$15,0)),"UNMAPPED")</f>
        <v>North-East</v>
      </c>
      <c r="I24" s="0" t="str">
        <f aca="false">Raw!E24</f>
        <v>Finished Yarn</v>
      </c>
      <c r="J24" s="28" t="n">
        <f aca="false">Raw!F24</f>
        <v>10.23</v>
      </c>
      <c r="K24" s="30" t="n">
        <f aca="false">DATE(LEFT(Raw!G24,4),MID(Raw!G24,6,2),MID(Raw!G24,9,2))</f>
        <v>45792</v>
      </c>
      <c r="L24" s="30" t="n">
        <f aca="false">DATE(LEFT(Raw!H24,4),MID(Raw!H24,6,2),MID(Raw!H24,9,2))</f>
        <v>45796</v>
      </c>
      <c r="M24" s="30" t="n">
        <f aca="false">DATE(LEFT(Raw!I24,4),MID(Raw!I24,6,2),MID(Raw!I24,9,2))</f>
        <v>45801</v>
      </c>
      <c r="N24" s="31" t="n">
        <f aca="false">DATE(LEFT(Raw!J24,4),MID(Raw!J24,6,2),MID(Raw!J24,9,2))+TIME(MID(Raw!J24,12,2),MID(Raw!J24,15,2),MID(Raw!J24,18,2))</f>
        <v>45795.9583333333</v>
      </c>
      <c r="O24" s="31" t="n">
        <f aca="false">DATE(LEFT(Raw!K24,4),MID(Raw!K24,6,2),MID(Raw!K24,9,2))+TIME(MID(Raw!K24,12,2),MID(Raw!K24,15,2),MID(Raw!K24,18,2))</f>
        <v>45800.1</v>
      </c>
      <c r="P24" s="32" t="n">
        <f aca="false">L24-K24</f>
        <v>4</v>
      </c>
      <c r="Q24" s="32" t="n">
        <f aca="false">M24-L24</f>
        <v>5</v>
      </c>
      <c r="R24" s="32" t="n">
        <f aca="false">O24-N24</f>
        <v>4.14166666666667</v>
      </c>
      <c r="S24" s="32" t="n">
        <f aca="false">Raw!L24</f>
        <v>-0.9</v>
      </c>
      <c r="T24" s="32" t="n">
        <f aca="false">O24-M24</f>
        <v>-0.900000000002917</v>
      </c>
      <c r="U24" s="0" t="str">
        <f aca="false">IF(ABS(T24-S24)&lt;0.01,"OK","MISMATCH")</f>
        <v>OK</v>
      </c>
      <c r="V24" s="33" t="n">
        <f aca="false">Raw!M24</f>
        <v>0</v>
      </c>
      <c r="W24" s="0" t="str">
        <f aca="false">IF((S24&gt;0)=(V24=1),"OK","MISMATCH")</f>
        <v>OK</v>
      </c>
      <c r="X24" s="0" t="str">
        <f aca="false">_xlfn.IFS(S24&lt;=0,"Early/On time",S24&lt;=2,"Minor (up to 2 days)",S24&lt;=5,"Moderate (2-5 days)",TRUE(),"Severe (over 5 days)")</f>
        <v>Early/On time</v>
      </c>
      <c r="Y24" s="0" t="str">
        <f aca="false">YEAR(K24)&amp;"-"&amp;TEXT(MONTH(K24),"00")</f>
        <v>2025-05</v>
      </c>
      <c r="Z24" s="0" t="str">
        <f aca="false">C24&amp;" → "&amp;D24</f>
        <v>Surat → Assam</v>
      </c>
      <c r="AA24" s="0" t="str">
        <f aca="false">Raw!Q24</f>
        <v>GATI Logistics</v>
      </c>
      <c r="AB24" s="0" t="str">
        <f aca="false">Raw!R24</f>
        <v>No</v>
      </c>
      <c r="AC24" s="0" t="str">
        <f aca="false">Raw!S24</f>
        <v>Returned</v>
      </c>
      <c r="AD24" s="29" t="n">
        <f aca="false">Raw!N24</f>
        <v>3798.01</v>
      </c>
      <c r="AE24" s="29" t="n">
        <f aca="false">Raw!O24</f>
        <v>3976.68</v>
      </c>
      <c r="AF24" s="29" t="n">
        <f aca="false">Raw!P24</f>
        <v>1220.94</v>
      </c>
      <c r="AG24" s="29" t="n">
        <f aca="false">AD24/J24</f>
        <v>371.261974584555</v>
      </c>
    </row>
    <row r="25" customFormat="false" ht="15" hidden="false" customHeight="false" outlineLevel="0" collapsed="false">
      <c r="A25" s="0" t="str">
        <f aca="false">Raw!A25</f>
        <v>SHP0024</v>
      </c>
      <c r="B25" s="0" t="str">
        <f aca="false">Raw!B25</f>
        <v>Outbound</v>
      </c>
      <c r="C25" s="0" t="str">
        <f aca="false">Raw!C25</f>
        <v>Surat</v>
      </c>
      <c r="D25" s="0" t="str">
        <f aca="false">Raw!D25</f>
        <v>Assam</v>
      </c>
      <c r="E25" s="0" t="str">
        <f aca="false">IFERROR(INDEX(Location_Map!$B$2:$B$15,MATCH(C25,Location_Map!$A$2:$A$15,0)),"UNMAPPED")</f>
        <v>Gujarat</v>
      </c>
      <c r="F25" s="0" t="str">
        <f aca="false">IFERROR(INDEX(Location_Map!$C$2:$C$15,MATCH(C25,Location_Map!$A$2:$A$15,0)),"UNMAPPED")</f>
        <v>West</v>
      </c>
      <c r="G25" s="0" t="str">
        <f aca="false">IFERROR(INDEX(Location_Map!$B$2:$B$15,MATCH(D25,Location_Map!$A$2:$A$15,0)),"UNMAPPED")</f>
        <v>Assam</v>
      </c>
      <c r="H25" s="0" t="str">
        <f aca="false">IFERROR(INDEX(Location_Map!$C$2:$C$15,MATCH(D25,Location_Map!$A$2:$A$15,0)),"UNMAPPED")</f>
        <v>North-East</v>
      </c>
      <c r="I25" s="0" t="str">
        <f aca="false">Raw!E25</f>
        <v>Semi-Processed Yarn</v>
      </c>
      <c r="J25" s="28" t="n">
        <f aca="false">Raw!F25</f>
        <v>6.85</v>
      </c>
      <c r="K25" s="30" t="n">
        <f aca="false">DATE(LEFT(Raw!G25,4),MID(Raw!G25,6,2),MID(Raw!G25,9,2))</f>
        <v>45820</v>
      </c>
      <c r="L25" s="30" t="n">
        <f aca="false">DATE(LEFT(Raw!H25,4),MID(Raw!H25,6,2),MID(Raw!H25,9,2))</f>
        <v>45823</v>
      </c>
      <c r="M25" s="30" t="n">
        <f aca="false">DATE(LEFT(Raw!I25,4),MID(Raw!I25,6,2),MID(Raw!I25,9,2))</f>
        <v>45829</v>
      </c>
      <c r="N25" s="31" t="n">
        <f aca="false">DATE(LEFT(Raw!J25,4),MID(Raw!J25,6,2),MID(Raw!J25,9,2))+TIME(MID(Raw!J25,12,2),MID(Raw!J25,15,2),MID(Raw!J25,18,2))</f>
        <v>45822.875</v>
      </c>
      <c r="O25" s="31" t="n">
        <f aca="false">DATE(LEFT(Raw!K25,4),MID(Raw!K25,6,2),MID(Raw!K25,9,2))+TIME(MID(Raw!K25,12,2),MID(Raw!K25,15,2),MID(Raw!K25,18,2))</f>
        <v>45833.4</v>
      </c>
      <c r="P25" s="32" t="n">
        <f aca="false">L25-K25</f>
        <v>3</v>
      </c>
      <c r="Q25" s="32" t="n">
        <f aca="false">M25-L25</f>
        <v>6</v>
      </c>
      <c r="R25" s="32" t="n">
        <f aca="false">O25-N25</f>
        <v>10.525</v>
      </c>
      <c r="S25" s="32" t="n">
        <f aca="false">Raw!L25</f>
        <v>4.4</v>
      </c>
      <c r="T25" s="32" t="n">
        <f aca="false">O25-M25</f>
        <v>4.4</v>
      </c>
      <c r="U25" s="0" t="str">
        <f aca="false">IF(ABS(T25-S25)&lt;0.01,"OK","MISMATCH")</f>
        <v>OK</v>
      </c>
      <c r="V25" s="33" t="n">
        <f aca="false">Raw!M25</f>
        <v>1</v>
      </c>
      <c r="W25" s="0" t="str">
        <f aca="false">IF((S25&gt;0)=(V25=1),"OK","MISMATCH")</f>
        <v>OK</v>
      </c>
      <c r="X25" s="0" t="str">
        <f aca="false">_xlfn.IFS(S25&lt;=0,"Early/On time",S25&lt;=2,"Minor (up to 2 days)",S25&lt;=5,"Moderate (2-5 days)",TRUE(),"Severe (over 5 days)")</f>
        <v>Moderate (2-5 days)</v>
      </c>
      <c r="Y25" s="0" t="str">
        <f aca="false">YEAR(K25)&amp;"-"&amp;TEXT(MONTH(K25),"00")</f>
        <v>2025-06</v>
      </c>
      <c r="Z25" s="0" t="str">
        <f aca="false">C25&amp;" → "&amp;D25</f>
        <v>Surat → Assam</v>
      </c>
      <c r="AA25" s="0" t="str">
        <f aca="false">Raw!Q25</f>
        <v>VRL Cargo</v>
      </c>
      <c r="AB25" s="0" t="str">
        <f aca="false">Raw!R25</f>
        <v>Yes</v>
      </c>
      <c r="AC25" s="0" t="str">
        <f aca="false">Raw!S25</f>
        <v>Returned</v>
      </c>
      <c r="AD25" s="29" t="n">
        <f aca="false">Raw!N25</f>
        <v>5219.47</v>
      </c>
      <c r="AE25" s="29" t="n">
        <f aca="false">Raw!O25</f>
        <v>4179.25</v>
      </c>
      <c r="AF25" s="29" t="n">
        <f aca="false">Raw!P25</f>
        <v>1002.64</v>
      </c>
      <c r="AG25" s="29" t="n">
        <f aca="false">AD25/J25</f>
        <v>761.966423357664</v>
      </c>
    </row>
    <row r="26" customFormat="false" ht="15" hidden="false" customHeight="false" outlineLevel="0" collapsed="false">
      <c r="A26" s="0" t="str">
        <f aca="false">Raw!A26</f>
        <v>SHP0025</v>
      </c>
      <c r="B26" s="0" t="str">
        <f aca="false">Raw!B26</f>
        <v>Inbound</v>
      </c>
      <c r="C26" s="0" t="str">
        <f aca="false">Raw!C26</f>
        <v>Gujarat</v>
      </c>
      <c r="D26" s="0" t="str">
        <f aca="false">Raw!D26</f>
        <v>Surat</v>
      </c>
      <c r="E26" s="0" t="str">
        <f aca="false">IFERROR(INDEX(Location_Map!$B$2:$B$15,MATCH(C26,Location_Map!$A$2:$A$15,0)),"UNMAPPED")</f>
        <v>Gujarat</v>
      </c>
      <c r="F26" s="0" t="str">
        <f aca="false">IFERROR(INDEX(Location_Map!$C$2:$C$15,MATCH(C26,Location_Map!$A$2:$A$15,0)),"UNMAPPED")</f>
        <v>West</v>
      </c>
      <c r="G26" s="0" t="str">
        <f aca="false">IFERROR(INDEX(Location_Map!$B$2:$B$15,MATCH(D26,Location_Map!$A$2:$A$15,0)),"UNMAPPED")</f>
        <v>Gujarat</v>
      </c>
      <c r="H26" s="0" t="str">
        <f aca="false">IFERROR(INDEX(Location_Map!$C$2:$C$15,MATCH(D26,Location_Map!$A$2:$A$15,0)),"UNMAPPED")</f>
        <v>West</v>
      </c>
      <c r="I26" s="0" t="str">
        <f aca="false">Raw!E26</f>
        <v>Raw Yarn</v>
      </c>
      <c r="J26" s="28" t="n">
        <f aca="false">Raw!F26</f>
        <v>11.96</v>
      </c>
      <c r="K26" s="30" t="n">
        <f aca="false">DATE(LEFT(Raw!G26,4),MID(Raw!G26,6,2),MID(Raw!G26,9,2))</f>
        <v>45805</v>
      </c>
      <c r="L26" s="30" t="n">
        <f aca="false">DATE(LEFT(Raw!H26,4),MID(Raw!H26,6,2),MID(Raw!H26,9,2))</f>
        <v>45806</v>
      </c>
      <c r="M26" s="30" t="n">
        <f aca="false">DATE(LEFT(Raw!I26,4),MID(Raw!I26,6,2),MID(Raw!I26,9,2))</f>
        <v>45812</v>
      </c>
      <c r="N26" s="31" t="n">
        <f aca="false">DATE(LEFT(Raw!J26,4),MID(Raw!J26,6,2),MID(Raw!J26,9,2))+TIME(MID(Raw!J26,12,2),MID(Raw!J26,15,2),MID(Raw!J26,18,2))</f>
        <v>45805.7916666667</v>
      </c>
      <c r="O26" s="31" t="n">
        <f aca="false">DATE(LEFT(Raw!K26,4),MID(Raw!K26,6,2),MID(Raw!K26,9,2))+TIME(MID(Raw!K26,12,2),MID(Raw!K26,15,2),MID(Raw!K26,18,2))</f>
        <v>45822.4</v>
      </c>
      <c r="P26" s="32" t="n">
        <f aca="false">L26-K26</f>
        <v>1</v>
      </c>
      <c r="Q26" s="32" t="n">
        <f aca="false">M26-L26</f>
        <v>6</v>
      </c>
      <c r="R26" s="32" t="n">
        <f aca="false">O26-N26</f>
        <v>16.6083333333333</v>
      </c>
      <c r="S26" s="32" t="n">
        <f aca="false">Raw!L26</f>
        <v>10.4</v>
      </c>
      <c r="T26" s="32" t="n">
        <f aca="false">O26-M26</f>
        <v>10.4</v>
      </c>
      <c r="U26" s="0" t="str">
        <f aca="false">IF(ABS(T26-S26)&lt;0.01,"OK","MISMATCH")</f>
        <v>OK</v>
      </c>
      <c r="V26" s="33" t="n">
        <f aca="false">Raw!M26</f>
        <v>1</v>
      </c>
      <c r="W26" s="0" t="str">
        <f aca="false">IF((S26&gt;0)=(V26=1),"OK","MISMATCH")</f>
        <v>OK</v>
      </c>
      <c r="X26" s="0" t="str">
        <f aca="false">_xlfn.IFS(S26&lt;=0,"Early/On time",S26&lt;=2,"Minor (up to 2 days)",S26&lt;=5,"Moderate (2-5 days)",TRUE(),"Severe (over 5 days)")</f>
        <v>Severe (over 5 days)</v>
      </c>
      <c r="Y26" s="0" t="str">
        <f aca="false">YEAR(K26)&amp;"-"&amp;TEXT(MONTH(K26),"00")</f>
        <v>2025-05</v>
      </c>
      <c r="Z26" s="0" t="str">
        <f aca="false">C26&amp;" → "&amp;D26</f>
        <v>Gujarat → Surat</v>
      </c>
      <c r="AA26" s="0" t="str">
        <f aca="false">Raw!Q26</f>
        <v>BlueDart</v>
      </c>
      <c r="AB26" s="0" t="str">
        <f aca="false">Raw!R26</f>
        <v>No</v>
      </c>
      <c r="AC26" s="0" t="str">
        <f aca="false">Raw!S26</f>
        <v>Expedited</v>
      </c>
      <c r="AD26" s="29" t="n">
        <f aca="false">Raw!N26</f>
        <v>5309.14</v>
      </c>
      <c r="AE26" s="29" t="n">
        <f aca="false">Raw!O26</f>
        <v>2879.78</v>
      </c>
      <c r="AF26" s="29" t="n">
        <f aca="false">Raw!P26</f>
        <v>779.56</v>
      </c>
      <c r="AG26" s="29" t="n">
        <f aca="false">AD26/J26</f>
        <v>443.908026755853</v>
      </c>
    </row>
    <row r="27" customFormat="false" ht="15" hidden="false" customHeight="false" outlineLevel="0" collapsed="false">
      <c r="A27" s="0" t="str">
        <f aca="false">Raw!A27</f>
        <v>SHP0026</v>
      </c>
      <c r="B27" s="0" t="str">
        <f aca="false">Raw!B27</f>
        <v>Inbound</v>
      </c>
      <c r="C27" s="0" t="str">
        <f aca="false">Raw!C27</f>
        <v>Uttar Pradesh</v>
      </c>
      <c r="D27" s="0" t="str">
        <f aca="false">Raw!D27</f>
        <v>Surat</v>
      </c>
      <c r="E27" s="0" t="str">
        <f aca="false">IFERROR(INDEX(Location_Map!$B$2:$B$15,MATCH(C27,Location_Map!$A$2:$A$15,0)),"UNMAPPED")</f>
        <v>Uttar Pradesh</v>
      </c>
      <c r="F27" s="0" t="str">
        <f aca="false">IFERROR(INDEX(Location_Map!$C$2:$C$15,MATCH(C27,Location_Map!$A$2:$A$15,0)),"UNMAPPED")</f>
        <v>North</v>
      </c>
      <c r="G27" s="0" t="str">
        <f aca="false">IFERROR(INDEX(Location_Map!$B$2:$B$15,MATCH(D27,Location_Map!$A$2:$A$15,0)),"UNMAPPED")</f>
        <v>Gujarat</v>
      </c>
      <c r="H27" s="0" t="str">
        <f aca="false">IFERROR(INDEX(Location_Map!$C$2:$C$15,MATCH(D27,Location_Map!$A$2:$A$15,0)),"UNMAPPED")</f>
        <v>West</v>
      </c>
      <c r="I27" s="0" t="str">
        <f aca="false">Raw!E27</f>
        <v>Raw Yarn</v>
      </c>
      <c r="J27" s="28" t="n">
        <f aca="false">Raw!F27</f>
        <v>17.79</v>
      </c>
      <c r="K27" s="30" t="n">
        <f aca="false">DATE(LEFT(Raw!G27,4),MID(Raw!G27,6,2),MID(Raw!G27,9,2))</f>
        <v>45882</v>
      </c>
      <c r="L27" s="30" t="n">
        <f aca="false">DATE(LEFT(Raw!H27,4),MID(Raw!H27,6,2),MID(Raw!H27,9,2))</f>
        <v>45886</v>
      </c>
      <c r="M27" s="30" t="n">
        <f aca="false">DATE(LEFT(Raw!I27,4),MID(Raw!I27,6,2),MID(Raw!I27,9,2))</f>
        <v>45892</v>
      </c>
      <c r="N27" s="31" t="n">
        <f aca="false">DATE(LEFT(Raw!J27,4),MID(Raw!J27,6,2),MID(Raw!J27,9,2))+TIME(MID(Raw!J27,12,2),MID(Raw!J27,15,2),MID(Raw!J27,18,2))</f>
        <v>45885.7916666667</v>
      </c>
      <c r="O27" s="31" t="n">
        <f aca="false">DATE(LEFT(Raw!K27,4),MID(Raw!K27,6,2),MID(Raw!K27,9,2))+TIME(MID(Raw!K27,12,2),MID(Raw!K27,15,2),MID(Raw!K27,18,2))</f>
        <v>45893.9</v>
      </c>
      <c r="P27" s="32" t="n">
        <f aca="false">L27-K27</f>
        <v>4</v>
      </c>
      <c r="Q27" s="32" t="n">
        <f aca="false">M27-L27</f>
        <v>6</v>
      </c>
      <c r="R27" s="32" t="n">
        <f aca="false">O27-N27</f>
        <v>8.10833333333333</v>
      </c>
      <c r="S27" s="32" t="n">
        <f aca="false">Raw!L27</f>
        <v>1.9</v>
      </c>
      <c r="T27" s="32" t="n">
        <f aca="false">O27-M27</f>
        <v>1.9</v>
      </c>
      <c r="U27" s="0" t="str">
        <f aca="false">IF(ABS(T27-S27)&lt;0.01,"OK","MISMATCH")</f>
        <v>OK</v>
      </c>
      <c r="V27" s="33" t="n">
        <f aca="false">Raw!M27</f>
        <v>1</v>
      </c>
      <c r="W27" s="0" t="str">
        <f aca="false">IF((S27&gt;0)=(V27=1),"OK","MISMATCH")</f>
        <v>OK</v>
      </c>
      <c r="X27" s="0" t="str">
        <f aca="false">_xlfn.IFS(S27&lt;=0,"Early/On time",S27&lt;=2,"Minor (up to 2 days)",S27&lt;=5,"Moderate (2-5 days)",TRUE(),"Severe (over 5 days)")</f>
        <v>Minor (up to 2 days)</v>
      </c>
      <c r="Y27" s="0" t="str">
        <f aca="false">YEAR(K27)&amp;"-"&amp;TEXT(MONTH(K27),"00")</f>
        <v>2025-08</v>
      </c>
      <c r="Z27" s="0" t="str">
        <f aca="false">C27&amp;" → "&amp;D27</f>
        <v>Uttar Pradesh → Surat</v>
      </c>
      <c r="AA27" s="0" t="str">
        <f aca="false">Raw!Q27</f>
        <v>GATI Logistics</v>
      </c>
      <c r="AB27" s="0" t="str">
        <f aca="false">Raw!R27</f>
        <v>No</v>
      </c>
      <c r="AC27" s="0" t="str">
        <f aca="false">Raw!S27</f>
        <v>Normal</v>
      </c>
      <c r="AD27" s="29" t="n">
        <f aca="false">Raw!N27</f>
        <v>9014.27</v>
      </c>
      <c r="AE27" s="29" t="n">
        <f aca="false">Raw!O27</f>
        <v>4921.33</v>
      </c>
      <c r="AF27" s="29" t="n">
        <f aca="false">Raw!P27</f>
        <v>575.35</v>
      </c>
      <c r="AG27" s="29" t="n">
        <f aca="false">AD27/J27</f>
        <v>506.704328274312</v>
      </c>
    </row>
    <row r="28" customFormat="false" ht="15" hidden="false" customHeight="false" outlineLevel="0" collapsed="false">
      <c r="A28" s="0" t="str">
        <f aca="false">Raw!A28</f>
        <v>SHP0027</v>
      </c>
      <c r="B28" s="0" t="str">
        <f aca="false">Raw!B28</f>
        <v>Outbound</v>
      </c>
      <c r="C28" s="0" t="str">
        <f aca="false">Raw!C28</f>
        <v>Surat</v>
      </c>
      <c r="D28" s="0" t="str">
        <f aca="false">Raw!D28</f>
        <v>Uttarakhand</v>
      </c>
      <c r="E28" s="0" t="str">
        <f aca="false">IFERROR(INDEX(Location_Map!$B$2:$B$15,MATCH(C28,Location_Map!$A$2:$A$15,0)),"UNMAPPED")</f>
        <v>Gujarat</v>
      </c>
      <c r="F28" s="0" t="str">
        <f aca="false">IFERROR(INDEX(Location_Map!$C$2:$C$15,MATCH(C28,Location_Map!$A$2:$A$15,0)),"UNMAPPED")</f>
        <v>West</v>
      </c>
      <c r="G28" s="0" t="str">
        <f aca="false">IFERROR(INDEX(Location_Map!$B$2:$B$15,MATCH(D28,Location_Map!$A$2:$A$15,0)),"UNMAPPED")</f>
        <v>Uttarakhand</v>
      </c>
      <c r="H28" s="0" t="str">
        <f aca="false">IFERROR(INDEX(Location_Map!$C$2:$C$15,MATCH(D28,Location_Map!$A$2:$A$15,0)),"UNMAPPED")</f>
        <v>North</v>
      </c>
      <c r="I28" s="0" t="str">
        <f aca="false">Raw!E28</f>
        <v>Raw Yarn</v>
      </c>
      <c r="J28" s="28" t="n">
        <f aca="false">Raw!F28</f>
        <v>6.81</v>
      </c>
      <c r="K28" s="30" t="n">
        <f aca="false">DATE(LEFT(Raw!G28,4),MID(Raw!G28,6,2),MID(Raw!G28,9,2))</f>
        <v>45715</v>
      </c>
      <c r="L28" s="30" t="n">
        <f aca="false">DATE(LEFT(Raw!H28,4),MID(Raw!H28,6,2),MID(Raw!H28,9,2))</f>
        <v>45717</v>
      </c>
      <c r="M28" s="30" t="n">
        <f aca="false">DATE(LEFT(Raw!I28,4),MID(Raw!I28,6,2),MID(Raw!I28,9,2))</f>
        <v>45721</v>
      </c>
      <c r="N28" s="31" t="n">
        <f aca="false">DATE(LEFT(Raw!J28,4),MID(Raw!J28,6,2),MID(Raw!J28,9,2))+TIME(MID(Raw!J28,12,2),MID(Raw!J28,15,2),MID(Raw!J28,18,2))</f>
        <v>45717.375</v>
      </c>
      <c r="O28" s="31" t="n">
        <f aca="false">DATE(LEFT(Raw!K28,4),MID(Raw!K28,6,2),MID(Raw!K28,9,2))+TIME(MID(Raw!K28,12,2),MID(Raw!K28,15,2),MID(Raw!K28,18,2))</f>
        <v>45723.6</v>
      </c>
      <c r="P28" s="32" t="n">
        <f aca="false">L28-K28</f>
        <v>2</v>
      </c>
      <c r="Q28" s="32" t="n">
        <f aca="false">M28-L28</f>
        <v>4</v>
      </c>
      <c r="R28" s="32" t="n">
        <f aca="false">O28-N28</f>
        <v>6.225</v>
      </c>
      <c r="S28" s="32" t="n">
        <f aca="false">Raw!L28</f>
        <v>2.6</v>
      </c>
      <c r="T28" s="32" t="n">
        <f aca="false">O28-M28</f>
        <v>2.6</v>
      </c>
      <c r="U28" s="0" t="str">
        <f aca="false">IF(ABS(T28-S28)&lt;0.01,"OK","MISMATCH")</f>
        <v>OK</v>
      </c>
      <c r="V28" s="33" t="n">
        <f aca="false">Raw!M28</f>
        <v>1</v>
      </c>
      <c r="W28" s="0" t="str">
        <f aca="false">IF((S28&gt;0)=(V28=1),"OK","MISMATCH")</f>
        <v>OK</v>
      </c>
      <c r="X28" s="0" t="str">
        <f aca="false">_xlfn.IFS(S28&lt;=0,"Early/On time",S28&lt;=2,"Minor (up to 2 days)",S28&lt;=5,"Moderate (2-5 days)",TRUE(),"Severe (over 5 days)")</f>
        <v>Moderate (2-5 days)</v>
      </c>
      <c r="Y28" s="0" t="str">
        <f aca="false">YEAR(K28)&amp;"-"&amp;TEXT(MONTH(K28),"00")</f>
        <v>2025-02</v>
      </c>
      <c r="Z28" s="0" t="str">
        <f aca="false">C28&amp;" → "&amp;D28</f>
        <v>Surat → Uttarakhand</v>
      </c>
      <c r="AA28" s="0" t="str">
        <f aca="false">Raw!Q28</f>
        <v>VRL Cargo</v>
      </c>
      <c r="AB28" s="0" t="str">
        <f aca="false">Raw!R28</f>
        <v>No</v>
      </c>
      <c r="AC28" s="0" t="str">
        <f aca="false">Raw!S28</f>
        <v>Returned</v>
      </c>
      <c r="AD28" s="29" t="n">
        <f aca="false">Raw!N28</f>
        <v>5929.89</v>
      </c>
      <c r="AE28" s="29" t="n">
        <f aca="false">Raw!O28</f>
        <v>1281.66</v>
      </c>
      <c r="AF28" s="29" t="n">
        <f aca="false">Raw!P28</f>
        <v>708.92</v>
      </c>
      <c r="AG28" s="29" t="n">
        <f aca="false">AD28/J28</f>
        <v>870.762114537445</v>
      </c>
    </row>
    <row r="29" customFormat="false" ht="15" hidden="false" customHeight="false" outlineLevel="0" collapsed="false">
      <c r="A29" s="0" t="str">
        <f aca="false">Raw!A29</f>
        <v>SHP0028</v>
      </c>
      <c r="B29" s="0" t="str">
        <f aca="false">Raw!B29</f>
        <v>Inbound</v>
      </c>
      <c r="C29" s="0" t="str">
        <f aca="false">Raw!C29</f>
        <v>Uttar Pradesh</v>
      </c>
      <c r="D29" s="0" t="str">
        <f aca="false">Raw!D29</f>
        <v>Surat</v>
      </c>
      <c r="E29" s="0" t="str">
        <f aca="false">IFERROR(INDEX(Location_Map!$B$2:$B$15,MATCH(C29,Location_Map!$A$2:$A$15,0)),"UNMAPPED")</f>
        <v>Uttar Pradesh</v>
      </c>
      <c r="F29" s="0" t="str">
        <f aca="false">IFERROR(INDEX(Location_Map!$C$2:$C$15,MATCH(C29,Location_Map!$A$2:$A$15,0)),"UNMAPPED")</f>
        <v>North</v>
      </c>
      <c r="G29" s="0" t="str">
        <f aca="false">IFERROR(INDEX(Location_Map!$B$2:$B$15,MATCH(D29,Location_Map!$A$2:$A$15,0)),"UNMAPPED")</f>
        <v>Gujarat</v>
      </c>
      <c r="H29" s="0" t="str">
        <f aca="false">IFERROR(INDEX(Location_Map!$C$2:$C$15,MATCH(D29,Location_Map!$A$2:$A$15,0)),"UNMAPPED")</f>
        <v>West</v>
      </c>
      <c r="I29" s="0" t="str">
        <f aca="false">Raw!E29</f>
        <v>Finished Yarn</v>
      </c>
      <c r="J29" s="28" t="n">
        <f aca="false">Raw!F29</f>
        <v>13.75</v>
      </c>
      <c r="K29" s="30" t="n">
        <f aca="false">DATE(LEFT(Raw!G29,4),MID(Raw!G29,6,2),MID(Raw!G29,9,2))</f>
        <v>45765</v>
      </c>
      <c r="L29" s="30" t="n">
        <f aca="false">DATE(LEFT(Raw!H29,4),MID(Raw!H29,6,2),MID(Raw!H29,9,2))</f>
        <v>45767</v>
      </c>
      <c r="M29" s="30" t="n">
        <f aca="false">DATE(LEFT(Raw!I29,4),MID(Raw!I29,6,2),MID(Raw!I29,9,2))</f>
        <v>45770</v>
      </c>
      <c r="N29" s="31" t="n">
        <f aca="false">DATE(LEFT(Raw!J29,4),MID(Raw!J29,6,2),MID(Raw!J29,9,2))+TIME(MID(Raw!J29,12,2),MID(Raw!J29,15,2),MID(Raw!J29,18,2))</f>
        <v>45766.8333333333</v>
      </c>
      <c r="O29" s="31" t="n">
        <f aca="false">DATE(LEFT(Raw!K29,4),MID(Raw!K29,6,2),MID(Raw!K29,9,2))+TIME(MID(Raw!K29,12,2),MID(Raw!K29,15,2),MID(Raw!K29,18,2))</f>
        <v>45769</v>
      </c>
      <c r="P29" s="32" t="n">
        <f aca="false">L29-K29</f>
        <v>2</v>
      </c>
      <c r="Q29" s="32" t="n">
        <f aca="false">M29-L29</f>
        <v>3</v>
      </c>
      <c r="R29" s="32" t="n">
        <f aca="false">O29-N29</f>
        <v>2.16666666666667</v>
      </c>
      <c r="S29" s="32" t="n">
        <f aca="false">Raw!L29</f>
        <v>-1</v>
      </c>
      <c r="T29" s="32" t="n">
        <f aca="false">O29-M29</f>
        <v>-1</v>
      </c>
      <c r="U29" s="0" t="str">
        <f aca="false">IF(ABS(T29-S29)&lt;0.01,"OK","MISMATCH")</f>
        <v>OK</v>
      </c>
      <c r="V29" s="33" t="n">
        <f aca="false">Raw!M29</f>
        <v>0</v>
      </c>
      <c r="W29" s="0" t="str">
        <f aca="false">IF((S29&gt;0)=(V29=1),"OK","MISMATCH")</f>
        <v>OK</v>
      </c>
      <c r="X29" s="0" t="str">
        <f aca="false">_xlfn.IFS(S29&lt;=0,"Early/On time",S29&lt;=2,"Minor (up to 2 days)",S29&lt;=5,"Moderate (2-5 days)",TRUE(),"Severe (over 5 days)")</f>
        <v>Early/On time</v>
      </c>
      <c r="Y29" s="0" t="str">
        <f aca="false">YEAR(K29)&amp;"-"&amp;TEXT(MONTH(K29),"00")</f>
        <v>2025-04</v>
      </c>
      <c r="Z29" s="0" t="str">
        <f aca="false">C29&amp;" → "&amp;D29</f>
        <v>Uttar Pradesh → Surat</v>
      </c>
      <c r="AA29" s="0" t="str">
        <f aca="false">Raw!Q29</f>
        <v>TCI Express</v>
      </c>
      <c r="AB29" s="0" t="str">
        <f aca="false">Raw!R29</f>
        <v>Yes</v>
      </c>
      <c r="AC29" s="0" t="str">
        <f aca="false">Raw!S29</f>
        <v>Returned</v>
      </c>
      <c r="AD29" s="29" t="n">
        <f aca="false">Raw!N29</f>
        <v>7082.6</v>
      </c>
      <c r="AE29" s="29" t="n">
        <f aca="false">Raw!O29</f>
        <v>1546.49</v>
      </c>
      <c r="AF29" s="29" t="n">
        <f aca="false">Raw!P29</f>
        <v>1208.91</v>
      </c>
      <c r="AG29" s="29" t="n">
        <f aca="false">AD29/J29</f>
        <v>515.098181818182</v>
      </c>
    </row>
    <row r="30" customFormat="false" ht="15" hidden="false" customHeight="false" outlineLevel="0" collapsed="false">
      <c r="A30" s="0" t="str">
        <f aca="false">Raw!A30</f>
        <v>SHP0029</v>
      </c>
      <c r="B30" s="0" t="str">
        <f aca="false">Raw!B30</f>
        <v>Outbound</v>
      </c>
      <c r="C30" s="0" t="str">
        <f aca="false">Raw!C30</f>
        <v>Surat</v>
      </c>
      <c r="D30" s="0" t="str">
        <f aca="false">Raw!D30</f>
        <v>Gujarat</v>
      </c>
      <c r="E30" s="0" t="str">
        <f aca="false">IFERROR(INDEX(Location_Map!$B$2:$B$15,MATCH(C30,Location_Map!$A$2:$A$15,0)),"UNMAPPED")</f>
        <v>Gujarat</v>
      </c>
      <c r="F30" s="0" t="str">
        <f aca="false">IFERROR(INDEX(Location_Map!$C$2:$C$15,MATCH(C30,Location_Map!$A$2:$A$15,0)),"UNMAPPED")</f>
        <v>West</v>
      </c>
      <c r="G30" s="0" t="str">
        <f aca="false">IFERROR(INDEX(Location_Map!$B$2:$B$15,MATCH(D30,Location_Map!$A$2:$A$15,0)),"UNMAPPED")</f>
        <v>Gujarat</v>
      </c>
      <c r="H30" s="0" t="str">
        <f aca="false">IFERROR(INDEX(Location_Map!$C$2:$C$15,MATCH(D30,Location_Map!$A$2:$A$15,0)),"UNMAPPED")</f>
        <v>West</v>
      </c>
      <c r="I30" s="0" t="str">
        <f aca="false">Raw!E30</f>
        <v>Finished Yarn</v>
      </c>
      <c r="J30" s="28" t="n">
        <f aca="false">Raw!F30</f>
        <v>11.5</v>
      </c>
      <c r="K30" s="30" t="n">
        <f aca="false">DATE(LEFT(Raw!G30,4),MID(Raw!G30,6,2),MID(Raw!G30,9,2))</f>
        <v>45746</v>
      </c>
      <c r="L30" s="30" t="n">
        <f aca="false">DATE(LEFT(Raw!H30,4),MID(Raw!H30,6,2),MID(Raw!H30,9,2))</f>
        <v>45748</v>
      </c>
      <c r="M30" s="30" t="n">
        <f aca="false">DATE(LEFT(Raw!I30,4),MID(Raw!I30,6,2),MID(Raw!I30,9,2))</f>
        <v>45751</v>
      </c>
      <c r="N30" s="31" t="n">
        <f aca="false">DATE(LEFT(Raw!J30,4),MID(Raw!J30,6,2),MID(Raw!J30,9,2))+TIME(MID(Raw!J30,12,2),MID(Raw!J30,15,2),MID(Raw!J30,18,2))</f>
        <v>45748.2916666667</v>
      </c>
      <c r="O30" s="31" t="n">
        <f aca="false">DATE(LEFT(Raw!K30,4),MID(Raw!K30,6,2),MID(Raw!K30,9,2))+TIME(MID(Raw!K30,12,2),MID(Raw!K30,15,2),MID(Raw!K30,18,2))</f>
        <v>45754.5</v>
      </c>
      <c r="P30" s="32" t="n">
        <f aca="false">L30-K30</f>
        <v>2</v>
      </c>
      <c r="Q30" s="32" t="n">
        <f aca="false">M30-L30</f>
        <v>3</v>
      </c>
      <c r="R30" s="32" t="n">
        <f aca="false">O30-N30</f>
        <v>6.20833333333333</v>
      </c>
      <c r="S30" s="32" t="n">
        <f aca="false">Raw!L30</f>
        <v>3.5</v>
      </c>
      <c r="T30" s="32" t="n">
        <f aca="false">O30-M30</f>
        <v>3.5</v>
      </c>
      <c r="U30" s="0" t="str">
        <f aca="false">IF(ABS(T30-S30)&lt;0.01,"OK","MISMATCH")</f>
        <v>OK</v>
      </c>
      <c r="V30" s="33" t="n">
        <f aca="false">Raw!M30</f>
        <v>1</v>
      </c>
      <c r="W30" s="0" t="str">
        <f aca="false">IF((S30&gt;0)=(V30=1),"OK","MISMATCH")</f>
        <v>OK</v>
      </c>
      <c r="X30" s="0" t="str">
        <f aca="false">_xlfn.IFS(S30&lt;=0,"Early/On time",S30&lt;=2,"Minor (up to 2 days)",S30&lt;=5,"Moderate (2-5 days)",TRUE(),"Severe (over 5 days)")</f>
        <v>Moderate (2-5 days)</v>
      </c>
      <c r="Y30" s="0" t="str">
        <f aca="false">YEAR(K30)&amp;"-"&amp;TEXT(MONTH(K30),"00")</f>
        <v>2025-03</v>
      </c>
      <c r="Z30" s="0" t="str">
        <f aca="false">C30&amp;" → "&amp;D30</f>
        <v>Surat → Gujarat</v>
      </c>
      <c r="AA30" s="0" t="str">
        <f aca="false">Raw!Q30</f>
        <v>BlueDart</v>
      </c>
      <c r="AB30" s="0" t="str">
        <f aca="false">Raw!R30</f>
        <v>No</v>
      </c>
      <c r="AC30" s="0" t="str">
        <f aca="false">Raw!S30</f>
        <v>Held at warehouse</v>
      </c>
      <c r="AD30" s="29" t="n">
        <f aca="false">Raw!N30</f>
        <v>3373.35</v>
      </c>
      <c r="AE30" s="29" t="n">
        <f aca="false">Raw!O30</f>
        <v>2587.14</v>
      </c>
      <c r="AF30" s="29" t="n">
        <f aca="false">Raw!P30</f>
        <v>550.77</v>
      </c>
      <c r="AG30" s="29" t="n">
        <f aca="false">AD30/J30</f>
        <v>293.334782608696</v>
      </c>
    </row>
    <row r="31" customFormat="false" ht="15" hidden="false" customHeight="false" outlineLevel="0" collapsed="false">
      <c r="A31" s="0" t="str">
        <f aca="false">Raw!A31</f>
        <v>SHP0030</v>
      </c>
      <c r="B31" s="0" t="str">
        <f aca="false">Raw!B31</f>
        <v>Inbound</v>
      </c>
      <c r="C31" s="0" t="str">
        <f aca="false">Raw!C31</f>
        <v>Uttar Pradesh</v>
      </c>
      <c r="D31" s="0" t="str">
        <f aca="false">Raw!D31</f>
        <v>Surat</v>
      </c>
      <c r="E31" s="0" t="str">
        <f aca="false">IFERROR(INDEX(Location_Map!$B$2:$B$15,MATCH(C31,Location_Map!$A$2:$A$15,0)),"UNMAPPED")</f>
        <v>Uttar Pradesh</v>
      </c>
      <c r="F31" s="0" t="str">
        <f aca="false">IFERROR(INDEX(Location_Map!$C$2:$C$15,MATCH(C31,Location_Map!$A$2:$A$15,0)),"UNMAPPED")</f>
        <v>North</v>
      </c>
      <c r="G31" s="0" t="str">
        <f aca="false">IFERROR(INDEX(Location_Map!$B$2:$B$15,MATCH(D31,Location_Map!$A$2:$A$15,0)),"UNMAPPED")</f>
        <v>Gujarat</v>
      </c>
      <c r="H31" s="0" t="str">
        <f aca="false">IFERROR(INDEX(Location_Map!$C$2:$C$15,MATCH(D31,Location_Map!$A$2:$A$15,0)),"UNMAPPED")</f>
        <v>West</v>
      </c>
      <c r="I31" s="0" t="str">
        <f aca="false">Raw!E31</f>
        <v>Semi-Processed Yarn</v>
      </c>
      <c r="J31" s="28" t="n">
        <f aca="false">Raw!F31</f>
        <v>17.85</v>
      </c>
      <c r="K31" s="30" t="n">
        <f aca="false">DATE(LEFT(Raw!G31,4),MID(Raw!G31,6,2),MID(Raw!G31,9,2))</f>
        <v>45666</v>
      </c>
      <c r="L31" s="30" t="n">
        <f aca="false">DATE(LEFT(Raw!H31,4),MID(Raw!H31,6,2),MID(Raw!H31,9,2))</f>
        <v>45669</v>
      </c>
      <c r="M31" s="30" t="n">
        <f aca="false">DATE(LEFT(Raw!I31,4),MID(Raw!I31,6,2),MID(Raw!I31,9,2))</f>
        <v>45673</v>
      </c>
      <c r="N31" s="31" t="n">
        <f aca="false">DATE(LEFT(Raw!J31,4),MID(Raw!J31,6,2),MID(Raw!J31,9,2))+TIME(MID(Raw!J31,12,2),MID(Raw!J31,15,2),MID(Raw!J31,18,2))</f>
        <v>45669.125</v>
      </c>
      <c r="O31" s="31" t="n">
        <f aca="false">DATE(LEFT(Raw!K31,4),MID(Raw!K31,6,2),MID(Raw!K31,9,2))+TIME(MID(Raw!K31,12,2),MID(Raw!K31,15,2),MID(Raw!K31,18,2))</f>
        <v>45686.6</v>
      </c>
      <c r="P31" s="32" t="n">
        <f aca="false">L31-K31</f>
        <v>3</v>
      </c>
      <c r="Q31" s="32" t="n">
        <f aca="false">M31-L31</f>
        <v>4</v>
      </c>
      <c r="R31" s="32" t="n">
        <f aca="false">O31-N31</f>
        <v>17.475</v>
      </c>
      <c r="S31" s="32" t="n">
        <f aca="false">Raw!L31</f>
        <v>13.6</v>
      </c>
      <c r="T31" s="32" t="n">
        <f aca="false">O31-M31</f>
        <v>13.6</v>
      </c>
      <c r="U31" s="0" t="str">
        <f aca="false">IF(ABS(T31-S31)&lt;0.01,"OK","MISMATCH")</f>
        <v>OK</v>
      </c>
      <c r="V31" s="33" t="n">
        <f aca="false">Raw!M31</f>
        <v>1</v>
      </c>
      <c r="W31" s="0" t="str">
        <f aca="false">IF((S31&gt;0)=(V31=1),"OK","MISMATCH")</f>
        <v>OK</v>
      </c>
      <c r="X31" s="0" t="str">
        <f aca="false">_xlfn.IFS(S31&lt;=0,"Early/On time",S31&lt;=2,"Minor (up to 2 days)",S31&lt;=5,"Moderate (2-5 days)",TRUE(),"Severe (over 5 days)")</f>
        <v>Severe (over 5 days)</v>
      </c>
      <c r="Y31" s="0" t="str">
        <f aca="false">YEAR(K31)&amp;"-"&amp;TEXT(MONTH(K31),"00")</f>
        <v>2025-01</v>
      </c>
      <c r="Z31" s="0" t="str">
        <f aca="false">C31&amp;" → "&amp;D31</f>
        <v>Uttar Pradesh → Surat</v>
      </c>
      <c r="AA31" s="0" t="str">
        <f aca="false">Raw!Q31</f>
        <v>GATI Logistics</v>
      </c>
      <c r="AB31" s="0" t="str">
        <f aca="false">Raw!R31</f>
        <v>Yes</v>
      </c>
      <c r="AC31" s="0" t="str">
        <f aca="false">Raw!S31</f>
        <v>Expedited</v>
      </c>
      <c r="AD31" s="29" t="n">
        <f aca="false">Raw!N31</f>
        <v>8031.73</v>
      </c>
      <c r="AE31" s="29" t="n">
        <f aca="false">Raw!O31</f>
        <v>4355.73</v>
      </c>
      <c r="AF31" s="29" t="n">
        <f aca="false">Raw!P31</f>
        <v>1360.4</v>
      </c>
      <c r="AG31" s="29" t="n">
        <f aca="false">AD31/J31</f>
        <v>449.956862745098</v>
      </c>
    </row>
    <row r="32" customFormat="false" ht="15" hidden="false" customHeight="false" outlineLevel="0" collapsed="false">
      <c r="A32" s="0" t="str">
        <f aca="false">Raw!A32</f>
        <v>SHP0031</v>
      </c>
      <c r="B32" s="0" t="str">
        <f aca="false">Raw!B32</f>
        <v>Inbound</v>
      </c>
      <c r="C32" s="0" t="str">
        <f aca="false">Raw!C32</f>
        <v>Gujarat</v>
      </c>
      <c r="D32" s="0" t="str">
        <f aca="false">Raw!D32</f>
        <v>Surat</v>
      </c>
      <c r="E32" s="0" t="str">
        <f aca="false">IFERROR(INDEX(Location_Map!$B$2:$B$15,MATCH(C32,Location_Map!$A$2:$A$15,0)),"UNMAPPED")</f>
        <v>Gujarat</v>
      </c>
      <c r="F32" s="0" t="str">
        <f aca="false">IFERROR(INDEX(Location_Map!$C$2:$C$15,MATCH(C32,Location_Map!$A$2:$A$15,0)),"UNMAPPED")</f>
        <v>West</v>
      </c>
      <c r="G32" s="0" t="str">
        <f aca="false">IFERROR(INDEX(Location_Map!$B$2:$B$15,MATCH(D32,Location_Map!$A$2:$A$15,0)),"UNMAPPED")</f>
        <v>Gujarat</v>
      </c>
      <c r="H32" s="0" t="str">
        <f aca="false">IFERROR(INDEX(Location_Map!$C$2:$C$15,MATCH(D32,Location_Map!$A$2:$A$15,0)),"UNMAPPED")</f>
        <v>West</v>
      </c>
      <c r="I32" s="0" t="str">
        <f aca="false">Raw!E32</f>
        <v>Finished Yarn</v>
      </c>
      <c r="J32" s="28" t="n">
        <f aca="false">Raw!F32</f>
        <v>5.75</v>
      </c>
      <c r="K32" s="30" t="n">
        <f aca="false">DATE(LEFT(Raw!G32,4),MID(Raw!G32,6,2),MID(Raw!G32,9,2))</f>
        <v>45669</v>
      </c>
      <c r="L32" s="30" t="n">
        <f aca="false">DATE(LEFT(Raw!H32,4),MID(Raw!H32,6,2),MID(Raw!H32,9,2))</f>
        <v>45671</v>
      </c>
      <c r="M32" s="30" t="n">
        <f aca="false">DATE(LEFT(Raw!I32,4),MID(Raw!I32,6,2),MID(Raw!I32,9,2))</f>
        <v>45675</v>
      </c>
      <c r="N32" s="31" t="n">
        <f aca="false">DATE(LEFT(Raw!J32,4),MID(Raw!J32,6,2),MID(Raw!J32,9,2))+TIME(MID(Raw!J32,12,2),MID(Raw!J32,15,2),MID(Raw!J32,18,2))</f>
        <v>45670.9583333333</v>
      </c>
      <c r="O32" s="31" t="n">
        <f aca="false">DATE(LEFT(Raw!K32,4),MID(Raw!K32,6,2),MID(Raw!K32,9,2))+TIME(MID(Raw!K32,12,2),MID(Raw!K32,15,2),MID(Raw!K32,18,2))</f>
        <v>45677.2</v>
      </c>
      <c r="P32" s="32" t="n">
        <f aca="false">L32-K32</f>
        <v>2</v>
      </c>
      <c r="Q32" s="32" t="n">
        <f aca="false">M32-L32</f>
        <v>4</v>
      </c>
      <c r="R32" s="32" t="n">
        <f aca="false">O32-N32</f>
        <v>6.24166666666667</v>
      </c>
      <c r="S32" s="32" t="n">
        <f aca="false">Raw!L32</f>
        <v>2.2</v>
      </c>
      <c r="T32" s="32" t="n">
        <f aca="false">O32-M32</f>
        <v>2.2</v>
      </c>
      <c r="U32" s="0" t="str">
        <f aca="false">IF(ABS(T32-S32)&lt;0.01,"OK","MISMATCH")</f>
        <v>OK</v>
      </c>
      <c r="V32" s="33" t="n">
        <f aca="false">Raw!M32</f>
        <v>1</v>
      </c>
      <c r="W32" s="0" t="str">
        <f aca="false">IF((S32&gt;0)=(V32=1),"OK","MISMATCH")</f>
        <v>OK</v>
      </c>
      <c r="X32" s="0" t="str">
        <f aca="false">_xlfn.IFS(S32&lt;=0,"Early/On time",S32&lt;=2,"Minor (up to 2 days)",S32&lt;=5,"Moderate (2-5 days)",TRUE(),"Severe (over 5 days)")</f>
        <v>Moderate (2-5 days)</v>
      </c>
      <c r="Y32" s="0" t="str">
        <f aca="false">YEAR(K32)&amp;"-"&amp;TEXT(MONTH(K32),"00")</f>
        <v>2025-01</v>
      </c>
      <c r="Z32" s="0" t="str">
        <f aca="false">C32&amp;" → "&amp;D32</f>
        <v>Gujarat → Surat</v>
      </c>
      <c r="AA32" s="0" t="str">
        <f aca="false">Raw!Q32</f>
        <v>Delhivery</v>
      </c>
      <c r="AB32" s="0" t="str">
        <f aca="false">Raw!R32</f>
        <v>Yes</v>
      </c>
      <c r="AC32" s="0" t="str">
        <f aca="false">Raw!S32</f>
        <v>Returned</v>
      </c>
      <c r="AD32" s="29" t="n">
        <f aca="false">Raw!N32</f>
        <v>3863.93</v>
      </c>
      <c r="AE32" s="29" t="n">
        <f aca="false">Raw!O32</f>
        <v>2829.06</v>
      </c>
      <c r="AF32" s="29" t="n">
        <f aca="false">Raw!P32</f>
        <v>1342.02</v>
      </c>
      <c r="AG32" s="29" t="n">
        <f aca="false">AD32/J32</f>
        <v>671.987826086957</v>
      </c>
    </row>
    <row r="33" customFormat="false" ht="15" hidden="false" customHeight="false" outlineLevel="0" collapsed="false">
      <c r="A33" s="0" t="str">
        <f aca="false">Raw!A33</f>
        <v>SHP0032</v>
      </c>
      <c r="B33" s="0" t="str">
        <f aca="false">Raw!B33</f>
        <v>Inbound</v>
      </c>
      <c r="C33" s="0" t="str">
        <f aca="false">Raw!C33</f>
        <v>Gujarat</v>
      </c>
      <c r="D33" s="0" t="str">
        <f aca="false">Raw!D33</f>
        <v>Surat</v>
      </c>
      <c r="E33" s="0" t="str">
        <f aca="false">IFERROR(INDEX(Location_Map!$B$2:$B$15,MATCH(C33,Location_Map!$A$2:$A$15,0)),"UNMAPPED")</f>
        <v>Gujarat</v>
      </c>
      <c r="F33" s="0" t="str">
        <f aca="false">IFERROR(INDEX(Location_Map!$C$2:$C$15,MATCH(C33,Location_Map!$A$2:$A$15,0)),"UNMAPPED")</f>
        <v>West</v>
      </c>
      <c r="G33" s="0" t="str">
        <f aca="false">IFERROR(INDEX(Location_Map!$B$2:$B$15,MATCH(D33,Location_Map!$A$2:$A$15,0)),"UNMAPPED")</f>
        <v>Gujarat</v>
      </c>
      <c r="H33" s="0" t="str">
        <f aca="false">IFERROR(INDEX(Location_Map!$C$2:$C$15,MATCH(D33,Location_Map!$A$2:$A$15,0)),"UNMAPPED")</f>
        <v>West</v>
      </c>
      <c r="I33" s="0" t="str">
        <f aca="false">Raw!E33</f>
        <v>Finished Yarn</v>
      </c>
      <c r="J33" s="28" t="n">
        <f aca="false">Raw!F33</f>
        <v>4.69</v>
      </c>
      <c r="K33" s="30" t="n">
        <f aca="false">DATE(LEFT(Raw!G33,4),MID(Raw!G33,6,2),MID(Raw!G33,9,2))</f>
        <v>45781</v>
      </c>
      <c r="L33" s="30" t="n">
        <f aca="false">DATE(LEFT(Raw!H33,4),MID(Raw!H33,6,2),MID(Raw!H33,9,2))</f>
        <v>45784</v>
      </c>
      <c r="M33" s="30" t="n">
        <f aca="false">DATE(LEFT(Raw!I33,4),MID(Raw!I33,6,2),MID(Raw!I33,9,2))</f>
        <v>45789</v>
      </c>
      <c r="N33" s="31" t="n">
        <f aca="false">DATE(LEFT(Raw!J33,4),MID(Raw!J33,6,2),MID(Raw!J33,9,2))+TIME(MID(Raw!J33,12,2),MID(Raw!J33,15,2),MID(Raw!J33,18,2))</f>
        <v>45784.2916666667</v>
      </c>
      <c r="O33" s="31" t="n">
        <f aca="false">DATE(LEFT(Raw!K33,4),MID(Raw!K33,6,2),MID(Raw!K33,9,2))+TIME(MID(Raw!K33,12,2),MID(Raw!K33,15,2),MID(Raw!K33,18,2))</f>
        <v>45788</v>
      </c>
      <c r="P33" s="32" t="n">
        <f aca="false">L33-K33</f>
        <v>3</v>
      </c>
      <c r="Q33" s="32" t="n">
        <f aca="false">M33-L33</f>
        <v>5</v>
      </c>
      <c r="R33" s="32" t="n">
        <f aca="false">O33-N33</f>
        <v>3.70833333333333</v>
      </c>
      <c r="S33" s="32" t="n">
        <f aca="false">Raw!L33</f>
        <v>-1</v>
      </c>
      <c r="T33" s="32" t="n">
        <f aca="false">O33-M33</f>
        <v>-1</v>
      </c>
      <c r="U33" s="0" t="str">
        <f aca="false">IF(ABS(T33-S33)&lt;0.01,"OK","MISMATCH")</f>
        <v>OK</v>
      </c>
      <c r="V33" s="33" t="n">
        <f aca="false">Raw!M33</f>
        <v>0</v>
      </c>
      <c r="W33" s="0" t="str">
        <f aca="false">IF((S33&gt;0)=(V33=1),"OK","MISMATCH")</f>
        <v>OK</v>
      </c>
      <c r="X33" s="0" t="str">
        <f aca="false">_xlfn.IFS(S33&lt;=0,"Early/On time",S33&lt;=2,"Minor (up to 2 days)",S33&lt;=5,"Moderate (2-5 days)",TRUE(),"Severe (over 5 days)")</f>
        <v>Early/On time</v>
      </c>
      <c r="Y33" s="0" t="str">
        <f aca="false">YEAR(K33)&amp;"-"&amp;TEXT(MONTH(K33),"00")</f>
        <v>2025-05</v>
      </c>
      <c r="Z33" s="0" t="str">
        <f aca="false">C33&amp;" → "&amp;D33</f>
        <v>Gujarat → Surat</v>
      </c>
      <c r="AA33" s="0" t="str">
        <f aca="false">Raw!Q33</f>
        <v>GATI Logistics</v>
      </c>
      <c r="AB33" s="0" t="str">
        <f aca="false">Raw!R33</f>
        <v>Yes</v>
      </c>
      <c r="AC33" s="0" t="str">
        <f aca="false">Raw!S33</f>
        <v>Normal</v>
      </c>
      <c r="AD33" s="29" t="n">
        <f aca="false">Raw!N33</f>
        <v>4293.5</v>
      </c>
      <c r="AE33" s="29" t="n">
        <f aca="false">Raw!O33</f>
        <v>1164.27</v>
      </c>
      <c r="AF33" s="29" t="n">
        <f aca="false">Raw!P33</f>
        <v>898.82</v>
      </c>
      <c r="AG33" s="29" t="n">
        <f aca="false">AD33/J33</f>
        <v>915.45842217484</v>
      </c>
    </row>
    <row r="34" customFormat="false" ht="15" hidden="false" customHeight="false" outlineLevel="0" collapsed="false">
      <c r="A34" s="0" t="str">
        <f aca="false">Raw!A34</f>
        <v>SHP0033</v>
      </c>
      <c r="B34" s="0" t="str">
        <f aca="false">Raw!B34</f>
        <v>Outbound</v>
      </c>
      <c r="C34" s="0" t="str">
        <f aca="false">Raw!C34</f>
        <v>Surat</v>
      </c>
      <c r="D34" s="0" t="str">
        <f aca="false">Raw!D34</f>
        <v>West Bengal</v>
      </c>
      <c r="E34" s="0" t="str">
        <f aca="false">IFERROR(INDEX(Location_Map!$B$2:$B$15,MATCH(C34,Location_Map!$A$2:$A$15,0)),"UNMAPPED")</f>
        <v>Gujarat</v>
      </c>
      <c r="F34" s="0" t="str">
        <f aca="false">IFERROR(INDEX(Location_Map!$C$2:$C$15,MATCH(C34,Location_Map!$A$2:$A$15,0)),"UNMAPPED")</f>
        <v>West</v>
      </c>
      <c r="G34" s="0" t="str">
        <f aca="false">IFERROR(INDEX(Location_Map!$B$2:$B$15,MATCH(D34,Location_Map!$A$2:$A$15,0)),"UNMAPPED")</f>
        <v>West Bengal</v>
      </c>
      <c r="H34" s="0" t="str">
        <f aca="false">IFERROR(INDEX(Location_Map!$C$2:$C$15,MATCH(D34,Location_Map!$A$2:$A$15,0)),"UNMAPPED")</f>
        <v>East</v>
      </c>
      <c r="I34" s="0" t="str">
        <f aca="false">Raw!E34</f>
        <v>Raw Yarn</v>
      </c>
      <c r="J34" s="28" t="n">
        <f aca="false">Raw!F34</f>
        <v>9.24</v>
      </c>
      <c r="K34" s="30" t="n">
        <f aca="false">DATE(LEFT(Raw!G34,4),MID(Raw!G34,6,2),MID(Raw!G34,9,2))</f>
        <v>45881</v>
      </c>
      <c r="L34" s="30" t="n">
        <f aca="false">DATE(LEFT(Raw!H34,4),MID(Raw!H34,6,2),MID(Raw!H34,9,2))</f>
        <v>45883</v>
      </c>
      <c r="M34" s="30" t="n">
        <f aca="false">DATE(LEFT(Raw!I34,4),MID(Raw!I34,6,2),MID(Raw!I34,9,2))</f>
        <v>45886</v>
      </c>
      <c r="N34" s="31" t="n">
        <f aca="false">DATE(LEFT(Raw!J34,4),MID(Raw!J34,6,2),MID(Raw!J34,9,2))+TIME(MID(Raw!J34,12,2),MID(Raw!J34,15,2),MID(Raw!J34,18,2))</f>
        <v>45883.1666666667</v>
      </c>
      <c r="O34" s="31" t="n">
        <f aca="false">DATE(LEFT(Raw!K34,4),MID(Raw!K34,6,2),MID(Raw!K34,9,2))+TIME(MID(Raw!K34,12,2),MID(Raw!K34,15,2),MID(Raw!K34,18,2))</f>
        <v>45885.7</v>
      </c>
      <c r="P34" s="32" t="n">
        <f aca="false">L34-K34</f>
        <v>2</v>
      </c>
      <c r="Q34" s="32" t="n">
        <f aca="false">M34-L34</f>
        <v>3</v>
      </c>
      <c r="R34" s="32" t="n">
        <f aca="false">O34-N34</f>
        <v>2.53333333333333</v>
      </c>
      <c r="S34" s="32" t="n">
        <f aca="false">Raw!L34</f>
        <v>-0.3</v>
      </c>
      <c r="T34" s="32" t="n">
        <f aca="false">O34-M34</f>
        <v>-0.300000000005833</v>
      </c>
      <c r="U34" s="0" t="str">
        <f aca="false">IF(ABS(T34-S34)&lt;0.01,"OK","MISMATCH")</f>
        <v>OK</v>
      </c>
      <c r="V34" s="33" t="n">
        <f aca="false">Raw!M34</f>
        <v>0</v>
      </c>
      <c r="W34" s="0" t="str">
        <f aca="false">IF((S34&gt;0)=(V34=1),"OK","MISMATCH")</f>
        <v>OK</v>
      </c>
      <c r="X34" s="0" t="str">
        <f aca="false">_xlfn.IFS(S34&lt;=0,"Early/On time",S34&lt;=2,"Minor (up to 2 days)",S34&lt;=5,"Moderate (2-5 days)",TRUE(),"Severe (over 5 days)")</f>
        <v>Early/On time</v>
      </c>
      <c r="Y34" s="0" t="str">
        <f aca="false">YEAR(K34)&amp;"-"&amp;TEXT(MONTH(K34),"00")</f>
        <v>2025-08</v>
      </c>
      <c r="Z34" s="0" t="str">
        <f aca="false">C34&amp;" → "&amp;D34</f>
        <v>Surat → West Bengal</v>
      </c>
      <c r="AA34" s="0" t="str">
        <f aca="false">Raw!Q34</f>
        <v>Delhivery</v>
      </c>
      <c r="AB34" s="0" t="str">
        <f aca="false">Raw!R34</f>
        <v>Yes</v>
      </c>
      <c r="AC34" s="0" t="str">
        <f aca="false">Raw!S34</f>
        <v>Held at warehouse</v>
      </c>
      <c r="AD34" s="29" t="n">
        <f aca="false">Raw!N34</f>
        <v>5975.42</v>
      </c>
      <c r="AE34" s="29" t="n">
        <f aca="false">Raw!O34</f>
        <v>1959.15</v>
      </c>
      <c r="AF34" s="29" t="n">
        <f aca="false">Raw!P34</f>
        <v>593.87</v>
      </c>
      <c r="AG34" s="29" t="n">
        <f aca="false">AD34/J34</f>
        <v>646.690476190476</v>
      </c>
    </row>
    <row r="35" customFormat="false" ht="15" hidden="false" customHeight="false" outlineLevel="0" collapsed="false">
      <c r="A35" s="0" t="str">
        <f aca="false">Raw!A35</f>
        <v>SHP0034</v>
      </c>
      <c r="B35" s="0" t="str">
        <f aca="false">Raw!B35</f>
        <v>Outbound</v>
      </c>
      <c r="C35" s="0" t="str">
        <f aca="false">Raw!C35</f>
        <v>Surat</v>
      </c>
      <c r="D35" s="0" t="str">
        <f aca="false">Raw!D35</f>
        <v>Gujarat</v>
      </c>
      <c r="E35" s="0" t="str">
        <f aca="false">IFERROR(INDEX(Location_Map!$B$2:$B$15,MATCH(C35,Location_Map!$A$2:$A$15,0)),"UNMAPPED")</f>
        <v>Gujarat</v>
      </c>
      <c r="F35" s="0" t="str">
        <f aca="false">IFERROR(INDEX(Location_Map!$C$2:$C$15,MATCH(C35,Location_Map!$A$2:$A$15,0)),"UNMAPPED")</f>
        <v>West</v>
      </c>
      <c r="G35" s="0" t="str">
        <f aca="false">IFERROR(INDEX(Location_Map!$B$2:$B$15,MATCH(D35,Location_Map!$A$2:$A$15,0)),"UNMAPPED")</f>
        <v>Gujarat</v>
      </c>
      <c r="H35" s="0" t="str">
        <f aca="false">IFERROR(INDEX(Location_Map!$C$2:$C$15,MATCH(D35,Location_Map!$A$2:$A$15,0)),"UNMAPPED")</f>
        <v>West</v>
      </c>
      <c r="I35" s="0" t="str">
        <f aca="false">Raw!E35</f>
        <v>Finished Yarn</v>
      </c>
      <c r="J35" s="28" t="n">
        <f aca="false">Raw!F35</f>
        <v>4.47</v>
      </c>
      <c r="K35" s="30" t="n">
        <f aca="false">DATE(LEFT(Raw!G35,4),MID(Raw!G35,6,2),MID(Raw!G35,9,2))</f>
        <v>45938</v>
      </c>
      <c r="L35" s="30" t="n">
        <f aca="false">DATE(LEFT(Raw!H35,4),MID(Raw!H35,6,2),MID(Raw!H35,9,2))</f>
        <v>45941</v>
      </c>
      <c r="M35" s="30" t="n">
        <f aca="false">DATE(LEFT(Raw!I35,4),MID(Raw!I35,6,2),MID(Raw!I35,9,2))</f>
        <v>45947</v>
      </c>
      <c r="N35" s="31" t="n">
        <f aca="false">DATE(LEFT(Raw!J35,4),MID(Raw!J35,6,2),MID(Raw!J35,9,2))+TIME(MID(Raw!J35,12,2),MID(Raw!J35,15,2),MID(Raw!J35,18,2))</f>
        <v>45941.0416666667</v>
      </c>
      <c r="O35" s="31" t="n">
        <f aca="false">DATE(LEFT(Raw!K35,4),MID(Raw!K35,6,2),MID(Raw!K35,9,2))+TIME(MID(Raw!K35,12,2),MID(Raw!K35,15,2),MID(Raw!K35,18,2))</f>
        <v>45954</v>
      </c>
      <c r="P35" s="32" t="n">
        <f aca="false">L35-K35</f>
        <v>3</v>
      </c>
      <c r="Q35" s="32" t="n">
        <f aca="false">M35-L35</f>
        <v>6</v>
      </c>
      <c r="R35" s="32" t="n">
        <f aca="false">O35-N35</f>
        <v>12.9583333333333</v>
      </c>
      <c r="S35" s="32" t="n">
        <f aca="false">Raw!L35</f>
        <v>7</v>
      </c>
      <c r="T35" s="32" t="n">
        <f aca="false">O35-M35</f>
        <v>7</v>
      </c>
      <c r="U35" s="0" t="str">
        <f aca="false">IF(ABS(T35-S35)&lt;0.01,"OK","MISMATCH")</f>
        <v>OK</v>
      </c>
      <c r="V35" s="33" t="n">
        <f aca="false">Raw!M35</f>
        <v>1</v>
      </c>
      <c r="W35" s="0" t="str">
        <f aca="false">IF((S35&gt;0)=(V35=1),"OK","MISMATCH")</f>
        <v>OK</v>
      </c>
      <c r="X35" s="0" t="str">
        <f aca="false">_xlfn.IFS(S35&lt;=0,"Early/On time",S35&lt;=2,"Minor (up to 2 days)",S35&lt;=5,"Moderate (2-5 days)",TRUE(),"Severe (over 5 days)")</f>
        <v>Severe (over 5 days)</v>
      </c>
      <c r="Y35" s="0" t="str">
        <f aca="false">YEAR(K35)&amp;"-"&amp;TEXT(MONTH(K35),"00")</f>
        <v>2025-10</v>
      </c>
      <c r="Z35" s="0" t="str">
        <f aca="false">C35&amp;" → "&amp;D35</f>
        <v>Surat → Gujarat</v>
      </c>
      <c r="AA35" s="0" t="str">
        <f aca="false">Raw!Q35</f>
        <v>VRL Cargo</v>
      </c>
      <c r="AB35" s="0" t="str">
        <f aca="false">Raw!R35</f>
        <v>No</v>
      </c>
      <c r="AC35" s="0" t="str">
        <f aca="false">Raw!S35</f>
        <v>Expedited</v>
      </c>
      <c r="AD35" s="29" t="n">
        <f aca="false">Raw!N35</f>
        <v>3066.5</v>
      </c>
      <c r="AE35" s="29" t="n">
        <f aca="false">Raw!O35</f>
        <v>3920.16</v>
      </c>
      <c r="AF35" s="29" t="n">
        <f aca="false">Raw!P35</f>
        <v>547.72</v>
      </c>
      <c r="AG35" s="29" t="n">
        <f aca="false">AD35/J35</f>
        <v>686.017897091723</v>
      </c>
    </row>
    <row r="36" customFormat="false" ht="15" hidden="false" customHeight="false" outlineLevel="0" collapsed="false">
      <c r="A36" s="0" t="str">
        <f aca="false">Raw!A36</f>
        <v>SHP0035</v>
      </c>
      <c r="B36" s="0" t="str">
        <f aca="false">Raw!B36</f>
        <v>Outbound</v>
      </c>
      <c r="C36" s="0" t="str">
        <f aca="false">Raw!C36</f>
        <v>Surat</v>
      </c>
      <c r="D36" s="0" t="str">
        <f aca="false">Raw!D36</f>
        <v>Karnataka</v>
      </c>
      <c r="E36" s="0" t="str">
        <f aca="false">IFERROR(INDEX(Location_Map!$B$2:$B$15,MATCH(C36,Location_Map!$A$2:$A$15,0)),"UNMAPPED")</f>
        <v>Gujarat</v>
      </c>
      <c r="F36" s="0" t="str">
        <f aca="false">IFERROR(INDEX(Location_Map!$C$2:$C$15,MATCH(C36,Location_Map!$A$2:$A$15,0)),"UNMAPPED")</f>
        <v>West</v>
      </c>
      <c r="G36" s="0" t="str">
        <f aca="false">IFERROR(INDEX(Location_Map!$B$2:$B$15,MATCH(D36,Location_Map!$A$2:$A$15,0)),"UNMAPPED")</f>
        <v>Karnataka</v>
      </c>
      <c r="H36" s="0" t="str">
        <f aca="false">IFERROR(INDEX(Location_Map!$C$2:$C$15,MATCH(D36,Location_Map!$A$2:$A$15,0)),"UNMAPPED")</f>
        <v>South</v>
      </c>
      <c r="I36" s="0" t="str">
        <f aca="false">Raw!E36</f>
        <v>Raw Yarn</v>
      </c>
      <c r="J36" s="28" t="n">
        <f aca="false">Raw!F36</f>
        <v>11.75</v>
      </c>
      <c r="K36" s="30" t="n">
        <f aca="false">DATE(LEFT(Raw!G36,4),MID(Raw!G36,6,2),MID(Raw!G36,9,2))</f>
        <v>45705</v>
      </c>
      <c r="L36" s="30" t="n">
        <f aca="false">DATE(LEFT(Raw!H36,4),MID(Raw!H36,6,2),MID(Raw!H36,9,2))</f>
        <v>45706</v>
      </c>
      <c r="M36" s="30" t="n">
        <f aca="false">DATE(LEFT(Raw!I36,4),MID(Raw!I36,6,2),MID(Raw!I36,9,2))</f>
        <v>45712</v>
      </c>
      <c r="N36" s="31" t="n">
        <f aca="false">DATE(LEFT(Raw!J36,4),MID(Raw!J36,6,2),MID(Raw!J36,9,2))+TIME(MID(Raw!J36,12,2),MID(Raw!J36,15,2),MID(Raw!J36,18,2))</f>
        <v>45706.1666666667</v>
      </c>
      <c r="O36" s="31" t="n">
        <f aca="false">DATE(LEFT(Raw!K36,4),MID(Raw!K36,6,2),MID(Raw!K36,9,2))+TIME(MID(Raw!K36,12,2),MID(Raw!K36,15,2),MID(Raw!K36,18,2))</f>
        <v>45713.3</v>
      </c>
      <c r="P36" s="32" t="n">
        <f aca="false">L36-K36</f>
        <v>1</v>
      </c>
      <c r="Q36" s="32" t="n">
        <f aca="false">M36-L36</f>
        <v>6</v>
      </c>
      <c r="R36" s="32" t="n">
        <f aca="false">O36-N36</f>
        <v>7.13333333333333</v>
      </c>
      <c r="S36" s="32" t="n">
        <f aca="false">Raw!L36</f>
        <v>1.3</v>
      </c>
      <c r="T36" s="32" t="n">
        <f aca="false">O36-M36</f>
        <v>1.3</v>
      </c>
      <c r="U36" s="0" t="str">
        <f aca="false">IF(ABS(T36-S36)&lt;0.01,"OK","MISMATCH")</f>
        <v>OK</v>
      </c>
      <c r="V36" s="33" t="n">
        <f aca="false">Raw!M36</f>
        <v>1</v>
      </c>
      <c r="W36" s="0" t="str">
        <f aca="false">IF((S36&gt;0)=(V36=1),"OK","MISMATCH")</f>
        <v>OK</v>
      </c>
      <c r="X36" s="0" t="str">
        <f aca="false">_xlfn.IFS(S36&lt;=0,"Early/On time",S36&lt;=2,"Minor (up to 2 days)",S36&lt;=5,"Moderate (2-5 days)",TRUE(),"Severe (over 5 days)")</f>
        <v>Minor (up to 2 days)</v>
      </c>
      <c r="Y36" s="0" t="str">
        <f aca="false">YEAR(K36)&amp;"-"&amp;TEXT(MONTH(K36),"00")</f>
        <v>2025-02</v>
      </c>
      <c r="Z36" s="0" t="str">
        <f aca="false">C36&amp;" → "&amp;D36</f>
        <v>Surat → Karnataka</v>
      </c>
      <c r="AA36" s="0" t="str">
        <f aca="false">Raw!Q36</f>
        <v>GATI Logistics</v>
      </c>
      <c r="AB36" s="0" t="str">
        <f aca="false">Raw!R36</f>
        <v>Yes</v>
      </c>
      <c r="AC36" s="0" t="str">
        <f aca="false">Raw!S36</f>
        <v>Damaged</v>
      </c>
      <c r="AD36" s="29" t="n">
        <f aca="false">Raw!N36</f>
        <v>8244.8</v>
      </c>
      <c r="AE36" s="29" t="n">
        <f aca="false">Raw!O36</f>
        <v>2385.22</v>
      </c>
      <c r="AF36" s="29" t="n">
        <f aca="false">Raw!P36</f>
        <v>964.67</v>
      </c>
      <c r="AG36" s="29" t="n">
        <f aca="false">AD36/J36</f>
        <v>701.685106382979</v>
      </c>
    </row>
    <row r="37" customFormat="false" ht="15" hidden="false" customHeight="false" outlineLevel="0" collapsed="false">
      <c r="A37" s="0" t="str">
        <f aca="false">Raw!A37</f>
        <v>SHP0036</v>
      </c>
      <c r="B37" s="0" t="str">
        <f aca="false">Raw!B37</f>
        <v>Inbound</v>
      </c>
      <c r="C37" s="0" t="str">
        <f aca="false">Raw!C37</f>
        <v>Rajasthan</v>
      </c>
      <c r="D37" s="0" t="str">
        <f aca="false">Raw!D37</f>
        <v>Surat</v>
      </c>
      <c r="E37" s="0" t="str">
        <f aca="false">IFERROR(INDEX(Location_Map!$B$2:$B$15,MATCH(C37,Location_Map!$A$2:$A$15,0)),"UNMAPPED")</f>
        <v>Rajasthan</v>
      </c>
      <c r="F37" s="0" t="str">
        <f aca="false">IFERROR(INDEX(Location_Map!$C$2:$C$15,MATCH(C37,Location_Map!$A$2:$A$15,0)),"UNMAPPED")</f>
        <v>North</v>
      </c>
      <c r="G37" s="0" t="str">
        <f aca="false">IFERROR(INDEX(Location_Map!$B$2:$B$15,MATCH(D37,Location_Map!$A$2:$A$15,0)),"UNMAPPED")</f>
        <v>Gujarat</v>
      </c>
      <c r="H37" s="0" t="str">
        <f aca="false">IFERROR(INDEX(Location_Map!$C$2:$C$15,MATCH(D37,Location_Map!$A$2:$A$15,0)),"UNMAPPED")</f>
        <v>West</v>
      </c>
      <c r="I37" s="0" t="str">
        <f aca="false">Raw!E37</f>
        <v>Semi-Processed Yarn</v>
      </c>
      <c r="J37" s="28" t="n">
        <f aca="false">Raw!F37</f>
        <v>13.35</v>
      </c>
      <c r="K37" s="30" t="n">
        <f aca="false">DATE(LEFT(Raw!G37,4),MID(Raw!G37,6,2),MID(Raw!G37,9,2))</f>
        <v>45672</v>
      </c>
      <c r="L37" s="30" t="n">
        <f aca="false">DATE(LEFT(Raw!H37,4),MID(Raw!H37,6,2),MID(Raw!H37,9,2))</f>
        <v>45676</v>
      </c>
      <c r="M37" s="30" t="n">
        <f aca="false">DATE(LEFT(Raw!I37,4),MID(Raw!I37,6,2),MID(Raw!I37,9,2))</f>
        <v>45681</v>
      </c>
      <c r="N37" s="31" t="n">
        <f aca="false">DATE(LEFT(Raw!J37,4),MID(Raw!J37,6,2),MID(Raw!J37,9,2))+TIME(MID(Raw!J37,12,2),MID(Raw!J37,15,2),MID(Raw!J37,18,2))</f>
        <v>45675.8333333333</v>
      </c>
      <c r="O37" s="31" t="n">
        <f aca="false">DATE(LEFT(Raw!K37,4),MID(Raw!K37,6,2),MID(Raw!K37,9,2))+TIME(MID(Raw!K37,12,2),MID(Raw!K37,15,2),MID(Raw!K37,18,2))</f>
        <v>45688.6</v>
      </c>
      <c r="P37" s="32" t="n">
        <f aca="false">L37-K37</f>
        <v>4</v>
      </c>
      <c r="Q37" s="32" t="n">
        <f aca="false">M37-L37</f>
        <v>5</v>
      </c>
      <c r="R37" s="32" t="n">
        <f aca="false">O37-N37</f>
        <v>12.7666666666667</v>
      </c>
      <c r="S37" s="32" t="n">
        <f aca="false">Raw!L37</f>
        <v>7.6</v>
      </c>
      <c r="T37" s="32" t="n">
        <f aca="false">O37-M37</f>
        <v>7.6</v>
      </c>
      <c r="U37" s="0" t="str">
        <f aca="false">IF(ABS(T37-S37)&lt;0.01,"OK","MISMATCH")</f>
        <v>OK</v>
      </c>
      <c r="V37" s="33" t="n">
        <f aca="false">Raw!M37</f>
        <v>1</v>
      </c>
      <c r="W37" s="0" t="str">
        <f aca="false">IF((S37&gt;0)=(V37=1),"OK","MISMATCH")</f>
        <v>OK</v>
      </c>
      <c r="X37" s="0" t="str">
        <f aca="false">_xlfn.IFS(S37&lt;=0,"Early/On time",S37&lt;=2,"Minor (up to 2 days)",S37&lt;=5,"Moderate (2-5 days)",TRUE(),"Severe (over 5 days)")</f>
        <v>Severe (over 5 days)</v>
      </c>
      <c r="Y37" s="0" t="str">
        <f aca="false">YEAR(K37)&amp;"-"&amp;TEXT(MONTH(K37),"00")</f>
        <v>2025-01</v>
      </c>
      <c r="Z37" s="0" t="str">
        <f aca="false">C37&amp;" → "&amp;D37</f>
        <v>Rajasthan → Surat</v>
      </c>
      <c r="AA37" s="0" t="str">
        <f aca="false">Raw!Q37</f>
        <v>GATI Logistics</v>
      </c>
      <c r="AB37" s="0" t="str">
        <f aca="false">Raw!R37</f>
        <v>Yes</v>
      </c>
      <c r="AC37" s="0" t="str">
        <f aca="false">Raw!S37</f>
        <v>Normal</v>
      </c>
      <c r="AD37" s="29" t="n">
        <f aca="false">Raw!N37</f>
        <v>3822.41</v>
      </c>
      <c r="AE37" s="29" t="n">
        <f aca="false">Raw!O37</f>
        <v>4733.75</v>
      </c>
      <c r="AF37" s="29" t="n">
        <f aca="false">Raw!P37</f>
        <v>1001.04</v>
      </c>
      <c r="AG37" s="29" t="n">
        <f aca="false">AD37/J37</f>
        <v>286.322846441948</v>
      </c>
    </row>
    <row r="38" customFormat="false" ht="15" hidden="false" customHeight="false" outlineLevel="0" collapsed="false">
      <c r="A38" s="0" t="str">
        <f aca="false">Raw!A38</f>
        <v>SHP0037</v>
      </c>
      <c r="B38" s="0" t="str">
        <f aca="false">Raw!B38</f>
        <v>Inbound</v>
      </c>
      <c r="C38" s="0" t="str">
        <f aca="false">Raw!C38</f>
        <v>Punjab</v>
      </c>
      <c r="D38" s="0" t="str">
        <f aca="false">Raw!D38</f>
        <v>Surat</v>
      </c>
      <c r="E38" s="0" t="str">
        <f aca="false">IFERROR(INDEX(Location_Map!$B$2:$B$15,MATCH(C38,Location_Map!$A$2:$A$15,0)),"UNMAPPED")</f>
        <v>Punjab</v>
      </c>
      <c r="F38" s="0" t="str">
        <f aca="false">IFERROR(INDEX(Location_Map!$C$2:$C$15,MATCH(C38,Location_Map!$A$2:$A$15,0)),"UNMAPPED")</f>
        <v>North</v>
      </c>
      <c r="G38" s="0" t="str">
        <f aca="false">IFERROR(INDEX(Location_Map!$B$2:$B$15,MATCH(D38,Location_Map!$A$2:$A$15,0)),"UNMAPPED")</f>
        <v>Gujarat</v>
      </c>
      <c r="H38" s="0" t="str">
        <f aca="false">IFERROR(INDEX(Location_Map!$C$2:$C$15,MATCH(D38,Location_Map!$A$2:$A$15,0)),"UNMAPPED")</f>
        <v>West</v>
      </c>
      <c r="I38" s="0" t="str">
        <f aca="false">Raw!E38</f>
        <v>Raw Yarn</v>
      </c>
      <c r="J38" s="28" t="n">
        <f aca="false">Raw!F38</f>
        <v>11.25</v>
      </c>
      <c r="K38" s="30" t="n">
        <f aca="false">DATE(LEFT(Raw!G38,4),MID(Raw!G38,6,2),MID(Raw!G38,9,2))</f>
        <v>45863</v>
      </c>
      <c r="L38" s="30" t="n">
        <f aca="false">DATE(LEFT(Raw!H38,4),MID(Raw!H38,6,2),MID(Raw!H38,9,2))</f>
        <v>45866</v>
      </c>
      <c r="M38" s="30" t="n">
        <f aca="false">DATE(LEFT(Raw!I38,4),MID(Raw!I38,6,2),MID(Raw!I38,9,2))</f>
        <v>45869</v>
      </c>
      <c r="N38" s="31" t="n">
        <f aca="false">DATE(LEFT(Raw!J38,4),MID(Raw!J38,6,2),MID(Raw!J38,9,2))+TIME(MID(Raw!J38,12,2),MID(Raw!J38,15,2),MID(Raw!J38,18,2))</f>
        <v>45866.2083333333</v>
      </c>
      <c r="O38" s="31" t="n">
        <f aca="false">DATE(LEFT(Raw!K38,4),MID(Raw!K38,6,2),MID(Raw!K38,9,2))+TIME(MID(Raw!K38,12,2),MID(Raw!K38,15,2),MID(Raw!K38,18,2))</f>
        <v>45871.2</v>
      </c>
      <c r="P38" s="32" t="n">
        <f aca="false">L38-K38</f>
        <v>3</v>
      </c>
      <c r="Q38" s="32" t="n">
        <f aca="false">M38-L38</f>
        <v>3</v>
      </c>
      <c r="R38" s="32" t="n">
        <f aca="false">O38-N38</f>
        <v>4.99166666666667</v>
      </c>
      <c r="S38" s="32" t="n">
        <f aca="false">Raw!L38</f>
        <v>2.2</v>
      </c>
      <c r="T38" s="32" t="n">
        <f aca="false">O38-M38</f>
        <v>2.2</v>
      </c>
      <c r="U38" s="0" t="str">
        <f aca="false">IF(ABS(T38-S38)&lt;0.01,"OK","MISMATCH")</f>
        <v>OK</v>
      </c>
      <c r="V38" s="33" t="n">
        <f aca="false">Raw!M38</f>
        <v>1</v>
      </c>
      <c r="W38" s="0" t="str">
        <f aca="false">IF((S38&gt;0)=(V38=1),"OK","MISMATCH")</f>
        <v>OK</v>
      </c>
      <c r="X38" s="0" t="str">
        <f aca="false">_xlfn.IFS(S38&lt;=0,"Early/On time",S38&lt;=2,"Minor (up to 2 days)",S38&lt;=5,"Moderate (2-5 days)",TRUE(),"Severe (over 5 days)")</f>
        <v>Moderate (2-5 days)</v>
      </c>
      <c r="Y38" s="0" t="str">
        <f aca="false">YEAR(K38)&amp;"-"&amp;TEXT(MONTH(K38),"00")</f>
        <v>2025-07</v>
      </c>
      <c r="Z38" s="0" t="str">
        <f aca="false">C38&amp;" → "&amp;D38</f>
        <v>Punjab → Surat</v>
      </c>
      <c r="AA38" s="0" t="str">
        <f aca="false">Raw!Q38</f>
        <v>VRL Cargo</v>
      </c>
      <c r="AB38" s="0" t="str">
        <f aca="false">Raw!R38</f>
        <v>Yes</v>
      </c>
      <c r="AC38" s="0" t="str">
        <f aca="false">Raw!S38</f>
        <v>Expedited</v>
      </c>
      <c r="AD38" s="29" t="n">
        <f aca="false">Raw!N38</f>
        <v>7584.49</v>
      </c>
      <c r="AE38" s="29" t="n">
        <f aca="false">Raw!O38</f>
        <v>3293.47</v>
      </c>
      <c r="AF38" s="29" t="n">
        <f aca="false">Raw!P38</f>
        <v>628.5</v>
      </c>
      <c r="AG38" s="29" t="n">
        <f aca="false">AD38/J38</f>
        <v>674.176888888889</v>
      </c>
    </row>
    <row r="39" customFormat="false" ht="15" hidden="false" customHeight="false" outlineLevel="0" collapsed="false">
      <c r="A39" s="0" t="str">
        <f aca="false">Raw!A39</f>
        <v>SHP0038</v>
      </c>
      <c r="B39" s="0" t="str">
        <f aca="false">Raw!B39</f>
        <v>Inbound</v>
      </c>
      <c r="C39" s="0" t="str">
        <f aca="false">Raw!C39</f>
        <v>Chennai</v>
      </c>
      <c r="D39" s="0" t="str">
        <f aca="false">Raw!D39</f>
        <v>Surat</v>
      </c>
      <c r="E39" s="0" t="str">
        <f aca="false">IFERROR(INDEX(Location_Map!$B$2:$B$15,MATCH(C39,Location_Map!$A$2:$A$15,0)),"UNMAPPED")</f>
        <v>Tamil Nadu</v>
      </c>
      <c r="F39" s="0" t="str">
        <f aca="false">IFERROR(INDEX(Location_Map!$C$2:$C$15,MATCH(C39,Location_Map!$A$2:$A$15,0)),"UNMAPPED")</f>
        <v>South</v>
      </c>
      <c r="G39" s="0" t="str">
        <f aca="false">IFERROR(INDEX(Location_Map!$B$2:$B$15,MATCH(D39,Location_Map!$A$2:$A$15,0)),"UNMAPPED")</f>
        <v>Gujarat</v>
      </c>
      <c r="H39" s="0" t="str">
        <f aca="false">IFERROR(INDEX(Location_Map!$C$2:$C$15,MATCH(D39,Location_Map!$A$2:$A$15,0)),"UNMAPPED")</f>
        <v>West</v>
      </c>
      <c r="I39" s="0" t="str">
        <f aca="false">Raw!E39</f>
        <v>Semi-Processed Yarn</v>
      </c>
      <c r="J39" s="28" t="n">
        <f aca="false">Raw!F39</f>
        <v>16.41</v>
      </c>
      <c r="K39" s="30" t="n">
        <f aca="false">DATE(LEFT(Raw!G39,4),MID(Raw!G39,6,2),MID(Raw!G39,9,2))</f>
        <v>45904</v>
      </c>
      <c r="L39" s="30" t="n">
        <f aca="false">DATE(LEFT(Raw!H39,4),MID(Raw!H39,6,2),MID(Raw!H39,9,2))</f>
        <v>45907</v>
      </c>
      <c r="M39" s="30" t="n">
        <f aca="false">DATE(LEFT(Raw!I39,4),MID(Raw!I39,6,2),MID(Raw!I39,9,2))</f>
        <v>45909</v>
      </c>
      <c r="N39" s="31" t="n">
        <f aca="false">DATE(LEFT(Raw!J39,4),MID(Raw!J39,6,2),MID(Raw!J39,9,2))+TIME(MID(Raw!J39,12,2),MID(Raw!J39,15,2),MID(Raw!J39,18,2))</f>
        <v>45906.7916666667</v>
      </c>
      <c r="O39" s="31" t="n">
        <f aca="false">DATE(LEFT(Raw!K39,4),MID(Raw!K39,6,2),MID(Raw!K39,9,2))+TIME(MID(Raw!K39,12,2),MID(Raw!K39,15,2),MID(Raw!K39,18,2))</f>
        <v>45909.8</v>
      </c>
      <c r="P39" s="32" t="n">
        <f aca="false">L39-K39</f>
        <v>3</v>
      </c>
      <c r="Q39" s="32" t="n">
        <f aca="false">M39-L39</f>
        <v>2</v>
      </c>
      <c r="R39" s="32" t="n">
        <f aca="false">O39-N39</f>
        <v>3.00833333333333</v>
      </c>
      <c r="S39" s="32" t="n">
        <f aca="false">Raw!L39</f>
        <v>0.8</v>
      </c>
      <c r="T39" s="32" t="n">
        <f aca="false">O39-M39</f>
        <v>0.8</v>
      </c>
      <c r="U39" s="0" t="str">
        <f aca="false">IF(ABS(T39-S39)&lt;0.01,"OK","MISMATCH")</f>
        <v>OK</v>
      </c>
      <c r="V39" s="33" t="n">
        <f aca="false">Raw!M39</f>
        <v>1</v>
      </c>
      <c r="W39" s="0" t="str">
        <f aca="false">IF((S39&gt;0)=(V39=1),"OK","MISMATCH")</f>
        <v>OK</v>
      </c>
      <c r="X39" s="0" t="str">
        <f aca="false">_xlfn.IFS(S39&lt;=0,"Early/On time",S39&lt;=2,"Minor (up to 2 days)",S39&lt;=5,"Moderate (2-5 days)",TRUE(),"Severe (over 5 days)")</f>
        <v>Minor (up to 2 days)</v>
      </c>
      <c r="Y39" s="0" t="str">
        <f aca="false">YEAR(K39)&amp;"-"&amp;TEXT(MONTH(K39),"00")</f>
        <v>2025-09</v>
      </c>
      <c r="Z39" s="0" t="str">
        <f aca="false">C39&amp;" → "&amp;D39</f>
        <v>Chennai → Surat</v>
      </c>
      <c r="AA39" s="0" t="str">
        <f aca="false">Raw!Q39</f>
        <v>VRL Cargo</v>
      </c>
      <c r="AB39" s="0" t="str">
        <f aca="false">Raw!R39</f>
        <v>No</v>
      </c>
      <c r="AC39" s="0" t="str">
        <f aca="false">Raw!S39</f>
        <v>Damaged</v>
      </c>
      <c r="AD39" s="29" t="n">
        <f aca="false">Raw!N39</f>
        <v>7074.95</v>
      </c>
      <c r="AE39" s="29" t="n">
        <f aca="false">Raw!O39</f>
        <v>2095.84</v>
      </c>
      <c r="AF39" s="29" t="n">
        <f aca="false">Raw!P39</f>
        <v>714.59</v>
      </c>
      <c r="AG39" s="29" t="n">
        <f aca="false">AD39/J39</f>
        <v>431.136502132846</v>
      </c>
    </row>
    <row r="40" customFormat="false" ht="15" hidden="false" customHeight="false" outlineLevel="0" collapsed="false">
      <c r="A40" s="0" t="str">
        <f aca="false">Raw!A40</f>
        <v>SHP0039</v>
      </c>
      <c r="B40" s="0" t="str">
        <f aca="false">Raw!B40</f>
        <v>Inbound</v>
      </c>
      <c r="C40" s="0" t="str">
        <f aca="false">Raw!C40</f>
        <v>Gujarat</v>
      </c>
      <c r="D40" s="0" t="str">
        <f aca="false">Raw!D40</f>
        <v>Surat</v>
      </c>
      <c r="E40" s="0" t="str">
        <f aca="false">IFERROR(INDEX(Location_Map!$B$2:$B$15,MATCH(C40,Location_Map!$A$2:$A$15,0)),"UNMAPPED")</f>
        <v>Gujarat</v>
      </c>
      <c r="F40" s="0" t="str">
        <f aca="false">IFERROR(INDEX(Location_Map!$C$2:$C$15,MATCH(C40,Location_Map!$A$2:$A$15,0)),"UNMAPPED")</f>
        <v>West</v>
      </c>
      <c r="G40" s="0" t="str">
        <f aca="false">IFERROR(INDEX(Location_Map!$B$2:$B$15,MATCH(D40,Location_Map!$A$2:$A$15,0)),"UNMAPPED")</f>
        <v>Gujarat</v>
      </c>
      <c r="H40" s="0" t="str">
        <f aca="false">IFERROR(INDEX(Location_Map!$C$2:$C$15,MATCH(D40,Location_Map!$A$2:$A$15,0)),"UNMAPPED")</f>
        <v>West</v>
      </c>
      <c r="I40" s="0" t="str">
        <f aca="false">Raw!E40</f>
        <v>Semi-Processed Yarn</v>
      </c>
      <c r="J40" s="28" t="n">
        <f aca="false">Raw!F40</f>
        <v>8.17</v>
      </c>
      <c r="K40" s="30" t="n">
        <f aca="false">DATE(LEFT(Raw!G40,4),MID(Raw!G40,6,2),MID(Raw!G40,9,2))</f>
        <v>45669</v>
      </c>
      <c r="L40" s="30" t="n">
        <f aca="false">DATE(LEFT(Raw!H40,4),MID(Raw!H40,6,2),MID(Raw!H40,9,2))</f>
        <v>45672</v>
      </c>
      <c r="M40" s="30" t="n">
        <f aca="false">DATE(LEFT(Raw!I40,4),MID(Raw!I40,6,2),MID(Raw!I40,9,2))</f>
        <v>45674</v>
      </c>
      <c r="N40" s="31" t="n">
        <f aca="false">DATE(LEFT(Raw!J40,4),MID(Raw!J40,6,2),MID(Raw!J40,9,2))+TIME(MID(Raw!J40,12,2),MID(Raw!J40,15,2),MID(Raw!J40,18,2))</f>
        <v>45672.1666666667</v>
      </c>
      <c r="O40" s="31" t="n">
        <f aca="false">DATE(LEFT(Raw!K40,4),MID(Raw!K40,6,2),MID(Raw!K40,9,2))+TIME(MID(Raw!K40,12,2),MID(Raw!K40,15,2),MID(Raw!K40,18,2))</f>
        <v>45673</v>
      </c>
      <c r="P40" s="32" t="n">
        <f aca="false">L40-K40</f>
        <v>3</v>
      </c>
      <c r="Q40" s="32" t="n">
        <f aca="false">M40-L40</f>
        <v>2</v>
      </c>
      <c r="R40" s="32" t="n">
        <f aca="false">O40-N40</f>
        <v>0.833333333333333</v>
      </c>
      <c r="S40" s="32" t="n">
        <f aca="false">Raw!L40</f>
        <v>-1</v>
      </c>
      <c r="T40" s="32" t="n">
        <f aca="false">O40-M40</f>
        <v>-1</v>
      </c>
      <c r="U40" s="0" t="str">
        <f aca="false">IF(ABS(T40-S40)&lt;0.01,"OK","MISMATCH")</f>
        <v>OK</v>
      </c>
      <c r="V40" s="33" t="n">
        <f aca="false">Raw!M40</f>
        <v>0</v>
      </c>
      <c r="W40" s="0" t="str">
        <f aca="false">IF((S40&gt;0)=(V40=1),"OK","MISMATCH")</f>
        <v>OK</v>
      </c>
      <c r="X40" s="0" t="str">
        <f aca="false">_xlfn.IFS(S40&lt;=0,"Early/On time",S40&lt;=2,"Minor (up to 2 days)",S40&lt;=5,"Moderate (2-5 days)",TRUE(),"Severe (over 5 days)")</f>
        <v>Early/On time</v>
      </c>
      <c r="Y40" s="0" t="str">
        <f aca="false">YEAR(K40)&amp;"-"&amp;TEXT(MONTH(K40),"00")</f>
        <v>2025-01</v>
      </c>
      <c r="Z40" s="0" t="str">
        <f aca="false">C40&amp;" → "&amp;D40</f>
        <v>Gujarat → Surat</v>
      </c>
      <c r="AA40" s="0" t="str">
        <f aca="false">Raw!Q40</f>
        <v>Delhivery</v>
      </c>
      <c r="AB40" s="0" t="str">
        <f aca="false">Raw!R40</f>
        <v>Yes</v>
      </c>
      <c r="AC40" s="0" t="str">
        <f aca="false">Raw!S40</f>
        <v>Normal</v>
      </c>
      <c r="AD40" s="29" t="n">
        <f aca="false">Raw!N40</f>
        <v>3687.07</v>
      </c>
      <c r="AE40" s="29" t="n">
        <f aca="false">Raw!O40</f>
        <v>2127.42</v>
      </c>
      <c r="AF40" s="29" t="n">
        <f aca="false">Raw!P40</f>
        <v>618.16</v>
      </c>
      <c r="AG40" s="29" t="n">
        <f aca="false">AD40/J40</f>
        <v>451.293757649939</v>
      </c>
    </row>
    <row r="41" customFormat="false" ht="15" hidden="false" customHeight="false" outlineLevel="0" collapsed="false">
      <c r="A41" s="0" t="str">
        <f aca="false">Raw!A41</f>
        <v>SHP0040</v>
      </c>
      <c r="B41" s="0" t="str">
        <f aca="false">Raw!B41</f>
        <v>Outbound</v>
      </c>
      <c r="C41" s="0" t="str">
        <f aca="false">Raw!C41</f>
        <v>Surat</v>
      </c>
      <c r="D41" s="0" t="str">
        <f aca="false">Raw!D41</f>
        <v>Uttarakhand</v>
      </c>
      <c r="E41" s="0" t="str">
        <f aca="false">IFERROR(INDEX(Location_Map!$B$2:$B$15,MATCH(C41,Location_Map!$A$2:$A$15,0)),"UNMAPPED")</f>
        <v>Gujarat</v>
      </c>
      <c r="F41" s="0" t="str">
        <f aca="false">IFERROR(INDEX(Location_Map!$C$2:$C$15,MATCH(C41,Location_Map!$A$2:$A$15,0)),"UNMAPPED")</f>
        <v>West</v>
      </c>
      <c r="G41" s="0" t="str">
        <f aca="false">IFERROR(INDEX(Location_Map!$B$2:$B$15,MATCH(D41,Location_Map!$A$2:$A$15,0)),"UNMAPPED")</f>
        <v>Uttarakhand</v>
      </c>
      <c r="H41" s="0" t="str">
        <f aca="false">IFERROR(INDEX(Location_Map!$C$2:$C$15,MATCH(D41,Location_Map!$A$2:$A$15,0)),"UNMAPPED")</f>
        <v>North</v>
      </c>
      <c r="I41" s="0" t="str">
        <f aca="false">Raw!E41</f>
        <v>Raw Yarn</v>
      </c>
      <c r="J41" s="28" t="n">
        <f aca="false">Raw!F41</f>
        <v>14.24</v>
      </c>
      <c r="K41" s="30" t="n">
        <f aca="false">DATE(LEFT(Raw!G41,4),MID(Raw!G41,6,2),MID(Raw!G41,9,2))</f>
        <v>45846</v>
      </c>
      <c r="L41" s="30" t="n">
        <f aca="false">DATE(LEFT(Raw!H41,4),MID(Raw!H41,6,2),MID(Raw!H41,9,2))</f>
        <v>45850</v>
      </c>
      <c r="M41" s="30" t="n">
        <f aca="false">DATE(LEFT(Raw!I41,4),MID(Raw!I41,6,2),MID(Raw!I41,9,2))</f>
        <v>45855</v>
      </c>
      <c r="N41" s="31" t="n">
        <f aca="false">DATE(LEFT(Raw!J41,4),MID(Raw!J41,6,2),MID(Raw!J41,9,2))+TIME(MID(Raw!J41,12,2),MID(Raw!J41,15,2),MID(Raw!J41,18,2))</f>
        <v>45850.125</v>
      </c>
      <c r="O41" s="31" t="n">
        <f aca="false">DATE(LEFT(Raw!K41,4),MID(Raw!K41,6,2),MID(Raw!K41,9,2))+TIME(MID(Raw!K41,12,2),MID(Raw!K41,15,2),MID(Raw!K41,18,2))</f>
        <v>45861.7</v>
      </c>
      <c r="P41" s="32" t="n">
        <f aca="false">L41-K41</f>
        <v>4</v>
      </c>
      <c r="Q41" s="32" t="n">
        <f aca="false">M41-L41</f>
        <v>5</v>
      </c>
      <c r="R41" s="32" t="n">
        <f aca="false">O41-N41</f>
        <v>11.575</v>
      </c>
      <c r="S41" s="32" t="n">
        <f aca="false">Raw!L41</f>
        <v>6.7</v>
      </c>
      <c r="T41" s="32" t="n">
        <f aca="false">O41-M41</f>
        <v>6.7</v>
      </c>
      <c r="U41" s="0" t="str">
        <f aca="false">IF(ABS(T41-S41)&lt;0.01,"OK","MISMATCH")</f>
        <v>OK</v>
      </c>
      <c r="V41" s="33" t="n">
        <f aca="false">Raw!M41</f>
        <v>1</v>
      </c>
      <c r="W41" s="0" t="str">
        <f aca="false">IF((S41&gt;0)=(V41=1),"OK","MISMATCH")</f>
        <v>OK</v>
      </c>
      <c r="X41" s="0" t="str">
        <f aca="false">_xlfn.IFS(S41&lt;=0,"Early/On time",S41&lt;=2,"Minor (up to 2 days)",S41&lt;=5,"Moderate (2-5 days)",TRUE(),"Severe (over 5 days)")</f>
        <v>Severe (over 5 days)</v>
      </c>
      <c r="Y41" s="0" t="str">
        <f aca="false">YEAR(K41)&amp;"-"&amp;TEXT(MONTH(K41),"00")</f>
        <v>2025-07</v>
      </c>
      <c r="Z41" s="0" t="str">
        <f aca="false">C41&amp;" → "&amp;D41</f>
        <v>Surat → Uttarakhand</v>
      </c>
      <c r="AA41" s="0" t="str">
        <f aca="false">Raw!Q41</f>
        <v>GATI Logistics</v>
      </c>
      <c r="AB41" s="0" t="str">
        <f aca="false">Raw!R41</f>
        <v>Yes</v>
      </c>
      <c r="AC41" s="0" t="str">
        <f aca="false">Raw!S41</f>
        <v>Expedited</v>
      </c>
      <c r="AD41" s="29" t="n">
        <f aca="false">Raw!N41</f>
        <v>7261.72</v>
      </c>
      <c r="AE41" s="29" t="n">
        <f aca="false">Raw!O41</f>
        <v>1709.76</v>
      </c>
      <c r="AF41" s="29" t="n">
        <f aca="false">Raw!P41</f>
        <v>1250.61</v>
      </c>
      <c r="AG41" s="29" t="n">
        <f aca="false">AD41/J41</f>
        <v>509.952247191011</v>
      </c>
    </row>
    <row r="42" customFormat="false" ht="15" hidden="false" customHeight="false" outlineLevel="0" collapsed="false">
      <c r="A42" s="0" t="str">
        <f aca="false">Raw!A42</f>
        <v>SHP0041</v>
      </c>
      <c r="B42" s="0" t="str">
        <f aca="false">Raw!B42</f>
        <v>Inbound</v>
      </c>
      <c r="C42" s="0" t="str">
        <f aca="false">Raw!C42</f>
        <v>Rajasthan</v>
      </c>
      <c r="D42" s="0" t="str">
        <f aca="false">Raw!D42</f>
        <v>Surat</v>
      </c>
      <c r="E42" s="0" t="str">
        <f aca="false">IFERROR(INDEX(Location_Map!$B$2:$B$15,MATCH(C42,Location_Map!$A$2:$A$15,0)),"UNMAPPED")</f>
        <v>Rajasthan</v>
      </c>
      <c r="F42" s="0" t="str">
        <f aca="false">IFERROR(INDEX(Location_Map!$C$2:$C$15,MATCH(C42,Location_Map!$A$2:$A$15,0)),"UNMAPPED")</f>
        <v>North</v>
      </c>
      <c r="G42" s="0" t="str">
        <f aca="false">IFERROR(INDEX(Location_Map!$B$2:$B$15,MATCH(D42,Location_Map!$A$2:$A$15,0)),"UNMAPPED")</f>
        <v>Gujarat</v>
      </c>
      <c r="H42" s="0" t="str">
        <f aca="false">IFERROR(INDEX(Location_Map!$C$2:$C$15,MATCH(D42,Location_Map!$A$2:$A$15,0)),"UNMAPPED")</f>
        <v>West</v>
      </c>
      <c r="I42" s="0" t="str">
        <f aca="false">Raw!E42</f>
        <v>Raw Yarn</v>
      </c>
      <c r="J42" s="28" t="n">
        <f aca="false">Raw!F42</f>
        <v>16.33</v>
      </c>
      <c r="K42" s="30" t="n">
        <f aca="false">DATE(LEFT(Raw!G42,4),MID(Raw!G42,6,2),MID(Raw!G42,9,2))</f>
        <v>45955</v>
      </c>
      <c r="L42" s="30" t="n">
        <f aca="false">DATE(LEFT(Raw!H42,4),MID(Raw!H42,6,2),MID(Raw!H42,9,2))</f>
        <v>45957</v>
      </c>
      <c r="M42" s="30" t="n">
        <f aca="false">DATE(LEFT(Raw!I42,4),MID(Raw!I42,6,2),MID(Raw!I42,9,2))</f>
        <v>45960</v>
      </c>
      <c r="N42" s="31" t="n">
        <f aca="false">DATE(LEFT(Raw!J42,4),MID(Raw!J42,6,2),MID(Raw!J42,9,2))+TIME(MID(Raw!J42,12,2),MID(Raw!J42,15,2),MID(Raw!J42,18,2))</f>
        <v>45957.0416666667</v>
      </c>
      <c r="O42" s="31" t="n">
        <f aca="false">DATE(LEFT(Raw!K42,4),MID(Raw!K42,6,2),MID(Raw!K42,9,2))+TIME(MID(Raw!K42,12,2),MID(Raw!K42,15,2),MID(Raw!K42,18,2))</f>
        <v>45963.5</v>
      </c>
      <c r="P42" s="32" t="n">
        <f aca="false">L42-K42</f>
        <v>2</v>
      </c>
      <c r="Q42" s="32" t="n">
        <f aca="false">M42-L42</f>
        <v>3</v>
      </c>
      <c r="R42" s="32" t="n">
        <f aca="false">O42-N42</f>
        <v>6.45833333333333</v>
      </c>
      <c r="S42" s="32" t="n">
        <f aca="false">Raw!L42</f>
        <v>3.5</v>
      </c>
      <c r="T42" s="32" t="n">
        <f aca="false">O42-M42</f>
        <v>3.5</v>
      </c>
      <c r="U42" s="0" t="str">
        <f aca="false">IF(ABS(T42-S42)&lt;0.01,"OK","MISMATCH")</f>
        <v>OK</v>
      </c>
      <c r="V42" s="33" t="n">
        <f aca="false">Raw!M42</f>
        <v>1</v>
      </c>
      <c r="W42" s="0" t="str">
        <f aca="false">IF((S42&gt;0)=(V42=1),"OK","MISMATCH")</f>
        <v>OK</v>
      </c>
      <c r="X42" s="0" t="str">
        <f aca="false">_xlfn.IFS(S42&lt;=0,"Early/On time",S42&lt;=2,"Minor (up to 2 days)",S42&lt;=5,"Moderate (2-5 days)",TRUE(),"Severe (over 5 days)")</f>
        <v>Moderate (2-5 days)</v>
      </c>
      <c r="Y42" s="0" t="str">
        <f aca="false">YEAR(K42)&amp;"-"&amp;TEXT(MONTH(K42),"00")</f>
        <v>2025-10</v>
      </c>
      <c r="Z42" s="0" t="str">
        <f aca="false">C42&amp;" → "&amp;D42</f>
        <v>Rajasthan → Surat</v>
      </c>
      <c r="AA42" s="0" t="str">
        <f aca="false">Raw!Q42</f>
        <v>TCI Express</v>
      </c>
      <c r="AB42" s="0" t="str">
        <f aca="false">Raw!R42</f>
        <v>Yes</v>
      </c>
      <c r="AC42" s="0" t="str">
        <f aca="false">Raw!S42</f>
        <v>Expedited</v>
      </c>
      <c r="AD42" s="29" t="n">
        <f aca="false">Raw!N42</f>
        <v>12363.94</v>
      </c>
      <c r="AE42" s="29" t="n">
        <f aca="false">Raw!O42</f>
        <v>2715.98</v>
      </c>
      <c r="AF42" s="29" t="n">
        <f aca="false">Raw!P42</f>
        <v>1250.87</v>
      </c>
      <c r="AG42" s="29" t="n">
        <f aca="false">AD42/J42</f>
        <v>757.130434782609</v>
      </c>
    </row>
    <row r="43" customFormat="false" ht="15" hidden="false" customHeight="false" outlineLevel="0" collapsed="false">
      <c r="A43" s="0" t="str">
        <f aca="false">Raw!A43</f>
        <v>SHP0042</v>
      </c>
      <c r="B43" s="0" t="str">
        <f aca="false">Raw!B43</f>
        <v>Inbound</v>
      </c>
      <c r="C43" s="0" t="str">
        <f aca="false">Raw!C43</f>
        <v>Rajasthan</v>
      </c>
      <c r="D43" s="0" t="str">
        <f aca="false">Raw!D43</f>
        <v>Surat</v>
      </c>
      <c r="E43" s="0" t="str">
        <f aca="false">IFERROR(INDEX(Location_Map!$B$2:$B$15,MATCH(C43,Location_Map!$A$2:$A$15,0)),"UNMAPPED")</f>
        <v>Rajasthan</v>
      </c>
      <c r="F43" s="0" t="str">
        <f aca="false">IFERROR(INDEX(Location_Map!$C$2:$C$15,MATCH(C43,Location_Map!$A$2:$A$15,0)),"UNMAPPED")</f>
        <v>North</v>
      </c>
      <c r="G43" s="0" t="str">
        <f aca="false">IFERROR(INDEX(Location_Map!$B$2:$B$15,MATCH(D43,Location_Map!$A$2:$A$15,0)),"UNMAPPED")</f>
        <v>Gujarat</v>
      </c>
      <c r="H43" s="0" t="str">
        <f aca="false">IFERROR(INDEX(Location_Map!$C$2:$C$15,MATCH(D43,Location_Map!$A$2:$A$15,0)),"UNMAPPED")</f>
        <v>West</v>
      </c>
      <c r="I43" s="0" t="str">
        <f aca="false">Raw!E43</f>
        <v>Semi-Processed Yarn</v>
      </c>
      <c r="J43" s="28" t="n">
        <f aca="false">Raw!F43</f>
        <v>15.34</v>
      </c>
      <c r="K43" s="30" t="n">
        <f aca="false">DATE(LEFT(Raw!G43,4),MID(Raw!G43,6,2),MID(Raw!G43,9,2))</f>
        <v>45688</v>
      </c>
      <c r="L43" s="30" t="n">
        <f aca="false">DATE(LEFT(Raw!H43,4),MID(Raw!H43,6,2),MID(Raw!H43,9,2))</f>
        <v>45692</v>
      </c>
      <c r="M43" s="30" t="n">
        <f aca="false">DATE(LEFT(Raw!I43,4),MID(Raw!I43,6,2),MID(Raw!I43,9,2))</f>
        <v>45697</v>
      </c>
      <c r="N43" s="31" t="n">
        <f aca="false">DATE(LEFT(Raw!J43,4),MID(Raw!J43,6,2),MID(Raw!J43,9,2))+TIME(MID(Raw!J43,12,2),MID(Raw!J43,15,2),MID(Raw!J43,18,2))</f>
        <v>45692.125</v>
      </c>
      <c r="O43" s="31" t="n">
        <f aca="false">DATE(LEFT(Raw!K43,4),MID(Raw!K43,6,2),MID(Raw!K43,9,2))+TIME(MID(Raw!K43,12,2),MID(Raw!K43,15,2),MID(Raw!K43,18,2))</f>
        <v>45696</v>
      </c>
      <c r="P43" s="32" t="n">
        <f aca="false">L43-K43</f>
        <v>4</v>
      </c>
      <c r="Q43" s="32" t="n">
        <f aca="false">M43-L43</f>
        <v>5</v>
      </c>
      <c r="R43" s="32" t="n">
        <f aca="false">O43-N43</f>
        <v>3.875</v>
      </c>
      <c r="S43" s="32" t="n">
        <f aca="false">Raw!L43</f>
        <v>-1</v>
      </c>
      <c r="T43" s="32" t="n">
        <f aca="false">O43-M43</f>
        <v>-1</v>
      </c>
      <c r="U43" s="0" t="str">
        <f aca="false">IF(ABS(T43-S43)&lt;0.01,"OK","MISMATCH")</f>
        <v>OK</v>
      </c>
      <c r="V43" s="33" t="n">
        <f aca="false">Raw!M43</f>
        <v>0</v>
      </c>
      <c r="W43" s="0" t="str">
        <f aca="false">IF((S43&gt;0)=(V43=1),"OK","MISMATCH")</f>
        <v>OK</v>
      </c>
      <c r="X43" s="0" t="str">
        <f aca="false">_xlfn.IFS(S43&lt;=0,"Early/On time",S43&lt;=2,"Minor (up to 2 days)",S43&lt;=5,"Moderate (2-5 days)",TRUE(),"Severe (over 5 days)")</f>
        <v>Early/On time</v>
      </c>
      <c r="Y43" s="0" t="str">
        <f aca="false">YEAR(K43)&amp;"-"&amp;TEXT(MONTH(K43),"00")</f>
        <v>2025-01</v>
      </c>
      <c r="Z43" s="0" t="str">
        <f aca="false">C43&amp;" → "&amp;D43</f>
        <v>Rajasthan → Surat</v>
      </c>
      <c r="AA43" s="0" t="str">
        <f aca="false">Raw!Q43</f>
        <v>TCI Express</v>
      </c>
      <c r="AB43" s="0" t="str">
        <f aca="false">Raw!R43</f>
        <v>No</v>
      </c>
      <c r="AC43" s="0" t="str">
        <f aca="false">Raw!S43</f>
        <v>Damaged</v>
      </c>
      <c r="AD43" s="29" t="n">
        <f aca="false">Raw!N43</f>
        <v>7906.08</v>
      </c>
      <c r="AE43" s="29" t="n">
        <f aca="false">Raw!O43</f>
        <v>2556.81</v>
      </c>
      <c r="AF43" s="29" t="n">
        <f aca="false">Raw!P43</f>
        <v>510.84</v>
      </c>
      <c r="AG43" s="29" t="n">
        <f aca="false">AD43/J43</f>
        <v>515.389830508475</v>
      </c>
    </row>
    <row r="44" customFormat="false" ht="15" hidden="false" customHeight="false" outlineLevel="0" collapsed="false">
      <c r="A44" s="0" t="str">
        <f aca="false">Raw!A44</f>
        <v>SHP0043</v>
      </c>
      <c r="B44" s="0" t="str">
        <f aca="false">Raw!B44</f>
        <v>Outbound</v>
      </c>
      <c r="C44" s="0" t="str">
        <f aca="false">Raw!C44</f>
        <v>Surat</v>
      </c>
      <c r="D44" s="0" t="str">
        <f aca="false">Raw!D44</f>
        <v>Uttarakhand</v>
      </c>
      <c r="E44" s="0" t="str">
        <f aca="false">IFERROR(INDEX(Location_Map!$B$2:$B$15,MATCH(C44,Location_Map!$A$2:$A$15,0)),"UNMAPPED")</f>
        <v>Gujarat</v>
      </c>
      <c r="F44" s="0" t="str">
        <f aca="false">IFERROR(INDEX(Location_Map!$C$2:$C$15,MATCH(C44,Location_Map!$A$2:$A$15,0)),"UNMAPPED")</f>
        <v>West</v>
      </c>
      <c r="G44" s="0" t="str">
        <f aca="false">IFERROR(INDEX(Location_Map!$B$2:$B$15,MATCH(D44,Location_Map!$A$2:$A$15,0)),"UNMAPPED")</f>
        <v>Uttarakhand</v>
      </c>
      <c r="H44" s="0" t="str">
        <f aca="false">IFERROR(INDEX(Location_Map!$C$2:$C$15,MATCH(D44,Location_Map!$A$2:$A$15,0)),"UNMAPPED")</f>
        <v>North</v>
      </c>
      <c r="I44" s="0" t="str">
        <f aca="false">Raw!E44</f>
        <v>Finished Yarn</v>
      </c>
      <c r="J44" s="28" t="n">
        <f aca="false">Raw!F44</f>
        <v>18.2</v>
      </c>
      <c r="K44" s="30" t="n">
        <f aca="false">DATE(LEFT(Raw!G44,4),MID(Raw!G44,6,2),MID(Raw!G44,9,2))</f>
        <v>45685</v>
      </c>
      <c r="L44" s="30" t="n">
        <f aca="false">DATE(LEFT(Raw!H44,4),MID(Raw!H44,6,2),MID(Raw!H44,9,2))</f>
        <v>45687</v>
      </c>
      <c r="M44" s="30" t="n">
        <f aca="false">DATE(LEFT(Raw!I44,4),MID(Raw!I44,6,2),MID(Raw!I44,9,2))</f>
        <v>45692</v>
      </c>
      <c r="N44" s="31" t="n">
        <f aca="false">DATE(LEFT(Raw!J44,4),MID(Raw!J44,6,2),MID(Raw!J44,9,2))+TIME(MID(Raw!J44,12,2),MID(Raw!J44,15,2),MID(Raw!J44,18,2))</f>
        <v>45686.9583333333</v>
      </c>
      <c r="O44" s="31" t="n">
        <f aca="false">DATE(LEFT(Raw!K44,4),MID(Raw!K44,6,2),MID(Raw!K44,9,2))+TIME(MID(Raw!K44,12,2),MID(Raw!K44,15,2),MID(Raw!K44,18,2))</f>
        <v>45699.7</v>
      </c>
      <c r="P44" s="32" t="n">
        <f aca="false">L44-K44</f>
        <v>2</v>
      </c>
      <c r="Q44" s="32" t="n">
        <f aca="false">M44-L44</f>
        <v>5</v>
      </c>
      <c r="R44" s="32" t="n">
        <f aca="false">O44-N44</f>
        <v>12.7416666666667</v>
      </c>
      <c r="S44" s="32" t="n">
        <f aca="false">Raw!L44</f>
        <v>7.7</v>
      </c>
      <c r="T44" s="32" t="n">
        <f aca="false">O44-M44</f>
        <v>7.7</v>
      </c>
      <c r="U44" s="0" t="str">
        <f aca="false">IF(ABS(T44-S44)&lt;0.01,"OK","MISMATCH")</f>
        <v>OK</v>
      </c>
      <c r="V44" s="33" t="n">
        <f aca="false">Raw!M44</f>
        <v>1</v>
      </c>
      <c r="W44" s="0" t="str">
        <f aca="false">IF((S44&gt;0)=(V44=1),"OK","MISMATCH")</f>
        <v>OK</v>
      </c>
      <c r="X44" s="0" t="str">
        <f aca="false">_xlfn.IFS(S44&lt;=0,"Early/On time",S44&lt;=2,"Minor (up to 2 days)",S44&lt;=5,"Moderate (2-5 days)",TRUE(),"Severe (over 5 days)")</f>
        <v>Severe (over 5 days)</v>
      </c>
      <c r="Y44" s="0" t="str">
        <f aca="false">YEAR(K44)&amp;"-"&amp;TEXT(MONTH(K44),"00")</f>
        <v>2025-01</v>
      </c>
      <c r="Z44" s="0" t="str">
        <f aca="false">C44&amp;" → "&amp;D44</f>
        <v>Surat → Uttarakhand</v>
      </c>
      <c r="AA44" s="0" t="str">
        <f aca="false">Raw!Q44</f>
        <v>TCI Express</v>
      </c>
      <c r="AB44" s="0" t="str">
        <f aca="false">Raw!R44</f>
        <v>Yes</v>
      </c>
      <c r="AC44" s="0" t="str">
        <f aca="false">Raw!S44</f>
        <v>Expedited</v>
      </c>
      <c r="AD44" s="29" t="n">
        <f aca="false">Raw!N44</f>
        <v>6280.44</v>
      </c>
      <c r="AE44" s="29" t="n">
        <f aca="false">Raw!O44</f>
        <v>3214.81</v>
      </c>
      <c r="AF44" s="29" t="n">
        <f aca="false">Raw!P44</f>
        <v>712.73</v>
      </c>
      <c r="AG44" s="29" t="n">
        <f aca="false">AD44/J44</f>
        <v>345.079120879121</v>
      </c>
    </row>
    <row r="45" customFormat="false" ht="15" hidden="false" customHeight="false" outlineLevel="0" collapsed="false">
      <c r="A45" s="0" t="str">
        <f aca="false">Raw!A45</f>
        <v>SHP0044</v>
      </c>
      <c r="B45" s="0" t="str">
        <f aca="false">Raw!B45</f>
        <v>Inbound</v>
      </c>
      <c r="C45" s="0" t="str">
        <f aca="false">Raw!C45</f>
        <v>Gujarat</v>
      </c>
      <c r="D45" s="0" t="str">
        <f aca="false">Raw!D45</f>
        <v>Surat</v>
      </c>
      <c r="E45" s="0" t="str">
        <f aca="false">IFERROR(INDEX(Location_Map!$B$2:$B$15,MATCH(C45,Location_Map!$A$2:$A$15,0)),"UNMAPPED")</f>
        <v>Gujarat</v>
      </c>
      <c r="F45" s="0" t="str">
        <f aca="false">IFERROR(INDEX(Location_Map!$C$2:$C$15,MATCH(C45,Location_Map!$A$2:$A$15,0)),"UNMAPPED")</f>
        <v>West</v>
      </c>
      <c r="G45" s="0" t="str">
        <f aca="false">IFERROR(INDEX(Location_Map!$B$2:$B$15,MATCH(D45,Location_Map!$A$2:$A$15,0)),"UNMAPPED")</f>
        <v>Gujarat</v>
      </c>
      <c r="H45" s="0" t="str">
        <f aca="false">IFERROR(INDEX(Location_Map!$C$2:$C$15,MATCH(D45,Location_Map!$A$2:$A$15,0)),"UNMAPPED")</f>
        <v>West</v>
      </c>
      <c r="I45" s="0" t="str">
        <f aca="false">Raw!E45</f>
        <v>Finished Yarn</v>
      </c>
      <c r="J45" s="28" t="n">
        <f aca="false">Raw!F45</f>
        <v>18.98</v>
      </c>
      <c r="K45" s="30" t="n">
        <f aca="false">DATE(LEFT(Raw!G45,4),MID(Raw!G45,6,2),MID(Raw!G45,9,2))</f>
        <v>45892</v>
      </c>
      <c r="L45" s="30" t="n">
        <f aca="false">DATE(LEFT(Raw!H45,4),MID(Raw!H45,6,2),MID(Raw!H45,9,2))</f>
        <v>45893</v>
      </c>
      <c r="M45" s="30" t="n">
        <f aca="false">DATE(LEFT(Raw!I45,4),MID(Raw!I45,6,2),MID(Raw!I45,9,2))</f>
        <v>45899</v>
      </c>
      <c r="N45" s="31" t="n">
        <f aca="false">DATE(LEFT(Raw!J45,4),MID(Raw!J45,6,2),MID(Raw!J45,9,2))+TIME(MID(Raw!J45,12,2),MID(Raw!J45,15,2),MID(Raw!J45,18,2))</f>
        <v>45893.1666666667</v>
      </c>
      <c r="O45" s="31" t="n">
        <f aca="false">DATE(LEFT(Raw!K45,4),MID(Raw!K45,6,2),MID(Raw!K45,9,2))+TIME(MID(Raw!K45,12,2),MID(Raw!K45,15,2),MID(Raw!K45,18,2))</f>
        <v>45904.2</v>
      </c>
      <c r="P45" s="32" t="n">
        <f aca="false">L45-K45</f>
        <v>1</v>
      </c>
      <c r="Q45" s="32" t="n">
        <f aca="false">M45-L45</f>
        <v>6</v>
      </c>
      <c r="R45" s="32" t="n">
        <f aca="false">O45-N45</f>
        <v>11.0333333333333</v>
      </c>
      <c r="S45" s="32" t="n">
        <f aca="false">Raw!L45</f>
        <v>5.2</v>
      </c>
      <c r="T45" s="32" t="n">
        <f aca="false">O45-M45</f>
        <v>5.2</v>
      </c>
      <c r="U45" s="0" t="str">
        <f aca="false">IF(ABS(T45-S45)&lt;0.01,"OK","MISMATCH")</f>
        <v>OK</v>
      </c>
      <c r="V45" s="33" t="n">
        <f aca="false">Raw!M45</f>
        <v>1</v>
      </c>
      <c r="W45" s="0" t="str">
        <f aca="false">IF((S45&gt;0)=(V45=1),"OK","MISMATCH")</f>
        <v>OK</v>
      </c>
      <c r="X45" s="0" t="str">
        <f aca="false">_xlfn.IFS(S45&lt;=0,"Early/On time",S45&lt;=2,"Minor (up to 2 days)",S45&lt;=5,"Moderate (2-5 days)",TRUE(),"Severe (over 5 days)")</f>
        <v>Severe (over 5 days)</v>
      </c>
      <c r="Y45" s="0" t="str">
        <f aca="false">YEAR(K45)&amp;"-"&amp;TEXT(MONTH(K45),"00")</f>
        <v>2025-08</v>
      </c>
      <c r="Z45" s="0" t="str">
        <f aca="false">C45&amp;" → "&amp;D45</f>
        <v>Gujarat → Surat</v>
      </c>
      <c r="AA45" s="0" t="str">
        <f aca="false">Raw!Q45</f>
        <v>Delhivery</v>
      </c>
      <c r="AB45" s="0" t="str">
        <f aca="false">Raw!R45</f>
        <v>Yes</v>
      </c>
      <c r="AC45" s="0" t="str">
        <f aca="false">Raw!S45</f>
        <v>Held at warehouse</v>
      </c>
      <c r="AD45" s="29" t="n">
        <f aca="false">Raw!N45</f>
        <v>15485.59</v>
      </c>
      <c r="AE45" s="29" t="n">
        <f aca="false">Raw!O45</f>
        <v>1223.48</v>
      </c>
      <c r="AF45" s="29" t="n">
        <f aca="false">Raw!P45</f>
        <v>1237.04</v>
      </c>
      <c r="AG45" s="29" t="n">
        <f aca="false">AD45/J45</f>
        <v>815.889884088514</v>
      </c>
    </row>
    <row r="46" customFormat="false" ht="15" hidden="false" customHeight="false" outlineLevel="0" collapsed="false">
      <c r="A46" s="0" t="str">
        <f aca="false">Raw!A46</f>
        <v>SHP0045</v>
      </c>
      <c r="B46" s="0" t="str">
        <f aca="false">Raw!B46</f>
        <v>Inbound</v>
      </c>
      <c r="C46" s="0" t="str">
        <f aca="false">Raw!C46</f>
        <v>Uttar Pradesh</v>
      </c>
      <c r="D46" s="0" t="str">
        <f aca="false">Raw!D46</f>
        <v>Surat</v>
      </c>
      <c r="E46" s="0" t="str">
        <f aca="false">IFERROR(INDEX(Location_Map!$B$2:$B$15,MATCH(C46,Location_Map!$A$2:$A$15,0)),"UNMAPPED")</f>
        <v>Uttar Pradesh</v>
      </c>
      <c r="F46" s="0" t="str">
        <f aca="false">IFERROR(INDEX(Location_Map!$C$2:$C$15,MATCH(C46,Location_Map!$A$2:$A$15,0)),"UNMAPPED")</f>
        <v>North</v>
      </c>
      <c r="G46" s="0" t="str">
        <f aca="false">IFERROR(INDEX(Location_Map!$B$2:$B$15,MATCH(D46,Location_Map!$A$2:$A$15,0)),"UNMAPPED")</f>
        <v>Gujarat</v>
      </c>
      <c r="H46" s="0" t="str">
        <f aca="false">IFERROR(INDEX(Location_Map!$C$2:$C$15,MATCH(D46,Location_Map!$A$2:$A$15,0)),"UNMAPPED")</f>
        <v>West</v>
      </c>
      <c r="I46" s="0" t="str">
        <f aca="false">Raw!E46</f>
        <v>Semi-Processed Yarn</v>
      </c>
      <c r="J46" s="28" t="n">
        <f aca="false">Raw!F46</f>
        <v>11.37</v>
      </c>
      <c r="K46" s="30" t="n">
        <f aca="false">DATE(LEFT(Raw!G46,4),MID(Raw!G46,6,2),MID(Raw!G46,9,2))</f>
        <v>45869</v>
      </c>
      <c r="L46" s="30" t="n">
        <f aca="false">DATE(LEFT(Raw!H46,4),MID(Raw!H46,6,2),MID(Raw!H46,9,2))</f>
        <v>45873</v>
      </c>
      <c r="M46" s="30" t="n">
        <f aca="false">DATE(LEFT(Raw!I46,4),MID(Raw!I46,6,2),MID(Raw!I46,9,2))</f>
        <v>45875</v>
      </c>
      <c r="N46" s="31" t="n">
        <f aca="false">DATE(LEFT(Raw!J46,4),MID(Raw!J46,6,2),MID(Raw!J46,9,2))+TIME(MID(Raw!J46,12,2),MID(Raw!J46,15,2),MID(Raw!J46,18,2))</f>
        <v>45873.2916666667</v>
      </c>
      <c r="O46" s="31" t="n">
        <f aca="false">DATE(LEFT(Raw!K46,4),MID(Raw!K46,6,2),MID(Raw!K46,9,2))+TIME(MID(Raw!K46,12,2),MID(Raw!K46,15,2),MID(Raw!K46,18,2))</f>
        <v>45878.8</v>
      </c>
      <c r="P46" s="32" t="n">
        <f aca="false">L46-K46</f>
        <v>4</v>
      </c>
      <c r="Q46" s="32" t="n">
        <f aca="false">M46-L46</f>
        <v>2</v>
      </c>
      <c r="R46" s="32" t="n">
        <f aca="false">O46-N46</f>
        <v>5.50833333333333</v>
      </c>
      <c r="S46" s="32" t="n">
        <f aca="false">Raw!L46</f>
        <v>3.8</v>
      </c>
      <c r="T46" s="32" t="n">
        <f aca="false">O46-M46</f>
        <v>3.8</v>
      </c>
      <c r="U46" s="0" t="str">
        <f aca="false">IF(ABS(T46-S46)&lt;0.01,"OK","MISMATCH")</f>
        <v>OK</v>
      </c>
      <c r="V46" s="33" t="n">
        <f aca="false">Raw!M46</f>
        <v>1</v>
      </c>
      <c r="W46" s="0" t="str">
        <f aca="false">IF((S46&gt;0)=(V46=1),"OK","MISMATCH")</f>
        <v>OK</v>
      </c>
      <c r="X46" s="0" t="str">
        <f aca="false">_xlfn.IFS(S46&lt;=0,"Early/On time",S46&lt;=2,"Minor (up to 2 days)",S46&lt;=5,"Moderate (2-5 days)",TRUE(),"Severe (over 5 days)")</f>
        <v>Moderate (2-5 days)</v>
      </c>
      <c r="Y46" s="0" t="str">
        <f aca="false">YEAR(K46)&amp;"-"&amp;TEXT(MONTH(K46),"00")</f>
        <v>2025-07</v>
      </c>
      <c r="Z46" s="0" t="str">
        <f aca="false">C46&amp;" → "&amp;D46</f>
        <v>Uttar Pradesh → Surat</v>
      </c>
      <c r="AA46" s="0" t="str">
        <f aca="false">Raw!Q46</f>
        <v>Delhivery</v>
      </c>
      <c r="AB46" s="0" t="str">
        <f aca="false">Raw!R46</f>
        <v>Yes</v>
      </c>
      <c r="AC46" s="0" t="str">
        <f aca="false">Raw!S46</f>
        <v>Normal</v>
      </c>
      <c r="AD46" s="29" t="n">
        <f aca="false">Raw!N46</f>
        <v>6736.82</v>
      </c>
      <c r="AE46" s="29" t="n">
        <f aca="false">Raw!O46</f>
        <v>1890.31</v>
      </c>
      <c r="AF46" s="29" t="n">
        <f aca="false">Raw!P46</f>
        <v>896.65</v>
      </c>
      <c r="AG46" s="29" t="n">
        <f aca="false">AD46/J46</f>
        <v>592.50835532102</v>
      </c>
    </row>
    <row r="47" customFormat="false" ht="15" hidden="false" customHeight="false" outlineLevel="0" collapsed="false">
      <c r="A47" s="0" t="str">
        <f aca="false">Raw!A47</f>
        <v>SHP0046</v>
      </c>
      <c r="B47" s="0" t="str">
        <f aca="false">Raw!B47</f>
        <v>Outbound</v>
      </c>
      <c r="C47" s="0" t="str">
        <f aca="false">Raw!C47</f>
        <v>Surat</v>
      </c>
      <c r="D47" s="0" t="str">
        <f aca="false">Raw!D47</f>
        <v>Madhya Pradesh</v>
      </c>
      <c r="E47" s="0" t="str">
        <f aca="false">IFERROR(INDEX(Location_Map!$B$2:$B$15,MATCH(C47,Location_Map!$A$2:$A$15,0)),"UNMAPPED")</f>
        <v>Gujarat</v>
      </c>
      <c r="F47" s="0" t="str">
        <f aca="false">IFERROR(INDEX(Location_Map!$C$2:$C$15,MATCH(C47,Location_Map!$A$2:$A$15,0)),"UNMAPPED")</f>
        <v>West</v>
      </c>
      <c r="G47" s="0" t="str">
        <f aca="false">IFERROR(INDEX(Location_Map!$B$2:$B$15,MATCH(D47,Location_Map!$A$2:$A$15,0)),"UNMAPPED")</f>
        <v>Madhya Pradesh</v>
      </c>
      <c r="H47" s="0" t="str">
        <f aca="false">IFERROR(INDEX(Location_Map!$C$2:$C$15,MATCH(D47,Location_Map!$A$2:$A$15,0)),"UNMAPPED")</f>
        <v>Central</v>
      </c>
      <c r="I47" s="0" t="str">
        <f aca="false">Raw!E47</f>
        <v>Raw Yarn</v>
      </c>
      <c r="J47" s="28" t="n">
        <f aca="false">Raw!F47</f>
        <v>17.95</v>
      </c>
      <c r="K47" s="30" t="n">
        <f aca="false">DATE(LEFT(Raw!G47,4),MID(Raw!G47,6,2),MID(Raw!G47,9,2))</f>
        <v>45701</v>
      </c>
      <c r="L47" s="30" t="n">
        <f aca="false">DATE(LEFT(Raw!H47,4),MID(Raw!H47,6,2),MID(Raw!H47,9,2))</f>
        <v>45704</v>
      </c>
      <c r="M47" s="30" t="n">
        <f aca="false">DATE(LEFT(Raw!I47,4),MID(Raw!I47,6,2),MID(Raw!I47,9,2))</f>
        <v>45708</v>
      </c>
      <c r="N47" s="31" t="n">
        <f aca="false">DATE(LEFT(Raw!J47,4),MID(Raw!J47,6,2),MID(Raw!J47,9,2))+TIME(MID(Raw!J47,12,2),MID(Raw!J47,15,2),MID(Raw!J47,18,2))</f>
        <v>45704.0833333333</v>
      </c>
      <c r="O47" s="31" t="n">
        <f aca="false">DATE(LEFT(Raw!K47,4),MID(Raw!K47,6,2),MID(Raw!K47,9,2))+TIME(MID(Raw!K47,12,2),MID(Raw!K47,15,2),MID(Raw!K47,18,2))</f>
        <v>45714.1</v>
      </c>
      <c r="P47" s="32" t="n">
        <f aca="false">L47-K47</f>
        <v>3</v>
      </c>
      <c r="Q47" s="32" t="n">
        <f aca="false">M47-L47</f>
        <v>4</v>
      </c>
      <c r="R47" s="32" t="n">
        <f aca="false">O47-N47</f>
        <v>10.0166666666667</v>
      </c>
      <c r="S47" s="32" t="n">
        <f aca="false">Raw!L47</f>
        <v>6.1</v>
      </c>
      <c r="T47" s="32" t="n">
        <f aca="false">O47-M47</f>
        <v>6.1</v>
      </c>
      <c r="U47" s="0" t="str">
        <f aca="false">IF(ABS(T47-S47)&lt;0.01,"OK","MISMATCH")</f>
        <v>OK</v>
      </c>
      <c r="V47" s="33" t="n">
        <f aca="false">Raw!M47</f>
        <v>1</v>
      </c>
      <c r="W47" s="0" t="str">
        <f aca="false">IF((S47&gt;0)=(V47=1),"OK","MISMATCH")</f>
        <v>OK</v>
      </c>
      <c r="X47" s="0" t="str">
        <f aca="false">_xlfn.IFS(S47&lt;=0,"Early/On time",S47&lt;=2,"Minor (up to 2 days)",S47&lt;=5,"Moderate (2-5 days)",TRUE(),"Severe (over 5 days)")</f>
        <v>Severe (over 5 days)</v>
      </c>
      <c r="Y47" s="0" t="str">
        <f aca="false">YEAR(K47)&amp;"-"&amp;TEXT(MONTH(K47),"00")</f>
        <v>2025-02</v>
      </c>
      <c r="Z47" s="0" t="str">
        <f aca="false">C47&amp;" → "&amp;D47</f>
        <v>Surat → Madhya Pradesh</v>
      </c>
      <c r="AA47" s="0" t="str">
        <f aca="false">Raw!Q47</f>
        <v>GATI Logistics</v>
      </c>
      <c r="AB47" s="0" t="str">
        <f aca="false">Raw!R47</f>
        <v>Yes</v>
      </c>
      <c r="AC47" s="0" t="str">
        <f aca="false">Raw!S47</f>
        <v>Expedited</v>
      </c>
      <c r="AD47" s="29" t="n">
        <f aca="false">Raw!N47</f>
        <v>6998.14</v>
      </c>
      <c r="AE47" s="29" t="n">
        <f aca="false">Raw!O47</f>
        <v>4251.2</v>
      </c>
      <c r="AF47" s="29" t="n">
        <f aca="false">Raw!P47</f>
        <v>1447.25</v>
      </c>
      <c r="AG47" s="29" t="n">
        <f aca="false">AD47/J47</f>
        <v>389.86852367688</v>
      </c>
    </row>
    <row r="48" customFormat="false" ht="15" hidden="false" customHeight="false" outlineLevel="0" collapsed="false">
      <c r="A48" s="0" t="str">
        <f aca="false">Raw!A48</f>
        <v>SHP0047</v>
      </c>
      <c r="B48" s="0" t="str">
        <f aca="false">Raw!B48</f>
        <v>Inbound</v>
      </c>
      <c r="C48" s="0" t="str">
        <f aca="false">Raw!C48</f>
        <v>Uttar Pradesh</v>
      </c>
      <c r="D48" s="0" t="str">
        <f aca="false">Raw!D48</f>
        <v>Surat</v>
      </c>
      <c r="E48" s="0" t="str">
        <f aca="false">IFERROR(INDEX(Location_Map!$B$2:$B$15,MATCH(C48,Location_Map!$A$2:$A$15,0)),"UNMAPPED")</f>
        <v>Uttar Pradesh</v>
      </c>
      <c r="F48" s="0" t="str">
        <f aca="false">IFERROR(INDEX(Location_Map!$C$2:$C$15,MATCH(C48,Location_Map!$A$2:$A$15,0)),"UNMAPPED")</f>
        <v>North</v>
      </c>
      <c r="G48" s="0" t="str">
        <f aca="false">IFERROR(INDEX(Location_Map!$B$2:$B$15,MATCH(D48,Location_Map!$A$2:$A$15,0)),"UNMAPPED")</f>
        <v>Gujarat</v>
      </c>
      <c r="H48" s="0" t="str">
        <f aca="false">IFERROR(INDEX(Location_Map!$C$2:$C$15,MATCH(D48,Location_Map!$A$2:$A$15,0)),"UNMAPPED")</f>
        <v>West</v>
      </c>
      <c r="I48" s="0" t="str">
        <f aca="false">Raw!E48</f>
        <v>Raw Yarn</v>
      </c>
      <c r="J48" s="28" t="n">
        <f aca="false">Raw!F48</f>
        <v>19.73</v>
      </c>
      <c r="K48" s="30" t="n">
        <f aca="false">DATE(LEFT(Raw!G48,4),MID(Raw!G48,6,2),MID(Raw!G48,9,2))</f>
        <v>45884</v>
      </c>
      <c r="L48" s="30" t="n">
        <f aca="false">DATE(LEFT(Raw!H48,4),MID(Raw!H48,6,2),MID(Raw!H48,9,2))</f>
        <v>45886</v>
      </c>
      <c r="M48" s="30" t="n">
        <f aca="false">DATE(LEFT(Raw!I48,4),MID(Raw!I48,6,2),MID(Raw!I48,9,2))</f>
        <v>45890</v>
      </c>
      <c r="N48" s="31" t="n">
        <f aca="false">DATE(LEFT(Raw!J48,4),MID(Raw!J48,6,2),MID(Raw!J48,9,2))+TIME(MID(Raw!J48,12,2),MID(Raw!J48,15,2),MID(Raw!J48,18,2))</f>
        <v>45886.2083333333</v>
      </c>
      <c r="O48" s="31" t="n">
        <f aca="false">DATE(LEFT(Raw!K48,4),MID(Raw!K48,6,2),MID(Raw!K48,9,2))+TIME(MID(Raw!K48,12,2),MID(Raw!K48,15,2),MID(Raw!K48,18,2))</f>
        <v>45892.9</v>
      </c>
      <c r="P48" s="32" t="n">
        <f aca="false">L48-K48</f>
        <v>2</v>
      </c>
      <c r="Q48" s="32" t="n">
        <f aca="false">M48-L48</f>
        <v>4</v>
      </c>
      <c r="R48" s="32" t="n">
        <f aca="false">O48-N48</f>
        <v>6.69166666666667</v>
      </c>
      <c r="S48" s="32" t="n">
        <f aca="false">Raw!L48</f>
        <v>2.9</v>
      </c>
      <c r="T48" s="32" t="n">
        <f aca="false">O48-M48</f>
        <v>2.9</v>
      </c>
      <c r="U48" s="0" t="str">
        <f aca="false">IF(ABS(T48-S48)&lt;0.01,"OK","MISMATCH")</f>
        <v>OK</v>
      </c>
      <c r="V48" s="33" t="n">
        <f aca="false">Raw!M48</f>
        <v>1</v>
      </c>
      <c r="W48" s="0" t="str">
        <f aca="false">IF((S48&gt;0)=(V48=1),"OK","MISMATCH")</f>
        <v>OK</v>
      </c>
      <c r="X48" s="0" t="str">
        <f aca="false">_xlfn.IFS(S48&lt;=0,"Early/On time",S48&lt;=2,"Minor (up to 2 days)",S48&lt;=5,"Moderate (2-5 days)",TRUE(),"Severe (over 5 days)")</f>
        <v>Moderate (2-5 days)</v>
      </c>
      <c r="Y48" s="0" t="str">
        <f aca="false">YEAR(K48)&amp;"-"&amp;TEXT(MONTH(K48),"00")</f>
        <v>2025-08</v>
      </c>
      <c r="Z48" s="0" t="str">
        <f aca="false">C48&amp;" → "&amp;D48</f>
        <v>Uttar Pradesh → Surat</v>
      </c>
      <c r="AA48" s="0" t="str">
        <f aca="false">Raw!Q48</f>
        <v>Delhivery</v>
      </c>
      <c r="AB48" s="0" t="str">
        <f aca="false">Raw!R48</f>
        <v>Yes</v>
      </c>
      <c r="AC48" s="0" t="str">
        <f aca="false">Raw!S48</f>
        <v>Returned</v>
      </c>
      <c r="AD48" s="29" t="n">
        <f aca="false">Raw!N48</f>
        <v>6618.3</v>
      </c>
      <c r="AE48" s="29" t="n">
        <f aca="false">Raw!O48</f>
        <v>2737.81</v>
      </c>
      <c r="AF48" s="29" t="n">
        <f aca="false">Raw!P48</f>
        <v>753.68</v>
      </c>
      <c r="AG48" s="29" t="n">
        <f aca="false">AD48/J48</f>
        <v>335.44348707552</v>
      </c>
    </row>
    <row r="49" customFormat="false" ht="15" hidden="false" customHeight="false" outlineLevel="0" collapsed="false">
      <c r="A49" s="0" t="str">
        <f aca="false">Raw!A49</f>
        <v>SHP0048</v>
      </c>
      <c r="B49" s="0" t="str">
        <f aca="false">Raw!B49</f>
        <v>Inbound</v>
      </c>
      <c r="C49" s="0" t="str">
        <f aca="false">Raw!C49</f>
        <v>Uttar Pradesh</v>
      </c>
      <c r="D49" s="0" t="str">
        <f aca="false">Raw!D49</f>
        <v>Surat</v>
      </c>
      <c r="E49" s="0" t="str">
        <f aca="false">IFERROR(INDEX(Location_Map!$B$2:$B$15,MATCH(C49,Location_Map!$A$2:$A$15,0)),"UNMAPPED")</f>
        <v>Uttar Pradesh</v>
      </c>
      <c r="F49" s="0" t="str">
        <f aca="false">IFERROR(INDEX(Location_Map!$C$2:$C$15,MATCH(C49,Location_Map!$A$2:$A$15,0)),"UNMAPPED")</f>
        <v>North</v>
      </c>
      <c r="G49" s="0" t="str">
        <f aca="false">IFERROR(INDEX(Location_Map!$B$2:$B$15,MATCH(D49,Location_Map!$A$2:$A$15,0)),"UNMAPPED")</f>
        <v>Gujarat</v>
      </c>
      <c r="H49" s="0" t="str">
        <f aca="false">IFERROR(INDEX(Location_Map!$C$2:$C$15,MATCH(D49,Location_Map!$A$2:$A$15,0)),"UNMAPPED")</f>
        <v>West</v>
      </c>
      <c r="I49" s="0" t="str">
        <f aca="false">Raw!E49</f>
        <v>Finished Yarn</v>
      </c>
      <c r="J49" s="28" t="n">
        <f aca="false">Raw!F49</f>
        <v>8.7</v>
      </c>
      <c r="K49" s="30" t="n">
        <f aca="false">DATE(LEFT(Raw!G49,4),MID(Raw!G49,6,2),MID(Raw!G49,9,2))</f>
        <v>45829</v>
      </c>
      <c r="L49" s="30" t="n">
        <f aca="false">DATE(LEFT(Raw!H49,4),MID(Raw!H49,6,2),MID(Raw!H49,9,2))</f>
        <v>45832</v>
      </c>
      <c r="M49" s="30" t="n">
        <f aca="false">DATE(LEFT(Raw!I49,4),MID(Raw!I49,6,2),MID(Raw!I49,9,2))</f>
        <v>45838</v>
      </c>
      <c r="N49" s="31" t="n">
        <f aca="false">DATE(LEFT(Raw!J49,4),MID(Raw!J49,6,2),MID(Raw!J49,9,2))+TIME(MID(Raw!J49,12,2),MID(Raw!J49,15,2),MID(Raw!J49,18,2))</f>
        <v>45832.375</v>
      </c>
      <c r="O49" s="31" t="n">
        <f aca="false">DATE(LEFT(Raw!K49,4),MID(Raw!K49,6,2),MID(Raw!K49,9,2))+TIME(MID(Raw!K49,12,2),MID(Raw!K49,15,2),MID(Raw!K49,18,2))</f>
        <v>45844.4</v>
      </c>
      <c r="P49" s="32" t="n">
        <f aca="false">L49-K49</f>
        <v>3</v>
      </c>
      <c r="Q49" s="32" t="n">
        <f aca="false">M49-L49</f>
        <v>6</v>
      </c>
      <c r="R49" s="32" t="n">
        <f aca="false">O49-N49</f>
        <v>12.025</v>
      </c>
      <c r="S49" s="32" t="n">
        <f aca="false">Raw!L49</f>
        <v>6.4</v>
      </c>
      <c r="T49" s="32" t="n">
        <f aca="false">O49-M49</f>
        <v>6.4</v>
      </c>
      <c r="U49" s="0" t="str">
        <f aca="false">IF(ABS(T49-S49)&lt;0.01,"OK","MISMATCH")</f>
        <v>OK</v>
      </c>
      <c r="V49" s="33" t="n">
        <f aca="false">Raw!M49</f>
        <v>1</v>
      </c>
      <c r="W49" s="0" t="str">
        <f aca="false">IF((S49&gt;0)=(V49=1),"OK","MISMATCH")</f>
        <v>OK</v>
      </c>
      <c r="X49" s="0" t="str">
        <f aca="false">_xlfn.IFS(S49&lt;=0,"Early/On time",S49&lt;=2,"Minor (up to 2 days)",S49&lt;=5,"Moderate (2-5 days)",TRUE(),"Severe (over 5 days)")</f>
        <v>Severe (over 5 days)</v>
      </c>
      <c r="Y49" s="0" t="str">
        <f aca="false">YEAR(K49)&amp;"-"&amp;TEXT(MONTH(K49),"00")</f>
        <v>2025-06</v>
      </c>
      <c r="Z49" s="0" t="str">
        <f aca="false">C49&amp;" → "&amp;D49</f>
        <v>Uttar Pradesh → Surat</v>
      </c>
      <c r="AA49" s="0" t="str">
        <f aca="false">Raw!Q49</f>
        <v>Delhivery</v>
      </c>
      <c r="AB49" s="0" t="str">
        <f aca="false">Raw!R49</f>
        <v>No</v>
      </c>
      <c r="AC49" s="0" t="str">
        <f aca="false">Raw!S49</f>
        <v>Held at warehouse</v>
      </c>
      <c r="AD49" s="29" t="n">
        <f aca="false">Raw!N49</f>
        <v>5863.35</v>
      </c>
      <c r="AE49" s="29" t="n">
        <f aca="false">Raw!O49</f>
        <v>3333.48</v>
      </c>
      <c r="AF49" s="29" t="n">
        <f aca="false">Raw!P49</f>
        <v>1462.17</v>
      </c>
      <c r="AG49" s="29" t="n">
        <f aca="false">AD49/J49</f>
        <v>673.948275862069</v>
      </c>
    </row>
    <row r="50" customFormat="false" ht="15" hidden="false" customHeight="false" outlineLevel="0" collapsed="false">
      <c r="A50" s="0" t="str">
        <f aca="false">Raw!A50</f>
        <v>SHP0049</v>
      </c>
      <c r="B50" s="0" t="str">
        <f aca="false">Raw!B50</f>
        <v>Inbound</v>
      </c>
      <c r="C50" s="0" t="str">
        <f aca="false">Raw!C50</f>
        <v>Punjab</v>
      </c>
      <c r="D50" s="0" t="str">
        <f aca="false">Raw!D50</f>
        <v>Surat</v>
      </c>
      <c r="E50" s="0" t="str">
        <f aca="false">IFERROR(INDEX(Location_Map!$B$2:$B$15,MATCH(C50,Location_Map!$A$2:$A$15,0)),"UNMAPPED")</f>
        <v>Punjab</v>
      </c>
      <c r="F50" s="0" t="str">
        <f aca="false">IFERROR(INDEX(Location_Map!$C$2:$C$15,MATCH(C50,Location_Map!$A$2:$A$15,0)),"UNMAPPED")</f>
        <v>North</v>
      </c>
      <c r="G50" s="0" t="str">
        <f aca="false">IFERROR(INDEX(Location_Map!$B$2:$B$15,MATCH(D50,Location_Map!$A$2:$A$15,0)),"UNMAPPED")</f>
        <v>Gujarat</v>
      </c>
      <c r="H50" s="0" t="str">
        <f aca="false">IFERROR(INDEX(Location_Map!$C$2:$C$15,MATCH(D50,Location_Map!$A$2:$A$15,0)),"UNMAPPED")</f>
        <v>West</v>
      </c>
      <c r="I50" s="0" t="str">
        <f aca="false">Raw!E50</f>
        <v>Raw Yarn</v>
      </c>
      <c r="J50" s="28" t="n">
        <f aca="false">Raw!F50</f>
        <v>8.12</v>
      </c>
      <c r="K50" s="30" t="n">
        <f aca="false">DATE(LEFT(Raw!G50,4),MID(Raw!G50,6,2),MID(Raw!G50,9,2))</f>
        <v>45743</v>
      </c>
      <c r="L50" s="30" t="n">
        <f aca="false">DATE(LEFT(Raw!H50,4),MID(Raw!H50,6,2),MID(Raw!H50,9,2))</f>
        <v>45747</v>
      </c>
      <c r="M50" s="30" t="n">
        <f aca="false">DATE(LEFT(Raw!I50,4),MID(Raw!I50,6,2),MID(Raw!I50,9,2))</f>
        <v>45753</v>
      </c>
      <c r="N50" s="31" t="n">
        <f aca="false">DATE(LEFT(Raw!J50,4),MID(Raw!J50,6,2),MID(Raw!J50,9,2))+TIME(MID(Raw!J50,12,2),MID(Raw!J50,15,2),MID(Raw!J50,18,2))</f>
        <v>45747.2083333333</v>
      </c>
      <c r="O50" s="31" t="n">
        <f aca="false">DATE(LEFT(Raw!K50,4),MID(Raw!K50,6,2),MID(Raw!K50,9,2))+TIME(MID(Raw!K50,12,2),MID(Raw!K50,15,2),MID(Raw!K50,18,2))</f>
        <v>45755.2</v>
      </c>
      <c r="P50" s="32" t="n">
        <f aca="false">L50-K50</f>
        <v>4</v>
      </c>
      <c r="Q50" s="32" t="n">
        <f aca="false">M50-L50</f>
        <v>6</v>
      </c>
      <c r="R50" s="32" t="n">
        <f aca="false">O50-N50</f>
        <v>7.99166666666667</v>
      </c>
      <c r="S50" s="32" t="n">
        <f aca="false">Raw!L50</f>
        <v>2.2</v>
      </c>
      <c r="T50" s="32" t="n">
        <f aca="false">O50-M50</f>
        <v>2.2</v>
      </c>
      <c r="U50" s="0" t="str">
        <f aca="false">IF(ABS(T50-S50)&lt;0.01,"OK","MISMATCH")</f>
        <v>OK</v>
      </c>
      <c r="V50" s="33" t="n">
        <f aca="false">Raw!M50</f>
        <v>1</v>
      </c>
      <c r="W50" s="0" t="str">
        <f aca="false">IF((S50&gt;0)=(V50=1),"OK","MISMATCH")</f>
        <v>OK</v>
      </c>
      <c r="X50" s="0" t="str">
        <f aca="false">_xlfn.IFS(S50&lt;=0,"Early/On time",S50&lt;=2,"Minor (up to 2 days)",S50&lt;=5,"Moderate (2-5 days)",TRUE(),"Severe (over 5 days)")</f>
        <v>Moderate (2-5 days)</v>
      </c>
      <c r="Y50" s="0" t="str">
        <f aca="false">YEAR(K50)&amp;"-"&amp;TEXT(MONTH(K50),"00")</f>
        <v>2025-03</v>
      </c>
      <c r="Z50" s="0" t="str">
        <f aca="false">C50&amp;" → "&amp;D50</f>
        <v>Punjab → Surat</v>
      </c>
      <c r="AA50" s="0" t="str">
        <f aca="false">Raw!Q50</f>
        <v>BlueDart</v>
      </c>
      <c r="AB50" s="0" t="str">
        <f aca="false">Raw!R50</f>
        <v>No</v>
      </c>
      <c r="AC50" s="0" t="str">
        <f aca="false">Raw!S50</f>
        <v>Expedited</v>
      </c>
      <c r="AD50" s="29" t="n">
        <f aca="false">Raw!N50</f>
        <v>4751.57</v>
      </c>
      <c r="AE50" s="29" t="n">
        <f aca="false">Raw!O50</f>
        <v>3781.64</v>
      </c>
      <c r="AF50" s="29" t="n">
        <f aca="false">Raw!P50</f>
        <v>575.43</v>
      </c>
      <c r="AG50" s="29" t="n">
        <f aca="false">AD50/J50</f>
        <v>585.168719211823</v>
      </c>
    </row>
    <row r="51" customFormat="false" ht="15" hidden="false" customHeight="false" outlineLevel="0" collapsed="false">
      <c r="A51" s="0" t="str">
        <f aca="false">Raw!A51</f>
        <v>SHP0050</v>
      </c>
      <c r="B51" s="0" t="str">
        <f aca="false">Raw!B51</f>
        <v>Outbound</v>
      </c>
      <c r="C51" s="0" t="str">
        <f aca="false">Raw!C51</f>
        <v>Surat</v>
      </c>
      <c r="D51" s="0" t="str">
        <f aca="false">Raw!D51</f>
        <v>Kerala</v>
      </c>
      <c r="E51" s="0" t="str">
        <f aca="false">IFERROR(INDEX(Location_Map!$B$2:$B$15,MATCH(C51,Location_Map!$A$2:$A$15,0)),"UNMAPPED")</f>
        <v>Gujarat</v>
      </c>
      <c r="F51" s="0" t="str">
        <f aca="false">IFERROR(INDEX(Location_Map!$C$2:$C$15,MATCH(C51,Location_Map!$A$2:$A$15,0)),"UNMAPPED")</f>
        <v>West</v>
      </c>
      <c r="G51" s="0" t="str">
        <f aca="false">IFERROR(INDEX(Location_Map!$B$2:$B$15,MATCH(D51,Location_Map!$A$2:$A$15,0)),"UNMAPPED")</f>
        <v>Kerala</v>
      </c>
      <c r="H51" s="0" t="str">
        <f aca="false">IFERROR(INDEX(Location_Map!$C$2:$C$15,MATCH(D51,Location_Map!$A$2:$A$15,0)),"UNMAPPED")</f>
        <v>South</v>
      </c>
      <c r="I51" s="0" t="str">
        <f aca="false">Raw!E51</f>
        <v>Semi-Processed Yarn</v>
      </c>
      <c r="J51" s="28" t="n">
        <f aca="false">Raw!F51</f>
        <v>4.16</v>
      </c>
      <c r="K51" s="30" t="n">
        <f aca="false">DATE(LEFT(Raw!G51,4),MID(Raw!G51,6,2),MID(Raw!G51,9,2))</f>
        <v>45723</v>
      </c>
      <c r="L51" s="30" t="n">
        <f aca="false">DATE(LEFT(Raw!H51,4),MID(Raw!H51,6,2),MID(Raw!H51,9,2))</f>
        <v>45725</v>
      </c>
      <c r="M51" s="30" t="n">
        <f aca="false">DATE(LEFT(Raw!I51,4),MID(Raw!I51,6,2),MID(Raw!I51,9,2))</f>
        <v>45727</v>
      </c>
      <c r="N51" s="31" t="n">
        <f aca="false">DATE(LEFT(Raw!J51,4),MID(Raw!J51,6,2),MID(Raw!J51,9,2))+TIME(MID(Raw!J51,12,2),MID(Raw!J51,15,2),MID(Raw!J51,18,2))</f>
        <v>45724.9583333333</v>
      </c>
      <c r="O51" s="31" t="n">
        <f aca="false">DATE(LEFT(Raw!K51,4),MID(Raw!K51,6,2),MID(Raw!K51,9,2))+TIME(MID(Raw!K51,12,2),MID(Raw!K51,15,2),MID(Raw!K51,18,2))</f>
        <v>45732</v>
      </c>
      <c r="P51" s="32" t="n">
        <f aca="false">L51-K51</f>
        <v>2</v>
      </c>
      <c r="Q51" s="32" t="n">
        <f aca="false">M51-L51</f>
        <v>2</v>
      </c>
      <c r="R51" s="32" t="n">
        <f aca="false">O51-N51</f>
        <v>7.04166666666667</v>
      </c>
      <c r="S51" s="32" t="n">
        <f aca="false">Raw!L51</f>
        <v>5</v>
      </c>
      <c r="T51" s="32" t="n">
        <f aca="false">O51-M51</f>
        <v>5</v>
      </c>
      <c r="U51" s="0" t="str">
        <f aca="false">IF(ABS(T51-S51)&lt;0.01,"OK","MISMATCH")</f>
        <v>OK</v>
      </c>
      <c r="V51" s="33" t="n">
        <f aca="false">Raw!M51</f>
        <v>1</v>
      </c>
      <c r="W51" s="0" t="str">
        <f aca="false">IF((S51&gt;0)=(V51=1),"OK","MISMATCH")</f>
        <v>OK</v>
      </c>
      <c r="X51" s="0" t="str">
        <f aca="false">_xlfn.IFS(S51&lt;=0,"Early/On time",S51&lt;=2,"Minor (up to 2 days)",S51&lt;=5,"Moderate (2-5 days)",TRUE(),"Severe (over 5 days)")</f>
        <v>Moderate (2-5 days)</v>
      </c>
      <c r="Y51" s="0" t="str">
        <f aca="false">YEAR(K51)&amp;"-"&amp;TEXT(MONTH(K51),"00")</f>
        <v>2025-03</v>
      </c>
      <c r="Z51" s="0" t="str">
        <f aca="false">C51&amp;" → "&amp;D51</f>
        <v>Surat → Kerala</v>
      </c>
      <c r="AA51" s="0" t="str">
        <f aca="false">Raw!Q51</f>
        <v>BlueDart</v>
      </c>
      <c r="AB51" s="0" t="str">
        <f aca="false">Raw!R51</f>
        <v>Yes</v>
      </c>
      <c r="AC51" s="0" t="str">
        <f aca="false">Raw!S51</f>
        <v>Normal</v>
      </c>
      <c r="AD51" s="29" t="n">
        <f aca="false">Raw!N51</f>
        <v>2888.03</v>
      </c>
      <c r="AE51" s="29" t="n">
        <f aca="false">Raw!O51</f>
        <v>3948.4</v>
      </c>
      <c r="AF51" s="29" t="n">
        <f aca="false">Raw!P51</f>
        <v>1415.25</v>
      </c>
      <c r="AG51" s="29" t="n">
        <f aca="false">AD51/J51</f>
        <v>694.237980769231</v>
      </c>
    </row>
    <row r="52" customFormat="false" ht="15" hidden="false" customHeight="false" outlineLevel="0" collapsed="false">
      <c r="A52" s="0" t="str">
        <f aca="false">Raw!A52</f>
        <v>SHP0051</v>
      </c>
      <c r="B52" s="0" t="str">
        <f aca="false">Raw!B52</f>
        <v>Inbound</v>
      </c>
      <c r="C52" s="0" t="str">
        <f aca="false">Raw!C52</f>
        <v>Uttar Pradesh</v>
      </c>
      <c r="D52" s="0" t="str">
        <f aca="false">Raw!D52</f>
        <v>Surat</v>
      </c>
      <c r="E52" s="0" t="str">
        <f aca="false">IFERROR(INDEX(Location_Map!$B$2:$B$15,MATCH(C52,Location_Map!$A$2:$A$15,0)),"UNMAPPED")</f>
        <v>Uttar Pradesh</v>
      </c>
      <c r="F52" s="0" t="str">
        <f aca="false">IFERROR(INDEX(Location_Map!$C$2:$C$15,MATCH(C52,Location_Map!$A$2:$A$15,0)),"UNMAPPED")</f>
        <v>North</v>
      </c>
      <c r="G52" s="0" t="str">
        <f aca="false">IFERROR(INDEX(Location_Map!$B$2:$B$15,MATCH(D52,Location_Map!$A$2:$A$15,0)),"UNMAPPED")</f>
        <v>Gujarat</v>
      </c>
      <c r="H52" s="0" t="str">
        <f aca="false">IFERROR(INDEX(Location_Map!$C$2:$C$15,MATCH(D52,Location_Map!$A$2:$A$15,0)),"UNMAPPED")</f>
        <v>West</v>
      </c>
      <c r="I52" s="0" t="str">
        <f aca="false">Raw!E52</f>
        <v>Raw Yarn</v>
      </c>
      <c r="J52" s="28" t="n">
        <f aca="false">Raw!F52</f>
        <v>19.22</v>
      </c>
      <c r="K52" s="30" t="n">
        <f aca="false">DATE(LEFT(Raw!G52,4),MID(Raw!G52,6,2),MID(Raw!G52,9,2))</f>
        <v>45675</v>
      </c>
      <c r="L52" s="30" t="n">
        <f aca="false">DATE(LEFT(Raw!H52,4),MID(Raw!H52,6,2),MID(Raw!H52,9,2))</f>
        <v>45677</v>
      </c>
      <c r="M52" s="30" t="n">
        <f aca="false">DATE(LEFT(Raw!I52,4),MID(Raw!I52,6,2),MID(Raw!I52,9,2))</f>
        <v>45682</v>
      </c>
      <c r="N52" s="31" t="n">
        <f aca="false">DATE(LEFT(Raw!J52,4),MID(Raw!J52,6,2),MID(Raw!J52,9,2))+TIME(MID(Raw!J52,12,2),MID(Raw!J52,15,2),MID(Raw!J52,18,2))</f>
        <v>45676.9166666667</v>
      </c>
      <c r="O52" s="31" t="n">
        <f aca="false">DATE(LEFT(Raw!K52,4),MID(Raw!K52,6,2),MID(Raw!K52,9,2))+TIME(MID(Raw!K52,12,2),MID(Raw!K52,15,2),MID(Raw!K52,18,2))</f>
        <v>45681</v>
      </c>
      <c r="P52" s="32" t="n">
        <f aca="false">L52-K52</f>
        <v>2</v>
      </c>
      <c r="Q52" s="32" t="n">
        <f aca="false">M52-L52</f>
        <v>5</v>
      </c>
      <c r="R52" s="32" t="n">
        <f aca="false">O52-N52</f>
        <v>4.08333333333333</v>
      </c>
      <c r="S52" s="32" t="n">
        <f aca="false">Raw!L52</f>
        <v>-1</v>
      </c>
      <c r="T52" s="32" t="n">
        <f aca="false">O52-M52</f>
        <v>-1</v>
      </c>
      <c r="U52" s="0" t="str">
        <f aca="false">IF(ABS(T52-S52)&lt;0.01,"OK","MISMATCH")</f>
        <v>OK</v>
      </c>
      <c r="V52" s="33" t="n">
        <f aca="false">Raw!M52</f>
        <v>0</v>
      </c>
      <c r="W52" s="0" t="str">
        <f aca="false">IF((S52&gt;0)=(V52=1),"OK","MISMATCH")</f>
        <v>OK</v>
      </c>
      <c r="X52" s="0" t="str">
        <f aca="false">_xlfn.IFS(S52&lt;=0,"Early/On time",S52&lt;=2,"Minor (up to 2 days)",S52&lt;=5,"Moderate (2-5 days)",TRUE(),"Severe (over 5 days)")</f>
        <v>Early/On time</v>
      </c>
      <c r="Y52" s="0" t="str">
        <f aca="false">YEAR(K52)&amp;"-"&amp;TEXT(MONTH(K52),"00")</f>
        <v>2025-01</v>
      </c>
      <c r="Z52" s="0" t="str">
        <f aca="false">C52&amp;" → "&amp;D52</f>
        <v>Uttar Pradesh → Surat</v>
      </c>
      <c r="AA52" s="0" t="str">
        <f aca="false">Raw!Q52</f>
        <v>GATI Logistics</v>
      </c>
      <c r="AB52" s="0" t="str">
        <f aca="false">Raw!R52</f>
        <v>Yes</v>
      </c>
      <c r="AC52" s="0" t="str">
        <f aca="false">Raw!S52</f>
        <v>Returned</v>
      </c>
      <c r="AD52" s="29" t="n">
        <f aca="false">Raw!N52</f>
        <v>7873.62</v>
      </c>
      <c r="AE52" s="29" t="n">
        <f aca="false">Raw!O52</f>
        <v>3334.62</v>
      </c>
      <c r="AF52" s="29" t="n">
        <f aca="false">Raw!P52</f>
        <v>577.73</v>
      </c>
      <c r="AG52" s="29" t="n">
        <f aca="false">AD52/J52</f>
        <v>409.657648283039</v>
      </c>
    </row>
    <row r="53" customFormat="false" ht="15" hidden="false" customHeight="false" outlineLevel="0" collapsed="false">
      <c r="A53" s="0" t="str">
        <f aca="false">Raw!A53</f>
        <v>SHP0052</v>
      </c>
      <c r="B53" s="0" t="str">
        <f aca="false">Raw!B53</f>
        <v>Inbound</v>
      </c>
      <c r="C53" s="0" t="str">
        <f aca="false">Raw!C53</f>
        <v>Punjab</v>
      </c>
      <c r="D53" s="0" t="str">
        <f aca="false">Raw!D53</f>
        <v>Surat</v>
      </c>
      <c r="E53" s="0" t="str">
        <f aca="false">IFERROR(INDEX(Location_Map!$B$2:$B$15,MATCH(C53,Location_Map!$A$2:$A$15,0)),"UNMAPPED")</f>
        <v>Punjab</v>
      </c>
      <c r="F53" s="0" t="str">
        <f aca="false">IFERROR(INDEX(Location_Map!$C$2:$C$15,MATCH(C53,Location_Map!$A$2:$A$15,0)),"UNMAPPED")</f>
        <v>North</v>
      </c>
      <c r="G53" s="0" t="str">
        <f aca="false">IFERROR(INDEX(Location_Map!$B$2:$B$15,MATCH(D53,Location_Map!$A$2:$A$15,0)),"UNMAPPED")</f>
        <v>Gujarat</v>
      </c>
      <c r="H53" s="0" t="str">
        <f aca="false">IFERROR(INDEX(Location_Map!$C$2:$C$15,MATCH(D53,Location_Map!$A$2:$A$15,0)),"UNMAPPED")</f>
        <v>West</v>
      </c>
      <c r="I53" s="0" t="str">
        <f aca="false">Raw!E53</f>
        <v>Raw Yarn</v>
      </c>
      <c r="J53" s="28" t="n">
        <f aca="false">Raw!F53</f>
        <v>19.51</v>
      </c>
      <c r="K53" s="30" t="n">
        <f aca="false">DATE(LEFT(Raw!G53,4),MID(Raw!G53,6,2),MID(Raw!G53,9,2))</f>
        <v>45953</v>
      </c>
      <c r="L53" s="30" t="n">
        <f aca="false">DATE(LEFT(Raw!H53,4),MID(Raw!H53,6,2),MID(Raw!H53,9,2))</f>
        <v>45956</v>
      </c>
      <c r="M53" s="30" t="n">
        <f aca="false">DATE(LEFT(Raw!I53,4),MID(Raw!I53,6,2),MID(Raw!I53,9,2))</f>
        <v>45958</v>
      </c>
      <c r="N53" s="31" t="n">
        <f aca="false">DATE(LEFT(Raw!J53,4),MID(Raw!J53,6,2),MID(Raw!J53,9,2))+TIME(MID(Raw!J53,12,2),MID(Raw!J53,15,2),MID(Raw!J53,18,2))</f>
        <v>45956.125</v>
      </c>
      <c r="O53" s="31" t="n">
        <f aca="false">DATE(LEFT(Raw!K53,4),MID(Raw!K53,6,2),MID(Raw!K53,9,2))+TIME(MID(Raw!K53,12,2),MID(Raw!K53,15,2),MID(Raw!K53,18,2))</f>
        <v>45958.5</v>
      </c>
      <c r="P53" s="32" t="n">
        <f aca="false">L53-K53</f>
        <v>3</v>
      </c>
      <c r="Q53" s="32" t="n">
        <f aca="false">M53-L53</f>
        <v>2</v>
      </c>
      <c r="R53" s="32" t="n">
        <f aca="false">O53-N53</f>
        <v>2.375</v>
      </c>
      <c r="S53" s="32" t="n">
        <f aca="false">Raw!L53</f>
        <v>0.5</v>
      </c>
      <c r="T53" s="32" t="n">
        <f aca="false">O53-M53</f>
        <v>0.5</v>
      </c>
      <c r="U53" s="0" t="str">
        <f aca="false">IF(ABS(T53-S53)&lt;0.01,"OK","MISMATCH")</f>
        <v>OK</v>
      </c>
      <c r="V53" s="33" t="n">
        <f aca="false">Raw!M53</f>
        <v>1</v>
      </c>
      <c r="W53" s="0" t="str">
        <f aca="false">IF((S53&gt;0)=(V53=1),"OK","MISMATCH")</f>
        <v>OK</v>
      </c>
      <c r="X53" s="0" t="str">
        <f aca="false">_xlfn.IFS(S53&lt;=0,"Early/On time",S53&lt;=2,"Minor (up to 2 days)",S53&lt;=5,"Moderate (2-5 days)",TRUE(),"Severe (over 5 days)")</f>
        <v>Minor (up to 2 days)</v>
      </c>
      <c r="Y53" s="0" t="str">
        <f aca="false">YEAR(K53)&amp;"-"&amp;TEXT(MONTH(K53),"00")</f>
        <v>2025-10</v>
      </c>
      <c r="Z53" s="0" t="str">
        <f aca="false">C53&amp;" → "&amp;D53</f>
        <v>Punjab → Surat</v>
      </c>
      <c r="AA53" s="0" t="str">
        <f aca="false">Raw!Q53</f>
        <v>VRL Cargo</v>
      </c>
      <c r="AB53" s="0" t="str">
        <f aca="false">Raw!R53</f>
        <v>No</v>
      </c>
      <c r="AC53" s="0" t="str">
        <f aca="false">Raw!S53</f>
        <v>Held at warehouse</v>
      </c>
      <c r="AD53" s="29" t="n">
        <f aca="false">Raw!N53</f>
        <v>9195.42</v>
      </c>
      <c r="AE53" s="29" t="n">
        <f aca="false">Raw!O53</f>
        <v>3738.92</v>
      </c>
      <c r="AF53" s="29" t="n">
        <f aca="false">Raw!P53</f>
        <v>662.62</v>
      </c>
      <c r="AG53" s="29" t="n">
        <f aca="false">AD53/J53</f>
        <v>471.31829830856</v>
      </c>
    </row>
    <row r="54" customFormat="false" ht="15" hidden="false" customHeight="false" outlineLevel="0" collapsed="false">
      <c r="A54" s="0" t="str">
        <f aca="false">Raw!A54</f>
        <v>SHP0053</v>
      </c>
      <c r="B54" s="0" t="str">
        <f aca="false">Raw!B54</f>
        <v>Inbound</v>
      </c>
      <c r="C54" s="0" t="str">
        <f aca="false">Raw!C54</f>
        <v>Uttar Pradesh</v>
      </c>
      <c r="D54" s="0" t="str">
        <f aca="false">Raw!D54</f>
        <v>Surat</v>
      </c>
      <c r="E54" s="0" t="str">
        <f aca="false">IFERROR(INDEX(Location_Map!$B$2:$B$15,MATCH(C54,Location_Map!$A$2:$A$15,0)),"UNMAPPED")</f>
        <v>Uttar Pradesh</v>
      </c>
      <c r="F54" s="0" t="str">
        <f aca="false">IFERROR(INDEX(Location_Map!$C$2:$C$15,MATCH(C54,Location_Map!$A$2:$A$15,0)),"UNMAPPED")</f>
        <v>North</v>
      </c>
      <c r="G54" s="0" t="str">
        <f aca="false">IFERROR(INDEX(Location_Map!$B$2:$B$15,MATCH(D54,Location_Map!$A$2:$A$15,0)),"UNMAPPED")</f>
        <v>Gujarat</v>
      </c>
      <c r="H54" s="0" t="str">
        <f aca="false">IFERROR(INDEX(Location_Map!$C$2:$C$15,MATCH(D54,Location_Map!$A$2:$A$15,0)),"UNMAPPED")</f>
        <v>West</v>
      </c>
      <c r="I54" s="0" t="str">
        <f aca="false">Raw!E54</f>
        <v>Finished Yarn</v>
      </c>
      <c r="J54" s="28" t="n">
        <f aca="false">Raw!F54</f>
        <v>18.31</v>
      </c>
      <c r="K54" s="30" t="n">
        <f aca="false">DATE(LEFT(Raw!G54,4),MID(Raw!G54,6,2),MID(Raw!G54,9,2))</f>
        <v>45904</v>
      </c>
      <c r="L54" s="30" t="n">
        <f aca="false">DATE(LEFT(Raw!H54,4),MID(Raw!H54,6,2),MID(Raw!H54,9,2))</f>
        <v>45908</v>
      </c>
      <c r="M54" s="30" t="n">
        <f aca="false">DATE(LEFT(Raw!I54,4),MID(Raw!I54,6,2),MID(Raw!I54,9,2))</f>
        <v>45914</v>
      </c>
      <c r="N54" s="31" t="n">
        <f aca="false">DATE(LEFT(Raw!J54,4),MID(Raw!J54,6,2),MID(Raw!J54,9,2))+TIME(MID(Raw!J54,12,2),MID(Raw!J54,15,2),MID(Raw!J54,18,2))</f>
        <v>45908.0833333333</v>
      </c>
      <c r="O54" s="31" t="n">
        <f aca="false">DATE(LEFT(Raw!K54,4),MID(Raw!K54,6,2),MID(Raw!K54,9,2))+TIME(MID(Raw!K54,12,2),MID(Raw!K54,15,2),MID(Raw!K54,18,2))</f>
        <v>45913</v>
      </c>
      <c r="P54" s="32" t="n">
        <f aca="false">L54-K54</f>
        <v>4</v>
      </c>
      <c r="Q54" s="32" t="n">
        <f aca="false">M54-L54</f>
        <v>6</v>
      </c>
      <c r="R54" s="32" t="n">
        <f aca="false">O54-N54</f>
        <v>4.91666666666667</v>
      </c>
      <c r="S54" s="32" t="n">
        <f aca="false">Raw!L54</f>
        <v>-1</v>
      </c>
      <c r="T54" s="32" t="n">
        <f aca="false">O54-M54</f>
        <v>-1</v>
      </c>
      <c r="U54" s="0" t="str">
        <f aca="false">IF(ABS(T54-S54)&lt;0.01,"OK","MISMATCH")</f>
        <v>OK</v>
      </c>
      <c r="V54" s="33" t="n">
        <f aca="false">Raw!M54</f>
        <v>0</v>
      </c>
      <c r="W54" s="0" t="str">
        <f aca="false">IF((S54&gt;0)=(V54=1),"OK","MISMATCH")</f>
        <v>OK</v>
      </c>
      <c r="X54" s="0" t="str">
        <f aca="false">_xlfn.IFS(S54&lt;=0,"Early/On time",S54&lt;=2,"Minor (up to 2 days)",S54&lt;=5,"Moderate (2-5 days)",TRUE(),"Severe (over 5 days)")</f>
        <v>Early/On time</v>
      </c>
      <c r="Y54" s="0" t="str">
        <f aca="false">YEAR(K54)&amp;"-"&amp;TEXT(MONTH(K54),"00")</f>
        <v>2025-09</v>
      </c>
      <c r="Z54" s="0" t="str">
        <f aca="false">C54&amp;" → "&amp;D54</f>
        <v>Uttar Pradesh → Surat</v>
      </c>
      <c r="AA54" s="0" t="str">
        <f aca="false">Raw!Q54</f>
        <v>BlueDart</v>
      </c>
      <c r="AB54" s="0" t="str">
        <f aca="false">Raw!R54</f>
        <v>Yes</v>
      </c>
      <c r="AC54" s="0" t="str">
        <f aca="false">Raw!S54</f>
        <v>Returned</v>
      </c>
      <c r="AD54" s="29" t="n">
        <f aca="false">Raw!N54</f>
        <v>11241.37</v>
      </c>
      <c r="AE54" s="29" t="n">
        <f aca="false">Raw!O54</f>
        <v>1659.34</v>
      </c>
      <c r="AF54" s="29" t="n">
        <f aca="false">Raw!P54</f>
        <v>911.26</v>
      </c>
      <c r="AG54" s="29" t="n">
        <f aca="false">AD54/J54</f>
        <v>613.947023484435</v>
      </c>
    </row>
    <row r="55" customFormat="false" ht="15" hidden="false" customHeight="false" outlineLevel="0" collapsed="false">
      <c r="A55" s="0" t="str">
        <f aca="false">Raw!A55</f>
        <v>SHP0054</v>
      </c>
      <c r="B55" s="0" t="str">
        <f aca="false">Raw!B55</f>
        <v>Inbound</v>
      </c>
      <c r="C55" s="0" t="str">
        <f aca="false">Raw!C55</f>
        <v>Gujarat</v>
      </c>
      <c r="D55" s="0" t="str">
        <f aca="false">Raw!D55</f>
        <v>Surat</v>
      </c>
      <c r="E55" s="0" t="str">
        <f aca="false">IFERROR(INDEX(Location_Map!$B$2:$B$15,MATCH(C55,Location_Map!$A$2:$A$15,0)),"UNMAPPED")</f>
        <v>Gujarat</v>
      </c>
      <c r="F55" s="0" t="str">
        <f aca="false">IFERROR(INDEX(Location_Map!$C$2:$C$15,MATCH(C55,Location_Map!$A$2:$A$15,0)),"UNMAPPED")</f>
        <v>West</v>
      </c>
      <c r="G55" s="0" t="str">
        <f aca="false">IFERROR(INDEX(Location_Map!$B$2:$B$15,MATCH(D55,Location_Map!$A$2:$A$15,0)),"UNMAPPED")</f>
        <v>Gujarat</v>
      </c>
      <c r="H55" s="0" t="str">
        <f aca="false">IFERROR(INDEX(Location_Map!$C$2:$C$15,MATCH(D55,Location_Map!$A$2:$A$15,0)),"UNMAPPED")</f>
        <v>West</v>
      </c>
      <c r="I55" s="0" t="str">
        <f aca="false">Raw!E55</f>
        <v>Raw Yarn</v>
      </c>
      <c r="J55" s="28" t="n">
        <f aca="false">Raw!F55</f>
        <v>15.77</v>
      </c>
      <c r="K55" s="30" t="n">
        <f aca="false">DATE(LEFT(Raw!G55,4),MID(Raw!G55,6,2),MID(Raw!G55,9,2))</f>
        <v>45802</v>
      </c>
      <c r="L55" s="30" t="n">
        <f aca="false">DATE(LEFT(Raw!H55,4),MID(Raw!H55,6,2),MID(Raw!H55,9,2))</f>
        <v>45806</v>
      </c>
      <c r="M55" s="30" t="n">
        <f aca="false">DATE(LEFT(Raw!I55,4),MID(Raw!I55,6,2),MID(Raw!I55,9,2))</f>
        <v>45810</v>
      </c>
      <c r="N55" s="31" t="n">
        <f aca="false">DATE(LEFT(Raw!J55,4),MID(Raw!J55,6,2),MID(Raw!J55,9,2))+TIME(MID(Raw!J55,12,2),MID(Raw!J55,15,2),MID(Raw!J55,18,2))</f>
        <v>45805.9583333333</v>
      </c>
      <c r="O55" s="31" t="n">
        <f aca="false">DATE(LEFT(Raw!K55,4),MID(Raw!K55,6,2),MID(Raw!K55,9,2))+TIME(MID(Raw!K55,12,2),MID(Raw!K55,15,2),MID(Raw!K55,18,2))</f>
        <v>45817.5</v>
      </c>
      <c r="P55" s="32" t="n">
        <f aca="false">L55-K55</f>
        <v>4</v>
      </c>
      <c r="Q55" s="32" t="n">
        <f aca="false">M55-L55</f>
        <v>4</v>
      </c>
      <c r="R55" s="32" t="n">
        <f aca="false">O55-N55</f>
        <v>11.5416666666667</v>
      </c>
      <c r="S55" s="32" t="n">
        <f aca="false">Raw!L55</f>
        <v>7.5</v>
      </c>
      <c r="T55" s="32" t="n">
        <f aca="false">O55-M55</f>
        <v>7.5</v>
      </c>
      <c r="U55" s="0" t="str">
        <f aca="false">IF(ABS(T55-S55)&lt;0.01,"OK","MISMATCH")</f>
        <v>OK</v>
      </c>
      <c r="V55" s="33" t="n">
        <f aca="false">Raw!M55</f>
        <v>1</v>
      </c>
      <c r="W55" s="0" t="str">
        <f aca="false">IF((S55&gt;0)=(V55=1),"OK","MISMATCH")</f>
        <v>OK</v>
      </c>
      <c r="X55" s="0" t="str">
        <f aca="false">_xlfn.IFS(S55&lt;=0,"Early/On time",S55&lt;=2,"Minor (up to 2 days)",S55&lt;=5,"Moderate (2-5 days)",TRUE(),"Severe (over 5 days)")</f>
        <v>Severe (over 5 days)</v>
      </c>
      <c r="Y55" s="0" t="str">
        <f aca="false">YEAR(K55)&amp;"-"&amp;TEXT(MONTH(K55),"00")</f>
        <v>2025-05</v>
      </c>
      <c r="Z55" s="0" t="str">
        <f aca="false">C55&amp;" → "&amp;D55</f>
        <v>Gujarat → Surat</v>
      </c>
      <c r="AA55" s="0" t="str">
        <f aca="false">Raw!Q55</f>
        <v>BlueDart</v>
      </c>
      <c r="AB55" s="0" t="str">
        <f aca="false">Raw!R55</f>
        <v>Yes</v>
      </c>
      <c r="AC55" s="0" t="str">
        <f aca="false">Raw!S55</f>
        <v>Normal</v>
      </c>
      <c r="AD55" s="29" t="n">
        <f aca="false">Raw!N55</f>
        <v>8278.49</v>
      </c>
      <c r="AE55" s="29" t="n">
        <f aca="false">Raw!O55</f>
        <v>4316.66</v>
      </c>
      <c r="AF55" s="29" t="n">
        <f aca="false">Raw!P55</f>
        <v>1069.08</v>
      </c>
      <c r="AG55" s="29" t="n">
        <f aca="false">AD55/J55</f>
        <v>524.951807228916</v>
      </c>
    </row>
    <row r="56" customFormat="false" ht="15" hidden="false" customHeight="false" outlineLevel="0" collapsed="false">
      <c r="A56" s="0" t="str">
        <f aca="false">Raw!A56</f>
        <v>SHP0055</v>
      </c>
      <c r="B56" s="0" t="str">
        <f aca="false">Raw!B56</f>
        <v>Outbound</v>
      </c>
      <c r="C56" s="0" t="str">
        <f aca="false">Raw!C56</f>
        <v>Surat</v>
      </c>
      <c r="D56" s="0" t="str">
        <f aca="false">Raw!D56</f>
        <v>Assam</v>
      </c>
      <c r="E56" s="0" t="str">
        <f aca="false">IFERROR(INDEX(Location_Map!$B$2:$B$15,MATCH(C56,Location_Map!$A$2:$A$15,0)),"UNMAPPED")</f>
        <v>Gujarat</v>
      </c>
      <c r="F56" s="0" t="str">
        <f aca="false">IFERROR(INDEX(Location_Map!$C$2:$C$15,MATCH(C56,Location_Map!$A$2:$A$15,0)),"UNMAPPED")</f>
        <v>West</v>
      </c>
      <c r="G56" s="0" t="str">
        <f aca="false">IFERROR(INDEX(Location_Map!$B$2:$B$15,MATCH(D56,Location_Map!$A$2:$A$15,0)),"UNMAPPED")</f>
        <v>Assam</v>
      </c>
      <c r="H56" s="0" t="str">
        <f aca="false">IFERROR(INDEX(Location_Map!$C$2:$C$15,MATCH(D56,Location_Map!$A$2:$A$15,0)),"UNMAPPED")</f>
        <v>North-East</v>
      </c>
      <c r="I56" s="0" t="str">
        <f aca="false">Raw!E56</f>
        <v>Semi-Processed Yarn</v>
      </c>
      <c r="J56" s="28" t="n">
        <f aca="false">Raw!F56</f>
        <v>2.21</v>
      </c>
      <c r="K56" s="30" t="n">
        <f aca="false">DATE(LEFT(Raw!G56,4),MID(Raw!G56,6,2),MID(Raw!G56,9,2))</f>
        <v>45669</v>
      </c>
      <c r="L56" s="30" t="n">
        <f aca="false">DATE(LEFT(Raw!H56,4),MID(Raw!H56,6,2),MID(Raw!H56,9,2))</f>
        <v>45670</v>
      </c>
      <c r="M56" s="30" t="n">
        <f aca="false">DATE(LEFT(Raw!I56,4),MID(Raw!I56,6,2),MID(Raw!I56,9,2))</f>
        <v>45676</v>
      </c>
      <c r="N56" s="31" t="n">
        <f aca="false">DATE(LEFT(Raw!J56,4),MID(Raw!J56,6,2),MID(Raw!J56,9,2))+TIME(MID(Raw!J56,12,2),MID(Raw!J56,15,2),MID(Raw!J56,18,2))</f>
        <v>45669.9583333333</v>
      </c>
      <c r="O56" s="31" t="n">
        <f aca="false">DATE(LEFT(Raw!K56,4),MID(Raw!K56,6,2),MID(Raw!K56,9,2))+TIME(MID(Raw!K56,12,2),MID(Raw!K56,15,2),MID(Raw!K56,18,2))</f>
        <v>45678</v>
      </c>
      <c r="P56" s="32" t="n">
        <f aca="false">L56-K56</f>
        <v>1</v>
      </c>
      <c r="Q56" s="32" t="n">
        <f aca="false">M56-L56</f>
        <v>6</v>
      </c>
      <c r="R56" s="32" t="n">
        <f aca="false">O56-N56</f>
        <v>8.04166666666667</v>
      </c>
      <c r="S56" s="32" t="n">
        <f aca="false">Raw!L56</f>
        <v>2</v>
      </c>
      <c r="T56" s="32" t="n">
        <f aca="false">O56-M56</f>
        <v>2</v>
      </c>
      <c r="U56" s="0" t="str">
        <f aca="false">IF(ABS(T56-S56)&lt;0.01,"OK","MISMATCH")</f>
        <v>OK</v>
      </c>
      <c r="V56" s="33" t="n">
        <f aca="false">Raw!M56</f>
        <v>1</v>
      </c>
      <c r="W56" s="0" t="str">
        <f aca="false">IF((S56&gt;0)=(V56=1),"OK","MISMATCH")</f>
        <v>OK</v>
      </c>
      <c r="X56" s="0" t="str">
        <f aca="false">_xlfn.IFS(S56&lt;=0,"Early/On time",S56&lt;=2,"Minor (up to 2 days)",S56&lt;=5,"Moderate (2-5 days)",TRUE(),"Severe (over 5 days)")</f>
        <v>Minor (up to 2 days)</v>
      </c>
      <c r="Y56" s="0" t="str">
        <f aca="false">YEAR(K56)&amp;"-"&amp;TEXT(MONTH(K56),"00")</f>
        <v>2025-01</v>
      </c>
      <c r="Z56" s="0" t="str">
        <f aca="false">C56&amp;" → "&amp;D56</f>
        <v>Surat → Assam</v>
      </c>
      <c r="AA56" s="0" t="str">
        <f aca="false">Raw!Q56</f>
        <v>BlueDart</v>
      </c>
      <c r="AB56" s="0" t="str">
        <f aca="false">Raw!R56</f>
        <v>Yes</v>
      </c>
      <c r="AC56" s="0" t="str">
        <f aca="false">Raw!S56</f>
        <v>Held at warehouse</v>
      </c>
      <c r="AD56" s="29" t="n">
        <f aca="false">Raw!N56</f>
        <v>2558.06</v>
      </c>
      <c r="AE56" s="29" t="n">
        <f aca="false">Raw!O56</f>
        <v>2511.4</v>
      </c>
      <c r="AF56" s="29" t="n">
        <f aca="false">Raw!P56</f>
        <v>741.08</v>
      </c>
      <c r="AG56" s="29" t="n">
        <f aca="false">AD56/J56</f>
        <v>1157.49321266968</v>
      </c>
    </row>
    <row r="57" customFormat="false" ht="15" hidden="false" customHeight="false" outlineLevel="0" collapsed="false">
      <c r="A57" s="0" t="str">
        <f aca="false">Raw!A57</f>
        <v>SHP0056</v>
      </c>
      <c r="B57" s="0" t="str">
        <f aca="false">Raw!B57</f>
        <v>Inbound</v>
      </c>
      <c r="C57" s="0" t="str">
        <f aca="false">Raw!C57</f>
        <v>Punjab</v>
      </c>
      <c r="D57" s="0" t="str">
        <f aca="false">Raw!D57</f>
        <v>Surat</v>
      </c>
      <c r="E57" s="0" t="str">
        <f aca="false">IFERROR(INDEX(Location_Map!$B$2:$B$15,MATCH(C57,Location_Map!$A$2:$A$15,0)),"UNMAPPED")</f>
        <v>Punjab</v>
      </c>
      <c r="F57" s="0" t="str">
        <f aca="false">IFERROR(INDEX(Location_Map!$C$2:$C$15,MATCH(C57,Location_Map!$A$2:$A$15,0)),"UNMAPPED")</f>
        <v>North</v>
      </c>
      <c r="G57" s="0" t="str">
        <f aca="false">IFERROR(INDEX(Location_Map!$B$2:$B$15,MATCH(D57,Location_Map!$A$2:$A$15,0)),"UNMAPPED")</f>
        <v>Gujarat</v>
      </c>
      <c r="H57" s="0" t="str">
        <f aca="false">IFERROR(INDEX(Location_Map!$C$2:$C$15,MATCH(D57,Location_Map!$A$2:$A$15,0)),"UNMAPPED")</f>
        <v>West</v>
      </c>
      <c r="I57" s="0" t="str">
        <f aca="false">Raw!E57</f>
        <v>Finished Yarn</v>
      </c>
      <c r="J57" s="28" t="n">
        <f aca="false">Raw!F57</f>
        <v>4.9</v>
      </c>
      <c r="K57" s="30" t="n">
        <f aca="false">DATE(LEFT(Raw!G57,4),MID(Raw!G57,6,2),MID(Raw!G57,9,2))</f>
        <v>45733</v>
      </c>
      <c r="L57" s="30" t="n">
        <f aca="false">DATE(LEFT(Raw!H57,4),MID(Raw!H57,6,2),MID(Raw!H57,9,2))</f>
        <v>45735</v>
      </c>
      <c r="M57" s="30" t="n">
        <f aca="false">DATE(LEFT(Raw!I57,4),MID(Raw!I57,6,2),MID(Raw!I57,9,2))</f>
        <v>45740</v>
      </c>
      <c r="N57" s="31" t="n">
        <f aca="false">DATE(LEFT(Raw!J57,4),MID(Raw!J57,6,2),MID(Raw!J57,9,2))+TIME(MID(Raw!J57,12,2),MID(Raw!J57,15,2),MID(Raw!J57,18,2))</f>
        <v>45735.3333333333</v>
      </c>
      <c r="O57" s="31" t="n">
        <f aca="false">DATE(LEFT(Raw!K57,4),MID(Raw!K57,6,2),MID(Raw!K57,9,2))+TIME(MID(Raw!K57,12,2),MID(Raw!K57,15,2),MID(Raw!K57,18,2))</f>
        <v>45742.1</v>
      </c>
      <c r="P57" s="32" t="n">
        <f aca="false">L57-K57</f>
        <v>2</v>
      </c>
      <c r="Q57" s="32" t="n">
        <f aca="false">M57-L57</f>
        <v>5</v>
      </c>
      <c r="R57" s="32" t="n">
        <f aca="false">O57-N57</f>
        <v>6.76666666666667</v>
      </c>
      <c r="S57" s="32" t="n">
        <f aca="false">Raw!L57</f>
        <v>2.1</v>
      </c>
      <c r="T57" s="32" t="n">
        <f aca="false">O57-M57</f>
        <v>2.1</v>
      </c>
      <c r="U57" s="0" t="str">
        <f aca="false">IF(ABS(T57-S57)&lt;0.01,"OK","MISMATCH")</f>
        <v>OK</v>
      </c>
      <c r="V57" s="33" t="n">
        <f aca="false">Raw!M57</f>
        <v>1</v>
      </c>
      <c r="W57" s="0" t="str">
        <f aca="false">IF((S57&gt;0)=(V57=1),"OK","MISMATCH")</f>
        <v>OK</v>
      </c>
      <c r="X57" s="0" t="str">
        <f aca="false">_xlfn.IFS(S57&lt;=0,"Early/On time",S57&lt;=2,"Minor (up to 2 days)",S57&lt;=5,"Moderate (2-5 days)",TRUE(),"Severe (over 5 days)")</f>
        <v>Moderate (2-5 days)</v>
      </c>
      <c r="Y57" s="0" t="str">
        <f aca="false">YEAR(K57)&amp;"-"&amp;TEXT(MONTH(K57),"00")</f>
        <v>2025-03</v>
      </c>
      <c r="Z57" s="0" t="str">
        <f aca="false">C57&amp;" → "&amp;D57</f>
        <v>Punjab → Surat</v>
      </c>
      <c r="AA57" s="0" t="str">
        <f aca="false">Raw!Q57</f>
        <v>TCI Express</v>
      </c>
      <c r="AB57" s="0" t="str">
        <f aca="false">Raw!R57</f>
        <v>No</v>
      </c>
      <c r="AC57" s="0" t="str">
        <f aca="false">Raw!S57</f>
        <v>Normal</v>
      </c>
      <c r="AD57" s="29" t="n">
        <f aca="false">Raw!N57</f>
        <v>4350.08</v>
      </c>
      <c r="AE57" s="29" t="n">
        <f aca="false">Raw!O57</f>
        <v>1187.59</v>
      </c>
      <c r="AF57" s="29" t="n">
        <f aca="false">Raw!P57</f>
        <v>768.67</v>
      </c>
      <c r="AG57" s="29" t="n">
        <f aca="false">AD57/J57</f>
        <v>887.771428571429</v>
      </c>
    </row>
    <row r="58" customFormat="false" ht="15" hidden="false" customHeight="false" outlineLevel="0" collapsed="false">
      <c r="A58" s="0" t="str">
        <f aca="false">Raw!A58</f>
        <v>SHP0057</v>
      </c>
      <c r="B58" s="0" t="str">
        <f aca="false">Raw!B58</f>
        <v>Inbound</v>
      </c>
      <c r="C58" s="0" t="str">
        <f aca="false">Raw!C58</f>
        <v>Rajasthan</v>
      </c>
      <c r="D58" s="0" t="str">
        <f aca="false">Raw!D58</f>
        <v>Surat</v>
      </c>
      <c r="E58" s="0" t="str">
        <f aca="false">IFERROR(INDEX(Location_Map!$B$2:$B$15,MATCH(C58,Location_Map!$A$2:$A$15,0)),"UNMAPPED")</f>
        <v>Rajasthan</v>
      </c>
      <c r="F58" s="0" t="str">
        <f aca="false">IFERROR(INDEX(Location_Map!$C$2:$C$15,MATCH(C58,Location_Map!$A$2:$A$15,0)),"UNMAPPED")</f>
        <v>North</v>
      </c>
      <c r="G58" s="0" t="str">
        <f aca="false">IFERROR(INDEX(Location_Map!$B$2:$B$15,MATCH(D58,Location_Map!$A$2:$A$15,0)),"UNMAPPED")</f>
        <v>Gujarat</v>
      </c>
      <c r="H58" s="0" t="str">
        <f aca="false">IFERROR(INDEX(Location_Map!$C$2:$C$15,MATCH(D58,Location_Map!$A$2:$A$15,0)),"UNMAPPED")</f>
        <v>West</v>
      </c>
      <c r="I58" s="0" t="str">
        <f aca="false">Raw!E58</f>
        <v>Semi-Processed Yarn</v>
      </c>
      <c r="J58" s="28" t="n">
        <f aca="false">Raw!F58</f>
        <v>1.42</v>
      </c>
      <c r="K58" s="30" t="n">
        <f aca="false">DATE(LEFT(Raw!G58,4),MID(Raw!G58,6,2),MID(Raw!G58,9,2))</f>
        <v>45807</v>
      </c>
      <c r="L58" s="30" t="n">
        <f aca="false">DATE(LEFT(Raw!H58,4),MID(Raw!H58,6,2),MID(Raw!H58,9,2))</f>
        <v>45809</v>
      </c>
      <c r="M58" s="30" t="n">
        <f aca="false">DATE(LEFT(Raw!I58,4),MID(Raw!I58,6,2),MID(Raw!I58,9,2))</f>
        <v>45813</v>
      </c>
      <c r="N58" s="31" t="n">
        <f aca="false">DATE(LEFT(Raw!J58,4),MID(Raw!J58,6,2),MID(Raw!J58,9,2))+TIME(MID(Raw!J58,12,2),MID(Raw!J58,15,2),MID(Raw!J58,18,2))</f>
        <v>45809</v>
      </c>
      <c r="O58" s="31" t="n">
        <f aca="false">DATE(LEFT(Raw!K58,4),MID(Raw!K58,6,2),MID(Raw!K58,9,2))+TIME(MID(Raw!K58,12,2),MID(Raw!K58,15,2),MID(Raw!K58,18,2))</f>
        <v>45818.5</v>
      </c>
      <c r="P58" s="32" t="n">
        <f aca="false">L58-K58</f>
        <v>2</v>
      </c>
      <c r="Q58" s="32" t="n">
        <f aca="false">M58-L58</f>
        <v>4</v>
      </c>
      <c r="R58" s="32" t="n">
        <f aca="false">O58-N58</f>
        <v>9.5</v>
      </c>
      <c r="S58" s="32" t="n">
        <f aca="false">Raw!L58</f>
        <v>5.5</v>
      </c>
      <c r="T58" s="32" t="n">
        <f aca="false">O58-M58</f>
        <v>5.5</v>
      </c>
      <c r="U58" s="0" t="str">
        <f aca="false">IF(ABS(T58-S58)&lt;0.01,"OK","MISMATCH")</f>
        <v>OK</v>
      </c>
      <c r="V58" s="33" t="n">
        <f aca="false">Raw!M58</f>
        <v>1</v>
      </c>
      <c r="W58" s="0" t="str">
        <f aca="false">IF((S58&gt;0)=(V58=1),"OK","MISMATCH")</f>
        <v>OK</v>
      </c>
      <c r="X58" s="0" t="str">
        <f aca="false">_xlfn.IFS(S58&lt;=0,"Early/On time",S58&lt;=2,"Minor (up to 2 days)",S58&lt;=5,"Moderate (2-5 days)",TRUE(),"Severe (over 5 days)")</f>
        <v>Severe (over 5 days)</v>
      </c>
      <c r="Y58" s="0" t="str">
        <f aca="false">YEAR(K58)&amp;"-"&amp;TEXT(MONTH(K58),"00")</f>
        <v>2025-05</v>
      </c>
      <c r="Z58" s="0" t="str">
        <f aca="false">C58&amp;" → "&amp;D58</f>
        <v>Rajasthan → Surat</v>
      </c>
      <c r="AA58" s="0" t="str">
        <f aca="false">Raw!Q58</f>
        <v>GATI Logistics</v>
      </c>
      <c r="AB58" s="0" t="str">
        <f aca="false">Raw!R58</f>
        <v>Yes</v>
      </c>
      <c r="AC58" s="0" t="str">
        <f aca="false">Raw!S58</f>
        <v>Held at warehouse</v>
      </c>
      <c r="AD58" s="29" t="n">
        <f aca="false">Raw!N58</f>
        <v>1462.07</v>
      </c>
      <c r="AE58" s="29" t="n">
        <f aca="false">Raw!O58</f>
        <v>4167.27</v>
      </c>
      <c r="AF58" s="29" t="n">
        <f aca="false">Raw!P58</f>
        <v>1089.96</v>
      </c>
      <c r="AG58" s="29" t="n">
        <f aca="false">AD58/J58</f>
        <v>1029.62676056338</v>
      </c>
    </row>
    <row r="59" customFormat="false" ht="15" hidden="false" customHeight="false" outlineLevel="0" collapsed="false">
      <c r="A59" s="0" t="str">
        <f aca="false">Raw!A59</f>
        <v>SHP0058</v>
      </c>
      <c r="B59" s="0" t="str">
        <f aca="false">Raw!B59</f>
        <v>Outbound</v>
      </c>
      <c r="C59" s="0" t="str">
        <f aca="false">Raw!C59</f>
        <v>Surat</v>
      </c>
      <c r="D59" s="0" t="str">
        <f aca="false">Raw!D59</f>
        <v>Kerala</v>
      </c>
      <c r="E59" s="0" t="str">
        <f aca="false">IFERROR(INDEX(Location_Map!$B$2:$B$15,MATCH(C59,Location_Map!$A$2:$A$15,0)),"UNMAPPED")</f>
        <v>Gujarat</v>
      </c>
      <c r="F59" s="0" t="str">
        <f aca="false">IFERROR(INDEX(Location_Map!$C$2:$C$15,MATCH(C59,Location_Map!$A$2:$A$15,0)),"UNMAPPED")</f>
        <v>West</v>
      </c>
      <c r="G59" s="0" t="str">
        <f aca="false">IFERROR(INDEX(Location_Map!$B$2:$B$15,MATCH(D59,Location_Map!$A$2:$A$15,0)),"UNMAPPED")</f>
        <v>Kerala</v>
      </c>
      <c r="H59" s="0" t="str">
        <f aca="false">IFERROR(INDEX(Location_Map!$C$2:$C$15,MATCH(D59,Location_Map!$A$2:$A$15,0)),"UNMAPPED")</f>
        <v>South</v>
      </c>
      <c r="I59" s="0" t="str">
        <f aca="false">Raw!E59</f>
        <v>Raw Yarn</v>
      </c>
      <c r="J59" s="28" t="n">
        <f aca="false">Raw!F59</f>
        <v>10.12</v>
      </c>
      <c r="K59" s="30" t="n">
        <f aca="false">DATE(LEFT(Raw!G59,4),MID(Raw!G59,6,2),MID(Raw!G59,9,2))</f>
        <v>45784</v>
      </c>
      <c r="L59" s="30" t="n">
        <f aca="false">DATE(LEFT(Raw!H59,4),MID(Raw!H59,6,2),MID(Raw!H59,9,2))</f>
        <v>45788</v>
      </c>
      <c r="M59" s="30" t="n">
        <f aca="false">DATE(LEFT(Raw!I59,4),MID(Raw!I59,6,2),MID(Raw!I59,9,2))</f>
        <v>45791</v>
      </c>
      <c r="N59" s="31" t="n">
        <f aca="false">DATE(LEFT(Raw!J59,4),MID(Raw!J59,6,2),MID(Raw!J59,9,2))+TIME(MID(Raw!J59,12,2),MID(Raw!J59,15,2),MID(Raw!J59,18,2))</f>
        <v>45788.2083333333</v>
      </c>
      <c r="O59" s="31" t="n">
        <f aca="false">DATE(LEFT(Raw!K59,4),MID(Raw!K59,6,2),MID(Raw!K59,9,2))+TIME(MID(Raw!K59,12,2),MID(Raw!K59,15,2),MID(Raw!K59,18,2))</f>
        <v>45793.2</v>
      </c>
      <c r="P59" s="32" t="n">
        <f aca="false">L59-K59</f>
        <v>4</v>
      </c>
      <c r="Q59" s="32" t="n">
        <f aca="false">M59-L59</f>
        <v>3</v>
      </c>
      <c r="R59" s="32" t="n">
        <f aca="false">O59-N59</f>
        <v>4.99166666666667</v>
      </c>
      <c r="S59" s="32" t="n">
        <f aca="false">Raw!L59</f>
        <v>2.2</v>
      </c>
      <c r="T59" s="32" t="n">
        <f aca="false">O59-M59</f>
        <v>2.2</v>
      </c>
      <c r="U59" s="0" t="str">
        <f aca="false">IF(ABS(T59-S59)&lt;0.01,"OK","MISMATCH")</f>
        <v>OK</v>
      </c>
      <c r="V59" s="33" t="n">
        <f aca="false">Raw!M59</f>
        <v>1</v>
      </c>
      <c r="W59" s="0" t="str">
        <f aca="false">IF((S59&gt;0)=(V59=1),"OK","MISMATCH")</f>
        <v>OK</v>
      </c>
      <c r="X59" s="0" t="str">
        <f aca="false">_xlfn.IFS(S59&lt;=0,"Early/On time",S59&lt;=2,"Minor (up to 2 days)",S59&lt;=5,"Moderate (2-5 days)",TRUE(),"Severe (over 5 days)")</f>
        <v>Moderate (2-5 days)</v>
      </c>
      <c r="Y59" s="0" t="str">
        <f aca="false">YEAR(K59)&amp;"-"&amp;TEXT(MONTH(K59),"00")</f>
        <v>2025-05</v>
      </c>
      <c r="Z59" s="0" t="str">
        <f aca="false">C59&amp;" → "&amp;D59</f>
        <v>Surat → Kerala</v>
      </c>
      <c r="AA59" s="0" t="str">
        <f aca="false">Raw!Q59</f>
        <v>TCI Express</v>
      </c>
      <c r="AB59" s="0" t="str">
        <f aca="false">Raw!R59</f>
        <v>No</v>
      </c>
      <c r="AC59" s="0" t="str">
        <f aca="false">Raw!S59</f>
        <v>Returned</v>
      </c>
      <c r="AD59" s="29" t="n">
        <f aca="false">Raw!N59</f>
        <v>3286.84</v>
      </c>
      <c r="AE59" s="29" t="n">
        <f aca="false">Raw!O59</f>
        <v>1058.18</v>
      </c>
      <c r="AF59" s="29" t="n">
        <f aca="false">Raw!P59</f>
        <v>850.59</v>
      </c>
      <c r="AG59" s="29" t="n">
        <f aca="false">AD59/J59</f>
        <v>324.786561264822</v>
      </c>
    </row>
    <row r="60" customFormat="false" ht="15" hidden="false" customHeight="false" outlineLevel="0" collapsed="false">
      <c r="A60" s="0" t="str">
        <f aca="false">Raw!A60</f>
        <v>SHP0059</v>
      </c>
      <c r="B60" s="0" t="str">
        <f aca="false">Raw!B60</f>
        <v>Inbound</v>
      </c>
      <c r="C60" s="0" t="str">
        <f aca="false">Raw!C60</f>
        <v>Gujarat</v>
      </c>
      <c r="D60" s="0" t="str">
        <f aca="false">Raw!D60</f>
        <v>Surat</v>
      </c>
      <c r="E60" s="0" t="str">
        <f aca="false">IFERROR(INDEX(Location_Map!$B$2:$B$15,MATCH(C60,Location_Map!$A$2:$A$15,0)),"UNMAPPED")</f>
        <v>Gujarat</v>
      </c>
      <c r="F60" s="0" t="str">
        <f aca="false">IFERROR(INDEX(Location_Map!$C$2:$C$15,MATCH(C60,Location_Map!$A$2:$A$15,0)),"UNMAPPED")</f>
        <v>West</v>
      </c>
      <c r="G60" s="0" t="str">
        <f aca="false">IFERROR(INDEX(Location_Map!$B$2:$B$15,MATCH(D60,Location_Map!$A$2:$A$15,0)),"UNMAPPED")</f>
        <v>Gujarat</v>
      </c>
      <c r="H60" s="0" t="str">
        <f aca="false">IFERROR(INDEX(Location_Map!$C$2:$C$15,MATCH(D60,Location_Map!$A$2:$A$15,0)),"UNMAPPED")</f>
        <v>West</v>
      </c>
      <c r="I60" s="0" t="str">
        <f aca="false">Raw!E60</f>
        <v>Finished Yarn</v>
      </c>
      <c r="J60" s="28" t="n">
        <f aca="false">Raw!F60</f>
        <v>12.21</v>
      </c>
      <c r="K60" s="30" t="n">
        <f aca="false">DATE(LEFT(Raw!G60,4),MID(Raw!G60,6,2),MID(Raw!G60,9,2))</f>
        <v>45775</v>
      </c>
      <c r="L60" s="30" t="n">
        <f aca="false">DATE(LEFT(Raw!H60,4),MID(Raw!H60,6,2),MID(Raw!H60,9,2))</f>
        <v>45777</v>
      </c>
      <c r="M60" s="30" t="n">
        <f aca="false">DATE(LEFT(Raw!I60,4),MID(Raw!I60,6,2),MID(Raw!I60,9,2))</f>
        <v>45780</v>
      </c>
      <c r="N60" s="31" t="n">
        <f aca="false">DATE(LEFT(Raw!J60,4),MID(Raw!J60,6,2),MID(Raw!J60,9,2))+TIME(MID(Raw!J60,12,2),MID(Raw!J60,15,2),MID(Raw!J60,18,2))</f>
        <v>45777.0833333333</v>
      </c>
      <c r="O60" s="31" t="n">
        <f aca="false">DATE(LEFT(Raw!K60,4),MID(Raw!K60,6,2),MID(Raw!K60,9,2))+TIME(MID(Raw!K60,12,2),MID(Raw!K60,15,2),MID(Raw!K60,18,2))</f>
        <v>45782.6</v>
      </c>
      <c r="P60" s="32" t="n">
        <f aca="false">L60-K60</f>
        <v>2</v>
      </c>
      <c r="Q60" s="32" t="n">
        <f aca="false">M60-L60</f>
        <v>3</v>
      </c>
      <c r="R60" s="32" t="n">
        <f aca="false">O60-N60</f>
        <v>5.51666666666667</v>
      </c>
      <c r="S60" s="32" t="n">
        <f aca="false">Raw!L60</f>
        <v>2.6</v>
      </c>
      <c r="T60" s="32" t="n">
        <f aca="false">O60-M60</f>
        <v>2.6</v>
      </c>
      <c r="U60" s="0" t="str">
        <f aca="false">IF(ABS(T60-S60)&lt;0.01,"OK","MISMATCH")</f>
        <v>OK</v>
      </c>
      <c r="V60" s="33" t="n">
        <f aca="false">Raw!M60</f>
        <v>1</v>
      </c>
      <c r="W60" s="0" t="str">
        <f aca="false">IF((S60&gt;0)=(V60=1),"OK","MISMATCH")</f>
        <v>OK</v>
      </c>
      <c r="X60" s="0" t="str">
        <f aca="false">_xlfn.IFS(S60&lt;=0,"Early/On time",S60&lt;=2,"Minor (up to 2 days)",S60&lt;=5,"Moderate (2-5 days)",TRUE(),"Severe (over 5 days)")</f>
        <v>Moderate (2-5 days)</v>
      </c>
      <c r="Y60" s="0" t="str">
        <f aca="false">YEAR(K60)&amp;"-"&amp;TEXT(MONTH(K60),"00")</f>
        <v>2025-04</v>
      </c>
      <c r="Z60" s="0" t="str">
        <f aca="false">C60&amp;" → "&amp;D60</f>
        <v>Gujarat → Surat</v>
      </c>
      <c r="AA60" s="0" t="str">
        <f aca="false">Raw!Q60</f>
        <v>VRL Cargo</v>
      </c>
      <c r="AB60" s="0" t="str">
        <f aca="false">Raw!R60</f>
        <v>Yes</v>
      </c>
      <c r="AC60" s="0" t="str">
        <f aca="false">Raw!S60</f>
        <v>Held at warehouse</v>
      </c>
      <c r="AD60" s="29" t="n">
        <f aca="false">Raw!N60</f>
        <v>6835.15</v>
      </c>
      <c r="AE60" s="29" t="n">
        <f aca="false">Raw!O60</f>
        <v>3094.41</v>
      </c>
      <c r="AF60" s="29" t="n">
        <f aca="false">Raw!P60</f>
        <v>1197.64</v>
      </c>
      <c r="AG60" s="29" t="n">
        <f aca="false">AD60/J60</f>
        <v>559.799344799345</v>
      </c>
    </row>
    <row r="61" customFormat="false" ht="15" hidden="false" customHeight="false" outlineLevel="0" collapsed="false">
      <c r="A61" s="0" t="str">
        <f aca="false">Raw!A61</f>
        <v>SHP0060</v>
      </c>
      <c r="B61" s="0" t="str">
        <f aca="false">Raw!B61</f>
        <v>Inbound</v>
      </c>
      <c r="C61" s="0" t="str">
        <f aca="false">Raw!C61</f>
        <v>Chennai</v>
      </c>
      <c r="D61" s="0" t="str">
        <f aca="false">Raw!D61</f>
        <v>Surat</v>
      </c>
      <c r="E61" s="0" t="str">
        <f aca="false">IFERROR(INDEX(Location_Map!$B$2:$B$15,MATCH(C61,Location_Map!$A$2:$A$15,0)),"UNMAPPED")</f>
        <v>Tamil Nadu</v>
      </c>
      <c r="F61" s="0" t="str">
        <f aca="false">IFERROR(INDEX(Location_Map!$C$2:$C$15,MATCH(C61,Location_Map!$A$2:$A$15,0)),"UNMAPPED")</f>
        <v>South</v>
      </c>
      <c r="G61" s="0" t="str">
        <f aca="false">IFERROR(INDEX(Location_Map!$B$2:$B$15,MATCH(D61,Location_Map!$A$2:$A$15,0)),"UNMAPPED")</f>
        <v>Gujarat</v>
      </c>
      <c r="H61" s="0" t="str">
        <f aca="false">IFERROR(INDEX(Location_Map!$C$2:$C$15,MATCH(D61,Location_Map!$A$2:$A$15,0)),"UNMAPPED")</f>
        <v>West</v>
      </c>
      <c r="I61" s="0" t="str">
        <f aca="false">Raw!E61</f>
        <v>Semi-Processed Yarn</v>
      </c>
      <c r="J61" s="28" t="n">
        <f aca="false">Raw!F61</f>
        <v>16.13</v>
      </c>
      <c r="K61" s="30" t="n">
        <f aca="false">DATE(LEFT(Raw!G61,4),MID(Raw!G61,6,2),MID(Raw!G61,9,2))</f>
        <v>45795</v>
      </c>
      <c r="L61" s="30" t="n">
        <f aca="false">DATE(LEFT(Raw!H61,4),MID(Raw!H61,6,2),MID(Raw!H61,9,2))</f>
        <v>45799</v>
      </c>
      <c r="M61" s="30" t="n">
        <f aca="false">DATE(LEFT(Raw!I61,4),MID(Raw!I61,6,2),MID(Raw!I61,9,2))</f>
        <v>45801</v>
      </c>
      <c r="N61" s="31" t="n">
        <f aca="false">DATE(LEFT(Raw!J61,4),MID(Raw!J61,6,2),MID(Raw!J61,9,2))+TIME(MID(Raw!J61,12,2),MID(Raw!J61,15,2),MID(Raw!J61,18,2))</f>
        <v>45799.25</v>
      </c>
      <c r="O61" s="31" t="n">
        <f aca="false">DATE(LEFT(Raw!K61,4),MID(Raw!K61,6,2),MID(Raw!K61,9,2))+TIME(MID(Raw!K61,12,2),MID(Raw!K61,15,2),MID(Raw!K61,18,2))</f>
        <v>45800</v>
      </c>
      <c r="P61" s="32" t="n">
        <f aca="false">L61-K61</f>
        <v>4</v>
      </c>
      <c r="Q61" s="32" t="n">
        <f aca="false">M61-L61</f>
        <v>2</v>
      </c>
      <c r="R61" s="32" t="n">
        <f aca="false">O61-N61</f>
        <v>0.75</v>
      </c>
      <c r="S61" s="32" t="n">
        <f aca="false">Raw!L61</f>
        <v>-1</v>
      </c>
      <c r="T61" s="32" t="n">
        <f aca="false">O61-M61</f>
        <v>-1</v>
      </c>
      <c r="U61" s="0" t="str">
        <f aca="false">IF(ABS(T61-S61)&lt;0.01,"OK","MISMATCH")</f>
        <v>OK</v>
      </c>
      <c r="V61" s="33" t="n">
        <f aca="false">Raw!M61</f>
        <v>0</v>
      </c>
      <c r="W61" s="0" t="str">
        <f aca="false">IF((S61&gt;0)=(V61=1),"OK","MISMATCH")</f>
        <v>OK</v>
      </c>
      <c r="X61" s="0" t="str">
        <f aca="false">_xlfn.IFS(S61&lt;=0,"Early/On time",S61&lt;=2,"Minor (up to 2 days)",S61&lt;=5,"Moderate (2-5 days)",TRUE(),"Severe (over 5 days)")</f>
        <v>Early/On time</v>
      </c>
      <c r="Y61" s="0" t="str">
        <f aca="false">YEAR(K61)&amp;"-"&amp;TEXT(MONTH(K61),"00")</f>
        <v>2025-05</v>
      </c>
      <c r="Z61" s="0" t="str">
        <f aca="false">C61&amp;" → "&amp;D61</f>
        <v>Chennai → Surat</v>
      </c>
      <c r="AA61" s="0" t="str">
        <f aca="false">Raw!Q61</f>
        <v>VRL Cargo</v>
      </c>
      <c r="AB61" s="0" t="str">
        <f aca="false">Raw!R61</f>
        <v>Yes</v>
      </c>
      <c r="AC61" s="0" t="str">
        <f aca="false">Raw!S61</f>
        <v>Held at warehouse</v>
      </c>
      <c r="AD61" s="29" t="n">
        <f aca="false">Raw!N61</f>
        <v>3783.17</v>
      </c>
      <c r="AE61" s="29" t="n">
        <f aca="false">Raw!O61</f>
        <v>3483.22</v>
      </c>
      <c r="AF61" s="29" t="n">
        <f aca="false">Raw!P61</f>
        <v>847.41</v>
      </c>
      <c r="AG61" s="29" t="n">
        <f aca="false">AD61/J61</f>
        <v>234.542467451953</v>
      </c>
    </row>
    <row r="62" customFormat="false" ht="15" hidden="false" customHeight="false" outlineLevel="0" collapsed="false">
      <c r="A62" s="0" t="str">
        <f aca="false">Raw!A62</f>
        <v>SHP0061</v>
      </c>
      <c r="B62" s="0" t="str">
        <f aca="false">Raw!B62</f>
        <v>Inbound</v>
      </c>
      <c r="C62" s="0" t="str">
        <f aca="false">Raw!C62</f>
        <v>Gujarat</v>
      </c>
      <c r="D62" s="0" t="str">
        <f aca="false">Raw!D62</f>
        <v>Surat</v>
      </c>
      <c r="E62" s="0" t="str">
        <f aca="false">IFERROR(INDEX(Location_Map!$B$2:$B$15,MATCH(C62,Location_Map!$A$2:$A$15,0)),"UNMAPPED")</f>
        <v>Gujarat</v>
      </c>
      <c r="F62" s="0" t="str">
        <f aca="false">IFERROR(INDEX(Location_Map!$C$2:$C$15,MATCH(C62,Location_Map!$A$2:$A$15,0)),"UNMAPPED")</f>
        <v>West</v>
      </c>
      <c r="G62" s="0" t="str">
        <f aca="false">IFERROR(INDEX(Location_Map!$B$2:$B$15,MATCH(D62,Location_Map!$A$2:$A$15,0)),"UNMAPPED")</f>
        <v>Gujarat</v>
      </c>
      <c r="H62" s="0" t="str">
        <f aca="false">IFERROR(INDEX(Location_Map!$C$2:$C$15,MATCH(D62,Location_Map!$A$2:$A$15,0)),"UNMAPPED")</f>
        <v>West</v>
      </c>
      <c r="I62" s="0" t="str">
        <f aca="false">Raw!E62</f>
        <v>Semi-Processed Yarn</v>
      </c>
      <c r="J62" s="28" t="n">
        <f aca="false">Raw!F62</f>
        <v>4.97</v>
      </c>
      <c r="K62" s="30" t="n">
        <f aca="false">DATE(LEFT(Raw!G62,4),MID(Raw!G62,6,2),MID(Raw!G62,9,2))</f>
        <v>45831</v>
      </c>
      <c r="L62" s="30" t="n">
        <f aca="false">DATE(LEFT(Raw!H62,4),MID(Raw!H62,6,2),MID(Raw!H62,9,2))</f>
        <v>45833</v>
      </c>
      <c r="M62" s="30" t="n">
        <f aca="false">DATE(LEFT(Raw!I62,4),MID(Raw!I62,6,2),MID(Raw!I62,9,2))</f>
        <v>45835</v>
      </c>
      <c r="N62" s="31" t="n">
        <f aca="false">DATE(LEFT(Raw!J62,4),MID(Raw!J62,6,2),MID(Raw!J62,9,2))+TIME(MID(Raw!J62,12,2),MID(Raw!J62,15,2),MID(Raw!J62,18,2))</f>
        <v>45833.2083333333</v>
      </c>
      <c r="O62" s="31" t="n">
        <f aca="false">DATE(LEFT(Raw!K62,4),MID(Raw!K62,6,2),MID(Raw!K62,9,2))+TIME(MID(Raw!K62,12,2),MID(Raw!K62,15,2),MID(Raw!K62,18,2))</f>
        <v>45844</v>
      </c>
      <c r="P62" s="32" t="n">
        <f aca="false">L62-K62</f>
        <v>2</v>
      </c>
      <c r="Q62" s="32" t="n">
        <f aca="false">M62-L62</f>
        <v>2</v>
      </c>
      <c r="R62" s="32" t="n">
        <f aca="false">O62-N62</f>
        <v>10.7916666666667</v>
      </c>
      <c r="S62" s="32" t="n">
        <f aca="false">Raw!L62</f>
        <v>9</v>
      </c>
      <c r="T62" s="32" t="n">
        <f aca="false">O62-M62</f>
        <v>9</v>
      </c>
      <c r="U62" s="0" t="str">
        <f aca="false">IF(ABS(T62-S62)&lt;0.01,"OK","MISMATCH")</f>
        <v>OK</v>
      </c>
      <c r="V62" s="33" t="n">
        <f aca="false">Raw!M62</f>
        <v>1</v>
      </c>
      <c r="W62" s="0" t="str">
        <f aca="false">IF((S62&gt;0)=(V62=1),"OK","MISMATCH")</f>
        <v>OK</v>
      </c>
      <c r="X62" s="0" t="str">
        <f aca="false">_xlfn.IFS(S62&lt;=0,"Early/On time",S62&lt;=2,"Minor (up to 2 days)",S62&lt;=5,"Moderate (2-5 days)",TRUE(),"Severe (over 5 days)")</f>
        <v>Severe (over 5 days)</v>
      </c>
      <c r="Y62" s="0" t="str">
        <f aca="false">YEAR(K62)&amp;"-"&amp;TEXT(MONTH(K62),"00")</f>
        <v>2025-06</v>
      </c>
      <c r="Z62" s="0" t="str">
        <f aca="false">C62&amp;" → "&amp;D62</f>
        <v>Gujarat → Surat</v>
      </c>
      <c r="AA62" s="0" t="str">
        <f aca="false">Raw!Q62</f>
        <v>VRL Cargo</v>
      </c>
      <c r="AB62" s="0" t="str">
        <f aca="false">Raw!R62</f>
        <v>Yes</v>
      </c>
      <c r="AC62" s="0" t="str">
        <f aca="false">Raw!S62</f>
        <v>Normal</v>
      </c>
      <c r="AD62" s="29" t="n">
        <f aca="false">Raw!N62</f>
        <v>2748.18</v>
      </c>
      <c r="AE62" s="29" t="n">
        <f aca="false">Raw!O62</f>
        <v>1727.52</v>
      </c>
      <c r="AF62" s="29" t="n">
        <f aca="false">Raw!P62</f>
        <v>845.67</v>
      </c>
      <c r="AG62" s="29" t="n">
        <f aca="false">AD62/J62</f>
        <v>552.953722334004</v>
      </c>
    </row>
    <row r="63" customFormat="false" ht="15" hidden="false" customHeight="false" outlineLevel="0" collapsed="false">
      <c r="A63" s="0" t="str">
        <f aca="false">Raw!A63</f>
        <v>SHP0062</v>
      </c>
      <c r="B63" s="0" t="str">
        <f aca="false">Raw!B63</f>
        <v>Inbound</v>
      </c>
      <c r="C63" s="0" t="str">
        <f aca="false">Raw!C63</f>
        <v>Uttar Pradesh</v>
      </c>
      <c r="D63" s="0" t="str">
        <f aca="false">Raw!D63</f>
        <v>Surat</v>
      </c>
      <c r="E63" s="0" t="str">
        <f aca="false">IFERROR(INDEX(Location_Map!$B$2:$B$15,MATCH(C63,Location_Map!$A$2:$A$15,0)),"UNMAPPED")</f>
        <v>Uttar Pradesh</v>
      </c>
      <c r="F63" s="0" t="str">
        <f aca="false">IFERROR(INDEX(Location_Map!$C$2:$C$15,MATCH(C63,Location_Map!$A$2:$A$15,0)),"UNMAPPED")</f>
        <v>North</v>
      </c>
      <c r="G63" s="0" t="str">
        <f aca="false">IFERROR(INDEX(Location_Map!$B$2:$B$15,MATCH(D63,Location_Map!$A$2:$A$15,0)),"UNMAPPED")</f>
        <v>Gujarat</v>
      </c>
      <c r="H63" s="0" t="str">
        <f aca="false">IFERROR(INDEX(Location_Map!$C$2:$C$15,MATCH(D63,Location_Map!$A$2:$A$15,0)),"UNMAPPED")</f>
        <v>West</v>
      </c>
      <c r="I63" s="0" t="str">
        <f aca="false">Raw!E63</f>
        <v>Semi-Processed Yarn</v>
      </c>
      <c r="J63" s="28" t="n">
        <f aca="false">Raw!F63</f>
        <v>18.04</v>
      </c>
      <c r="K63" s="30" t="n">
        <f aca="false">DATE(LEFT(Raw!G63,4),MID(Raw!G63,6,2),MID(Raw!G63,9,2))</f>
        <v>45800</v>
      </c>
      <c r="L63" s="30" t="n">
        <f aca="false">DATE(LEFT(Raw!H63,4),MID(Raw!H63,6,2),MID(Raw!H63,9,2))</f>
        <v>45803</v>
      </c>
      <c r="M63" s="30" t="n">
        <f aca="false">DATE(LEFT(Raw!I63,4),MID(Raw!I63,6,2),MID(Raw!I63,9,2))</f>
        <v>45806</v>
      </c>
      <c r="N63" s="31" t="n">
        <f aca="false">DATE(LEFT(Raw!J63,4),MID(Raw!J63,6,2),MID(Raw!J63,9,2))+TIME(MID(Raw!J63,12,2),MID(Raw!J63,15,2),MID(Raw!J63,18,2))</f>
        <v>45803.2916666667</v>
      </c>
      <c r="O63" s="31" t="n">
        <f aca="false">DATE(LEFT(Raw!K63,4),MID(Raw!K63,6,2),MID(Raw!K63,9,2))+TIME(MID(Raw!K63,12,2),MID(Raw!K63,15,2),MID(Raw!K63,18,2))</f>
        <v>45805</v>
      </c>
      <c r="P63" s="32" t="n">
        <f aca="false">L63-K63</f>
        <v>3</v>
      </c>
      <c r="Q63" s="32" t="n">
        <f aca="false">M63-L63</f>
        <v>3</v>
      </c>
      <c r="R63" s="32" t="n">
        <f aca="false">O63-N63</f>
        <v>1.70833333333333</v>
      </c>
      <c r="S63" s="32" t="n">
        <f aca="false">Raw!L63</f>
        <v>-1</v>
      </c>
      <c r="T63" s="32" t="n">
        <f aca="false">O63-M63</f>
        <v>-1</v>
      </c>
      <c r="U63" s="0" t="str">
        <f aca="false">IF(ABS(T63-S63)&lt;0.01,"OK","MISMATCH")</f>
        <v>OK</v>
      </c>
      <c r="V63" s="33" t="n">
        <f aca="false">Raw!M63</f>
        <v>0</v>
      </c>
      <c r="W63" s="0" t="str">
        <f aca="false">IF((S63&gt;0)=(V63=1),"OK","MISMATCH")</f>
        <v>OK</v>
      </c>
      <c r="X63" s="0" t="str">
        <f aca="false">_xlfn.IFS(S63&lt;=0,"Early/On time",S63&lt;=2,"Minor (up to 2 days)",S63&lt;=5,"Moderate (2-5 days)",TRUE(),"Severe (over 5 days)")</f>
        <v>Early/On time</v>
      </c>
      <c r="Y63" s="0" t="str">
        <f aca="false">YEAR(K63)&amp;"-"&amp;TEXT(MONTH(K63),"00")</f>
        <v>2025-05</v>
      </c>
      <c r="Z63" s="0" t="str">
        <f aca="false">C63&amp;" → "&amp;D63</f>
        <v>Uttar Pradesh → Surat</v>
      </c>
      <c r="AA63" s="0" t="str">
        <f aca="false">Raw!Q63</f>
        <v>Delhivery</v>
      </c>
      <c r="AB63" s="0" t="str">
        <f aca="false">Raw!R63</f>
        <v>Yes</v>
      </c>
      <c r="AC63" s="0" t="str">
        <f aca="false">Raw!S63</f>
        <v>Expedited</v>
      </c>
      <c r="AD63" s="29" t="n">
        <f aca="false">Raw!N63</f>
        <v>4680.53</v>
      </c>
      <c r="AE63" s="29" t="n">
        <f aca="false">Raw!O63</f>
        <v>1675.74</v>
      </c>
      <c r="AF63" s="29" t="n">
        <f aca="false">Raw!P63</f>
        <v>778.59</v>
      </c>
      <c r="AG63" s="29" t="n">
        <f aca="false">AD63/J63</f>
        <v>259.45288248337</v>
      </c>
    </row>
    <row r="64" customFormat="false" ht="15" hidden="false" customHeight="false" outlineLevel="0" collapsed="false">
      <c r="A64" s="0" t="str">
        <f aca="false">Raw!A64</f>
        <v>SHP0063</v>
      </c>
      <c r="B64" s="0" t="str">
        <f aca="false">Raw!B64</f>
        <v>Outbound</v>
      </c>
      <c r="C64" s="0" t="str">
        <f aca="false">Raw!C64</f>
        <v>Surat</v>
      </c>
      <c r="D64" s="0" t="str">
        <f aca="false">Raw!D64</f>
        <v>Assam</v>
      </c>
      <c r="E64" s="0" t="str">
        <f aca="false">IFERROR(INDEX(Location_Map!$B$2:$B$15,MATCH(C64,Location_Map!$A$2:$A$15,0)),"UNMAPPED")</f>
        <v>Gujarat</v>
      </c>
      <c r="F64" s="0" t="str">
        <f aca="false">IFERROR(INDEX(Location_Map!$C$2:$C$15,MATCH(C64,Location_Map!$A$2:$A$15,0)),"UNMAPPED")</f>
        <v>West</v>
      </c>
      <c r="G64" s="0" t="str">
        <f aca="false">IFERROR(INDEX(Location_Map!$B$2:$B$15,MATCH(D64,Location_Map!$A$2:$A$15,0)),"UNMAPPED")</f>
        <v>Assam</v>
      </c>
      <c r="H64" s="0" t="str">
        <f aca="false">IFERROR(INDEX(Location_Map!$C$2:$C$15,MATCH(D64,Location_Map!$A$2:$A$15,0)),"UNMAPPED")</f>
        <v>North-East</v>
      </c>
      <c r="I64" s="0" t="str">
        <f aca="false">Raw!E64</f>
        <v>Semi-Processed Yarn</v>
      </c>
      <c r="J64" s="28" t="n">
        <f aca="false">Raw!F64</f>
        <v>4.36</v>
      </c>
      <c r="K64" s="30" t="n">
        <f aca="false">DATE(LEFT(Raw!G64,4),MID(Raw!G64,6,2),MID(Raw!G64,9,2))</f>
        <v>45684</v>
      </c>
      <c r="L64" s="30" t="n">
        <f aca="false">DATE(LEFT(Raw!H64,4),MID(Raw!H64,6,2),MID(Raw!H64,9,2))</f>
        <v>45685</v>
      </c>
      <c r="M64" s="30" t="n">
        <f aca="false">DATE(LEFT(Raw!I64,4),MID(Raw!I64,6,2),MID(Raw!I64,9,2))</f>
        <v>45687</v>
      </c>
      <c r="N64" s="31" t="n">
        <f aca="false">DATE(LEFT(Raw!J64,4),MID(Raw!J64,6,2),MID(Raw!J64,9,2))+TIME(MID(Raw!J64,12,2),MID(Raw!J64,15,2),MID(Raw!J64,18,2))</f>
        <v>45684.7916666667</v>
      </c>
      <c r="O64" s="31" t="n">
        <f aca="false">DATE(LEFT(Raw!K64,4),MID(Raw!K64,6,2),MID(Raw!K64,9,2))+TIME(MID(Raw!K64,12,2),MID(Raw!K64,15,2),MID(Raw!K64,18,2))</f>
        <v>45691.4</v>
      </c>
      <c r="P64" s="32" t="n">
        <f aca="false">L64-K64</f>
        <v>1</v>
      </c>
      <c r="Q64" s="32" t="n">
        <f aca="false">M64-L64</f>
        <v>2</v>
      </c>
      <c r="R64" s="32" t="n">
        <f aca="false">O64-N64</f>
        <v>6.60833333333333</v>
      </c>
      <c r="S64" s="32" t="n">
        <f aca="false">Raw!L64</f>
        <v>4.4</v>
      </c>
      <c r="T64" s="32" t="n">
        <f aca="false">O64-M64</f>
        <v>4.4</v>
      </c>
      <c r="U64" s="0" t="str">
        <f aca="false">IF(ABS(T64-S64)&lt;0.01,"OK","MISMATCH")</f>
        <v>OK</v>
      </c>
      <c r="V64" s="33" t="n">
        <f aca="false">Raw!M64</f>
        <v>1</v>
      </c>
      <c r="W64" s="0" t="str">
        <f aca="false">IF((S64&gt;0)=(V64=1),"OK","MISMATCH")</f>
        <v>OK</v>
      </c>
      <c r="X64" s="0" t="str">
        <f aca="false">_xlfn.IFS(S64&lt;=0,"Early/On time",S64&lt;=2,"Minor (up to 2 days)",S64&lt;=5,"Moderate (2-5 days)",TRUE(),"Severe (over 5 days)")</f>
        <v>Moderate (2-5 days)</v>
      </c>
      <c r="Y64" s="0" t="str">
        <f aca="false">YEAR(K64)&amp;"-"&amp;TEXT(MONTH(K64),"00")</f>
        <v>2025-01</v>
      </c>
      <c r="Z64" s="0" t="str">
        <f aca="false">C64&amp;" → "&amp;D64</f>
        <v>Surat → Assam</v>
      </c>
      <c r="AA64" s="0" t="str">
        <f aca="false">Raw!Q64</f>
        <v>GATI Logistics</v>
      </c>
      <c r="AB64" s="0" t="str">
        <f aca="false">Raw!R64</f>
        <v>Yes</v>
      </c>
      <c r="AC64" s="0" t="str">
        <f aca="false">Raw!S64</f>
        <v>Held at warehouse</v>
      </c>
      <c r="AD64" s="29" t="n">
        <f aca="false">Raw!N64</f>
        <v>3247.29</v>
      </c>
      <c r="AE64" s="29" t="n">
        <f aca="false">Raw!O64</f>
        <v>1157.25</v>
      </c>
      <c r="AF64" s="29" t="n">
        <f aca="false">Raw!P64</f>
        <v>1299.41</v>
      </c>
      <c r="AG64" s="29" t="n">
        <f aca="false">AD64/J64</f>
        <v>744.79128440367</v>
      </c>
    </row>
    <row r="65" customFormat="false" ht="15" hidden="false" customHeight="false" outlineLevel="0" collapsed="false">
      <c r="A65" s="0" t="str">
        <f aca="false">Raw!A65</f>
        <v>SHP0064</v>
      </c>
      <c r="B65" s="0" t="str">
        <f aca="false">Raw!B65</f>
        <v>Outbound</v>
      </c>
      <c r="C65" s="0" t="str">
        <f aca="false">Raw!C65</f>
        <v>Surat</v>
      </c>
      <c r="D65" s="0" t="str">
        <f aca="false">Raw!D65</f>
        <v>Karnataka</v>
      </c>
      <c r="E65" s="0" t="str">
        <f aca="false">IFERROR(INDEX(Location_Map!$B$2:$B$15,MATCH(C65,Location_Map!$A$2:$A$15,0)),"UNMAPPED")</f>
        <v>Gujarat</v>
      </c>
      <c r="F65" s="0" t="str">
        <f aca="false">IFERROR(INDEX(Location_Map!$C$2:$C$15,MATCH(C65,Location_Map!$A$2:$A$15,0)),"UNMAPPED")</f>
        <v>West</v>
      </c>
      <c r="G65" s="0" t="str">
        <f aca="false">IFERROR(INDEX(Location_Map!$B$2:$B$15,MATCH(D65,Location_Map!$A$2:$A$15,0)),"UNMAPPED")</f>
        <v>Karnataka</v>
      </c>
      <c r="H65" s="0" t="str">
        <f aca="false">IFERROR(INDEX(Location_Map!$C$2:$C$15,MATCH(D65,Location_Map!$A$2:$A$15,0)),"UNMAPPED")</f>
        <v>South</v>
      </c>
      <c r="I65" s="0" t="str">
        <f aca="false">Raw!E65</f>
        <v>Finished Yarn</v>
      </c>
      <c r="J65" s="28" t="n">
        <f aca="false">Raw!F65</f>
        <v>12.93</v>
      </c>
      <c r="K65" s="30" t="n">
        <f aca="false">DATE(LEFT(Raw!G65,4),MID(Raw!G65,6,2),MID(Raw!G65,9,2))</f>
        <v>45682</v>
      </c>
      <c r="L65" s="30" t="n">
        <f aca="false">DATE(LEFT(Raw!H65,4),MID(Raw!H65,6,2),MID(Raw!H65,9,2))</f>
        <v>45686</v>
      </c>
      <c r="M65" s="30" t="n">
        <f aca="false">DATE(LEFT(Raw!I65,4),MID(Raw!I65,6,2),MID(Raw!I65,9,2))</f>
        <v>45692</v>
      </c>
      <c r="N65" s="31" t="n">
        <f aca="false">DATE(LEFT(Raw!J65,4),MID(Raw!J65,6,2),MID(Raw!J65,9,2))+TIME(MID(Raw!J65,12,2),MID(Raw!J65,15,2),MID(Raw!J65,18,2))</f>
        <v>45685.7916666667</v>
      </c>
      <c r="O65" s="31" t="n">
        <f aca="false">DATE(LEFT(Raw!K65,4),MID(Raw!K65,6,2),MID(Raw!K65,9,2))+TIME(MID(Raw!K65,12,2),MID(Raw!K65,15,2),MID(Raw!K65,18,2))</f>
        <v>45693.1</v>
      </c>
      <c r="P65" s="32" t="n">
        <f aca="false">L65-K65</f>
        <v>4</v>
      </c>
      <c r="Q65" s="32" t="n">
        <f aca="false">M65-L65</f>
        <v>6</v>
      </c>
      <c r="R65" s="32" t="n">
        <f aca="false">O65-N65</f>
        <v>7.30833333333333</v>
      </c>
      <c r="S65" s="32" t="n">
        <f aca="false">Raw!L65</f>
        <v>1.1</v>
      </c>
      <c r="T65" s="32" t="n">
        <f aca="false">O65-M65</f>
        <v>1.1</v>
      </c>
      <c r="U65" s="0" t="str">
        <f aca="false">IF(ABS(T65-S65)&lt;0.01,"OK","MISMATCH")</f>
        <v>OK</v>
      </c>
      <c r="V65" s="33" t="n">
        <f aca="false">Raw!M65</f>
        <v>1</v>
      </c>
      <c r="W65" s="0" t="str">
        <f aca="false">IF((S65&gt;0)=(V65=1),"OK","MISMATCH")</f>
        <v>OK</v>
      </c>
      <c r="X65" s="0" t="str">
        <f aca="false">_xlfn.IFS(S65&lt;=0,"Early/On time",S65&lt;=2,"Minor (up to 2 days)",S65&lt;=5,"Moderate (2-5 days)",TRUE(),"Severe (over 5 days)")</f>
        <v>Minor (up to 2 days)</v>
      </c>
      <c r="Y65" s="0" t="str">
        <f aca="false">YEAR(K65)&amp;"-"&amp;TEXT(MONTH(K65),"00")</f>
        <v>2025-01</v>
      </c>
      <c r="Z65" s="0" t="str">
        <f aca="false">C65&amp;" → "&amp;D65</f>
        <v>Surat → Karnataka</v>
      </c>
      <c r="AA65" s="0" t="str">
        <f aca="false">Raw!Q65</f>
        <v>VRL Cargo</v>
      </c>
      <c r="AB65" s="0" t="str">
        <f aca="false">Raw!R65</f>
        <v>No</v>
      </c>
      <c r="AC65" s="0" t="str">
        <f aca="false">Raw!S65</f>
        <v>Expedited</v>
      </c>
      <c r="AD65" s="29" t="n">
        <f aca="false">Raw!N65</f>
        <v>6357.84</v>
      </c>
      <c r="AE65" s="29" t="n">
        <f aca="false">Raw!O65</f>
        <v>3993.04</v>
      </c>
      <c r="AF65" s="29" t="n">
        <f aca="false">Raw!P65</f>
        <v>684.52</v>
      </c>
      <c r="AG65" s="29" t="n">
        <f aca="false">AD65/J65</f>
        <v>491.712296983759</v>
      </c>
    </row>
    <row r="66" customFormat="false" ht="15" hidden="false" customHeight="false" outlineLevel="0" collapsed="false">
      <c r="A66" s="0" t="str">
        <f aca="false">Raw!A66</f>
        <v>SHP0065</v>
      </c>
      <c r="B66" s="0" t="str">
        <f aca="false">Raw!B66</f>
        <v>Outbound</v>
      </c>
      <c r="C66" s="0" t="str">
        <f aca="false">Raw!C66</f>
        <v>Surat</v>
      </c>
      <c r="D66" s="0" t="str">
        <f aca="false">Raw!D66</f>
        <v>Madhya Pradesh</v>
      </c>
      <c r="E66" s="0" t="str">
        <f aca="false">IFERROR(INDEX(Location_Map!$B$2:$B$15,MATCH(C66,Location_Map!$A$2:$A$15,0)),"UNMAPPED")</f>
        <v>Gujarat</v>
      </c>
      <c r="F66" s="0" t="str">
        <f aca="false">IFERROR(INDEX(Location_Map!$C$2:$C$15,MATCH(C66,Location_Map!$A$2:$A$15,0)),"UNMAPPED")</f>
        <v>West</v>
      </c>
      <c r="G66" s="0" t="str">
        <f aca="false">IFERROR(INDEX(Location_Map!$B$2:$B$15,MATCH(D66,Location_Map!$A$2:$A$15,0)),"UNMAPPED")</f>
        <v>Madhya Pradesh</v>
      </c>
      <c r="H66" s="0" t="str">
        <f aca="false">IFERROR(INDEX(Location_Map!$C$2:$C$15,MATCH(D66,Location_Map!$A$2:$A$15,0)),"UNMAPPED")</f>
        <v>Central</v>
      </c>
      <c r="I66" s="0" t="str">
        <f aca="false">Raw!E66</f>
        <v>Semi-Processed Yarn</v>
      </c>
      <c r="J66" s="28" t="n">
        <f aca="false">Raw!F66</f>
        <v>4.98</v>
      </c>
      <c r="K66" s="30" t="n">
        <f aca="false">DATE(LEFT(Raw!G66,4),MID(Raw!G66,6,2),MID(Raw!G66,9,2))</f>
        <v>45769</v>
      </c>
      <c r="L66" s="30" t="n">
        <f aca="false">DATE(LEFT(Raw!H66,4),MID(Raw!H66,6,2),MID(Raw!H66,9,2))</f>
        <v>45771</v>
      </c>
      <c r="M66" s="30" t="n">
        <f aca="false">DATE(LEFT(Raw!I66,4),MID(Raw!I66,6,2),MID(Raw!I66,9,2))</f>
        <v>45774</v>
      </c>
      <c r="N66" s="31" t="n">
        <f aca="false">DATE(LEFT(Raw!J66,4),MID(Raw!J66,6,2),MID(Raw!J66,9,2))+TIME(MID(Raw!J66,12,2),MID(Raw!J66,15,2),MID(Raw!J66,18,2))</f>
        <v>45770.8333333333</v>
      </c>
      <c r="O66" s="31" t="n">
        <f aca="false">DATE(LEFT(Raw!K66,4),MID(Raw!K66,6,2),MID(Raw!K66,9,2))+TIME(MID(Raw!K66,12,2),MID(Raw!K66,15,2),MID(Raw!K66,18,2))</f>
        <v>45776.6</v>
      </c>
      <c r="P66" s="32" t="n">
        <f aca="false">L66-K66</f>
        <v>2</v>
      </c>
      <c r="Q66" s="32" t="n">
        <f aca="false">M66-L66</f>
        <v>3</v>
      </c>
      <c r="R66" s="32" t="n">
        <f aca="false">O66-N66</f>
        <v>5.76666666666667</v>
      </c>
      <c r="S66" s="32" t="n">
        <f aca="false">Raw!L66</f>
        <v>2.6</v>
      </c>
      <c r="T66" s="32" t="n">
        <f aca="false">O66-M66</f>
        <v>2.6</v>
      </c>
      <c r="U66" s="0" t="str">
        <f aca="false">IF(ABS(T66-S66)&lt;0.01,"OK","MISMATCH")</f>
        <v>OK</v>
      </c>
      <c r="V66" s="33" t="n">
        <f aca="false">Raw!M66</f>
        <v>1</v>
      </c>
      <c r="W66" s="0" t="str">
        <f aca="false">IF((S66&gt;0)=(V66=1),"OK","MISMATCH")</f>
        <v>OK</v>
      </c>
      <c r="X66" s="0" t="str">
        <f aca="false">_xlfn.IFS(S66&lt;=0,"Early/On time",S66&lt;=2,"Minor (up to 2 days)",S66&lt;=5,"Moderate (2-5 days)",TRUE(),"Severe (over 5 days)")</f>
        <v>Moderate (2-5 days)</v>
      </c>
      <c r="Y66" s="0" t="str">
        <f aca="false">YEAR(K66)&amp;"-"&amp;TEXT(MONTH(K66),"00")</f>
        <v>2025-04</v>
      </c>
      <c r="Z66" s="0" t="str">
        <f aca="false">C66&amp;" → "&amp;D66</f>
        <v>Surat → Madhya Pradesh</v>
      </c>
      <c r="AA66" s="0" t="str">
        <f aca="false">Raw!Q66</f>
        <v>GATI Logistics</v>
      </c>
      <c r="AB66" s="0" t="str">
        <f aca="false">Raw!R66</f>
        <v>No</v>
      </c>
      <c r="AC66" s="0" t="str">
        <f aca="false">Raw!S66</f>
        <v>Expedited</v>
      </c>
      <c r="AD66" s="29" t="n">
        <f aca="false">Raw!N66</f>
        <v>2570.11</v>
      </c>
      <c r="AE66" s="29" t="n">
        <f aca="false">Raw!O66</f>
        <v>2009.75</v>
      </c>
      <c r="AF66" s="29" t="n">
        <f aca="false">Raw!P66</f>
        <v>1213.35</v>
      </c>
      <c r="AG66" s="29" t="n">
        <f aca="false">AD66/J66</f>
        <v>516.086345381526</v>
      </c>
    </row>
    <row r="67" customFormat="false" ht="15" hidden="false" customHeight="false" outlineLevel="0" collapsed="false">
      <c r="A67" s="0" t="str">
        <f aca="false">Raw!A67</f>
        <v>SHP0066</v>
      </c>
      <c r="B67" s="0" t="str">
        <f aca="false">Raw!B67</f>
        <v>Inbound</v>
      </c>
      <c r="C67" s="0" t="str">
        <f aca="false">Raw!C67</f>
        <v>Rajasthan</v>
      </c>
      <c r="D67" s="0" t="str">
        <f aca="false">Raw!D67</f>
        <v>Surat</v>
      </c>
      <c r="E67" s="0" t="str">
        <f aca="false">IFERROR(INDEX(Location_Map!$B$2:$B$15,MATCH(C67,Location_Map!$A$2:$A$15,0)),"UNMAPPED")</f>
        <v>Rajasthan</v>
      </c>
      <c r="F67" s="0" t="str">
        <f aca="false">IFERROR(INDEX(Location_Map!$C$2:$C$15,MATCH(C67,Location_Map!$A$2:$A$15,0)),"UNMAPPED")</f>
        <v>North</v>
      </c>
      <c r="G67" s="0" t="str">
        <f aca="false">IFERROR(INDEX(Location_Map!$B$2:$B$15,MATCH(D67,Location_Map!$A$2:$A$15,0)),"UNMAPPED")</f>
        <v>Gujarat</v>
      </c>
      <c r="H67" s="0" t="str">
        <f aca="false">IFERROR(INDEX(Location_Map!$C$2:$C$15,MATCH(D67,Location_Map!$A$2:$A$15,0)),"UNMAPPED")</f>
        <v>West</v>
      </c>
      <c r="I67" s="0" t="str">
        <f aca="false">Raw!E67</f>
        <v>Semi-Processed Yarn</v>
      </c>
      <c r="J67" s="28" t="n">
        <f aca="false">Raw!F67</f>
        <v>18.01</v>
      </c>
      <c r="K67" s="30" t="n">
        <f aca="false">DATE(LEFT(Raw!G67,4),MID(Raw!G67,6,2),MID(Raw!G67,9,2))</f>
        <v>45811</v>
      </c>
      <c r="L67" s="30" t="n">
        <f aca="false">DATE(LEFT(Raw!H67,4),MID(Raw!H67,6,2),MID(Raw!H67,9,2))</f>
        <v>45814</v>
      </c>
      <c r="M67" s="30" t="n">
        <f aca="false">DATE(LEFT(Raw!I67,4),MID(Raw!I67,6,2),MID(Raw!I67,9,2))</f>
        <v>45820</v>
      </c>
      <c r="N67" s="31" t="n">
        <f aca="false">DATE(LEFT(Raw!J67,4),MID(Raw!J67,6,2),MID(Raw!J67,9,2))+TIME(MID(Raw!J67,12,2),MID(Raw!J67,15,2),MID(Raw!J67,18,2))</f>
        <v>45813.8333333333</v>
      </c>
      <c r="O67" s="31" t="n">
        <f aca="false">DATE(LEFT(Raw!K67,4),MID(Raw!K67,6,2),MID(Raw!K67,9,2))+TIME(MID(Raw!K67,12,2),MID(Raw!K67,15,2),MID(Raw!K67,18,2))</f>
        <v>45826.8</v>
      </c>
      <c r="P67" s="32" t="n">
        <f aca="false">L67-K67</f>
        <v>3</v>
      </c>
      <c r="Q67" s="32" t="n">
        <f aca="false">M67-L67</f>
        <v>6</v>
      </c>
      <c r="R67" s="32" t="n">
        <f aca="false">O67-N67</f>
        <v>12.9666666666667</v>
      </c>
      <c r="S67" s="32" t="n">
        <f aca="false">Raw!L67</f>
        <v>6.8</v>
      </c>
      <c r="T67" s="32" t="n">
        <f aca="false">O67-M67</f>
        <v>6.8</v>
      </c>
      <c r="U67" s="0" t="str">
        <f aca="false">IF(ABS(T67-S67)&lt;0.01,"OK","MISMATCH")</f>
        <v>OK</v>
      </c>
      <c r="V67" s="33" t="n">
        <f aca="false">Raw!M67</f>
        <v>1</v>
      </c>
      <c r="W67" s="0" t="str">
        <f aca="false">IF((S67&gt;0)=(V67=1),"OK","MISMATCH")</f>
        <v>OK</v>
      </c>
      <c r="X67" s="0" t="str">
        <f aca="false">_xlfn.IFS(S67&lt;=0,"Early/On time",S67&lt;=2,"Minor (up to 2 days)",S67&lt;=5,"Moderate (2-5 days)",TRUE(),"Severe (over 5 days)")</f>
        <v>Severe (over 5 days)</v>
      </c>
      <c r="Y67" s="0" t="str">
        <f aca="false">YEAR(K67)&amp;"-"&amp;TEXT(MONTH(K67),"00")</f>
        <v>2025-06</v>
      </c>
      <c r="Z67" s="0" t="str">
        <f aca="false">C67&amp;" → "&amp;D67</f>
        <v>Rajasthan → Surat</v>
      </c>
      <c r="AA67" s="0" t="str">
        <f aca="false">Raw!Q67</f>
        <v>BlueDart</v>
      </c>
      <c r="AB67" s="0" t="str">
        <f aca="false">Raw!R67</f>
        <v>Yes</v>
      </c>
      <c r="AC67" s="0" t="str">
        <f aca="false">Raw!S67</f>
        <v>Expedited</v>
      </c>
      <c r="AD67" s="29" t="n">
        <f aca="false">Raw!N67</f>
        <v>8232.54</v>
      </c>
      <c r="AE67" s="29" t="n">
        <f aca="false">Raw!O67</f>
        <v>1969.88</v>
      </c>
      <c r="AF67" s="29" t="n">
        <f aca="false">Raw!P67</f>
        <v>769.24</v>
      </c>
      <c r="AG67" s="29" t="n">
        <f aca="false">AD67/J67</f>
        <v>457.109383675736</v>
      </c>
    </row>
    <row r="68" customFormat="false" ht="15" hidden="false" customHeight="false" outlineLevel="0" collapsed="false">
      <c r="A68" s="0" t="str">
        <f aca="false">Raw!A68</f>
        <v>SHP0067</v>
      </c>
      <c r="B68" s="0" t="str">
        <f aca="false">Raw!B68</f>
        <v>Inbound</v>
      </c>
      <c r="C68" s="0" t="str">
        <f aca="false">Raw!C68</f>
        <v>Chennai</v>
      </c>
      <c r="D68" s="0" t="str">
        <f aca="false">Raw!D68</f>
        <v>Surat</v>
      </c>
      <c r="E68" s="0" t="str">
        <f aca="false">IFERROR(INDEX(Location_Map!$B$2:$B$15,MATCH(C68,Location_Map!$A$2:$A$15,0)),"UNMAPPED")</f>
        <v>Tamil Nadu</v>
      </c>
      <c r="F68" s="0" t="str">
        <f aca="false">IFERROR(INDEX(Location_Map!$C$2:$C$15,MATCH(C68,Location_Map!$A$2:$A$15,0)),"UNMAPPED")</f>
        <v>South</v>
      </c>
      <c r="G68" s="0" t="str">
        <f aca="false">IFERROR(INDEX(Location_Map!$B$2:$B$15,MATCH(D68,Location_Map!$A$2:$A$15,0)),"UNMAPPED")</f>
        <v>Gujarat</v>
      </c>
      <c r="H68" s="0" t="str">
        <f aca="false">IFERROR(INDEX(Location_Map!$C$2:$C$15,MATCH(D68,Location_Map!$A$2:$A$15,0)),"UNMAPPED")</f>
        <v>West</v>
      </c>
      <c r="I68" s="0" t="str">
        <f aca="false">Raw!E68</f>
        <v>Semi-Processed Yarn</v>
      </c>
      <c r="J68" s="28" t="n">
        <f aca="false">Raw!F68</f>
        <v>8.17</v>
      </c>
      <c r="K68" s="30" t="n">
        <f aca="false">DATE(LEFT(Raw!G68,4),MID(Raw!G68,6,2),MID(Raw!G68,9,2))</f>
        <v>45664</v>
      </c>
      <c r="L68" s="30" t="n">
        <f aca="false">DATE(LEFT(Raw!H68,4),MID(Raw!H68,6,2),MID(Raw!H68,9,2))</f>
        <v>45666</v>
      </c>
      <c r="M68" s="30" t="n">
        <f aca="false">DATE(LEFT(Raw!I68,4),MID(Raw!I68,6,2),MID(Raw!I68,9,2))</f>
        <v>45669</v>
      </c>
      <c r="N68" s="31" t="n">
        <f aca="false">DATE(LEFT(Raw!J68,4),MID(Raw!J68,6,2),MID(Raw!J68,9,2))+TIME(MID(Raw!J68,12,2),MID(Raw!J68,15,2),MID(Raw!J68,18,2))</f>
        <v>45666.2916666667</v>
      </c>
      <c r="O68" s="31" t="n">
        <f aca="false">DATE(LEFT(Raw!K68,4),MID(Raw!K68,6,2),MID(Raw!K68,9,2))+TIME(MID(Raw!K68,12,2),MID(Raw!K68,15,2),MID(Raw!K68,18,2))</f>
        <v>45668</v>
      </c>
      <c r="P68" s="32" t="n">
        <f aca="false">L68-K68</f>
        <v>2</v>
      </c>
      <c r="Q68" s="32" t="n">
        <f aca="false">M68-L68</f>
        <v>3</v>
      </c>
      <c r="R68" s="32" t="n">
        <f aca="false">O68-N68</f>
        <v>1.70833333333333</v>
      </c>
      <c r="S68" s="32" t="n">
        <f aca="false">Raw!L68</f>
        <v>-1</v>
      </c>
      <c r="T68" s="32" t="n">
        <f aca="false">O68-M68</f>
        <v>-1</v>
      </c>
      <c r="U68" s="0" t="str">
        <f aca="false">IF(ABS(T68-S68)&lt;0.01,"OK","MISMATCH")</f>
        <v>OK</v>
      </c>
      <c r="V68" s="33" t="n">
        <f aca="false">Raw!M68</f>
        <v>0</v>
      </c>
      <c r="W68" s="0" t="str">
        <f aca="false">IF((S68&gt;0)=(V68=1),"OK","MISMATCH")</f>
        <v>OK</v>
      </c>
      <c r="X68" s="0" t="str">
        <f aca="false">_xlfn.IFS(S68&lt;=0,"Early/On time",S68&lt;=2,"Minor (up to 2 days)",S68&lt;=5,"Moderate (2-5 days)",TRUE(),"Severe (over 5 days)")</f>
        <v>Early/On time</v>
      </c>
      <c r="Y68" s="0" t="str">
        <f aca="false">YEAR(K68)&amp;"-"&amp;TEXT(MONTH(K68),"00")</f>
        <v>2025-01</v>
      </c>
      <c r="Z68" s="0" t="str">
        <f aca="false">C68&amp;" → "&amp;D68</f>
        <v>Chennai → Surat</v>
      </c>
      <c r="AA68" s="0" t="str">
        <f aca="false">Raw!Q68</f>
        <v>BlueDart</v>
      </c>
      <c r="AB68" s="0" t="str">
        <f aca="false">Raw!R68</f>
        <v>No</v>
      </c>
      <c r="AC68" s="0" t="str">
        <f aca="false">Raw!S68</f>
        <v>Normal</v>
      </c>
      <c r="AD68" s="29" t="n">
        <f aca="false">Raw!N68</f>
        <v>5214.86</v>
      </c>
      <c r="AE68" s="29" t="n">
        <f aca="false">Raw!O68</f>
        <v>4156.68</v>
      </c>
      <c r="AF68" s="29" t="n">
        <f aca="false">Raw!P68</f>
        <v>998.44</v>
      </c>
      <c r="AG68" s="29" t="n">
        <f aca="false">AD68/J68</f>
        <v>638.293757649939</v>
      </c>
    </row>
    <row r="69" customFormat="false" ht="15" hidden="false" customHeight="false" outlineLevel="0" collapsed="false">
      <c r="A69" s="0" t="str">
        <f aca="false">Raw!A69</f>
        <v>SHP0068</v>
      </c>
      <c r="B69" s="0" t="str">
        <f aca="false">Raw!B69</f>
        <v>Outbound</v>
      </c>
      <c r="C69" s="0" t="str">
        <f aca="false">Raw!C69</f>
        <v>Surat</v>
      </c>
      <c r="D69" s="0" t="str">
        <f aca="false">Raw!D69</f>
        <v>Kerala</v>
      </c>
      <c r="E69" s="0" t="str">
        <f aca="false">IFERROR(INDEX(Location_Map!$B$2:$B$15,MATCH(C69,Location_Map!$A$2:$A$15,0)),"UNMAPPED")</f>
        <v>Gujarat</v>
      </c>
      <c r="F69" s="0" t="str">
        <f aca="false">IFERROR(INDEX(Location_Map!$C$2:$C$15,MATCH(C69,Location_Map!$A$2:$A$15,0)),"UNMAPPED")</f>
        <v>West</v>
      </c>
      <c r="G69" s="0" t="str">
        <f aca="false">IFERROR(INDEX(Location_Map!$B$2:$B$15,MATCH(D69,Location_Map!$A$2:$A$15,0)),"UNMAPPED")</f>
        <v>Kerala</v>
      </c>
      <c r="H69" s="0" t="str">
        <f aca="false">IFERROR(INDEX(Location_Map!$C$2:$C$15,MATCH(D69,Location_Map!$A$2:$A$15,0)),"UNMAPPED")</f>
        <v>South</v>
      </c>
      <c r="I69" s="0" t="str">
        <f aca="false">Raw!E69</f>
        <v>Semi-Processed Yarn</v>
      </c>
      <c r="J69" s="28" t="n">
        <f aca="false">Raw!F69</f>
        <v>2.65</v>
      </c>
      <c r="K69" s="30" t="n">
        <f aca="false">DATE(LEFT(Raw!G69,4),MID(Raw!G69,6,2),MID(Raw!G69,9,2))</f>
        <v>45819</v>
      </c>
      <c r="L69" s="30" t="n">
        <f aca="false">DATE(LEFT(Raw!H69,4),MID(Raw!H69,6,2),MID(Raw!H69,9,2))</f>
        <v>45822</v>
      </c>
      <c r="M69" s="30" t="n">
        <f aca="false">DATE(LEFT(Raw!I69,4),MID(Raw!I69,6,2),MID(Raw!I69,9,2))</f>
        <v>45824</v>
      </c>
      <c r="N69" s="31" t="n">
        <f aca="false">DATE(LEFT(Raw!J69,4),MID(Raw!J69,6,2),MID(Raw!J69,9,2))+TIME(MID(Raw!J69,12,2),MID(Raw!J69,15,2),MID(Raw!J69,18,2))</f>
        <v>45822.25</v>
      </c>
      <c r="O69" s="31" t="n">
        <f aca="false">DATE(LEFT(Raw!K69,4),MID(Raw!K69,6,2),MID(Raw!K69,9,2))+TIME(MID(Raw!K69,12,2),MID(Raw!K69,15,2),MID(Raw!K69,18,2))</f>
        <v>45826.6</v>
      </c>
      <c r="P69" s="32" t="n">
        <f aca="false">L69-K69</f>
        <v>3</v>
      </c>
      <c r="Q69" s="32" t="n">
        <f aca="false">M69-L69</f>
        <v>2</v>
      </c>
      <c r="R69" s="32" t="n">
        <f aca="false">O69-N69</f>
        <v>4.35</v>
      </c>
      <c r="S69" s="32" t="n">
        <f aca="false">Raw!L69</f>
        <v>2.6</v>
      </c>
      <c r="T69" s="32" t="n">
        <f aca="false">O69-M69</f>
        <v>2.6</v>
      </c>
      <c r="U69" s="0" t="str">
        <f aca="false">IF(ABS(T69-S69)&lt;0.01,"OK","MISMATCH")</f>
        <v>OK</v>
      </c>
      <c r="V69" s="33" t="n">
        <f aca="false">Raw!M69</f>
        <v>1</v>
      </c>
      <c r="W69" s="0" t="str">
        <f aca="false">IF((S69&gt;0)=(V69=1),"OK","MISMATCH")</f>
        <v>OK</v>
      </c>
      <c r="X69" s="0" t="str">
        <f aca="false">_xlfn.IFS(S69&lt;=0,"Early/On time",S69&lt;=2,"Minor (up to 2 days)",S69&lt;=5,"Moderate (2-5 days)",TRUE(),"Severe (over 5 days)")</f>
        <v>Moderate (2-5 days)</v>
      </c>
      <c r="Y69" s="0" t="str">
        <f aca="false">YEAR(K69)&amp;"-"&amp;TEXT(MONTH(K69),"00")</f>
        <v>2025-06</v>
      </c>
      <c r="Z69" s="0" t="str">
        <f aca="false">C69&amp;" → "&amp;D69</f>
        <v>Surat → Kerala</v>
      </c>
      <c r="AA69" s="0" t="str">
        <f aca="false">Raw!Q69</f>
        <v>Delhivery</v>
      </c>
      <c r="AB69" s="0" t="str">
        <f aca="false">Raw!R69</f>
        <v>No</v>
      </c>
      <c r="AC69" s="0" t="str">
        <f aca="false">Raw!S69</f>
        <v>Returned</v>
      </c>
      <c r="AD69" s="29" t="n">
        <f aca="false">Raw!N69</f>
        <v>1629.21</v>
      </c>
      <c r="AE69" s="29" t="n">
        <f aca="false">Raw!O69</f>
        <v>2452.33</v>
      </c>
      <c r="AF69" s="29" t="n">
        <f aca="false">Raw!P69</f>
        <v>1145.92</v>
      </c>
      <c r="AG69" s="29" t="n">
        <f aca="false">AD69/J69</f>
        <v>614.796226415094</v>
      </c>
    </row>
    <row r="70" customFormat="false" ht="15" hidden="false" customHeight="false" outlineLevel="0" collapsed="false">
      <c r="A70" s="0" t="str">
        <f aca="false">Raw!A70</f>
        <v>SHP0069</v>
      </c>
      <c r="B70" s="0" t="str">
        <f aca="false">Raw!B70</f>
        <v>Inbound</v>
      </c>
      <c r="C70" s="0" t="str">
        <f aca="false">Raw!C70</f>
        <v>Gujarat</v>
      </c>
      <c r="D70" s="0" t="str">
        <f aca="false">Raw!D70</f>
        <v>Surat</v>
      </c>
      <c r="E70" s="0" t="str">
        <f aca="false">IFERROR(INDEX(Location_Map!$B$2:$B$15,MATCH(C70,Location_Map!$A$2:$A$15,0)),"UNMAPPED")</f>
        <v>Gujarat</v>
      </c>
      <c r="F70" s="0" t="str">
        <f aca="false">IFERROR(INDEX(Location_Map!$C$2:$C$15,MATCH(C70,Location_Map!$A$2:$A$15,0)),"UNMAPPED")</f>
        <v>West</v>
      </c>
      <c r="G70" s="0" t="str">
        <f aca="false">IFERROR(INDEX(Location_Map!$B$2:$B$15,MATCH(D70,Location_Map!$A$2:$A$15,0)),"UNMAPPED")</f>
        <v>Gujarat</v>
      </c>
      <c r="H70" s="0" t="str">
        <f aca="false">IFERROR(INDEX(Location_Map!$C$2:$C$15,MATCH(D70,Location_Map!$A$2:$A$15,0)),"UNMAPPED")</f>
        <v>West</v>
      </c>
      <c r="I70" s="0" t="str">
        <f aca="false">Raw!E70</f>
        <v>Raw Yarn</v>
      </c>
      <c r="J70" s="28" t="n">
        <f aca="false">Raw!F70</f>
        <v>11.84</v>
      </c>
      <c r="K70" s="30" t="n">
        <f aca="false">DATE(LEFT(Raw!G70,4),MID(Raw!G70,6,2),MID(Raw!G70,9,2))</f>
        <v>45764</v>
      </c>
      <c r="L70" s="30" t="n">
        <f aca="false">DATE(LEFT(Raw!H70,4),MID(Raw!H70,6,2),MID(Raw!H70,9,2))</f>
        <v>45768</v>
      </c>
      <c r="M70" s="30" t="n">
        <f aca="false">DATE(LEFT(Raw!I70,4),MID(Raw!I70,6,2),MID(Raw!I70,9,2))</f>
        <v>45774</v>
      </c>
      <c r="N70" s="31" t="n">
        <f aca="false">DATE(LEFT(Raw!J70,4),MID(Raw!J70,6,2),MID(Raw!J70,9,2))+TIME(MID(Raw!J70,12,2),MID(Raw!J70,15,2),MID(Raw!J70,18,2))</f>
        <v>45767.9166666667</v>
      </c>
      <c r="O70" s="31" t="n">
        <f aca="false">DATE(LEFT(Raw!K70,4),MID(Raw!K70,6,2),MID(Raw!K70,9,2))+TIME(MID(Raw!K70,12,2),MID(Raw!K70,15,2),MID(Raw!K70,18,2))</f>
        <v>45774.1</v>
      </c>
      <c r="P70" s="32" t="n">
        <f aca="false">L70-K70</f>
        <v>4</v>
      </c>
      <c r="Q70" s="32" t="n">
        <f aca="false">M70-L70</f>
        <v>6</v>
      </c>
      <c r="R70" s="32" t="n">
        <f aca="false">O70-N70</f>
        <v>6.18333333333333</v>
      </c>
      <c r="S70" s="32" t="n">
        <f aca="false">Raw!L70</f>
        <v>0.1</v>
      </c>
      <c r="T70" s="32" t="n">
        <f aca="false">O70-M70</f>
        <v>0.1</v>
      </c>
      <c r="U70" s="0" t="str">
        <f aca="false">IF(ABS(T70-S70)&lt;0.01,"OK","MISMATCH")</f>
        <v>OK</v>
      </c>
      <c r="V70" s="33" t="n">
        <f aca="false">Raw!M70</f>
        <v>1</v>
      </c>
      <c r="W70" s="0" t="str">
        <f aca="false">IF((S70&gt;0)=(V70=1),"OK","MISMATCH")</f>
        <v>OK</v>
      </c>
      <c r="X70" s="0" t="str">
        <f aca="false">_xlfn.IFS(S70&lt;=0,"Early/On time",S70&lt;=2,"Minor (up to 2 days)",S70&lt;=5,"Moderate (2-5 days)",TRUE(),"Severe (over 5 days)")</f>
        <v>Minor (up to 2 days)</v>
      </c>
      <c r="Y70" s="0" t="str">
        <f aca="false">YEAR(K70)&amp;"-"&amp;TEXT(MONTH(K70),"00")</f>
        <v>2025-04</v>
      </c>
      <c r="Z70" s="0" t="str">
        <f aca="false">C70&amp;" → "&amp;D70</f>
        <v>Gujarat → Surat</v>
      </c>
      <c r="AA70" s="0" t="str">
        <f aca="false">Raw!Q70</f>
        <v>BlueDart</v>
      </c>
      <c r="AB70" s="0" t="str">
        <f aca="false">Raw!R70</f>
        <v>Yes</v>
      </c>
      <c r="AC70" s="0" t="str">
        <f aca="false">Raw!S70</f>
        <v>Returned</v>
      </c>
      <c r="AD70" s="29" t="n">
        <f aca="false">Raw!N70</f>
        <v>5505.21</v>
      </c>
      <c r="AE70" s="29" t="n">
        <f aca="false">Raw!O70</f>
        <v>4223.46</v>
      </c>
      <c r="AF70" s="29" t="n">
        <f aca="false">Raw!P70</f>
        <v>555.65</v>
      </c>
      <c r="AG70" s="29" t="n">
        <f aca="false">AD70/J70</f>
        <v>464.967060810811</v>
      </c>
    </row>
    <row r="71" customFormat="false" ht="15" hidden="false" customHeight="false" outlineLevel="0" collapsed="false">
      <c r="A71" s="0" t="str">
        <f aca="false">Raw!A71</f>
        <v>SHP0070</v>
      </c>
      <c r="B71" s="0" t="str">
        <f aca="false">Raw!B71</f>
        <v>Outbound</v>
      </c>
      <c r="C71" s="0" t="str">
        <f aca="false">Raw!C71</f>
        <v>Surat</v>
      </c>
      <c r="D71" s="0" t="str">
        <f aca="false">Raw!D71</f>
        <v>Kerala</v>
      </c>
      <c r="E71" s="0" t="str">
        <f aca="false">IFERROR(INDEX(Location_Map!$B$2:$B$15,MATCH(C71,Location_Map!$A$2:$A$15,0)),"UNMAPPED")</f>
        <v>Gujarat</v>
      </c>
      <c r="F71" s="0" t="str">
        <f aca="false">IFERROR(INDEX(Location_Map!$C$2:$C$15,MATCH(C71,Location_Map!$A$2:$A$15,0)),"UNMAPPED")</f>
        <v>West</v>
      </c>
      <c r="G71" s="0" t="str">
        <f aca="false">IFERROR(INDEX(Location_Map!$B$2:$B$15,MATCH(D71,Location_Map!$A$2:$A$15,0)),"UNMAPPED")</f>
        <v>Kerala</v>
      </c>
      <c r="H71" s="0" t="str">
        <f aca="false">IFERROR(INDEX(Location_Map!$C$2:$C$15,MATCH(D71,Location_Map!$A$2:$A$15,0)),"UNMAPPED")</f>
        <v>South</v>
      </c>
      <c r="I71" s="0" t="str">
        <f aca="false">Raw!E71</f>
        <v>Raw Yarn</v>
      </c>
      <c r="J71" s="28" t="n">
        <f aca="false">Raw!F71</f>
        <v>17</v>
      </c>
      <c r="K71" s="30" t="n">
        <f aca="false">DATE(LEFT(Raw!G71,4),MID(Raw!G71,6,2),MID(Raw!G71,9,2))</f>
        <v>45673</v>
      </c>
      <c r="L71" s="30" t="n">
        <f aca="false">DATE(LEFT(Raw!H71,4),MID(Raw!H71,6,2),MID(Raw!H71,9,2))</f>
        <v>45674</v>
      </c>
      <c r="M71" s="30" t="n">
        <f aca="false">DATE(LEFT(Raw!I71,4),MID(Raw!I71,6,2),MID(Raw!I71,9,2))</f>
        <v>45680</v>
      </c>
      <c r="N71" s="31" t="n">
        <f aca="false">DATE(LEFT(Raw!J71,4),MID(Raw!J71,6,2),MID(Raw!J71,9,2))+TIME(MID(Raw!J71,12,2),MID(Raw!J71,15,2),MID(Raw!J71,18,2))</f>
        <v>45673.9166666667</v>
      </c>
      <c r="O71" s="31" t="n">
        <f aca="false">DATE(LEFT(Raw!K71,4),MID(Raw!K71,6,2),MID(Raw!K71,9,2))+TIME(MID(Raw!K71,12,2),MID(Raw!K71,15,2),MID(Raw!K71,18,2))</f>
        <v>45679</v>
      </c>
      <c r="P71" s="32" t="n">
        <f aca="false">L71-K71</f>
        <v>1</v>
      </c>
      <c r="Q71" s="32" t="n">
        <f aca="false">M71-L71</f>
        <v>6</v>
      </c>
      <c r="R71" s="32" t="n">
        <f aca="false">O71-N71</f>
        <v>5.08333333333333</v>
      </c>
      <c r="S71" s="32" t="n">
        <f aca="false">Raw!L71</f>
        <v>-1</v>
      </c>
      <c r="T71" s="32" t="n">
        <f aca="false">O71-M71</f>
        <v>-1</v>
      </c>
      <c r="U71" s="0" t="str">
        <f aca="false">IF(ABS(T71-S71)&lt;0.01,"OK","MISMATCH")</f>
        <v>OK</v>
      </c>
      <c r="V71" s="33" t="n">
        <f aca="false">Raw!M71</f>
        <v>0</v>
      </c>
      <c r="W71" s="0" t="str">
        <f aca="false">IF((S71&gt;0)=(V71=1),"OK","MISMATCH")</f>
        <v>OK</v>
      </c>
      <c r="X71" s="0" t="str">
        <f aca="false">_xlfn.IFS(S71&lt;=0,"Early/On time",S71&lt;=2,"Minor (up to 2 days)",S71&lt;=5,"Moderate (2-5 days)",TRUE(),"Severe (over 5 days)")</f>
        <v>Early/On time</v>
      </c>
      <c r="Y71" s="0" t="str">
        <f aca="false">YEAR(K71)&amp;"-"&amp;TEXT(MONTH(K71),"00")</f>
        <v>2025-01</v>
      </c>
      <c r="Z71" s="0" t="str">
        <f aca="false">C71&amp;" → "&amp;D71</f>
        <v>Surat → Kerala</v>
      </c>
      <c r="AA71" s="0" t="str">
        <f aca="false">Raw!Q71</f>
        <v>GATI Logistics</v>
      </c>
      <c r="AB71" s="0" t="str">
        <f aca="false">Raw!R71</f>
        <v>No</v>
      </c>
      <c r="AC71" s="0" t="str">
        <f aca="false">Raw!S71</f>
        <v>Held at warehouse</v>
      </c>
      <c r="AD71" s="29" t="n">
        <f aca="false">Raw!N71</f>
        <v>13542.48</v>
      </c>
      <c r="AE71" s="29" t="n">
        <f aca="false">Raw!O71</f>
        <v>3303.99</v>
      </c>
      <c r="AF71" s="29" t="n">
        <f aca="false">Raw!P71</f>
        <v>1417.4</v>
      </c>
      <c r="AG71" s="29" t="n">
        <f aca="false">AD71/J71</f>
        <v>796.616470588235</v>
      </c>
    </row>
    <row r="72" customFormat="false" ht="15" hidden="false" customHeight="false" outlineLevel="0" collapsed="false">
      <c r="A72" s="0" t="str">
        <f aca="false">Raw!A72</f>
        <v>SHP0071</v>
      </c>
      <c r="B72" s="0" t="str">
        <f aca="false">Raw!B72</f>
        <v>Outbound</v>
      </c>
      <c r="C72" s="0" t="str">
        <f aca="false">Raw!C72</f>
        <v>Surat</v>
      </c>
      <c r="D72" s="0" t="str">
        <f aca="false">Raw!D72</f>
        <v>West Bengal</v>
      </c>
      <c r="E72" s="0" t="str">
        <f aca="false">IFERROR(INDEX(Location_Map!$B$2:$B$15,MATCH(C72,Location_Map!$A$2:$A$15,0)),"UNMAPPED")</f>
        <v>Gujarat</v>
      </c>
      <c r="F72" s="0" t="str">
        <f aca="false">IFERROR(INDEX(Location_Map!$C$2:$C$15,MATCH(C72,Location_Map!$A$2:$A$15,0)),"UNMAPPED")</f>
        <v>West</v>
      </c>
      <c r="G72" s="0" t="str">
        <f aca="false">IFERROR(INDEX(Location_Map!$B$2:$B$15,MATCH(D72,Location_Map!$A$2:$A$15,0)),"UNMAPPED")</f>
        <v>West Bengal</v>
      </c>
      <c r="H72" s="0" t="str">
        <f aca="false">IFERROR(INDEX(Location_Map!$C$2:$C$15,MATCH(D72,Location_Map!$A$2:$A$15,0)),"UNMAPPED")</f>
        <v>East</v>
      </c>
      <c r="I72" s="0" t="str">
        <f aca="false">Raw!E72</f>
        <v>Semi-Processed Yarn</v>
      </c>
      <c r="J72" s="28" t="n">
        <f aca="false">Raw!F72</f>
        <v>1.1</v>
      </c>
      <c r="K72" s="30" t="n">
        <f aca="false">DATE(LEFT(Raw!G72,4),MID(Raw!G72,6,2),MID(Raw!G72,9,2))</f>
        <v>45950</v>
      </c>
      <c r="L72" s="30" t="n">
        <f aca="false">DATE(LEFT(Raw!H72,4),MID(Raw!H72,6,2),MID(Raw!H72,9,2))</f>
        <v>45952</v>
      </c>
      <c r="M72" s="30" t="n">
        <f aca="false">DATE(LEFT(Raw!I72,4),MID(Raw!I72,6,2),MID(Raw!I72,9,2))</f>
        <v>45956</v>
      </c>
      <c r="N72" s="31" t="n">
        <f aca="false">DATE(LEFT(Raw!J72,4),MID(Raw!J72,6,2),MID(Raw!J72,9,2))+TIME(MID(Raw!J72,12,2),MID(Raw!J72,15,2),MID(Raw!J72,18,2))</f>
        <v>45952.2083333333</v>
      </c>
      <c r="O72" s="31" t="n">
        <f aca="false">DATE(LEFT(Raw!K72,4),MID(Raw!K72,6,2),MID(Raw!K72,9,2))+TIME(MID(Raw!K72,12,2),MID(Raw!K72,15,2),MID(Raw!K72,18,2))</f>
        <v>45959.7</v>
      </c>
      <c r="P72" s="32" t="n">
        <f aca="false">L72-K72</f>
        <v>2</v>
      </c>
      <c r="Q72" s="32" t="n">
        <f aca="false">M72-L72</f>
        <v>4</v>
      </c>
      <c r="R72" s="32" t="n">
        <f aca="false">O72-N72</f>
        <v>7.49166666666667</v>
      </c>
      <c r="S72" s="32" t="n">
        <f aca="false">Raw!L72</f>
        <v>3.7</v>
      </c>
      <c r="T72" s="32" t="n">
        <f aca="false">O72-M72</f>
        <v>3.7</v>
      </c>
      <c r="U72" s="0" t="str">
        <f aca="false">IF(ABS(T72-S72)&lt;0.01,"OK","MISMATCH")</f>
        <v>OK</v>
      </c>
      <c r="V72" s="33" t="n">
        <f aca="false">Raw!M72</f>
        <v>1</v>
      </c>
      <c r="W72" s="0" t="str">
        <f aca="false">IF((S72&gt;0)=(V72=1),"OK","MISMATCH")</f>
        <v>OK</v>
      </c>
      <c r="X72" s="0" t="str">
        <f aca="false">_xlfn.IFS(S72&lt;=0,"Early/On time",S72&lt;=2,"Minor (up to 2 days)",S72&lt;=5,"Moderate (2-5 days)",TRUE(),"Severe (over 5 days)")</f>
        <v>Moderate (2-5 days)</v>
      </c>
      <c r="Y72" s="0" t="str">
        <f aca="false">YEAR(K72)&amp;"-"&amp;TEXT(MONTH(K72),"00")</f>
        <v>2025-10</v>
      </c>
      <c r="Z72" s="0" t="str">
        <f aca="false">C72&amp;" → "&amp;D72</f>
        <v>Surat → West Bengal</v>
      </c>
      <c r="AA72" s="0" t="str">
        <f aca="false">Raw!Q72</f>
        <v>Delhivery</v>
      </c>
      <c r="AB72" s="0" t="str">
        <f aca="false">Raw!R72</f>
        <v>Yes</v>
      </c>
      <c r="AC72" s="0" t="str">
        <f aca="false">Raw!S72</f>
        <v>Damaged</v>
      </c>
      <c r="AD72" s="29" t="n">
        <f aca="false">Raw!N72</f>
        <v>1402.98</v>
      </c>
      <c r="AE72" s="29" t="n">
        <f aca="false">Raw!O72</f>
        <v>4077.97</v>
      </c>
      <c r="AF72" s="29" t="n">
        <f aca="false">Raw!P72</f>
        <v>687.04</v>
      </c>
      <c r="AG72" s="29" t="n">
        <f aca="false">AD72/J72</f>
        <v>1275.43636363636</v>
      </c>
    </row>
    <row r="73" customFormat="false" ht="15" hidden="false" customHeight="false" outlineLevel="0" collapsed="false">
      <c r="A73" s="0" t="str">
        <f aca="false">Raw!A73</f>
        <v>SHP0072</v>
      </c>
      <c r="B73" s="0" t="str">
        <f aca="false">Raw!B73</f>
        <v>Outbound</v>
      </c>
      <c r="C73" s="0" t="str">
        <f aca="false">Raw!C73</f>
        <v>Surat</v>
      </c>
      <c r="D73" s="0" t="str">
        <f aca="false">Raw!D73</f>
        <v>Gujarat</v>
      </c>
      <c r="E73" s="0" t="str">
        <f aca="false">IFERROR(INDEX(Location_Map!$B$2:$B$15,MATCH(C73,Location_Map!$A$2:$A$15,0)),"UNMAPPED")</f>
        <v>Gujarat</v>
      </c>
      <c r="F73" s="0" t="str">
        <f aca="false">IFERROR(INDEX(Location_Map!$C$2:$C$15,MATCH(C73,Location_Map!$A$2:$A$15,0)),"UNMAPPED")</f>
        <v>West</v>
      </c>
      <c r="G73" s="0" t="str">
        <f aca="false">IFERROR(INDEX(Location_Map!$B$2:$B$15,MATCH(D73,Location_Map!$A$2:$A$15,0)),"UNMAPPED")</f>
        <v>Gujarat</v>
      </c>
      <c r="H73" s="0" t="str">
        <f aca="false">IFERROR(INDEX(Location_Map!$C$2:$C$15,MATCH(D73,Location_Map!$A$2:$A$15,0)),"UNMAPPED")</f>
        <v>West</v>
      </c>
      <c r="I73" s="0" t="str">
        <f aca="false">Raw!E73</f>
        <v>Semi-Processed Yarn</v>
      </c>
      <c r="J73" s="28" t="n">
        <f aca="false">Raw!F73</f>
        <v>7.15</v>
      </c>
      <c r="K73" s="30" t="n">
        <f aca="false">DATE(LEFT(Raw!G73,4),MID(Raw!G73,6,2),MID(Raw!G73,9,2))</f>
        <v>45785</v>
      </c>
      <c r="L73" s="30" t="n">
        <f aca="false">DATE(LEFT(Raw!H73,4),MID(Raw!H73,6,2),MID(Raw!H73,9,2))</f>
        <v>45788</v>
      </c>
      <c r="M73" s="30" t="n">
        <f aca="false">DATE(LEFT(Raw!I73,4),MID(Raw!I73,6,2),MID(Raw!I73,9,2))</f>
        <v>45790</v>
      </c>
      <c r="N73" s="31" t="n">
        <f aca="false">DATE(LEFT(Raw!J73,4),MID(Raw!J73,6,2),MID(Raw!J73,9,2))+TIME(MID(Raw!J73,12,2),MID(Raw!J73,15,2),MID(Raw!J73,18,2))</f>
        <v>45788.25</v>
      </c>
      <c r="O73" s="31" t="n">
        <f aca="false">DATE(LEFT(Raw!K73,4),MID(Raw!K73,6,2),MID(Raw!K73,9,2))+TIME(MID(Raw!K73,12,2),MID(Raw!K73,15,2),MID(Raw!K73,18,2))</f>
        <v>45794.5</v>
      </c>
      <c r="P73" s="32" t="n">
        <f aca="false">L73-K73</f>
        <v>3</v>
      </c>
      <c r="Q73" s="32" t="n">
        <f aca="false">M73-L73</f>
        <v>2</v>
      </c>
      <c r="R73" s="32" t="n">
        <f aca="false">O73-N73</f>
        <v>6.25</v>
      </c>
      <c r="S73" s="32" t="n">
        <f aca="false">Raw!L73</f>
        <v>4.5</v>
      </c>
      <c r="T73" s="32" t="n">
        <f aca="false">O73-M73</f>
        <v>4.5</v>
      </c>
      <c r="U73" s="0" t="str">
        <f aca="false">IF(ABS(T73-S73)&lt;0.01,"OK","MISMATCH")</f>
        <v>OK</v>
      </c>
      <c r="V73" s="33" t="n">
        <f aca="false">Raw!M73</f>
        <v>1</v>
      </c>
      <c r="W73" s="0" t="str">
        <f aca="false">IF((S73&gt;0)=(V73=1),"OK","MISMATCH")</f>
        <v>OK</v>
      </c>
      <c r="X73" s="0" t="str">
        <f aca="false">_xlfn.IFS(S73&lt;=0,"Early/On time",S73&lt;=2,"Minor (up to 2 days)",S73&lt;=5,"Moderate (2-5 days)",TRUE(),"Severe (over 5 days)")</f>
        <v>Moderate (2-5 days)</v>
      </c>
      <c r="Y73" s="0" t="str">
        <f aca="false">YEAR(K73)&amp;"-"&amp;TEXT(MONTH(K73),"00")</f>
        <v>2025-05</v>
      </c>
      <c r="Z73" s="0" t="str">
        <f aca="false">C73&amp;" → "&amp;D73</f>
        <v>Surat → Gujarat</v>
      </c>
      <c r="AA73" s="0" t="str">
        <f aca="false">Raw!Q73</f>
        <v>GATI Logistics</v>
      </c>
      <c r="AB73" s="0" t="str">
        <f aca="false">Raw!R73</f>
        <v>No</v>
      </c>
      <c r="AC73" s="0" t="str">
        <f aca="false">Raw!S73</f>
        <v>Normal</v>
      </c>
      <c r="AD73" s="29" t="n">
        <f aca="false">Raw!N73</f>
        <v>3285.01</v>
      </c>
      <c r="AE73" s="29" t="n">
        <f aca="false">Raw!O73</f>
        <v>2154.52</v>
      </c>
      <c r="AF73" s="29" t="n">
        <f aca="false">Raw!P73</f>
        <v>1081.24</v>
      </c>
      <c r="AG73" s="29" t="n">
        <f aca="false">AD73/J73</f>
        <v>459.441958041958</v>
      </c>
    </row>
    <row r="74" customFormat="false" ht="15" hidden="false" customHeight="false" outlineLevel="0" collapsed="false">
      <c r="A74" s="0" t="str">
        <f aca="false">Raw!A74</f>
        <v>SHP0073</v>
      </c>
      <c r="B74" s="0" t="str">
        <f aca="false">Raw!B74</f>
        <v>Inbound</v>
      </c>
      <c r="C74" s="0" t="str">
        <f aca="false">Raw!C74</f>
        <v>Uttar Pradesh</v>
      </c>
      <c r="D74" s="0" t="str">
        <f aca="false">Raw!D74</f>
        <v>Surat</v>
      </c>
      <c r="E74" s="0" t="str">
        <f aca="false">IFERROR(INDEX(Location_Map!$B$2:$B$15,MATCH(C74,Location_Map!$A$2:$A$15,0)),"UNMAPPED")</f>
        <v>Uttar Pradesh</v>
      </c>
      <c r="F74" s="0" t="str">
        <f aca="false">IFERROR(INDEX(Location_Map!$C$2:$C$15,MATCH(C74,Location_Map!$A$2:$A$15,0)),"UNMAPPED")</f>
        <v>North</v>
      </c>
      <c r="G74" s="0" t="str">
        <f aca="false">IFERROR(INDEX(Location_Map!$B$2:$B$15,MATCH(D74,Location_Map!$A$2:$A$15,0)),"UNMAPPED")</f>
        <v>Gujarat</v>
      </c>
      <c r="H74" s="0" t="str">
        <f aca="false">IFERROR(INDEX(Location_Map!$C$2:$C$15,MATCH(D74,Location_Map!$A$2:$A$15,0)),"UNMAPPED")</f>
        <v>West</v>
      </c>
      <c r="I74" s="0" t="str">
        <f aca="false">Raw!E74</f>
        <v>Finished Yarn</v>
      </c>
      <c r="J74" s="28" t="n">
        <f aca="false">Raw!F74</f>
        <v>3.93</v>
      </c>
      <c r="K74" s="30" t="n">
        <f aca="false">DATE(LEFT(Raw!G74,4),MID(Raw!G74,6,2),MID(Raw!G74,9,2))</f>
        <v>45802</v>
      </c>
      <c r="L74" s="30" t="n">
        <f aca="false">DATE(LEFT(Raw!H74,4),MID(Raw!H74,6,2),MID(Raw!H74,9,2))</f>
        <v>45805</v>
      </c>
      <c r="M74" s="30" t="n">
        <f aca="false">DATE(LEFT(Raw!I74,4),MID(Raw!I74,6,2),MID(Raw!I74,9,2))</f>
        <v>45807</v>
      </c>
      <c r="N74" s="31" t="n">
        <f aca="false">DATE(LEFT(Raw!J74,4),MID(Raw!J74,6,2),MID(Raw!J74,9,2))+TIME(MID(Raw!J74,12,2),MID(Raw!J74,15,2),MID(Raw!J74,18,2))</f>
        <v>45804.9583333333</v>
      </c>
      <c r="O74" s="31" t="n">
        <f aca="false">DATE(LEFT(Raw!K74,4),MID(Raw!K74,6,2),MID(Raw!K74,9,2))+TIME(MID(Raw!K74,12,2),MID(Raw!K74,15,2),MID(Raw!K74,18,2))</f>
        <v>45806.8</v>
      </c>
      <c r="P74" s="32" t="n">
        <f aca="false">L74-K74</f>
        <v>3</v>
      </c>
      <c r="Q74" s="32" t="n">
        <f aca="false">M74-L74</f>
        <v>2</v>
      </c>
      <c r="R74" s="32" t="n">
        <f aca="false">O74-N74</f>
        <v>1.84166666666667</v>
      </c>
      <c r="S74" s="32" t="n">
        <f aca="false">Raw!L74</f>
        <v>-0.2</v>
      </c>
      <c r="T74" s="32" t="n">
        <f aca="false">O74-M74</f>
        <v>-0.2</v>
      </c>
      <c r="U74" s="0" t="str">
        <f aca="false">IF(ABS(T74-S74)&lt;0.01,"OK","MISMATCH")</f>
        <v>OK</v>
      </c>
      <c r="V74" s="33" t="n">
        <f aca="false">Raw!M74</f>
        <v>0</v>
      </c>
      <c r="W74" s="0" t="str">
        <f aca="false">IF((S74&gt;0)=(V74=1),"OK","MISMATCH")</f>
        <v>OK</v>
      </c>
      <c r="X74" s="0" t="str">
        <f aca="false">_xlfn.IFS(S74&lt;=0,"Early/On time",S74&lt;=2,"Minor (up to 2 days)",S74&lt;=5,"Moderate (2-5 days)",TRUE(),"Severe (over 5 days)")</f>
        <v>Early/On time</v>
      </c>
      <c r="Y74" s="0" t="str">
        <f aca="false">YEAR(K74)&amp;"-"&amp;TEXT(MONTH(K74),"00")</f>
        <v>2025-05</v>
      </c>
      <c r="Z74" s="0" t="str">
        <f aca="false">C74&amp;" → "&amp;D74</f>
        <v>Uttar Pradesh → Surat</v>
      </c>
      <c r="AA74" s="0" t="str">
        <f aca="false">Raw!Q74</f>
        <v>VRL Cargo</v>
      </c>
      <c r="AB74" s="0" t="str">
        <f aca="false">Raw!R74</f>
        <v>No</v>
      </c>
      <c r="AC74" s="0" t="str">
        <f aca="false">Raw!S74</f>
        <v>Damaged</v>
      </c>
      <c r="AD74" s="29" t="n">
        <f aca="false">Raw!N74</f>
        <v>2778</v>
      </c>
      <c r="AE74" s="29" t="n">
        <f aca="false">Raw!O74</f>
        <v>2289.42</v>
      </c>
      <c r="AF74" s="29" t="n">
        <f aca="false">Raw!P74</f>
        <v>1309.87</v>
      </c>
      <c r="AG74" s="29" t="n">
        <f aca="false">AD74/J74</f>
        <v>706.870229007634</v>
      </c>
    </row>
    <row r="75" customFormat="false" ht="15" hidden="false" customHeight="false" outlineLevel="0" collapsed="false">
      <c r="A75" s="0" t="str">
        <f aca="false">Raw!A75</f>
        <v>SHP0074</v>
      </c>
      <c r="B75" s="0" t="str">
        <f aca="false">Raw!B75</f>
        <v>Inbound</v>
      </c>
      <c r="C75" s="0" t="str">
        <f aca="false">Raw!C75</f>
        <v>Punjab</v>
      </c>
      <c r="D75" s="0" t="str">
        <f aca="false">Raw!D75</f>
        <v>Surat</v>
      </c>
      <c r="E75" s="0" t="str">
        <f aca="false">IFERROR(INDEX(Location_Map!$B$2:$B$15,MATCH(C75,Location_Map!$A$2:$A$15,0)),"UNMAPPED")</f>
        <v>Punjab</v>
      </c>
      <c r="F75" s="0" t="str">
        <f aca="false">IFERROR(INDEX(Location_Map!$C$2:$C$15,MATCH(C75,Location_Map!$A$2:$A$15,0)),"UNMAPPED")</f>
        <v>North</v>
      </c>
      <c r="G75" s="0" t="str">
        <f aca="false">IFERROR(INDEX(Location_Map!$B$2:$B$15,MATCH(D75,Location_Map!$A$2:$A$15,0)),"UNMAPPED")</f>
        <v>Gujarat</v>
      </c>
      <c r="H75" s="0" t="str">
        <f aca="false">IFERROR(INDEX(Location_Map!$C$2:$C$15,MATCH(D75,Location_Map!$A$2:$A$15,0)),"UNMAPPED")</f>
        <v>West</v>
      </c>
      <c r="I75" s="0" t="str">
        <f aca="false">Raw!E75</f>
        <v>Finished Yarn</v>
      </c>
      <c r="J75" s="28" t="n">
        <f aca="false">Raw!F75</f>
        <v>5.84</v>
      </c>
      <c r="K75" s="30" t="n">
        <f aca="false">DATE(LEFT(Raw!G75,4),MID(Raw!G75,6,2),MID(Raw!G75,9,2))</f>
        <v>45862</v>
      </c>
      <c r="L75" s="30" t="n">
        <f aca="false">DATE(LEFT(Raw!H75,4),MID(Raw!H75,6,2),MID(Raw!H75,9,2))</f>
        <v>45866</v>
      </c>
      <c r="M75" s="30" t="n">
        <f aca="false">DATE(LEFT(Raw!I75,4),MID(Raw!I75,6,2),MID(Raw!I75,9,2))</f>
        <v>45870</v>
      </c>
      <c r="N75" s="31" t="n">
        <f aca="false">DATE(LEFT(Raw!J75,4),MID(Raw!J75,6,2),MID(Raw!J75,9,2))+TIME(MID(Raw!J75,12,2),MID(Raw!J75,15,2),MID(Raw!J75,18,2))</f>
        <v>45866.375</v>
      </c>
      <c r="O75" s="31" t="n">
        <f aca="false">DATE(LEFT(Raw!K75,4),MID(Raw!K75,6,2),MID(Raw!K75,9,2))+TIME(MID(Raw!K75,12,2),MID(Raw!K75,15,2),MID(Raw!K75,18,2))</f>
        <v>45869</v>
      </c>
      <c r="P75" s="32" t="n">
        <f aca="false">L75-K75</f>
        <v>4</v>
      </c>
      <c r="Q75" s="32" t="n">
        <f aca="false">M75-L75</f>
        <v>4</v>
      </c>
      <c r="R75" s="32" t="n">
        <f aca="false">O75-N75</f>
        <v>2.625</v>
      </c>
      <c r="S75" s="32" t="n">
        <f aca="false">Raw!L75</f>
        <v>-1</v>
      </c>
      <c r="T75" s="32" t="n">
        <f aca="false">O75-M75</f>
        <v>-1</v>
      </c>
      <c r="U75" s="0" t="str">
        <f aca="false">IF(ABS(T75-S75)&lt;0.01,"OK","MISMATCH")</f>
        <v>OK</v>
      </c>
      <c r="V75" s="33" t="n">
        <f aca="false">Raw!M75</f>
        <v>0</v>
      </c>
      <c r="W75" s="0" t="str">
        <f aca="false">IF((S75&gt;0)=(V75=1),"OK","MISMATCH")</f>
        <v>OK</v>
      </c>
      <c r="X75" s="0" t="str">
        <f aca="false">_xlfn.IFS(S75&lt;=0,"Early/On time",S75&lt;=2,"Minor (up to 2 days)",S75&lt;=5,"Moderate (2-5 days)",TRUE(),"Severe (over 5 days)")</f>
        <v>Early/On time</v>
      </c>
      <c r="Y75" s="0" t="str">
        <f aca="false">YEAR(K75)&amp;"-"&amp;TEXT(MONTH(K75),"00")</f>
        <v>2025-07</v>
      </c>
      <c r="Z75" s="0" t="str">
        <f aca="false">C75&amp;" → "&amp;D75</f>
        <v>Punjab → Surat</v>
      </c>
      <c r="AA75" s="0" t="str">
        <f aca="false">Raw!Q75</f>
        <v>BlueDart</v>
      </c>
      <c r="AB75" s="0" t="str">
        <f aca="false">Raw!R75</f>
        <v>Yes</v>
      </c>
      <c r="AC75" s="0" t="str">
        <f aca="false">Raw!S75</f>
        <v>Held at warehouse</v>
      </c>
      <c r="AD75" s="29" t="n">
        <f aca="false">Raw!N75</f>
        <v>3258.56</v>
      </c>
      <c r="AE75" s="29" t="n">
        <f aca="false">Raw!O75</f>
        <v>2395.47</v>
      </c>
      <c r="AF75" s="29" t="n">
        <f aca="false">Raw!P75</f>
        <v>1429.53</v>
      </c>
      <c r="AG75" s="29" t="n">
        <f aca="false">AD75/J75</f>
        <v>557.972602739726</v>
      </c>
    </row>
    <row r="76" customFormat="false" ht="15" hidden="false" customHeight="false" outlineLevel="0" collapsed="false">
      <c r="A76" s="0" t="str">
        <f aca="false">Raw!A76</f>
        <v>SHP0075</v>
      </c>
      <c r="B76" s="0" t="str">
        <f aca="false">Raw!B76</f>
        <v>Inbound</v>
      </c>
      <c r="C76" s="0" t="str">
        <f aca="false">Raw!C76</f>
        <v>Rajasthan</v>
      </c>
      <c r="D76" s="0" t="str">
        <f aca="false">Raw!D76</f>
        <v>Surat</v>
      </c>
      <c r="E76" s="0" t="str">
        <f aca="false">IFERROR(INDEX(Location_Map!$B$2:$B$15,MATCH(C76,Location_Map!$A$2:$A$15,0)),"UNMAPPED")</f>
        <v>Rajasthan</v>
      </c>
      <c r="F76" s="0" t="str">
        <f aca="false">IFERROR(INDEX(Location_Map!$C$2:$C$15,MATCH(C76,Location_Map!$A$2:$A$15,0)),"UNMAPPED")</f>
        <v>North</v>
      </c>
      <c r="G76" s="0" t="str">
        <f aca="false">IFERROR(INDEX(Location_Map!$B$2:$B$15,MATCH(D76,Location_Map!$A$2:$A$15,0)),"UNMAPPED")</f>
        <v>Gujarat</v>
      </c>
      <c r="H76" s="0" t="str">
        <f aca="false">IFERROR(INDEX(Location_Map!$C$2:$C$15,MATCH(D76,Location_Map!$A$2:$A$15,0)),"UNMAPPED")</f>
        <v>West</v>
      </c>
      <c r="I76" s="0" t="str">
        <f aca="false">Raw!E76</f>
        <v>Semi-Processed Yarn</v>
      </c>
      <c r="J76" s="28" t="n">
        <f aca="false">Raw!F76</f>
        <v>16.78</v>
      </c>
      <c r="K76" s="30" t="n">
        <f aca="false">DATE(LEFT(Raw!G76,4),MID(Raw!G76,6,2),MID(Raw!G76,9,2))</f>
        <v>45947</v>
      </c>
      <c r="L76" s="30" t="n">
        <f aca="false">DATE(LEFT(Raw!H76,4),MID(Raw!H76,6,2),MID(Raw!H76,9,2))</f>
        <v>45948</v>
      </c>
      <c r="M76" s="30" t="n">
        <f aca="false">DATE(LEFT(Raw!I76,4),MID(Raw!I76,6,2),MID(Raw!I76,9,2))</f>
        <v>45952</v>
      </c>
      <c r="N76" s="31" t="n">
        <f aca="false">DATE(LEFT(Raw!J76,4),MID(Raw!J76,6,2),MID(Raw!J76,9,2))+TIME(MID(Raw!J76,12,2),MID(Raw!J76,15,2),MID(Raw!J76,18,2))</f>
        <v>45948</v>
      </c>
      <c r="O76" s="31" t="n">
        <f aca="false">DATE(LEFT(Raw!K76,4),MID(Raw!K76,6,2),MID(Raw!K76,9,2))+TIME(MID(Raw!K76,12,2),MID(Raw!K76,15,2),MID(Raw!K76,18,2))</f>
        <v>45954.3</v>
      </c>
      <c r="P76" s="32" t="n">
        <f aca="false">L76-K76</f>
        <v>1</v>
      </c>
      <c r="Q76" s="32" t="n">
        <f aca="false">M76-L76</f>
        <v>4</v>
      </c>
      <c r="R76" s="32" t="n">
        <f aca="false">O76-N76</f>
        <v>6.3</v>
      </c>
      <c r="S76" s="32" t="n">
        <f aca="false">Raw!L76</f>
        <v>2.3</v>
      </c>
      <c r="T76" s="32" t="n">
        <f aca="false">O76-M76</f>
        <v>2.3</v>
      </c>
      <c r="U76" s="0" t="str">
        <f aca="false">IF(ABS(T76-S76)&lt;0.01,"OK","MISMATCH")</f>
        <v>OK</v>
      </c>
      <c r="V76" s="33" t="n">
        <f aca="false">Raw!M76</f>
        <v>1</v>
      </c>
      <c r="W76" s="0" t="str">
        <f aca="false">IF((S76&gt;0)=(V76=1),"OK","MISMATCH")</f>
        <v>OK</v>
      </c>
      <c r="X76" s="0" t="str">
        <f aca="false">_xlfn.IFS(S76&lt;=0,"Early/On time",S76&lt;=2,"Minor (up to 2 days)",S76&lt;=5,"Moderate (2-5 days)",TRUE(),"Severe (over 5 days)")</f>
        <v>Moderate (2-5 days)</v>
      </c>
      <c r="Y76" s="0" t="str">
        <f aca="false">YEAR(K76)&amp;"-"&amp;TEXT(MONTH(K76),"00")</f>
        <v>2025-10</v>
      </c>
      <c r="Z76" s="0" t="str">
        <f aca="false">C76&amp;" → "&amp;D76</f>
        <v>Rajasthan → Surat</v>
      </c>
      <c r="AA76" s="0" t="str">
        <f aca="false">Raw!Q76</f>
        <v>TCI Express</v>
      </c>
      <c r="AB76" s="0" t="str">
        <f aca="false">Raw!R76</f>
        <v>No</v>
      </c>
      <c r="AC76" s="0" t="str">
        <f aca="false">Raw!S76</f>
        <v>Returned</v>
      </c>
      <c r="AD76" s="29" t="n">
        <f aca="false">Raw!N76</f>
        <v>6193.93</v>
      </c>
      <c r="AE76" s="29" t="n">
        <f aca="false">Raw!O76</f>
        <v>4311.76</v>
      </c>
      <c r="AF76" s="29" t="n">
        <f aca="false">Raw!P76</f>
        <v>1250.5</v>
      </c>
      <c r="AG76" s="29" t="n">
        <f aca="false">AD76/J76</f>
        <v>369.125744934446</v>
      </c>
    </row>
    <row r="77" customFormat="false" ht="15" hidden="false" customHeight="false" outlineLevel="0" collapsed="false">
      <c r="A77" s="0" t="str">
        <f aca="false">Raw!A77</f>
        <v>SHP0076</v>
      </c>
      <c r="B77" s="0" t="str">
        <f aca="false">Raw!B77</f>
        <v>Inbound</v>
      </c>
      <c r="C77" s="0" t="str">
        <f aca="false">Raw!C77</f>
        <v>Rajasthan</v>
      </c>
      <c r="D77" s="0" t="str">
        <f aca="false">Raw!D77</f>
        <v>Surat</v>
      </c>
      <c r="E77" s="0" t="str">
        <f aca="false">IFERROR(INDEX(Location_Map!$B$2:$B$15,MATCH(C77,Location_Map!$A$2:$A$15,0)),"UNMAPPED")</f>
        <v>Rajasthan</v>
      </c>
      <c r="F77" s="0" t="str">
        <f aca="false">IFERROR(INDEX(Location_Map!$C$2:$C$15,MATCH(C77,Location_Map!$A$2:$A$15,0)),"UNMAPPED")</f>
        <v>North</v>
      </c>
      <c r="G77" s="0" t="str">
        <f aca="false">IFERROR(INDEX(Location_Map!$B$2:$B$15,MATCH(D77,Location_Map!$A$2:$A$15,0)),"UNMAPPED")</f>
        <v>Gujarat</v>
      </c>
      <c r="H77" s="0" t="str">
        <f aca="false">IFERROR(INDEX(Location_Map!$C$2:$C$15,MATCH(D77,Location_Map!$A$2:$A$15,0)),"UNMAPPED")</f>
        <v>West</v>
      </c>
      <c r="I77" s="0" t="str">
        <f aca="false">Raw!E77</f>
        <v>Finished Yarn</v>
      </c>
      <c r="J77" s="28" t="n">
        <f aca="false">Raw!F77</f>
        <v>16.19</v>
      </c>
      <c r="K77" s="30" t="n">
        <f aca="false">DATE(LEFT(Raw!G77,4),MID(Raw!G77,6,2),MID(Raw!G77,9,2))</f>
        <v>45905</v>
      </c>
      <c r="L77" s="30" t="n">
        <f aca="false">DATE(LEFT(Raw!H77,4),MID(Raw!H77,6,2),MID(Raw!H77,9,2))</f>
        <v>45906</v>
      </c>
      <c r="M77" s="30" t="n">
        <f aca="false">DATE(LEFT(Raw!I77,4),MID(Raw!I77,6,2),MID(Raw!I77,9,2))</f>
        <v>45910</v>
      </c>
      <c r="N77" s="31" t="n">
        <f aca="false">DATE(LEFT(Raw!J77,4),MID(Raw!J77,6,2),MID(Raw!J77,9,2))+TIME(MID(Raw!J77,12,2),MID(Raw!J77,15,2),MID(Raw!J77,18,2))</f>
        <v>45906.2083333333</v>
      </c>
      <c r="O77" s="31" t="n">
        <f aca="false">DATE(LEFT(Raw!K77,4),MID(Raw!K77,6,2),MID(Raw!K77,9,2))+TIME(MID(Raw!K77,12,2),MID(Raw!K77,15,2),MID(Raw!K77,18,2))</f>
        <v>45911.5</v>
      </c>
      <c r="P77" s="32" t="n">
        <f aca="false">L77-K77</f>
        <v>1</v>
      </c>
      <c r="Q77" s="32" t="n">
        <f aca="false">M77-L77</f>
        <v>4</v>
      </c>
      <c r="R77" s="32" t="n">
        <f aca="false">O77-N77</f>
        <v>5.29166666666667</v>
      </c>
      <c r="S77" s="32" t="n">
        <f aca="false">Raw!L77</f>
        <v>1.5</v>
      </c>
      <c r="T77" s="32" t="n">
        <f aca="false">O77-M77</f>
        <v>1.5</v>
      </c>
      <c r="U77" s="0" t="str">
        <f aca="false">IF(ABS(T77-S77)&lt;0.01,"OK","MISMATCH")</f>
        <v>OK</v>
      </c>
      <c r="V77" s="33" t="n">
        <f aca="false">Raw!M77</f>
        <v>1</v>
      </c>
      <c r="W77" s="0" t="str">
        <f aca="false">IF((S77&gt;0)=(V77=1),"OK","MISMATCH")</f>
        <v>OK</v>
      </c>
      <c r="X77" s="0" t="str">
        <f aca="false">_xlfn.IFS(S77&lt;=0,"Early/On time",S77&lt;=2,"Minor (up to 2 days)",S77&lt;=5,"Moderate (2-5 days)",TRUE(),"Severe (over 5 days)")</f>
        <v>Minor (up to 2 days)</v>
      </c>
      <c r="Y77" s="0" t="str">
        <f aca="false">YEAR(K77)&amp;"-"&amp;TEXT(MONTH(K77),"00")</f>
        <v>2025-09</v>
      </c>
      <c r="Z77" s="0" t="str">
        <f aca="false">C77&amp;" → "&amp;D77</f>
        <v>Rajasthan → Surat</v>
      </c>
      <c r="AA77" s="0" t="str">
        <f aca="false">Raw!Q77</f>
        <v>TCI Express</v>
      </c>
      <c r="AB77" s="0" t="str">
        <f aca="false">Raw!R77</f>
        <v>Yes</v>
      </c>
      <c r="AC77" s="0" t="str">
        <f aca="false">Raw!S77</f>
        <v>Returned</v>
      </c>
      <c r="AD77" s="29" t="n">
        <f aca="false">Raw!N77</f>
        <v>10502.4</v>
      </c>
      <c r="AE77" s="29" t="n">
        <f aca="false">Raw!O77</f>
        <v>2264.79</v>
      </c>
      <c r="AF77" s="29" t="n">
        <f aca="false">Raw!P77</f>
        <v>1088.31</v>
      </c>
      <c r="AG77" s="29" t="n">
        <f aca="false">AD77/J77</f>
        <v>648.696726374305</v>
      </c>
    </row>
    <row r="78" customFormat="false" ht="15" hidden="false" customHeight="false" outlineLevel="0" collapsed="false">
      <c r="A78" s="0" t="str">
        <f aca="false">Raw!A78</f>
        <v>SHP0077</v>
      </c>
      <c r="B78" s="0" t="str">
        <f aca="false">Raw!B78</f>
        <v>Inbound</v>
      </c>
      <c r="C78" s="0" t="str">
        <f aca="false">Raw!C78</f>
        <v>Rajasthan</v>
      </c>
      <c r="D78" s="0" t="str">
        <f aca="false">Raw!D78</f>
        <v>Surat</v>
      </c>
      <c r="E78" s="0" t="str">
        <f aca="false">IFERROR(INDEX(Location_Map!$B$2:$B$15,MATCH(C78,Location_Map!$A$2:$A$15,0)),"UNMAPPED")</f>
        <v>Rajasthan</v>
      </c>
      <c r="F78" s="0" t="str">
        <f aca="false">IFERROR(INDEX(Location_Map!$C$2:$C$15,MATCH(C78,Location_Map!$A$2:$A$15,0)),"UNMAPPED")</f>
        <v>North</v>
      </c>
      <c r="G78" s="0" t="str">
        <f aca="false">IFERROR(INDEX(Location_Map!$B$2:$B$15,MATCH(D78,Location_Map!$A$2:$A$15,0)),"UNMAPPED")</f>
        <v>Gujarat</v>
      </c>
      <c r="H78" s="0" t="str">
        <f aca="false">IFERROR(INDEX(Location_Map!$C$2:$C$15,MATCH(D78,Location_Map!$A$2:$A$15,0)),"UNMAPPED")</f>
        <v>West</v>
      </c>
      <c r="I78" s="0" t="str">
        <f aca="false">Raw!E78</f>
        <v>Finished Yarn</v>
      </c>
      <c r="J78" s="28" t="n">
        <f aca="false">Raw!F78</f>
        <v>13.98</v>
      </c>
      <c r="K78" s="30" t="n">
        <f aca="false">DATE(LEFT(Raw!G78,4),MID(Raw!G78,6,2),MID(Raw!G78,9,2))</f>
        <v>45793</v>
      </c>
      <c r="L78" s="30" t="n">
        <f aca="false">DATE(LEFT(Raw!H78,4),MID(Raw!H78,6,2),MID(Raw!H78,9,2))</f>
        <v>45796</v>
      </c>
      <c r="M78" s="30" t="n">
        <f aca="false">DATE(LEFT(Raw!I78,4),MID(Raw!I78,6,2),MID(Raw!I78,9,2))</f>
        <v>45800</v>
      </c>
      <c r="N78" s="31" t="n">
        <f aca="false">DATE(LEFT(Raw!J78,4),MID(Raw!J78,6,2),MID(Raw!J78,9,2))+TIME(MID(Raw!J78,12,2),MID(Raw!J78,15,2),MID(Raw!J78,18,2))</f>
        <v>45796.375</v>
      </c>
      <c r="O78" s="31" t="n">
        <f aca="false">DATE(LEFT(Raw!K78,4),MID(Raw!K78,6,2),MID(Raw!K78,9,2))+TIME(MID(Raw!K78,12,2),MID(Raw!K78,15,2),MID(Raw!K78,18,2))</f>
        <v>45804.1</v>
      </c>
      <c r="P78" s="32" t="n">
        <f aca="false">L78-K78</f>
        <v>3</v>
      </c>
      <c r="Q78" s="32" t="n">
        <f aca="false">M78-L78</f>
        <v>4</v>
      </c>
      <c r="R78" s="32" t="n">
        <f aca="false">O78-N78</f>
        <v>7.725</v>
      </c>
      <c r="S78" s="32" t="n">
        <f aca="false">Raw!L78</f>
        <v>4.1</v>
      </c>
      <c r="T78" s="32" t="n">
        <f aca="false">O78-M78</f>
        <v>4.1</v>
      </c>
      <c r="U78" s="0" t="str">
        <f aca="false">IF(ABS(T78-S78)&lt;0.01,"OK","MISMATCH")</f>
        <v>OK</v>
      </c>
      <c r="V78" s="33" t="n">
        <f aca="false">Raw!M78</f>
        <v>1</v>
      </c>
      <c r="W78" s="0" t="str">
        <f aca="false">IF((S78&gt;0)=(V78=1),"OK","MISMATCH")</f>
        <v>OK</v>
      </c>
      <c r="X78" s="0" t="str">
        <f aca="false">_xlfn.IFS(S78&lt;=0,"Early/On time",S78&lt;=2,"Minor (up to 2 days)",S78&lt;=5,"Moderate (2-5 days)",TRUE(),"Severe (over 5 days)")</f>
        <v>Moderate (2-5 days)</v>
      </c>
      <c r="Y78" s="0" t="str">
        <f aca="false">YEAR(K78)&amp;"-"&amp;TEXT(MONTH(K78),"00")</f>
        <v>2025-05</v>
      </c>
      <c r="Z78" s="0" t="str">
        <f aca="false">C78&amp;" → "&amp;D78</f>
        <v>Rajasthan → Surat</v>
      </c>
      <c r="AA78" s="0" t="str">
        <f aca="false">Raw!Q78</f>
        <v>GATI Logistics</v>
      </c>
      <c r="AB78" s="0" t="str">
        <f aca="false">Raw!R78</f>
        <v>No</v>
      </c>
      <c r="AC78" s="0" t="str">
        <f aca="false">Raw!S78</f>
        <v>Held at warehouse</v>
      </c>
      <c r="AD78" s="29" t="n">
        <f aca="false">Raw!N78</f>
        <v>5683.28</v>
      </c>
      <c r="AE78" s="29" t="n">
        <f aca="false">Raw!O78</f>
        <v>4598.3</v>
      </c>
      <c r="AF78" s="29" t="n">
        <f aca="false">Raw!P78</f>
        <v>883.89</v>
      </c>
      <c r="AG78" s="29" t="n">
        <f aca="false">AD78/J78</f>
        <v>406.529327610873</v>
      </c>
    </row>
    <row r="79" customFormat="false" ht="15" hidden="false" customHeight="false" outlineLevel="0" collapsed="false">
      <c r="A79" s="0" t="str">
        <f aca="false">Raw!A79</f>
        <v>SHP0078</v>
      </c>
      <c r="B79" s="0" t="str">
        <f aca="false">Raw!B79</f>
        <v>Inbound</v>
      </c>
      <c r="C79" s="0" t="str">
        <f aca="false">Raw!C79</f>
        <v>Uttar Pradesh</v>
      </c>
      <c r="D79" s="0" t="str">
        <f aca="false">Raw!D79</f>
        <v>Surat</v>
      </c>
      <c r="E79" s="0" t="str">
        <f aca="false">IFERROR(INDEX(Location_Map!$B$2:$B$15,MATCH(C79,Location_Map!$A$2:$A$15,0)),"UNMAPPED")</f>
        <v>Uttar Pradesh</v>
      </c>
      <c r="F79" s="0" t="str">
        <f aca="false">IFERROR(INDEX(Location_Map!$C$2:$C$15,MATCH(C79,Location_Map!$A$2:$A$15,0)),"UNMAPPED")</f>
        <v>North</v>
      </c>
      <c r="G79" s="0" t="str">
        <f aca="false">IFERROR(INDEX(Location_Map!$B$2:$B$15,MATCH(D79,Location_Map!$A$2:$A$15,0)),"UNMAPPED")</f>
        <v>Gujarat</v>
      </c>
      <c r="H79" s="0" t="str">
        <f aca="false">IFERROR(INDEX(Location_Map!$C$2:$C$15,MATCH(D79,Location_Map!$A$2:$A$15,0)),"UNMAPPED")</f>
        <v>West</v>
      </c>
      <c r="I79" s="0" t="str">
        <f aca="false">Raw!E79</f>
        <v>Finished Yarn</v>
      </c>
      <c r="J79" s="28" t="n">
        <f aca="false">Raw!F79</f>
        <v>11.33</v>
      </c>
      <c r="K79" s="30" t="n">
        <f aca="false">DATE(LEFT(Raw!G79,4),MID(Raw!G79,6,2),MID(Raw!G79,9,2))</f>
        <v>45929</v>
      </c>
      <c r="L79" s="30" t="n">
        <f aca="false">DATE(LEFT(Raw!H79,4),MID(Raw!H79,6,2),MID(Raw!H79,9,2))</f>
        <v>45932</v>
      </c>
      <c r="M79" s="30" t="n">
        <f aca="false">DATE(LEFT(Raw!I79,4),MID(Raw!I79,6,2),MID(Raw!I79,9,2))</f>
        <v>45936</v>
      </c>
      <c r="N79" s="31" t="n">
        <f aca="false">DATE(LEFT(Raw!J79,4),MID(Raw!J79,6,2),MID(Raw!J79,9,2))+TIME(MID(Raw!J79,12,2),MID(Raw!J79,15,2),MID(Raw!J79,18,2))</f>
        <v>45932</v>
      </c>
      <c r="O79" s="31" t="n">
        <f aca="false">DATE(LEFT(Raw!K79,4),MID(Raw!K79,6,2),MID(Raw!K79,9,2))+TIME(MID(Raw!K79,12,2),MID(Raw!K79,15,2),MID(Raw!K79,18,2))</f>
        <v>45944.6</v>
      </c>
      <c r="P79" s="32" t="n">
        <f aca="false">L79-K79</f>
        <v>3</v>
      </c>
      <c r="Q79" s="32" t="n">
        <f aca="false">M79-L79</f>
        <v>4</v>
      </c>
      <c r="R79" s="32" t="n">
        <f aca="false">O79-N79</f>
        <v>12.6</v>
      </c>
      <c r="S79" s="32" t="n">
        <f aca="false">Raw!L79</f>
        <v>8.6</v>
      </c>
      <c r="T79" s="32" t="n">
        <f aca="false">O79-M79</f>
        <v>8.6</v>
      </c>
      <c r="U79" s="0" t="str">
        <f aca="false">IF(ABS(T79-S79)&lt;0.01,"OK","MISMATCH")</f>
        <v>OK</v>
      </c>
      <c r="V79" s="33" t="n">
        <f aca="false">Raw!M79</f>
        <v>1</v>
      </c>
      <c r="W79" s="0" t="str">
        <f aca="false">IF((S79&gt;0)=(V79=1),"OK","MISMATCH")</f>
        <v>OK</v>
      </c>
      <c r="X79" s="0" t="str">
        <f aca="false">_xlfn.IFS(S79&lt;=0,"Early/On time",S79&lt;=2,"Minor (up to 2 days)",S79&lt;=5,"Moderate (2-5 days)",TRUE(),"Severe (over 5 days)")</f>
        <v>Severe (over 5 days)</v>
      </c>
      <c r="Y79" s="0" t="str">
        <f aca="false">YEAR(K79)&amp;"-"&amp;TEXT(MONTH(K79),"00")</f>
        <v>2025-09</v>
      </c>
      <c r="Z79" s="0" t="str">
        <f aca="false">C79&amp;" → "&amp;D79</f>
        <v>Uttar Pradesh → Surat</v>
      </c>
      <c r="AA79" s="0" t="str">
        <f aca="false">Raw!Q79</f>
        <v>BlueDart</v>
      </c>
      <c r="AB79" s="0" t="str">
        <f aca="false">Raw!R79</f>
        <v>No</v>
      </c>
      <c r="AC79" s="0" t="str">
        <f aca="false">Raw!S79</f>
        <v>Damaged</v>
      </c>
      <c r="AD79" s="29" t="n">
        <f aca="false">Raw!N79</f>
        <v>8007.1</v>
      </c>
      <c r="AE79" s="29" t="n">
        <f aca="false">Raw!O79</f>
        <v>2339.62</v>
      </c>
      <c r="AF79" s="29" t="n">
        <f aca="false">Raw!P79</f>
        <v>639.27</v>
      </c>
      <c r="AG79" s="29" t="n">
        <f aca="false">AD79/J79</f>
        <v>706.716681376876</v>
      </c>
    </row>
    <row r="80" customFormat="false" ht="15" hidden="false" customHeight="false" outlineLevel="0" collapsed="false">
      <c r="A80" s="0" t="str">
        <f aca="false">Raw!A80</f>
        <v>SHP0079</v>
      </c>
      <c r="B80" s="0" t="str">
        <f aca="false">Raw!B80</f>
        <v>Inbound</v>
      </c>
      <c r="C80" s="0" t="str">
        <f aca="false">Raw!C80</f>
        <v>Chennai</v>
      </c>
      <c r="D80" s="0" t="str">
        <f aca="false">Raw!D80</f>
        <v>Surat</v>
      </c>
      <c r="E80" s="0" t="str">
        <f aca="false">IFERROR(INDEX(Location_Map!$B$2:$B$15,MATCH(C80,Location_Map!$A$2:$A$15,0)),"UNMAPPED")</f>
        <v>Tamil Nadu</v>
      </c>
      <c r="F80" s="0" t="str">
        <f aca="false">IFERROR(INDEX(Location_Map!$C$2:$C$15,MATCH(C80,Location_Map!$A$2:$A$15,0)),"UNMAPPED")</f>
        <v>South</v>
      </c>
      <c r="G80" s="0" t="str">
        <f aca="false">IFERROR(INDEX(Location_Map!$B$2:$B$15,MATCH(D80,Location_Map!$A$2:$A$15,0)),"UNMAPPED")</f>
        <v>Gujarat</v>
      </c>
      <c r="H80" s="0" t="str">
        <f aca="false">IFERROR(INDEX(Location_Map!$C$2:$C$15,MATCH(D80,Location_Map!$A$2:$A$15,0)),"UNMAPPED")</f>
        <v>West</v>
      </c>
      <c r="I80" s="0" t="str">
        <f aca="false">Raw!E80</f>
        <v>Finished Yarn</v>
      </c>
      <c r="J80" s="28" t="n">
        <f aca="false">Raw!F80</f>
        <v>16.09</v>
      </c>
      <c r="K80" s="30" t="n">
        <f aca="false">DATE(LEFT(Raw!G80,4),MID(Raw!G80,6,2),MID(Raw!G80,9,2))</f>
        <v>45844</v>
      </c>
      <c r="L80" s="30" t="n">
        <f aca="false">DATE(LEFT(Raw!H80,4),MID(Raw!H80,6,2),MID(Raw!H80,9,2))</f>
        <v>45847</v>
      </c>
      <c r="M80" s="30" t="n">
        <f aca="false">DATE(LEFT(Raw!I80,4),MID(Raw!I80,6,2),MID(Raw!I80,9,2))</f>
        <v>45851</v>
      </c>
      <c r="N80" s="31" t="n">
        <f aca="false">DATE(LEFT(Raw!J80,4),MID(Raw!J80,6,2),MID(Raw!J80,9,2))+TIME(MID(Raw!J80,12,2),MID(Raw!J80,15,2),MID(Raw!J80,18,2))</f>
        <v>45846.7916666667</v>
      </c>
      <c r="O80" s="31" t="n">
        <f aca="false">DATE(LEFT(Raw!K80,4),MID(Raw!K80,6,2),MID(Raw!K80,9,2))+TIME(MID(Raw!K80,12,2),MID(Raw!K80,15,2),MID(Raw!K80,18,2))</f>
        <v>45851.5</v>
      </c>
      <c r="P80" s="32" t="n">
        <f aca="false">L80-K80</f>
        <v>3</v>
      </c>
      <c r="Q80" s="32" t="n">
        <f aca="false">M80-L80</f>
        <v>4</v>
      </c>
      <c r="R80" s="32" t="n">
        <f aca="false">O80-N80</f>
        <v>4.70833333333333</v>
      </c>
      <c r="S80" s="32" t="n">
        <f aca="false">Raw!L80</f>
        <v>0.5</v>
      </c>
      <c r="T80" s="32" t="n">
        <f aca="false">O80-M80</f>
        <v>0.5</v>
      </c>
      <c r="U80" s="0" t="str">
        <f aca="false">IF(ABS(T80-S80)&lt;0.01,"OK","MISMATCH")</f>
        <v>OK</v>
      </c>
      <c r="V80" s="33" t="n">
        <f aca="false">Raw!M80</f>
        <v>1</v>
      </c>
      <c r="W80" s="0" t="str">
        <f aca="false">IF((S80&gt;0)=(V80=1),"OK","MISMATCH")</f>
        <v>OK</v>
      </c>
      <c r="X80" s="0" t="str">
        <f aca="false">_xlfn.IFS(S80&lt;=0,"Early/On time",S80&lt;=2,"Minor (up to 2 days)",S80&lt;=5,"Moderate (2-5 days)",TRUE(),"Severe (over 5 days)")</f>
        <v>Minor (up to 2 days)</v>
      </c>
      <c r="Y80" s="0" t="str">
        <f aca="false">YEAR(K80)&amp;"-"&amp;TEXT(MONTH(K80),"00")</f>
        <v>2025-07</v>
      </c>
      <c r="Z80" s="0" t="str">
        <f aca="false">C80&amp;" → "&amp;D80</f>
        <v>Chennai → Surat</v>
      </c>
      <c r="AA80" s="0" t="str">
        <f aca="false">Raw!Q80</f>
        <v>TCI Express</v>
      </c>
      <c r="AB80" s="0" t="str">
        <f aca="false">Raw!R80</f>
        <v>Yes</v>
      </c>
      <c r="AC80" s="0" t="str">
        <f aca="false">Raw!S80</f>
        <v>Normal</v>
      </c>
      <c r="AD80" s="29" t="n">
        <f aca="false">Raw!N80</f>
        <v>10263.15</v>
      </c>
      <c r="AE80" s="29" t="n">
        <f aca="false">Raw!O80</f>
        <v>1572.51</v>
      </c>
      <c r="AF80" s="29" t="n">
        <f aca="false">Raw!P80</f>
        <v>704.54</v>
      </c>
      <c r="AG80" s="29" t="n">
        <f aca="false">AD80/J80</f>
        <v>637.858918582971</v>
      </c>
    </row>
    <row r="81" customFormat="false" ht="15" hidden="false" customHeight="false" outlineLevel="0" collapsed="false">
      <c r="A81" s="0" t="str">
        <f aca="false">Raw!A81</f>
        <v>SHP0080</v>
      </c>
      <c r="B81" s="0" t="str">
        <f aca="false">Raw!B81</f>
        <v>Inbound</v>
      </c>
      <c r="C81" s="0" t="str">
        <f aca="false">Raw!C81</f>
        <v>Uttar Pradesh</v>
      </c>
      <c r="D81" s="0" t="str">
        <f aca="false">Raw!D81</f>
        <v>Surat</v>
      </c>
      <c r="E81" s="0" t="str">
        <f aca="false">IFERROR(INDEX(Location_Map!$B$2:$B$15,MATCH(C81,Location_Map!$A$2:$A$15,0)),"UNMAPPED")</f>
        <v>Uttar Pradesh</v>
      </c>
      <c r="F81" s="0" t="str">
        <f aca="false">IFERROR(INDEX(Location_Map!$C$2:$C$15,MATCH(C81,Location_Map!$A$2:$A$15,0)),"UNMAPPED")</f>
        <v>North</v>
      </c>
      <c r="G81" s="0" t="str">
        <f aca="false">IFERROR(INDEX(Location_Map!$B$2:$B$15,MATCH(D81,Location_Map!$A$2:$A$15,0)),"UNMAPPED")</f>
        <v>Gujarat</v>
      </c>
      <c r="H81" s="0" t="str">
        <f aca="false">IFERROR(INDEX(Location_Map!$C$2:$C$15,MATCH(D81,Location_Map!$A$2:$A$15,0)),"UNMAPPED")</f>
        <v>West</v>
      </c>
      <c r="I81" s="0" t="str">
        <f aca="false">Raw!E81</f>
        <v>Semi-Processed Yarn</v>
      </c>
      <c r="J81" s="28" t="n">
        <f aca="false">Raw!F81</f>
        <v>14.57</v>
      </c>
      <c r="K81" s="30" t="n">
        <f aca="false">DATE(LEFT(Raw!G81,4),MID(Raw!G81,6,2),MID(Raw!G81,9,2))</f>
        <v>45806</v>
      </c>
      <c r="L81" s="30" t="n">
        <f aca="false">DATE(LEFT(Raw!H81,4),MID(Raw!H81,6,2),MID(Raw!H81,9,2))</f>
        <v>45810</v>
      </c>
      <c r="M81" s="30" t="n">
        <f aca="false">DATE(LEFT(Raw!I81,4),MID(Raw!I81,6,2),MID(Raw!I81,9,2))</f>
        <v>45816</v>
      </c>
      <c r="N81" s="31" t="n">
        <f aca="false">DATE(LEFT(Raw!J81,4),MID(Raw!J81,6,2),MID(Raw!J81,9,2))+TIME(MID(Raw!J81,12,2),MID(Raw!J81,15,2),MID(Raw!J81,18,2))</f>
        <v>45810.375</v>
      </c>
      <c r="O81" s="31" t="n">
        <f aca="false">DATE(LEFT(Raw!K81,4),MID(Raw!K81,6,2),MID(Raw!K81,9,2))+TIME(MID(Raw!K81,12,2),MID(Raw!K81,15,2),MID(Raw!K81,18,2))</f>
        <v>45819.2</v>
      </c>
      <c r="P81" s="32" t="n">
        <f aca="false">L81-K81</f>
        <v>4</v>
      </c>
      <c r="Q81" s="32" t="n">
        <f aca="false">M81-L81</f>
        <v>6</v>
      </c>
      <c r="R81" s="32" t="n">
        <f aca="false">O81-N81</f>
        <v>8.825</v>
      </c>
      <c r="S81" s="32" t="n">
        <f aca="false">Raw!L81</f>
        <v>3.2</v>
      </c>
      <c r="T81" s="32" t="n">
        <f aca="false">O81-M81</f>
        <v>3.2</v>
      </c>
      <c r="U81" s="0" t="str">
        <f aca="false">IF(ABS(T81-S81)&lt;0.01,"OK","MISMATCH")</f>
        <v>OK</v>
      </c>
      <c r="V81" s="33" t="n">
        <f aca="false">Raw!M81</f>
        <v>1</v>
      </c>
      <c r="W81" s="0" t="str">
        <f aca="false">IF((S81&gt;0)=(V81=1),"OK","MISMATCH")</f>
        <v>OK</v>
      </c>
      <c r="X81" s="0" t="str">
        <f aca="false">_xlfn.IFS(S81&lt;=0,"Early/On time",S81&lt;=2,"Minor (up to 2 days)",S81&lt;=5,"Moderate (2-5 days)",TRUE(),"Severe (over 5 days)")</f>
        <v>Moderate (2-5 days)</v>
      </c>
      <c r="Y81" s="0" t="str">
        <f aca="false">YEAR(K81)&amp;"-"&amp;TEXT(MONTH(K81),"00")</f>
        <v>2025-05</v>
      </c>
      <c r="Z81" s="0" t="str">
        <f aca="false">C81&amp;" → "&amp;D81</f>
        <v>Uttar Pradesh → Surat</v>
      </c>
      <c r="AA81" s="0" t="str">
        <f aca="false">Raw!Q81</f>
        <v>GATI Logistics</v>
      </c>
      <c r="AB81" s="0" t="str">
        <f aca="false">Raw!R81</f>
        <v>Yes</v>
      </c>
      <c r="AC81" s="0" t="str">
        <f aca="false">Raw!S81</f>
        <v>Held at warehouse</v>
      </c>
      <c r="AD81" s="29" t="n">
        <f aca="false">Raw!N81</f>
        <v>6237.65</v>
      </c>
      <c r="AE81" s="29" t="n">
        <f aca="false">Raw!O81</f>
        <v>3415.83</v>
      </c>
      <c r="AF81" s="29" t="n">
        <f aca="false">Raw!P81</f>
        <v>1002.29</v>
      </c>
      <c r="AG81" s="29" t="n">
        <f aca="false">AD81/J81</f>
        <v>428.115991763898</v>
      </c>
    </row>
    <row r="82" customFormat="false" ht="15" hidden="false" customHeight="false" outlineLevel="0" collapsed="false">
      <c r="A82" s="0" t="str">
        <f aca="false">Raw!A82</f>
        <v>SHP0081</v>
      </c>
      <c r="B82" s="0" t="str">
        <f aca="false">Raw!B82</f>
        <v>Inbound</v>
      </c>
      <c r="C82" s="0" t="str">
        <f aca="false">Raw!C82</f>
        <v>Chennai</v>
      </c>
      <c r="D82" s="0" t="str">
        <f aca="false">Raw!D82</f>
        <v>Surat</v>
      </c>
      <c r="E82" s="0" t="str">
        <f aca="false">IFERROR(INDEX(Location_Map!$B$2:$B$15,MATCH(C82,Location_Map!$A$2:$A$15,0)),"UNMAPPED")</f>
        <v>Tamil Nadu</v>
      </c>
      <c r="F82" s="0" t="str">
        <f aca="false">IFERROR(INDEX(Location_Map!$C$2:$C$15,MATCH(C82,Location_Map!$A$2:$A$15,0)),"UNMAPPED")</f>
        <v>South</v>
      </c>
      <c r="G82" s="0" t="str">
        <f aca="false">IFERROR(INDEX(Location_Map!$B$2:$B$15,MATCH(D82,Location_Map!$A$2:$A$15,0)),"UNMAPPED")</f>
        <v>Gujarat</v>
      </c>
      <c r="H82" s="0" t="str">
        <f aca="false">IFERROR(INDEX(Location_Map!$C$2:$C$15,MATCH(D82,Location_Map!$A$2:$A$15,0)),"UNMAPPED")</f>
        <v>West</v>
      </c>
      <c r="I82" s="0" t="str">
        <f aca="false">Raw!E82</f>
        <v>Raw Yarn</v>
      </c>
      <c r="J82" s="28" t="n">
        <f aca="false">Raw!F82</f>
        <v>11.26</v>
      </c>
      <c r="K82" s="30" t="n">
        <f aca="false">DATE(LEFT(Raw!G82,4),MID(Raw!G82,6,2),MID(Raw!G82,9,2))</f>
        <v>45803</v>
      </c>
      <c r="L82" s="30" t="n">
        <f aca="false">DATE(LEFT(Raw!H82,4),MID(Raw!H82,6,2),MID(Raw!H82,9,2))</f>
        <v>45805</v>
      </c>
      <c r="M82" s="30" t="n">
        <f aca="false">DATE(LEFT(Raw!I82,4),MID(Raw!I82,6,2),MID(Raw!I82,9,2))</f>
        <v>45811</v>
      </c>
      <c r="N82" s="31" t="n">
        <f aca="false">DATE(LEFT(Raw!J82,4),MID(Raw!J82,6,2),MID(Raw!J82,9,2))+TIME(MID(Raw!J82,12,2),MID(Raw!J82,15,2),MID(Raw!J82,18,2))</f>
        <v>45804.875</v>
      </c>
      <c r="O82" s="31" t="n">
        <f aca="false">DATE(LEFT(Raw!K82,4),MID(Raw!K82,6,2),MID(Raw!K82,9,2))+TIME(MID(Raw!K82,12,2),MID(Raw!K82,15,2),MID(Raw!K82,18,2))</f>
        <v>45815.6</v>
      </c>
      <c r="P82" s="32" t="n">
        <f aca="false">L82-K82</f>
        <v>2</v>
      </c>
      <c r="Q82" s="32" t="n">
        <f aca="false">M82-L82</f>
        <v>6</v>
      </c>
      <c r="R82" s="32" t="n">
        <f aca="false">O82-N82</f>
        <v>10.725</v>
      </c>
      <c r="S82" s="32" t="n">
        <f aca="false">Raw!L82</f>
        <v>4.6</v>
      </c>
      <c r="T82" s="32" t="n">
        <f aca="false">O82-M82</f>
        <v>4.6</v>
      </c>
      <c r="U82" s="0" t="str">
        <f aca="false">IF(ABS(T82-S82)&lt;0.01,"OK","MISMATCH")</f>
        <v>OK</v>
      </c>
      <c r="V82" s="33" t="n">
        <f aca="false">Raw!M82</f>
        <v>1</v>
      </c>
      <c r="W82" s="0" t="str">
        <f aca="false">IF((S82&gt;0)=(V82=1),"OK","MISMATCH")</f>
        <v>OK</v>
      </c>
      <c r="X82" s="0" t="str">
        <f aca="false">_xlfn.IFS(S82&lt;=0,"Early/On time",S82&lt;=2,"Minor (up to 2 days)",S82&lt;=5,"Moderate (2-5 days)",TRUE(),"Severe (over 5 days)")</f>
        <v>Moderate (2-5 days)</v>
      </c>
      <c r="Y82" s="0" t="str">
        <f aca="false">YEAR(K82)&amp;"-"&amp;TEXT(MONTH(K82),"00")</f>
        <v>2025-05</v>
      </c>
      <c r="Z82" s="0" t="str">
        <f aca="false">C82&amp;" → "&amp;D82</f>
        <v>Chennai → Surat</v>
      </c>
      <c r="AA82" s="0" t="str">
        <f aca="false">Raw!Q82</f>
        <v>GATI Logistics</v>
      </c>
      <c r="AB82" s="0" t="str">
        <f aca="false">Raw!R82</f>
        <v>Yes</v>
      </c>
      <c r="AC82" s="0" t="str">
        <f aca="false">Raw!S82</f>
        <v>Expedited</v>
      </c>
      <c r="AD82" s="29" t="n">
        <f aca="false">Raw!N82</f>
        <v>6717.82</v>
      </c>
      <c r="AE82" s="29" t="n">
        <f aca="false">Raw!O82</f>
        <v>3396.12</v>
      </c>
      <c r="AF82" s="29" t="n">
        <f aca="false">Raw!P82</f>
        <v>1326.8</v>
      </c>
      <c r="AG82" s="29" t="n">
        <f aca="false">AD82/J82</f>
        <v>596.609236234458</v>
      </c>
    </row>
    <row r="83" customFormat="false" ht="15" hidden="false" customHeight="false" outlineLevel="0" collapsed="false">
      <c r="A83" s="0" t="str">
        <f aca="false">Raw!A83</f>
        <v>SHP0082</v>
      </c>
      <c r="B83" s="0" t="str">
        <f aca="false">Raw!B83</f>
        <v>Outbound</v>
      </c>
      <c r="C83" s="0" t="str">
        <f aca="false">Raw!C83</f>
        <v>Surat</v>
      </c>
      <c r="D83" s="0" t="str">
        <f aca="false">Raw!D83</f>
        <v>Madhya Pradesh</v>
      </c>
      <c r="E83" s="0" t="str">
        <f aca="false">IFERROR(INDEX(Location_Map!$B$2:$B$15,MATCH(C83,Location_Map!$A$2:$A$15,0)),"UNMAPPED")</f>
        <v>Gujarat</v>
      </c>
      <c r="F83" s="0" t="str">
        <f aca="false">IFERROR(INDEX(Location_Map!$C$2:$C$15,MATCH(C83,Location_Map!$A$2:$A$15,0)),"UNMAPPED")</f>
        <v>West</v>
      </c>
      <c r="G83" s="0" t="str">
        <f aca="false">IFERROR(INDEX(Location_Map!$B$2:$B$15,MATCH(D83,Location_Map!$A$2:$A$15,0)),"UNMAPPED")</f>
        <v>Madhya Pradesh</v>
      </c>
      <c r="H83" s="0" t="str">
        <f aca="false">IFERROR(INDEX(Location_Map!$C$2:$C$15,MATCH(D83,Location_Map!$A$2:$A$15,0)),"UNMAPPED")</f>
        <v>Central</v>
      </c>
      <c r="I83" s="0" t="str">
        <f aca="false">Raw!E83</f>
        <v>Semi-Processed Yarn</v>
      </c>
      <c r="J83" s="28" t="n">
        <f aca="false">Raw!F83</f>
        <v>19.22</v>
      </c>
      <c r="K83" s="30" t="n">
        <f aca="false">DATE(LEFT(Raw!G83,4),MID(Raw!G83,6,2),MID(Raw!G83,9,2))</f>
        <v>45760</v>
      </c>
      <c r="L83" s="30" t="n">
        <f aca="false">DATE(LEFT(Raw!H83,4),MID(Raw!H83,6,2),MID(Raw!H83,9,2))</f>
        <v>45761</v>
      </c>
      <c r="M83" s="30" t="n">
        <f aca="false">DATE(LEFT(Raw!I83,4),MID(Raw!I83,6,2),MID(Raw!I83,9,2))</f>
        <v>45764</v>
      </c>
      <c r="N83" s="31" t="n">
        <f aca="false">DATE(LEFT(Raw!J83,4),MID(Raw!J83,6,2),MID(Raw!J83,9,2))+TIME(MID(Raw!J83,12,2),MID(Raw!J83,15,2),MID(Raw!J83,18,2))</f>
        <v>45761.3333333333</v>
      </c>
      <c r="O83" s="31" t="n">
        <f aca="false">DATE(LEFT(Raw!K83,4),MID(Raw!K83,6,2),MID(Raw!K83,9,2))+TIME(MID(Raw!K83,12,2),MID(Raw!K83,15,2),MID(Raw!K83,18,2))</f>
        <v>45770.1</v>
      </c>
      <c r="P83" s="32" t="n">
        <f aca="false">L83-K83</f>
        <v>1</v>
      </c>
      <c r="Q83" s="32" t="n">
        <f aca="false">M83-L83</f>
        <v>3</v>
      </c>
      <c r="R83" s="32" t="n">
        <f aca="false">O83-N83</f>
        <v>8.76666666666667</v>
      </c>
      <c r="S83" s="32" t="n">
        <f aca="false">Raw!L83</f>
        <v>6.1</v>
      </c>
      <c r="T83" s="32" t="n">
        <f aca="false">O83-M83</f>
        <v>6.1</v>
      </c>
      <c r="U83" s="0" t="str">
        <f aca="false">IF(ABS(T83-S83)&lt;0.01,"OK","MISMATCH")</f>
        <v>OK</v>
      </c>
      <c r="V83" s="33" t="n">
        <f aca="false">Raw!M83</f>
        <v>1</v>
      </c>
      <c r="W83" s="0" t="str">
        <f aca="false">IF((S83&gt;0)=(V83=1),"OK","MISMATCH")</f>
        <v>OK</v>
      </c>
      <c r="X83" s="0" t="str">
        <f aca="false">_xlfn.IFS(S83&lt;=0,"Early/On time",S83&lt;=2,"Minor (up to 2 days)",S83&lt;=5,"Moderate (2-5 days)",TRUE(),"Severe (over 5 days)")</f>
        <v>Severe (over 5 days)</v>
      </c>
      <c r="Y83" s="0" t="str">
        <f aca="false">YEAR(K83)&amp;"-"&amp;TEXT(MONTH(K83),"00")</f>
        <v>2025-04</v>
      </c>
      <c r="Z83" s="0" t="str">
        <f aca="false">C83&amp;" → "&amp;D83</f>
        <v>Surat → Madhya Pradesh</v>
      </c>
      <c r="AA83" s="0" t="str">
        <f aca="false">Raw!Q83</f>
        <v>TCI Express</v>
      </c>
      <c r="AB83" s="0" t="str">
        <f aca="false">Raw!R83</f>
        <v>Yes</v>
      </c>
      <c r="AC83" s="0" t="str">
        <f aca="false">Raw!S83</f>
        <v>Damaged</v>
      </c>
      <c r="AD83" s="29" t="n">
        <f aca="false">Raw!N83</f>
        <v>12067.03</v>
      </c>
      <c r="AE83" s="29" t="n">
        <f aca="false">Raw!O83</f>
        <v>1556.46</v>
      </c>
      <c r="AF83" s="29" t="n">
        <f aca="false">Raw!P83</f>
        <v>600.79</v>
      </c>
      <c r="AG83" s="29" t="n">
        <f aca="false">AD83/J83</f>
        <v>627.83714880333</v>
      </c>
    </row>
    <row r="84" customFormat="false" ht="15" hidden="false" customHeight="false" outlineLevel="0" collapsed="false">
      <c r="A84" s="0" t="str">
        <f aca="false">Raw!A84</f>
        <v>SHP0083</v>
      </c>
      <c r="B84" s="0" t="str">
        <f aca="false">Raw!B84</f>
        <v>Inbound</v>
      </c>
      <c r="C84" s="0" t="str">
        <f aca="false">Raw!C84</f>
        <v>Chennai</v>
      </c>
      <c r="D84" s="0" t="str">
        <f aca="false">Raw!D84</f>
        <v>Surat</v>
      </c>
      <c r="E84" s="0" t="str">
        <f aca="false">IFERROR(INDEX(Location_Map!$B$2:$B$15,MATCH(C84,Location_Map!$A$2:$A$15,0)),"UNMAPPED")</f>
        <v>Tamil Nadu</v>
      </c>
      <c r="F84" s="0" t="str">
        <f aca="false">IFERROR(INDEX(Location_Map!$C$2:$C$15,MATCH(C84,Location_Map!$A$2:$A$15,0)),"UNMAPPED")</f>
        <v>South</v>
      </c>
      <c r="G84" s="0" t="str">
        <f aca="false">IFERROR(INDEX(Location_Map!$B$2:$B$15,MATCH(D84,Location_Map!$A$2:$A$15,0)),"UNMAPPED")</f>
        <v>Gujarat</v>
      </c>
      <c r="H84" s="0" t="str">
        <f aca="false">IFERROR(INDEX(Location_Map!$C$2:$C$15,MATCH(D84,Location_Map!$A$2:$A$15,0)),"UNMAPPED")</f>
        <v>West</v>
      </c>
      <c r="I84" s="0" t="str">
        <f aca="false">Raw!E84</f>
        <v>Raw Yarn</v>
      </c>
      <c r="J84" s="28" t="n">
        <f aca="false">Raw!F84</f>
        <v>5.86</v>
      </c>
      <c r="K84" s="30" t="n">
        <f aca="false">DATE(LEFT(Raw!G84,4),MID(Raw!G84,6,2),MID(Raw!G84,9,2))</f>
        <v>45875</v>
      </c>
      <c r="L84" s="30" t="n">
        <f aca="false">DATE(LEFT(Raw!H84,4),MID(Raw!H84,6,2),MID(Raw!H84,9,2))</f>
        <v>45878</v>
      </c>
      <c r="M84" s="30" t="n">
        <f aca="false">DATE(LEFT(Raw!I84,4),MID(Raw!I84,6,2),MID(Raw!I84,9,2))</f>
        <v>45883</v>
      </c>
      <c r="N84" s="31" t="n">
        <f aca="false">DATE(LEFT(Raw!J84,4),MID(Raw!J84,6,2),MID(Raw!J84,9,2))+TIME(MID(Raw!J84,12,2),MID(Raw!J84,15,2),MID(Raw!J84,18,2))</f>
        <v>45878.0833333333</v>
      </c>
      <c r="O84" s="31" t="n">
        <f aca="false">DATE(LEFT(Raw!K84,4),MID(Raw!K84,6,2),MID(Raw!K84,9,2))+TIME(MID(Raw!K84,12,2),MID(Raw!K84,15,2),MID(Raw!K84,18,2))</f>
        <v>45890.3</v>
      </c>
      <c r="P84" s="32" t="n">
        <f aca="false">L84-K84</f>
        <v>3</v>
      </c>
      <c r="Q84" s="32" t="n">
        <f aca="false">M84-L84</f>
        <v>5</v>
      </c>
      <c r="R84" s="32" t="n">
        <f aca="false">O84-N84</f>
        <v>12.2166666666667</v>
      </c>
      <c r="S84" s="32" t="n">
        <f aca="false">Raw!L84</f>
        <v>7.3</v>
      </c>
      <c r="T84" s="32" t="n">
        <f aca="false">O84-M84</f>
        <v>7.3</v>
      </c>
      <c r="U84" s="0" t="str">
        <f aca="false">IF(ABS(T84-S84)&lt;0.01,"OK","MISMATCH")</f>
        <v>OK</v>
      </c>
      <c r="V84" s="33" t="n">
        <f aca="false">Raw!M84</f>
        <v>1</v>
      </c>
      <c r="W84" s="0" t="str">
        <f aca="false">IF((S84&gt;0)=(V84=1),"OK","MISMATCH")</f>
        <v>OK</v>
      </c>
      <c r="X84" s="0" t="str">
        <f aca="false">_xlfn.IFS(S84&lt;=0,"Early/On time",S84&lt;=2,"Minor (up to 2 days)",S84&lt;=5,"Moderate (2-5 days)",TRUE(),"Severe (over 5 days)")</f>
        <v>Severe (over 5 days)</v>
      </c>
      <c r="Y84" s="0" t="str">
        <f aca="false">YEAR(K84)&amp;"-"&amp;TEXT(MONTH(K84),"00")</f>
        <v>2025-08</v>
      </c>
      <c r="Z84" s="0" t="str">
        <f aca="false">C84&amp;" → "&amp;D84</f>
        <v>Chennai → Surat</v>
      </c>
      <c r="AA84" s="0" t="str">
        <f aca="false">Raw!Q84</f>
        <v>GATI Logistics</v>
      </c>
      <c r="AB84" s="0" t="str">
        <f aca="false">Raw!R84</f>
        <v>Yes</v>
      </c>
      <c r="AC84" s="0" t="str">
        <f aca="false">Raw!S84</f>
        <v>Damaged</v>
      </c>
      <c r="AD84" s="29" t="n">
        <f aca="false">Raw!N84</f>
        <v>2778.77</v>
      </c>
      <c r="AE84" s="29" t="n">
        <f aca="false">Raw!O84</f>
        <v>4084.99</v>
      </c>
      <c r="AF84" s="29" t="n">
        <f aca="false">Raw!P84</f>
        <v>874.44</v>
      </c>
      <c r="AG84" s="29" t="n">
        <f aca="false">AD84/J84</f>
        <v>474.192832764505</v>
      </c>
    </row>
    <row r="85" customFormat="false" ht="15" hidden="false" customHeight="false" outlineLevel="0" collapsed="false">
      <c r="A85" s="0" t="str">
        <f aca="false">Raw!A85</f>
        <v>SHP0084</v>
      </c>
      <c r="B85" s="0" t="str">
        <f aca="false">Raw!B85</f>
        <v>Inbound</v>
      </c>
      <c r="C85" s="0" t="str">
        <f aca="false">Raw!C85</f>
        <v>Uttar Pradesh</v>
      </c>
      <c r="D85" s="0" t="str">
        <f aca="false">Raw!D85</f>
        <v>Surat</v>
      </c>
      <c r="E85" s="0" t="str">
        <f aca="false">IFERROR(INDEX(Location_Map!$B$2:$B$15,MATCH(C85,Location_Map!$A$2:$A$15,0)),"UNMAPPED")</f>
        <v>Uttar Pradesh</v>
      </c>
      <c r="F85" s="0" t="str">
        <f aca="false">IFERROR(INDEX(Location_Map!$C$2:$C$15,MATCH(C85,Location_Map!$A$2:$A$15,0)),"UNMAPPED")</f>
        <v>North</v>
      </c>
      <c r="G85" s="0" t="str">
        <f aca="false">IFERROR(INDEX(Location_Map!$B$2:$B$15,MATCH(D85,Location_Map!$A$2:$A$15,0)),"UNMAPPED")</f>
        <v>Gujarat</v>
      </c>
      <c r="H85" s="0" t="str">
        <f aca="false">IFERROR(INDEX(Location_Map!$C$2:$C$15,MATCH(D85,Location_Map!$A$2:$A$15,0)),"UNMAPPED")</f>
        <v>West</v>
      </c>
      <c r="I85" s="0" t="str">
        <f aca="false">Raw!E85</f>
        <v>Semi-Processed Yarn</v>
      </c>
      <c r="J85" s="28" t="n">
        <f aca="false">Raw!F85</f>
        <v>2.31</v>
      </c>
      <c r="K85" s="30" t="n">
        <f aca="false">DATE(LEFT(Raw!G85,4),MID(Raw!G85,6,2),MID(Raw!G85,9,2))</f>
        <v>45681</v>
      </c>
      <c r="L85" s="30" t="n">
        <f aca="false">DATE(LEFT(Raw!H85,4),MID(Raw!H85,6,2),MID(Raw!H85,9,2))</f>
        <v>45682</v>
      </c>
      <c r="M85" s="30" t="n">
        <f aca="false">DATE(LEFT(Raw!I85,4),MID(Raw!I85,6,2),MID(Raw!I85,9,2))</f>
        <v>45684</v>
      </c>
      <c r="N85" s="31" t="n">
        <f aca="false">DATE(LEFT(Raw!J85,4),MID(Raw!J85,6,2),MID(Raw!J85,9,2))+TIME(MID(Raw!J85,12,2),MID(Raw!J85,15,2),MID(Raw!J85,18,2))</f>
        <v>45682</v>
      </c>
      <c r="O85" s="31" t="n">
        <f aca="false">DATE(LEFT(Raw!K85,4),MID(Raw!K85,6,2),MID(Raw!K85,9,2))+TIME(MID(Raw!K85,12,2),MID(Raw!K85,15,2),MID(Raw!K85,18,2))</f>
        <v>45687.8</v>
      </c>
      <c r="P85" s="32" t="n">
        <f aca="false">L85-K85</f>
        <v>1</v>
      </c>
      <c r="Q85" s="32" t="n">
        <f aca="false">M85-L85</f>
        <v>2</v>
      </c>
      <c r="R85" s="32" t="n">
        <f aca="false">O85-N85</f>
        <v>5.8</v>
      </c>
      <c r="S85" s="32" t="n">
        <f aca="false">Raw!L85</f>
        <v>3.8</v>
      </c>
      <c r="T85" s="32" t="n">
        <f aca="false">O85-M85</f>
        <v>3.8</v>
      </c>
      <c r="U85" s="0" t="str">
        <f aca="false">IF(ABS(T85-S85)&lt;0.01,"OK","MISMATCH")</f>
        <v>OK</v>
      </c>
      <c r="V85" s="33" t="n">
        <f aca="false">Raw!M85</f>
        <v>1</v>
      </c>
      <c r="W85" s="0" t="str">
        <f aca="false">IF((S85&gt;0)=(V85=1),"OK","MISMATCH")</f>
        <v>OK</v>
      </c>
      <c r="X85" s="0" t="str">
        <f aca="false">_xlfn.IFS(S85&lt;=0,"Early/On time",S85&lt;=2,"Minor (up to 2 days)",S85&lt;=5,"Moderate (2-5 days)",TRUE(),"Severe (over 5 days)")</f>
        <v>Moderate (2-5 days)</v>
      </c>
      <c r="Y85" s="0" t="str">
        <f aca="false">YEAR(K85)&amp;"-"&amp;TEXT(MONTH(K85),"00")</f>
        <v>2025-01</v>
      </c>
      <c r="Z85" s="0" t="str">
        <f aca="false">C85&amp;" → "&amp;D85</f>
        <v>Uttar Pradesh → Surat</v>
      </c>
      <c r="AA85" s="0" t="str">
        <f aca="false">Raw!Q85</f>
        <v>GATI Logistics</v>
      </c>
      <c r="AB85" s="0" t="str">
        <f aca="false">Raw!R85</f>
        <v>Yes</v>
      </c>
      <c r="AC85" s="0" t="str">
        <f aca="false">Raw!S85</f>
        <v>Normal</v>
      </c>
      <c r="AD85" s="29" t="n">
        <f aca="false">Raw!N85</f>
        <v>1854.42</v>
      </c>
      <c r="AE85" s="29" t="n">
        <f aca="false">Raw!O85</f>
        <v>1943.62</v>
      </c>
      <c r="AF85" s="29" t="n">
        <f aca="false">Raw!P85</f>
        <v>665.52</v>
      </c>
      <c r="AG85" s="29" t="n">
        <f aca="false">AD85/J85</f>
        <v>802.779220779221</v>
      </c>
    </row>
    <row r="86" customFormat="false" ht="15" hidden="false" customHeight="false" outlineLevel="0" collapsed="false">
      <c r="A86" s="0" t="str">
        <f aca="false">Raw!A86</f>
        <v>SHP0085</v>
      </c>
      <c r="B86" s="0" t="str">
        <f aca="false">Raw!B86</f>
        <v>Inbound</v>
      </c>
      <c r="C86" s="0" t="str">
        <f aca="false">Raw!C86</f>
        <v>Rajasthan</v>
      </c>
      <c r="D86" s="0" t="str">
        <f aca="false">Raw!D86</f>
        <v>Surat</v>
      </c>
      <c r="E86" s="0" t="str">
        <f aca="false">IFERROR(INDEX(Location_Map!$B$2:$B$15,MATCH(C86,Location_Map!$A$2:$A$15,0)),"UNMAPPED")</f>
        <v>Rajasthan</v>
      </c>
      <c r="F86" s="0" t="str">
        <f aca="false">IFERROR(INDEX(Location_Map!$C$2:$C$15,MATCH(C86,Location_Map!$A$2:$A$15,0)),"UNMAPPED")</f>
        <v>North</v>
      </c>
      <c r="G86" s="0" t="str">
        <f aca="false">IFERROR(INDEX(Location_Map!$B$2:$B$15,MATCH(D86,Location_Map!$A$2:$A$15,0)),"UNMAPPED")</f>
        <v>Gujarat</v>
      </c>
      <c r="H86" s="0" t="str">
        <f aca="false">IFERROR(INDEX(Location_Map!$C$2:$C$15,MATCH(D86,Location_Map!$A$2:$A$15,0)),"UNMAPPED")</f>
        <v>West</v>
      </c>
      <c r="I86" s="0" t="str">
        <f aca="false">Raw!E86</f>
        <v>Finished Yarn</v>
      </c>
      <c r="J86" s="28" t="n">
        <f aca="false">Raw!F86</f>
        <v>4.54</v>
      </c>
      <c r="K86" s="30" t="n">
        <f aca="false">DATE(LEFT(Raw!G86,4),MID(Raw!G86,6,2),MID(Raw!G86,9,2))</f>
        <v>45909</v>
      </c>
      <c r="L86" s="30" t="n">
        <f aca="false">DATE(LEFT(Raw!H86,4),MID(Raw!H86,6,2),MID(Raw!H86,9,2))</f>
        <v>45911</v>
      </c>
      <c r="M86" s="30" t="n">
        <f aca="false">DATE(LEFT(Raw!I86,4),MID(Raw!I86,6,2),MID(Raw!I86,9,2))</f>
        <v>45915</v>
      </c>
      <c r="N86" s="31" t="n">
        <f aca="false">DATE(LEFT(Raw!J86,4),MID(Raw!J86,6,2),MID(Raw!J86,9,2))+TIME(MID(Raw!J86,12,2),MID(Raw!J86,15,2),MID(Raw!J86,18,2))</f>
        <v>45911.125</v>
      </c>
      <c r="O86" s="31" t="n">
        <f aca="false">DATE(LEFT(Raw!K86,4),MID(Raw!K86,6,2),MID(Raw!K86,9,2))+TIME(MID(Raw!K86,12,2),MID(Raw!K86,15,2),MID(Raw!K86,18,2))</f>
        <v>45914</v>
      </c>
      <c r="P86" s="32" t="n">
        <f aca="false">L86-K86</f>
        <v>2</v>
      </c>
      <c r="Q86" s="32" t="n">
        <f aca="false">M86-L86</f>
        <v>4</v>
      </c>
      <c r="R86" s="32" t="n">
        <f aca="false">O86-N86</f>
        <v>2.875</v>
      </c>
      <c r="S86" s="32" t="n">
        <f aca="false">Raw!L86</f>
        <v>-1</v>
      </c>
      <c r="T86" s="32" t="n">
        <f aca="false">O86-M86</f>
        <v>-1</v>
      </c>
      <c r="U86" s="0" t="str">
        <f aca="false">IF(ABS(T86-S86)&lt;0.01,"OK","MISMATCH")</f>
        <v>OK</v>
      </c>
      <c r="V86" s="33" t="n">
        <f aca="false">Raw!M86</f>
        <v>0</v>
      </c>
      <c r="W86" s="0" t="str">
        <f aca="false">IF((S86&gt;0)=(V86=1),"OK","MISMATCH")</f>
        <v>OK</v>
      </c>
      <c r="X86" s="0" t="str">
        <f aca="false">_xlfn.IFS(S86&lt;=0,"Early/On time",S86&lt;=2,"Minor (up to 2 days)",S86&lt;=5,"Moderate (2-5 days)",TRUE(),"Severe (over 5 days)")</f>
        <v>Early/On time</v>
      </c>
      <c r="Y86" s="0" t="str">
        <f aca="false">YEAR(K86)&amp;"-"&amp;TEXT(MONTH(K86),"00")</f>
        <v>2025-09</v>
      </c>
      <c r="Z86" s="0" t="str">
        <f aca="false">C86&amp;" → "&amp;D86</f>
        <v>Rajasthan → Surat</v>
      </c>
      <c r="AA86" s="0" t="str">
        <f aca="false">Raw!Q86</f>
        <v>Delhivery</v>
      </c>
      <c r="AB86" s="0" t="str">
        <f aca="false">Raw!R86</f>
        <v>No</v>
      </c>
      <c r="AC86" s="0" t="str">
        <f aca="false">Raw!S86</f>
        <v>Damaged</v>
      </c>
      <c r="AD86" s="29" t="n">
        <f aca="false">Raw!N86</f>
        <v>2757.78</v>
      </c>
      <c r="AE86" s="29" t="n">
        <f aca="false">Raw!O86</f>
        <v>4151.16</v>
      </c>
      <c r="AF86" s="29" t="n">
        <f aca="false">Raw!P86</f>
        <v>1103.72</v>
      </c>
      <c r="AG86" s="29" t="n">
        <f aca="false">AD86/J86</f>
        <v>607.440528634361</v>
      </c>
    </row>
    <row r="87" customFormat="false" ht="15" hidden="false" customHeight="false" outlineLevel="0" collapsed="false">
      <c r="A87" s="0" t="str">
        <f aca="false">Raw!A87</f>
        <v>SHP0086</v>
      </c>
      <c r="B87" s="0" t="str">
        <f aca="false">Raw!B87</f>
        <v>Outbound</v>
      </c>
      <c r="C87" s="0" t="str">
        <f aca="false">Raw!C87</f>
        <v>Surat</v>
      </c>
      <c r="D87" s="0" t="str">
        <f aca="false">Raw!D87</f>
        <v>Uttarakhand</v>
      </c>
      <c r="E87" s="0" t="str">
        <f aca="false">IFERROR(INDEX(Location_Map!$B$2:$B$15,MATCH(C87,Location_Map!$A$2:$A$15,0)),"UNMAPPED")</f>
        <v>Gujarat</v>
      </c>
      <c r="F87" s="0" t="str">
        <f aca="false">IFERROR(INDEX(Location_Map!$C$2:$C$15,MATCH(C87,Location_Map!$A$2:$A$15,0)),"UNMAPPED")</f>
        <v>West</v>
      </c>
      <c r="G87" s="0" t="str">
        <f aca="false">IFERROR(INDEX(Location_Map!$B$2:$B$15,MATCH(D87,Location_Map!$A$2:$A$15,0)),"UNMAPPED")</f>
        <v>Uttarakhand</v>
      </c>
      <c r="H87" s="0" t="str">
        <f aca="false">IFERROR(INDEX(Location_Map!$C$2:$C$15,MATCH(D87,Location_Map!$A$2:$A$15,0)),"UNMAPPED")</f>
        <v>North</v>
      </c>
      <c r="I87" s="0" t="str">
        <f aca="false">Raw!E87</f>
        <v>Semi-Processed Yarn</v>
      </c>
      <c r="J87" s="28" t="n">
        <f aca="false">Raw!F87</f>
        <v>3.17</v>
      </c>
      <c r="K87" s="30" t="n">
        <f aca="false">DATE(LEFT(Raw!G87,4),MID(Raw!G87,6,2),MID(Raw!G87,9,2))</f>
        <v>45782</v>
      </c>
      <c r="L87" s="30" t="n">
        <f aca="false">DATE(LEFT(Raw!H87,4),MID(Raw!H87,6,2),MID(Raw!H87,9,2))</f>
        <v>45786</v>
      </c>
      <c r="M87" s="30" t="n">
        <f aca="false">DATE(LEFT(Raw!I87,4),MID(Raw!I87,6,2),MID(Raw!I87,9,2))</f>
        <v>45789</v>
      </c>
      <c r="N87" s="31" t="n">
        <f aca="false">DATE(LEFT(Raw!J87,4),MID(Raw!J87,6,2),MID(Raw!J87,9,2))+TIME(MID(Raw!J87,12,2),MID(Raw!J87,15,2),MID(Raw!J87,18,2))</f>
        <v>45786.0416666667</v>
      </c>
      <c r="O87" s="31" t="n">
        <f aca="false">DATE(LEFT(Raw!K87,4),MID(Raw!K87,6,2),MID(Raw!K87,9,2))+TIME(MID(Raw!K87,12,2),MID(Raw!K87,15,2),MID(Raw!K87,18,2))</f>
        <v>45795.6</v>
      </c>
      <c r="P87" s="32" t="n">
        <f aca="false">L87-K87</f>
        <v>4</v>
      </c>
      <c r="Q87" s="32" t="n">
        <f aca="false">M87-L87</f>
        <v>3</v>
      </c>
      <c r="R87" s="32" t="n">
        <f aca="false">O87-N87</f>
        <v>9.55833333333333</v>
      </c>
      <c r="S87" s="32" t="n">
        <f aca="false">Raw!L87</f>
        <v>6.6</v>
      </c>
      <c r="T87" s="32" t="n">
        <f aca="false">O87-M87</f>
        <v>6.6</v>
      </c>
      <c r="U87" s="0" t="str">
        <f aca="false">IF(ABS(T87-S87)&lt;0.01,"OK","MISMATCH")</f>
        <v>OK</v>
      </c>
      <c r="V87" s="33" t="n">
        <f aca="false">Raw!M87</f>
        <v>1</v>
      </c>
      <c r="W87" s="0" t="str">
        <f aca="false">IF((S87&gt;0)=(V87=1),"OK","MISMATCH")</f>
        <v>OK</v>
      </c>
      <c r="X87" s="0" t="str">
        <f aca="false">_xlfn.IFS(S87&lt;=0,"Early/On time",S87&lt;=2,"Minor (up to 2 days)",S87&lt;=5,"Moderate (2-5 days)",TRUE(),"Severe (over 5 days)")</f>
        <v>Severe (over 5 days)</v>
      </c>
      <c r="Y87" s="0" t="str">
        <f aca="false">YEAR(K87)&amp;"-"&amp;TEXT(MONTH(K87),"00")</f>
        <v>2025-05</v>
      </c>
      <c r="Z87" s="0" t="str">
        <f aca="false">C87&amp;" → "&amp;D87</f>
        <v>Surat → Uttarakhand</v>
      </c>
      <c r="AA87" s="0" t="str">
        <f aca="false">Raw!Q87</f>
        <v>Delhivery</v>
      </c>
      <c r="AB87" s="0" t="str">
        <f aca="false">Raw!R87</f>
        <v>No</v>
      </c>
      <c r="AC87" s="0" t="str">
        <f aca="false">Raw!S87</f>
        <v>Expedited</v>
      </c>
      <c r="AD87" s="29" t="n">
        <f aca="false">Raw!N87</f>
        <v>2585.05</v>
      </c>
      <c r="AE87" s="29" t="n">
        <f aca="false">Raw!O87</f>
        <v>2808.87</v>
      </c>
      <c r="AF87" s="29" t="n">
        <f aca="false">Raw!P87</f>
        <v>724.6</v>
      </c>
      <c r="AG87" s="29" t="n">
        <f aca="false">AD87/J87</f>
        <v>815.473186119874</v>
      </c>
    </row>
    <row r="88" customFormat="false" ht="15" hidden="false" customHeight="false" outlineLevel="0" collapsed="false">
      <c r="A88" s="0" t="str">
        <f aca="false">Raw!A88</f>
        <v>SHP0087</v>
      </c>
      <c r="B88" s="0" t="str">
        <f aca="false">Raw!B88</f>
        <v>Outbound</v>
      </c>
      <c r="C88" s="0" t="str">
        <f aca="false">Raw!C88</f>
        <v>Surat</v>
      </c>
      <c r="D88" s="0" t="str">
        <f aca="false">Raw!D88</f>
        <v>Jaipur</v>
      </c>
      <c r="E88" s="0" t="str">
        <f aca="false">IFERROR(INDEX(Location_Map!$B$2:$B$15,MATCH(C88,Location_Map!$A$2:$A$15,0)),"UNMAPPED")</f>
        <v>Gujarat</v>
      </c>
      <c r="F88" s="0" t="str">
        <f aca="false">IFERROR(INDEX(Location_Map!$C$2:$C$15,MATCH(C88,Location_Map!$A$2:$A$15,0)),"UNMAPPED")</f>
        <v>West</v>
      </c>
      <c r="G88" s="0" t="str">
        <f aca="false">IFERROR(INDEX(Location_Map!$B$2:$B$15,MATCH(D88,Location_Map!$A$2:$A$15,0)),"UNMAPPED")</f>
        <v>Rajasthan</v>
      </c>
      <c r="H88" s="0" t="str">
        <f aca="false">IFERROR(INDEX(Location_Map!$C$2:$C$15,MATCH(D88,Location_Map!$A$2:$A$15,0)),"UNMAPPED")</f>
        <v>North</v>
      </c>
      <c r="I88" s="0" t="str">
        <f aca="false">Raw!E88</f>
        <v>Semi-Processed Yarn</v>
      </c>
      <c r="J88" s="28" t="n">
        <f aca="false">Raw!F88</f>
        <v>9.6</v>
      </c>
      <c r="K88" s="30" t="n">
        <f aca="false">DATE(LEFT(Raw!G88,4),MID(Raw!G88,6,2),MID(Raw!G88,9,2))</f>
        <v>45700</v>
      </c>
      <c r="L88" s="30" t="n">
        <f aca="false">DATE(LEFT(Raw!H88,4),MID(Raw!H88,6,2),MID(Raw!H88,9,2))</f>
        <v>45701</v>
      </c>
      <c r="M88" s="30" t="n">
        <f aca="false">DATE(LEFT(Raw!I88,4),MID(Raw!I88,6,2),MID(Raw!I88,9,2))</f>
        <v>45706</v>
      </c>
      <c r="N88" s="31" t="n">
        <f aca="false">DATE(LEFT(Raw!J88,4),MID(Raw!J88,6,2),MID(Raw!J88,9,2))+TIME(MID(Raw!J88,12,2),MID(Raw!J88,15,2),MID(Raw!J88,18,2))</f>
        <v>45700.7916666667</v>
      </c>
      <c r="O88" s="31" t="n">
        <f aca="false">DATE(LEFT(Raw!K88,4),MID(Raw!K88,6,2),MID(Raw!K88,9,2))+TIME(MID(Raw!K88,12,2),MID(Raw!K88,15,2),MID(Raw!K88,18,2))</f>
        <v>45710.4</v>
      </c>
      <c r="P88" s="32" t="n">
        <f aca="false">L88-K88</f>
        <v>1</v>
      </c>
      <c r="Q88" s="32" t="n">
        <f aca="false">M88-L88</f>
        <v>5</v>
      </c>
      <c r="R88" s="32" t="n">
        <f aca="false">O88-N88</f>
        <v>9.60833333333333</v>
      </c>
      <c r="S88" s="32" t="n">
        <f aca="false">Raw!L88</f>
        <v>4.4</v>
      </c>
      <c r="T88" s="32" t="n">
        <f aca="false">O88-M88</f>
        <v>4.4</v>
      </c>
      <c r="U88" s="0" t="str">
        <f aca="false">IF(ABS(T88-S88)&lt;0.01,"OK","MISMATCH")</f>
        <v>OK</v>
      </c>
      <c r="V88" s="33" t="n">
        <f aca="false">Raw!M88</f>
        <v>1</v>
      </c>
      <c r="W88" s="0" t="str">
        <f aca="false">IF((S88&gt;0)=(V88=1),"OK","MISMATCH")</f>
        <v>OK</v>
      </c>
      <c r="X88" s="0" t="str">
        <f aca="false">_xlfn.IFS(S88&lt;=0,"Early/On time",S88&lt;=2,"Minor (up to 2 days)",S88&lt;=5,"Moderate (2-5 days)",TRUE(),"Severe (over 5 days)")</f>
        <v>Moderate (2-5 days)</v>
      </c>
      <c r="Y88" s="0" t="str">
        <f aca="false">YEAR(K88)&amp;"-"&amp;TEXT(MONTH(K88),"00")</f>
        <v>2025-02</v>
      </c>
      <c r="Z88" s="0" t="str">
        <f aca="false">C88&amp;" → "&amp;D88</f>
        <v>Surat → Jaipur</v>
      </c>
      <c r="AA88" s="0" t="str">
        <f aca="false">Raw!Q88</f>
        <v>BlueDart</v>
      </c>
      <c r="AB88" s="0" t="str">
        <f aca="false">Raw!R88</f>
        <v>Yes</v>
      </c>
      <c r="AC88" s="0" t="str">
        <f aca="false">Raw!S88</f>
        <v>Held at warehouse</v>
      </c>
      <c r="AD88" s="29" t="n">
        <f aca="false">Raw!N88</f>
        <v>5138.43</v>
      </c>
      <c r="AE88" s="29" t="n">
        <f aca="false">Raw!O88</f>
        <v>1880.39</v>
      </c>
      <c r="AF88" s="29" t="n">
        <f aca="false">Raw!P88</f>
        <v>712.68</v>
      </c>
      <c r="AG88" s="29" t="n">
        <f aca="false">AD88/J88</f>
        <v>535.253125</v>
      </c>
    </row>
    <row r="89" customFormat="false" ht="15" hidden="false" customHeight="false" outlineLevel="0" collapsed="false">
      <c r="A89" s="0" t="str">
        <f aca="false">Raw!A89</f>
        <v>SHP0088</v>
      </c>
      <c r="B89" s="0" t="str">
        <f aca="false">Raw!B89</f>
        <v>Outbound</v>
      </c>
      <c r="C89" s="0" t="str">
        <f aca="false">Raw!C89</f>
        <v>Surat</v>
      </c>
      <c r="D89" s="0" t="str">
        <f aca="false">Raw!D89</f>
        <v>Uttarakhand</v>
      </c>
      <c r="E89" s="0" t="str">
        <f aca="false">IFERROR(INDEX(Location_Map!$B$2:$B$15,MATCH(C89,Location_Map!$A$2:$A$15,0)),"UNMAPPED")</f>
        <v>Gujarat</v>
      </c>
      <c r="F89" s="0" t="str">
        <f aca="false">IFERROR(INDEX(Location_Map!$C$2:$C$15,MATCH(C89,Location_Map!$A$2:$A$15,0)),"UNMAPPED")</f>
        <v>West</v>
      </c>
      <c r="G89" s="0" t="str">
        <f aca="false">IFERROR(INDEX(Location_Map!$B$2:$B$15,MATCH(D89,Location_Map!$A$2:$A$15,0)),"UNMAPPED")</f>
        <v>Uttarakhand</v>
      </c>
      <c r="H89" s="0" t="str">
        <f aca="false">IFERROR(INDEX(Location_Map!$C$2:$C$15,MATCH(D89,Location_Map!$A$2:$A$15,0)),"UNMAPPED")</f>
        <v>North</v>
      </c>
      <c r="I89" s="0" t="str">
        <f aca="false">Raw!E89</f>
        <v>Semi-Processed Yarn</v>
      </c>
      <c r="J89" s="28" t="n">
        <f aca="false">Raw!F89</f>
        <v>10.79</v>
      </c>
      <c r="K89" s="30" t="n">
        <f aca="false">DATE(LEFT(Raw!G89,4),MID(Raw!G89,6,2),MID(Raw!G89,9,2))</f>
        <v>45950</v>
      </c>
      <c r="L89" s="30" t="n">
        <f aca="false">DATE(LEFT(Raw!H89,4),MID(Raw!H89,6,2),MID(Raw!H89,9,2))</f>
        <v>45952</v>
      </c>
      <c r="M89" s="30" t="n">
        <f aca="false">DATE(LEFT(Raw!I89,4),MID(Raw!I89,6,2),MID(Raw!I89,9,2))</f>
        <v>45957</v>
      </c>
      <c r="N89" s="31" t="n">
        <f aca="false">DATE(LEFT(Raw!J89,4),MID(Raw!J89,6,2),MID(Raw!J89,9,2))+TIME(MID(Raw!J89,12,2),MID(Raw!J89,15,2),MID(Raw!J89,18,2))</f>
        <v>45952</v>
      </c>
      <c r="O89" s="31" t="n">
        <f aca="false">DATE(LEFT(Raw!K89,4),MID(Raw!K89,6,2),MID(Raw!K89,9,2))+TIME(MID(Raw!K89,12,2),MID(Raw!K89,15,2),MID(Raw!K89,18,2))</f>
        <v>45958.5</v>
      </c>
      <c r="P89" s="32" t="n">
        <f aca="false">L89-K89</f>
        <v>2</v>
      </c>
      <c r="Q89" s="32" t="n">
        <f aca="false">M89-L89</f>
        <v>5</v>
      </c>
      <c r="R89" s="32" t="n">
        <f aca="false">O89-N89</f>
        <v>6.5</v>
      </c>
      <c r="S89" s="32" t="n">
        <f aca="false">Raw!L89</f>
        <v>1.5</v>
      </c>
      <c r="T89" s="32" t="n">
        <f aca="false">O89-M89</f>
        <v>1.5</v>
      </c>
      <c r="U89" s="0" t="str">
        <f aca="false">IF(ABS(T89-S89)&lt;0.01,"OK","MISMATCH")</f>
        <v>OK</v>
      </c>
      <c r="V89" s="33" t="n">
        <f aca="false">Raw!M89</f>
        <v>1</v>
      </c>
      <c r="W89" s="0" t="str">
        <f aca="false">IF((S89&gt;0)=(V89=1),"OK","MISMATCH")</f>
        <v>OK</v>
      </c>
      <c r="X89" s="0" t="str">
        <f aca="false">_xlfn.IFS(S89&lt;=0,"Early/On time",S89&lt;=2,"Minor (up to 2 days)",S89&lt;=5,"Moderate (2-5 days)",TRUE(),"Severe (over 5 days)")</f>
        <v>Minor (up to 2 days)</v>
      </c>
      <c r="Y89" s="0" t="str">
        <f aca="false">YEAR(K89)&amp;"-"&amp;TEXT(MONTH(K89),"00")</f>
        <v>2025-10</v>
      </c>
      <c r="Z89" s="0" t="str">
        <f aca="false">C89&amp;" → "&amp;D89</f>
        <v>Surat → Uttarakhand</v>
      </c>
      <c r="AA89" s="0" t="str">
        <f aca="false">Raw!Q89</f>
        <v>VRL Cargo</v>
      </c>
      <c r="AB89" s="0" t="str">
        <f aca="false">Raw!R89</f>
        <v>No</v>
      </c>
      <c r="AC89" s="0" t="str">
        <f aca="false">Raw!S89</f>
        <v>Damaged</v>
      </c>
      <c r="AD89" s="29" t="n">
        <f aca="false">Raw!N89</f>
        <v>6981.36</v>
      </c>
      <c r="AE89" s="29" t="n">
        <f aca="false">Raw!O89</f>
        <v>1737.85</v>
      </c>
      <c r="AF89" s="29" t="n">
        <f aca="false">Raw!P89</f>
        <v>799.6</v>
      </c>
      <c r="AG89" s="29" t="n">
        <f aca="false">AD89/J89</f>
        <v>647.021316033364</v>
      </c>
    </row>
    <row r="90" customFormat="false" ht="15" hidden="false" customHeight="false" outlineLevel="0" collapsed="false">
      <c r="A90" s="0" t="str">
        <f aca="false">Raw!A90</f>
        <v>SHP0089</v>
      </c>
      <c r="B90" s="0" t="str">
        <f aca="false">Raw!B90</f>
        <v>Inbound</v>
      </c>
      <c r="C90" s="0" t="str">
        <f aca="false">Raw!C90</f>
        <v>Punjab</v>
      </c>
      <c r="D90" s="0" t="str">
        <f aca="false">Raw!D90</f>
        <v>Surat</v>
      </c>
      <c r="E90" s="0" t="str">
        <f aca="false">IFERROR(INDEX(Location_Map!$B$2:$B$15,MATCH(C90,Location_Map!$A$2:$A$15,0)),"UNMAPPED")</f>
        <v>Punjab</v>
      </c>
      <c r="F90" s="0" t="str">
        <f aca="false">IFERROR(INDEX(Location_Map!$C$2:$C$15,MATCH(C90,Location_Map!$A$2:$A$15,0)),"UNMAPPED")</f>
        <v>North</v>
      </c>
      <c r="G90" s="0" t="str">
        <f aca="false">IFERROR(INDEX(Location_Map!$B$2:$B$15,MATCH(D90,Location_Map!$A$2:$A$15,0)),"UNMAPPED")</f>
        <v>Gujarat</v>
      </c>
      <c r="H90" s="0" t="str">
        <f aca="false">IFERROR(INDEX(Location_Map!$C$2:$C$15,MATCH(D90,Location_Map!$A$2:$A$15,0)),"UNMAPPED")</f>
        <v>West</v>
      </c>
      <c r="I90" s="0" t="str">
        <f aca="false">Raw!E90</f>
        <v>Raw Yarn</v>
      </c>
      <c r="J90" s="28" t="n">
        <f aca="false">Raw!F90</f>
        <v>6.89</v>
      </c>
      <c r="K90" s="30" t="n">
        <f aca="false">DATE(LEFT(Raw!G90,4),MID(Raw!G90,6,2),MID(Raw!G90,9,2))</f>
        <v>45777</v>
      </c>
      <c r="L90" s="30" t="n">
        <f aca="false">DATE(LEFT(Raw!H90,4),MID(Raw!H90,6,2),MID(Raw!H90,9,2))</f>
        <v>45779</v>
      </c>
      <c r="M90" s="30" t="n">
        <f aca="false">DATE(LEFT(Raw!I90,4),MID(Raw!I90,6,2),MID(Raw!I90,9,2))</f>
        <v>45783</v>
      </c>
      <c r="N90" s="31" t="n">
        <f aca="false">DATE(LEFT(Raw!J90,4),MID(Raw!J90,6,2),MID(Raw!J90,9,2))+TIME(MID(Raw!J90,12,2),MID(Raw!J90,15,2),MID(Raw!J90,18,2))</f>
        <v>45778.7916666667</v>
      </c>
      <c r="O90" s="31" t="n">
        <f aca="false">DATE(LEFT(Raw!K90,4),MID(Raw!K90,6,2),MID(Raw!K90,9,2))+TIME(MID(Raw!K90,12,2),MID(Raw!K90,15,2),MID(Raw!K90,18,2))</f>
        <v>45783.7</v>
      </c>
      <c r="P90" s="32" t="n">
        <f aca="false">L90-K90</f>
        <v>2</v>
      </c>
      <c r="Q90" s="32" t="n">
        <f aca="false">M90-L90</f>
        <v>4</v>
      </c>
      <c r="R90" s="32" t="n">
        <f aca="false">O90-N90</f>
        <v>4.90833333333333</v>
      </c>
      <c r="S90" s="32" t="n">
        <f aca="false">Raw!L90</f>
        <v>0.7</v>
      </c>
      <c r="T90" s="32" t="n">
        <f aca="false">O90-M90</f>
        <v>0.7</v>
      </c>
      <c r="U90" s="0" t="str">
        <f aca="false">IF(ABS(T90-S90)&lt;0.01,"OK","MISMATCH")</f>
        <v>OK</v>
      </c>
      <c r="V90" s="33" t="n">
        <f aca="false">Raw!M90</f>
        <v>1</v>
      </c>
      <c r="W90" s="0" t="str">
        <f aca="false">IF((S90&gt;0)=(V90=1),"OK","MISMATCH")</f>
        <v>OK</v>
      </c>
      <c r="X90" s="0" t="str">
        <f aca="false">_xlfn.IFS(S90&lt;=0,"Early/On time",S90&lt;=2,"Minor (up to 2 days)",S90&lt;=5,"Moderate (2-5 days)",TRUE(),"Severe (over 5 days)")</f>
        <v>Minor (up to 2 days)</v>
      </c>
      <c r="Y90" s="0" t="str">
        <f aca="false">YEAR(K90)&amp;"-"&amp;TEXT(MONTH(K90),"00")</f>
        <v>2025-04</v>
      </c>
      <c r="Z90" s="0" t="str">
        <f aca="false">C90&amp;" → "&amp;D90</f>
        <v>Punjab → Surat</v>
      </c>
      <c r="AA90" s="0" t="str">
        <f aca="false">Raw!Q90</f>
        <v>BlueDart</v>
      </c>
      <c r="AB90" s="0" t="str">
        <f aca="false">Raw!R90</f>
        <v>No</v>
      </c>
      <c r="AC90" s="0" t="str">
        <f aca="false">Raw!S90</f>
        <v>Held at warehouse</v>
      </c>
      <c r="AD90" s="29" t="n">
        <f aca="false">Raw!N90</f>
        <v>2773.61</v>
      </c>
      <c r="AE90" s="29" t="n">
        <f aca="false">Raw!O90</f>
        <v>3259.36</v>
      </c>
      <c r="AF90" s="29" t="n">
        <f aca="false">Raw!P90</f>
        <v>565.71</v>
      </c>
      <c r="AG90" s="29" t="n">
        <f aca="false">AD90/J90</f>
        <v>402.55587808418</v>
      </c>
    </row>
    <row r="91" customFormat="false" ht="15" hidden="false" customHeight="false" outlineLevel="0" collapsed="false">
      <c r="A91" s="0" t="str">
        <f aca="false">Raw!A91</f>
        <v>SHP0090</v>
      </c>
      <c r="B91" s="0" t="str">
        <f aca="false">Raw!B91</f>
        <v>Outbound</v>
      </c>
      <c r="C91" s="0" t="str">
        <f aca="false">Raw!C91</f>
        <v>Surat</v>
      </c>
      <c r="D91" s="0" t="str">
        <f aca="false">Raw!D91</f>
        <v>Madhya Pradesh</v>
      </c>
      <c r="E91" s="0" t="str">
        <f aca="false">IFERROR(INDEX(Location_Map!$B$2:$B$15,MATCH(C91,Location_Map!$A$2:$A$15,0)),"UNMAPPED")</f>
        <v>Gujarat</v>
      </c>
      <c r="F91" s="0" t="str">
        <f aca="false">IFERROR(INDEX(Location_Map!$C$2:$C$15,MATCH(C91,Location_Map!$A$2:$A$15,0)),"UNMAPPED")</f>
        <v>West</v>
      </c>
      <c r="G91" s="0" t="str">
        <f aca="false">IFERROR(INDEX(Location_Map!$B$2:$B$15,MATCH(D91,Location_Map!$A$2:$A$15,0)),"UNMAPPED")</f>
        <v>Madhya Pradesh</v>
      </c>
      <c r="H91" s="0" t="str">
        <f aca="false">IFERROR(INDEX(Location_Map!$C$2:$C$15,MATCH(D91,Location_Map!$A$2:$A$15,0)),"UNMAPPED")</f>
        <v>Central</v>
      </c>
      <c r="I91" s="0" t="str">
        <f aca="false">Raw!E91</f>
        <v>Raw Yarn</v>
      </c>
      <c r="J91" s="28" t="n">
        <f aca="false">Raw!F91</f>
        <v>15.74</v>
      </c>
      <c r="K91" s="30" t="n">
        <f aca="false">DATE(LEFT(Raw!G91,4),MID(Raw!G91,6,2),MID(Raw!G91,9,2))</f>
        <v>45793</v>
      </c>
      <c r="L91" s="30" t="n">
        <f aca="false">DATE(LEFT(Raw!H91,4),MID(Raw!H91,6,2),MID(Raw!H91,9,2))</f>
        <v>45796</v>
      </c>
      <c r="M91" s="30" t="n">
        <f aca="false">DATE(LEFT(Raw!I91,4),MID(Raw!I91,6,2),MID(Raw!I91,9,2))</f>
        <v>45801</v>
      </c>
      <c r="N91" s="31" t="n">
        <f aca="false">DATE(LEFT(Raw!J91,4),MID(Raw!J91,6,2),MID(Raw!J91,9,2))+TIME(MID(Raw!J91,12,2),MID(Raw!J91,15,2),MID(Raw!J91,18,2))</f>
        <v>45795.7916666667</v>
      </c>
      <c r="O91" s="31" t="n">
        <f aca="false">DATE(LEFT(Raw!K91,4),MID(Raw!K91,6,2),MID(Raw!K91,9,2))+TIME(MID(Raw!K91,12,2),MID(Raw!K91,15,2),MID(Raw!K91,18,2))</f>
        <v>45800</v>
      </c>
      <c r="P91" s="32" t="n">
        <f aca="false">L91-K91</f>
        <v>3</v>
      </c>
      <c r="Q91" s="32" t="n">
        <f aca="false">M91-L91</f>
        <v>5</v>
      </c>
      <c r="R91" s="32" t="n">
        <f aca="false">O91-N91</f>
        <v>4.20833333333333</v>
      </c>
      <c r="S91" s="32" t="n">
        <f aca="false">Raw!L91</f>
        <v>-1</v>
      </c>
      <c r="T91" s="32" t="n">
        <f aca="false">O91-M91</f>
        <v>-1</v>
      </c>
      <c r="U91" s="0" t="str">
        <f aca="false">IF(ABS(T91-S91)&lt;0.01,"OK","MISMATCH")</f>
        <v>OK</v>
      </c>
      <c r="V91" s="33" t="n">
        <f aca="false">Raw!M91</f>
        <v>0</v>
      </c>
      <c r="W91" s="0" t="str">
        <f aca="false">IF((S91&gt;0)=(V91=1),"OK","MISMATCH")</f>
        <v>OK</v>
      </c>
      <c r="X91" s="0" t="str">
        <f aca="false">_xlfn.IFS(S91&lt;=0,"Early/On time",S91&lt;=2,"Minor (up to 2 days)",S91&lt;=5,"Moderate (2-5 days)",TRUE(),"Severe (over 5 days)")</f>
        <v>Early/On time</v>
      </c>
      <c r="Y91" s="0" t="str">
        <f aca="false">YEAR(K91)&amp;"-"&amp;TEXT(MONTH(K91),"00")</f>
        <v>2025-05</v>
      </c>
      <c r="Z91" s="0" t="str">
        <f aca="false">C91&amp;" → "&amp;D91</f>
        <v>Surat → Madhya Pradesh</v>
      </c>
      <c r="AA91" s="0" t="str">
        <f aca="false">Raw!Q91</f>
        <v>VRL Cargo</v>
      </c>
      <c r="AB91" s="0" t="str">
        <f aca="false">Raw!R91</f>
        <v>Yes</v>
      </c>
      <c r="AC91" s="0" t="str">
        <f aca="false">Raw!S91</f>
        <v>Damaged</v>
      </c>
      <c r="AD91" s="29" t="n">
        <f aca="false">Raw!N91</f>
        <v>7198.64</v>
      </c>
      <c r="AE91" s="29" t="n">
        <f aca="false">Raw!O91</f>
        <v>1620.96</v>
      </c>
      <c r="AF91" s="29" t="n">
        <f aca="false">Raw!P91</f>
        <v>681.93</v>
      </c>
      <c r="AG91" s="29" t="n">
        <f aca="false">AD91/J91</f>
        <v>457.346886912325</v>
      </c>
    </row>
    <row r="92" customFormat="false" ht="15" hidden="false" customHeight="false" outlineLevel="0" collapsed="false">
      <c r="A92" s="0" t="str">
        <f aca="false">Raw!A92</f>
        <v>SHP0091</v>
      </c>
      <c r="B92" s="0" t="str">
        <f aca="false">Raw!B92</f>
        <v>Outbound</v>
      </c>
      <c r="C92" s="0" t="str">
        <f aca="false">Raw!C92</f>
        <v>Surat</v>
      </c>
      <c r="D92" s="0" t="str">
        <f aca="false">Raw!D92</f>
        <v>Gujarat</v>
      </c>
      <c r="E92" s="0" t="str">
        <f aca="false">IFERROR(INDEX(Location_Map!$B$2:$B$15,MATCH(C92,Location_Map!$A$2:$A$15,0)),"UNMAPPED")</f>
        <v>Gujarat</v>
      </c>
      <c r="F92" s="0" t="str">
        <f aca="false">IFERROR(INDEX(Location_Map!$C$2:$C$15,MATCH(C92,Location_Map!$A$2:$A$15,0)),"UNMAPPED")</f>
        <v>West</v>
      </c>
      <c r="G92" s="0" t="str">
        <f aca="false">IFERROR(INDEX(Location_Map!$B$2:$B$15,MATCH(D92,Location_Map!$A$2:$A$15,0)),"UNMAPPED")</f>
        <v>Gujarat</v>
      </c>
      <c r="H92" s="0" t="str">
        <f aca="false">IFERROR(INDEX(Location_Map!$C$2:$C$15,MATCH(D92,Location_Map!$A$2:$A$15,0)),"UNMAPPED")</f>
        <v>West</v>
      </c>
      <c r="I92" s="0" t="str">
        <f aca="false">Raw!E92</f>
        <v>Raw Yarn</v>
      </c>
      <c r="J92" s="28" t="n">
        <f aca="false">Raw!F92</f>
        <v>17.37</v>
      </c>
      <c r="K92" s="30" t="n">
        <f aca="false">DATE(LEFT(Raw!G92,4),MID(Raw!G92,6,2),MID(Raw!G92,9,2))</f>
        <v>45941</v>
      </c>
      <c r="L92" s="30" t="n">
        <f aca="false">DATE(LEFT(Raw!H92,4),MID(Raw!H92,6,2),MID(Raw!H92,9,2))</f>
        <v>45943</v>
      </c>
      <c r="M92" s="30" t="n">
        <f aca="false">DATE(LEFT(Raw!I92,4),MID(Raw!I92,6,2),MID(Raw!I92,9,2))</f>
        <v>45946</v>
      </c>
      <c r="N92" s="31" t="n">
        <f aca="false">DATE(LEFT(Raw!J92,4),MID(Raw!J92,6,2),MID(Raw!J92,9,2))+TIME(MID(Raw!J92,12,2),MID(Raw!J92,15,2),MID(Raw!J92,18,2))</f>
        <v>45942.7916666667</v>
      </c>
      <c r="O92" s="31" t="n">
        <f aca="false">DATE(LEFT(Raw!K92,4),MID(Raw!K92,6,2),MID(Raw!K92,9,2))+TIME(MID(Raw!K92,12,2),MID(Raw!K92,15,2),MID(Raw!K92,18,2))</f>
        <v>45948.2</v>
      </c>
      <c r="P92" s="32" t="n">
        <f aca="false">L92-K92</f>
        <v>2</v>
      </c>
      <c r="Q92" s="32" t="n">
        <f aca="false">M92-L92</f>
        <v>3</v>
      </c>
      <c r="R92" s="32" t="n">
        <f aca="false">O92-N92</f>
        <v>5.40833333333333</v>
      </c>
      <c r="S92" s="32" t="n">
        <f aca="false">Raw!L92</f>
        <v>2.2</v>
      </c>
      <c r="T92" s="32" t="n">
        <f aca="false">O92-M92</f>
        <v>2.2</v>
      </c>
      <c r="U92" s="0" t="str">
        <f aca="false">IF(ABS(T92-S92)&lt;0.01,"OK","MISMATCH")</f>
        <v>OK</v>
      </c>
      <c r="V92" s="33" t="n">
        <f aca="false">Raw!M92</f>
        <v>1</v>
      </c>
      <c r="W92" s="0" t="str">
        <f aca="false">IF((S92&gt;0)=(V92=1),"OK","MISMATCH")</f>
        <v>OK</v>
      </c>
      <c r="X92" s="0" t="str">
        <f aca="false">_xlfn.IFS(S92&lt;=0,"Early/On time",S92&lt;=2,"Minor (up to 2 days)",S92&lt;=5,"Moderate (2-5 days)",TRUE(),"Severe (over 5 days)")</f>
        <v>Moderate (2-5 days)</v>
      </c>
      <c r="Y92" s="0" t="str">
        <f aca="false">YEAR(K92)&amp;"-"&amp;TEXT(MONTH(K92),"00")</f>
        <v>2025-10</v>
      </c>
      <c r="Z92" s="0" t="str">
        <f aca="false">C92&amp;" → "&amp;D92</f>
        <v>Surat → Gujarat</v>
      </c>
      <c r="AA92" s="0" t="str">
        <f aca="false">Raw!Q92</f>
        <v>TCI Express</v>
      </c>
      <c r="AB92" s="0" t="str">
        <f aca="false">Raw!R92</f>
        <v>No</v>
      </c>
      <c r="AC92" s="0" t="str">
        <f aca="false">Raw!S92</f>
        <v>Held at warehouse</v>
      </c>
      <c r="AD92" s="29" t="n">
        <f aca="false">Raw!N92</f>
        <v>4188.53</v>
      </c>
      <c r="AE92" s="29" t="n">
        <f aca="false">Raw!O92</f>
        <v>3863.89</v>
      </c>
      <c r="AF92" s="29" t="n">
        <f aca="false">Raw!P92</f>
        <v>1158.92</v>
      </c>
      <c r="AG92" s="29" t="n">
        <f aca="false">AD92/J92</f>
        <v>241.135866436385</v>
      </c>
    </row>
    <row r="93" customFormat="false" ht="15" hidden="false" customHeight="false" outlineLevel="0" collapsed="false">
      <c r="A93" s="0" t="str">
        <f aca="false">Raw!A93</f>
        <v>SHP0092</v>
      </c>
      <c r="B93" s="0" t="str">
        <f aca="false">Raw!B93</f>
        <v>Inbound</v>
      </c>
      <c r="C93" s="0" t="str">
        <f aca="false">Raw!C93</f>
        <v>Rajasthan</v>
      </c>
      <c r="D93" s="0" t="str">
        <f aca="false">Raw!D93</f>
        <v>Surat</v>
      </c>
      <c r="E93" s="0" t="str">
        <f aca="false">IFERROR(INDEX(Location_Map!$B$2:$B$15,MATCH(C93,Location_Map!$A$2:$A$15,0)),"UNMAPPED")</f>
        <v>Rajasthan</v>
      </c>
      <c r="F93" s="0" t="str">
        <f aca="false">IFERROR(INDEX(Location_Map!$C$2:$C$15,MATCH(C93,Location_Map!$A$2:$A$15,0)),"UNMAPPED")</f>
        <v>North</v>
      </c>
      <c r="G93" s="0" t="str">
        <f aca="false">IFERROR(INDEX(Location_Map!$B$2:$B$15,MATCH(D93,Location_Map!$A$2:$A$15,0)),"UNMAPPED")</f>
        <v>Gujarat</v>
      </c>
      <c r="H93" s="0" t="str">
        <f aca="false">IFERROR(INDEX(Location_Map!$C$2:$C$15,MATCH(D93,Location_Map!$A$2:$A$15,0)),"UNMAPPED")</f>
        <v>West</v>
      </c>
      <c r="I93" s="0" t="str">
        <f aca="false">Raw!E93</f>
        <v>Raw Yarn</v>
      </c>
      <c r="J93" s="28" t="n">
        <f aca="false">Raw!F93</f>
        <v>1.51</v>
      </c>
      <c r="K93" s="30" t="n">
        <f aca="false">DATE(LEFT(Raw!G93,4),MID(Raw!G93,6,2),MID(Raw!G93,9,2))</f>
        <v>45724</v>
      </c>
      <c r="L93" s="30" t="n">
        <f aca="false">DATE(LEFT(Raw!H93,4),MID(Raw!H93,6,2),MID(Raw!H93,9,2))</f>
        <v>45725</v>
      </c>
      <c r="M93" s="30" t="n">
        <f aca="false">DATE(LEFT(Raw!I93,4),MID(Raw!I93,6,2),MID(Raw!I93,9,2))</f>
        <v>45729</v>
      </c>
      <c r="N93" s="31" t="n">
        <f aca="false">DATE(LEFT(Raw!J93,4),MID(Raw!J93,6,2),MID(Raw!J93,9,2))+TIME(MID(Raw!J93,12,2),MID(Raw!J93,15,2),MID(Raw!J93,18,2))</f>
        <v>45725.375</v>
      </c>
      <c r="O93" s="31" t="n">
        <f aca="false">DATE(LEFT(Raw!K93,4),MID(Raw!K93,6,2),MID(Raw!K93,9,2))+TIME(MID(Raw!K93,12,2),MID(Raw!K93,15,2),MID(Raw!K93,18,2))</f>
        <v>45733.9</v>
      </c>
      <c r="P93" s="32" t="n">
        <f aca="false">L93-K93</f>
        <v>1</v>
      </c>
      <c r="Q93" s="32" t="n">
        <f aca="false">M93-L93</f>
        <v>4</v>
      </c>
      <c r="R93" s="32" t="n">
        <f aca="false">O93-N93</f>
        <v>8.525</v>
      </c>
      <c r="S93" s="32" t="n">
        <f aca="false">Raw!L93</f>
        <v>4.9</v>
      </c>
      <c r="T93" s="32" t="n">
        <f aca="false">O93-M93</f>
        <v>4.9</v>
      </c>
      <c r="U93" s="0" t="str">
        <f aca="false">IF(ABS(T93-S93)&lt;0.01,"OK","MISMATCH")</f>
        <v>OK</v>
      </c>
      <c r="V93" s="33" t="n">
        <f aca="false">Raw!M93</f>
        <v>1</v>
      </c>
      <c r="W93" s="0" t="str">
        <f aca="false">IF((S93&gt;0)=(V93=1),"OK","MISMATCH")</f>
        <v>OK</v>
      </c>
      <c r="X93" s="0" t="str">
        <f aca="false">_xlfn.IFS(S93&lt;=0,"Early/On time",S93&lt;=2,"Minor (up to 2 days)",S93&lt;=5,"Moderate (2-5 days)",TRUE(),"Severe (over 5 days)")</f>
        <v>Moderate (2-5 days)</v>
      </c>
      <c r="Y93" s="0" t="str">
        <f aca="false">YEAR(K93)&amp;"-"&amp;TEXT(MONTH(K93),"00")</f>
        <v>2025-03</v>
      </c>
      <c r="Z93" s="0" t="str">
        <f aca="false">C93&amp;" → "&amp;D93</f>
        <v>Rajasthan → Surat</v>
      </c>
      <c r="AA93" s="0" t="str">
        <f aca="false">Raw!Q93</f>
        <v>VRL Cargo</v>
      </c>
      <c r="AB93" s="0" t="str">
        <f aca="false">Raw!R93</f>
        <v>No</v>
      </c>
      <c r="AC93" s="0" t="str">
        <f aca="false">Raw!S93</f>
        <v>Damaged</v>
      </c>
      <c r="AD93" s="29" t="n">
        <f aca="false">Raw!N93</f>
        <v>1144.28</v>
      </c>
      <c r="AE93" s="29" t="n">
        <f aca="false">Raw!O93</f>
        <v>4199.66</v>
      </c>
      <c r="AF93" s="29" t="n">
        <f aca="false">Raw!P93</f>
        <v>678.54</v>
      </c>
      <c r="AG93" s="29" t="n">
        <f aca="false">AD93/J93</f>
        <v>757.801324503311</v>
      </c>
    </row>
    <row r="94" customFormat="false" ht="15" hidden="false" customHeight="false" outlineLevel="0" collapsed="false">
      <c r="A94" s="0" t="str">
        <f aca="false">Raw!A94</f>
        <v>SHP0093</v>
      </c>
      <c r="B94" s="0" t="str">
        <f aca="false">Raw!B94</f>
        <v>Outbound</v>
      </c>
      <c r="C94" s="0" t="str">
        <f aca="false">Raw!C94</f>
        <v>Surat</v>
      </c>
      <c r="D94" s="0" t="str">
        <f aca="false">Raw!D94</f>
        <v>Mumbai</v>
      </c>
      <c r="E94" s="0" t="str">
        <f aca="false">IFERROR(INDEX(Location_Map!$B$2:$B$15,MATCH(C94,Location_Map!$A$2:$A$15,0)),"UNMAPPED")</f>
        <v>Gujarat</v>
      </c>
      <c r="F94" s="0" t="str">
        <f aca="false">IFERROR(INDEX(Location_Map!$C$2:$C$15,MATCH(C94,Location_Map!$A$2:$A$15,0)),"UNMAPPED")</f>
        <v>West</v>
      </c>
      <c r="G94" s="0" t="str">
        <f aca="false">IFERROR(INDEX(Location_Map!$B$2:$B$15,MATCH(D94,Location_Map!$A$2:$A$15,0)),"UNMAPPED")</f>
        <v>Maharashtra</v>
      </c>
      <c r="H94" s="0" t="str">
        <f aca="false">IFERROR(INDEX(Location_Map!$C$2:$C$15,MATCH(D94,Location_Map!$A$2:$A$15,0)),"UNMAPPED")</f>
        <v>West</v>
      </c>
      <c r="I94" s="0" t="str">
        <f aca="false">Raw!E94</f>
        <v>Finished Yarn</v>
      </c>
      <c r="J94" s="28" t="n">
        <f aca="false">Raw!F94</f>
        <v>13.4</v>
      </c>
      <c r="K94" s="30" t="n">
        <f aca="false">DATE(LEFT(Raw!G94,4),MID(Raw!G94,6,2),MID(Raw!G94,9,2))</f>
        <v>45729</v>
      </c>
      <c r="L94" s="30" t="n">
        <f aca="false">DATE(LEFT(Raw!H94,4),MID(Raw!H94,6,2),MID(Raw!H94,9,2))</f>
        <v>45730</v>
      </c>
      <c r="M94" s="30" t="n">
        <f aca="false">DATE(LEFT(Raw!I94,4),MID(Raw!I94,6,2),MID(Raw!I94,9,2))</f>
        <v>45734</v>
      </c>
      <c r="N94" s="31" t="n">
        <f aca="false">DATE(LEFT(Raw!J94,4),MID(Raw!J94,6,2),MID(Raw!J94,9,2))+TIME(MID(Raw!J94,12,2),MID(Raw!J94,15,2),MID(Raw!J94,18,2))</f>
        <v>45730.0416666667</v>
      </c>
      <c r="O94" s="31" t="n">
        <f aca="false">DATE(LEFT(Raw!K94,4),MID(Raw!K94,6,2),MID(Raw!K94,9,2))+TIME(MID(Raw!K94,12,2),MID(Raw!K94,15,2),MID(Raw!K94,18,2))</f>
        <v>45735.2</v>
      </c>
      <c r="P94" s="32" t="n">
        <f aca="false">L94-K94</f>
        <v>1</v>
      </c>
      <c r="Q94" s="32" t="n">
        <f aca="false">M94-L94</f>
        <v>4</v>
      </c>
      <c r="R94" s="32" t="n">
        <f aca="false">O94-N94</f>
        <v>5.15833333333333</v>
      </c>
      <c r="S94" s="32" t="n">
        <f aca="false">Raw!L94</f>
        <v>1.2</v>
      </c>
      <c r="T94" s="32" t="n">
        <f aca="false">O94-M94</f>
        <v>1.2</v>
      </c>
      <c r="U94" s="0" t="str">
        <f aca="false">IF(ABS(T94-S94)&lt;0.01,"OK","MISMATCH")</f>
        <v>OK</v>
      </c>
      <c r="V94" s="33" t="n">
        <f aca="false">Raw!M94</f>
        <v>1</v>
      </c>
      <c r="W94" s="0" t="str">
        <f aca="false">IF((S94&gt;0)=(V94=1),"OK","MISMATCH")</f>
        <v>OK</v>
      </c>
      <c r="X94" s="0" t="str">
        <f aca="false">_xlfn.IFS(S94&lt;=0,"Early/On time",S94&lt;=2,"Minor (up to 2 days)",S94&lt;=5,"Moderate (2-5 days)",TRUE(),"Severe (over 5 days)")</f>
        <v>Minor (up to 2 days)</v>
      </c>
      <c r="Y94" s="0" t="str">
        <f aca="false">YEAR(K94)&amp;"-"&amp;TEXT(MONTH(K94),"00")</f>
        <v>2025-03</v>
      </c>
      <c r="Z94" s="0" t="str">
        <f aca="false">C94&amp;" → "&amp;D94</f>
        <v>Surat → Mumbai</v>
      </c>
      <c r="AA94" s="0" t="str">
        <f aca="false">Raw!Q94</f>
        <v>TCI Express</v>
      </c>
      <c r="AB94" s="0" t="str">
        <f aca="false">Raw!R94</f>
        <v>No</v>
      </c>
      <c r="AC94" s="0" t="str">
        <f aca="false">Raw!S94</f>
        <v>Normal</v>
      </c>
      <c r="AD94" s="29" t="n">
        <f aca="false">Raw!N94</f>
        <v>5892.9</v>
      </c>
      <c r="AE94" s="29" t="n">
        <f aca="false">Raw!O94</f>
        <v>1342.03</v>
      </c>
      <c r="AF94" s="29" t="n">
        <f aca="false">Raw!P94</f>
        <v>707.89</v>
      </c>
      <c r="AG94" s="29" t="n">
        <f aca="false">AD94/J94</f>
        <v>439.768656716418</v>
      </c>
    </row>
    <row r="95" customFormat="false" ht="15" hidden="false" customHeight="false" outlineLevel="0" collapsed="false">
      <c r="A95" s="0" t="str">
        <f aca="false">Raw!A95</f>
        <v>SHP0094</v>
      </c>
      <c r="B95" s="0" t="str">
        <f aca="false">Raw!B95</f>
        <v>Outbound</v>
      </c>
      <c r="C95" s="0" t="str">
        <f aca="false">Raw!C95</f>
        <v>Surat</v>
      </c>
      <c r="D95" s="0" t="str">
        <f aca="false">Raw!D95</f>
        <v>Kerala</v>
      </c>
      <c r="E95" s="0" t="str">
        <f aca="false">IFERROR(INDEX(Location_Map!$B$2:$B$15,MATCH(C95,Location_Map!$A$2:$A$15,0)),"UNMAPPED")</f>
        <v>Gujarat</v>
      </c>
      <c r="F95" s="0" t="str">
        <f aca="false">IFERROR(INDEX(Location_Map!$C$2:$C$15,MATCH(C95,Location_Map!$A$2:$A$15,0)),"UNMAPPED")</f>
        <v>West</v>
      </c>
      <c r="G95" s="0" t="str">
        <f aca="false">IFERROR(INDEX(Location_Map!$B$2:$B$15,MATCH(D95,Location_Map!$A$2:$A$15,0)),"UNMAPPED")</f>
        <v>Kerala</v>
      </c>
      <c r="H95" s="0" t="str">
        <f aca="false">IFERROR(INDEX(Location_Map!$C$2:$C$15,MATCH(D95,Location_Map!$A$2:$A$15,0)),"UNMAPPED")</f>
        <v>South</v>
      </c>
      <c r="I95" s="0" t="str">
        <f aca="false">Raw!E95</f>
        <v>Semi-Processed Yarn</v>
      </c>
      <c r="J95" s="28" t="n">
        <f aca="false">Raw!F95</f>
        <v>1.5</v>
      </c>
      <c r="K95" s="30" t="n">
        <f aca="false">DATE(LEFT(Raw!G95,4),MID(Raw!G95,6,2),MID(Raw!G95,9,2))</f>
        <v>45712</v>
      </c>
      <c r="L95" s="30" t="n">
        <f aca="false">DATE(LEFT(Raw!H95,4),MID(Raw!H95,6,2),MID(Raw!H95,9,2))</f>
        <v>45715</v>
      </c>
      <c r="M95" s="30" t="n">
        <f aca="false">DATE(LEFT(Raw!I95,4),MID(Raw!I95,6,2),MID(Raw!I95,9,2))</f>
        <v>45720</v>
      </c>
      <c r="N95" s="31" t="n">
        <f aca="false">DATE(LEFT(Raw!J95,4),MID(Raw!J95,6,2),MID(Raw!J95,9,2))+TIME(MID(Raw!J95,12,2),MID(Raw!J95,15,2),MID(Raw!J95,18,2))</f>
        <v>45714.8333333333</v>
      </c>
      <c r="O95" s="31" t="n">
        <f aca="false">DATE(LEFT(Raw!K95,4),MID(Raw!K95,6,2),MID(Raw!K95,9,2))+TIME(MID(Raw!K95,12,2),MID(Raw!K95,15,2),MID(Raw!K95,18,2))</f>
        <v>45719</v>
      </c>
      <c r="P95" s="32" t="n">
        <f aca="false">L95-K95</f>
        <v>3</v>
      </c>
      <c r="Q95" s="32" t="n">
        <f aca="false">M95-L95</f>
        <v>5</v>
      </c>
      <c r="R95" s="32" t="n">
        <f aca="false">O95-N95</f>
        <v>4.16666666666667</v>
      </c>
      <c r="S95" s="32" t="n">
        <f aca="false">Raw!L95</f>
        <v>-1</v>
      </c>
      <c r="T95" s="32" t="n">
        <f aca="false">O95-M95</f>
        <v>-1</v>
      </c>
      <c r="U95" s="0" t="str">
        <f aca="false">IF(ABS(T95-S95)&lt;0.01,"OK","MISMATCH")</f>
        <v>OK</v>
      </c>
      <c r="V95" s="33" t="n">
        <f aca="false">Raw!M95</f>
        <v>0</v>
      </c>
      <c r="W95" s="0" t="str">
        <f aca="false">IF((S95&gt;0)=(V95=1),"OK","MISMATCH")</f>
        <v>OK</v>
      </c>
      <c r="X95" s="0" t="str">
        <f aca="false">_xlfn.IFS(S95&lt;=0,"Early/On time",S95&lt;=2,"Minor (up to 2 days)",S95&lt;=5,"Moderate (2-5 days)",TRUE(),"Severe (over 5 days)")</f>
        <v>Early/On time</v>
      </c>
      <c r="Y95" s="0" t="str">
        <f aca="false">YEAR(K95)&amp;"-"&amp;TEXT(MONTH(K95),"00")</f>
        <v>2025-02</v>
      </c>
      <c r="Z95" s="0" t="str">
        <f aca="false">C95&amp;" → "&amp;D95</f>
        <v>Surat → Kerala</v>
      </c>
      <c r="AA95" s="0" t="str">
        <f aca="false">Raw!Q95</f>
        <v>TCI Express</v>
      </c>
      <c r="AB95" s="0" t="str">
        <f aca="false">Raw!R95</f>
        <v>Yes</v>
      </c>
      <c r="AC95" s="0" t="str">
        <f aca="false">Raw!S95</f>
        <v>Damaged</v>
      </c>
      <c r="AD95" s="29" t="n">
        <f aca="false">Raw!N95</f>
        <v>2335.09</v>
      </c>
      <c r="AE95" s="29" t="n">
        <f aca="false">Raw!O95</f>
        <v>2367.27</v>
      </c>
      <c r="AF95" s="29" t="n">
        <f aca="false">Raw!P95</f>
        <v>759.42</v>
      </c>
      <c r="AG95" s="29" t="n">
        <f aca="false">AD95/J95</f>
        <v>1556.72666666667</v>
      </c>
    </row>
    <row r="96" customFormat="false" ht="15" hidden="false" customHeight="false" outlineLevel="0" collapsed="false">
      <c r="A96" s="0" t="str">
        <f aca="false">Raw!A96</f>
        <v>SHP0095</v>
      </c>
      <c r="B96" s="0" t="str">
        <f aca="false">Raw!B96</f>
        <v>Inbound</v>
      </c>
      <c r="C96" s="0" t="str">
        <f aca="false">Raw!C96</f>
        <v>Rajasthan</v>
      </c>
      <c r="D96" s="0" t="str">
        <f aca="false">Raw!D96</f>
        <v>Surat</v>
      </c>
      <c r="E96" s="0" t="str">
        <f aca="false">IFERROR(INDEX(Location_Map!$B$2:$B$15,MATCH(C96,Location_Map!$A$2:$A$15,0)),"UNMAPPED")</f>
        <v>Rajasthan</v>
      </c>
      <c r="F96" s="0" t="str">
        <f aca="false">IFERROR(INDEX(Location_Map!$C$2:$C$15,MATCH(C96,Location_Map!$A$2:$A$15,0)),"UNMAPPED")</f>
        <v>North</v>
      </c>
      <c r="G96" s="0" t="str">
        <f aca="false">IFERROR(INDEX(Location_Map!$B$2:$B$15,MATCH(D96,Location_Map!$A$2:$A$15,0)),"UNMAPPED")</f>
        <v>Gujarat</v>
      </c>
      <c r="H96" s="0" t="str">
        <f aca="false">IFERROR(INDEX(Location_Map!$C$2:$C$15,MATCH(D96,Location_Map!$A$2:$A$15,0)),"UNMAPPED")</f>
        <v>West</v>
      </c>
      <c r="I96" s="0" t="str">
        <f aca="false">Raw!E96</f>
        <v>Semi-Processed Yarn</v>
      </c>
      <c r="J96" s="28" t="n">
        <f aca="false">Raw!F96</f>
        <v>8.21</v>
      </c>
      <c r="K96" s="30" t="n">
        <f aca="false">DATE(LEFT(Raw!G96,4),MID(Raw!G96,6,2),MID(Raw!G96,9,2))</f>
        <v>45835</v>
      </c>
      <c r="L96" s="30" t="n">
        <f aca="false">DATE(LEFT(Raw!H96,4),MID(Raw!H96,6,2),MID(Raw!H96,9,2))</f>
        <v>45837</v>
      </c>
      <c r="M96" s="30" t="n">
        <f aca="false">DATE(LEFT(Raw!I96,4),MID(Raw!I96,6,2),MID(Raw!I96,9,2))</f>
        <v>45843</v>
      </c>
      <c r="N96" s="31" t="n">
        <f aca="false">DATE(LEFT(Raw!J96,4),MID(Raw!J96,6,2),MID(Raw!J96,9,2))+TIME(MID(Raw!J96,12,2),MID(Raw!J96,15,2),MID(Raw!J96,18,2))</f>
        <v>45837.125</v>
      </c>
      <c r="O96" s="31" t="n">
        <f aca="false">DATE(LEFT(Raw!K96,4),MID(Raw!K96,6,2),MID(Raw!K96,9,2))+TIME(MID(Raw!K96,12,2),MID(Raw!K96,15,2),MID(Raw!K96,18,2))</f>
        <v>45848.6</v>
      </c>
      <c r="P96" s="32" t="n">
        <f aca="false">L96-K96</f>
        <v>2</v>
      </c>
      <c r="Q96" s="32" t="n">
        <f aca="false">M96-L96</f>
        <v>6</v>
      </c>
      <c r="R96" s="32" t="n">
        <f aca="false">O96-N96</f>
        <v>11.475</v>
      </c>
      <c r="S96" s="32" t="n">
        <f aca="false">Raw!L96</f>
        <v>5.6</v>
      </c>
      <c r="T96" s="32" t="n">
        <f aca="false">O96-M96</f>
        <v>5.6</v>
      </c>
      <c r="U96" s="0" t="str">
        <f aca="false">IF(ABS(T96-S96)&lt;0.01,"OK","MISMATCH")</f>
        <v>OK</v>
      </c>
      <c r="V96" s="33" t="n">
        <f aca="false">Raw!M96</f>
        <v>1</v>
      </c>
      <c r="W96" s="0" t="str">
        <f aca="false">IF((S96&gt;0)=(V96=1),"OK","MISMATCH")</f>
        <v>OK</v>
      </c>
      <c r="X96" s="0" t="str">
        <f aca="false">_xlfn.IFS(S96&lt;=0,"Early/On time",S96&lt;=2,"Minor (up to 2 days)",S96&lt;=5,"Moderate (2-5 days)",TRUE(),"Severe (over 5 days)")</f>
        <v>Severe (over 5 days)</v>
      </c>
      <c r="Y96" s="0" t="str">
        <f aca="false">YEAR(K96)&amp;"-"&amp;TEXT(MONTH(K96),"00")</f>
        <v>2025-06</v>
      </c>
      <c r="Z96" s="0" t="str">
        <f aca="false">C96&amp;" → "&amp;D96</f>
        <v>Rajasthan → Surat</v>
      </c>
      <c r="AA96" s="0" t="str">
        <f aca="false">Raw!Q96</f>
        <v>GATI Logistics</v>
      </c>
      <c r="AB96" s="0" t="str">
        <f aca="false">Raw!R96</f>
        <v>No</v>
      </c>
      <c r="AC96" s="0" t="str">
        <f aca="false">Raw!S96</f>
        <v>Held at warehouse</v>
      </c>
      <c r="AD96" s="29" t="n">
        <f aca="false">Raw!N96</f>
        <v>3738.95</v>
      </c>
      <c r="AE96" s="29" t="n">
        <f aca="false">Raw!O96</f>
        <v>4793.81</v>
      </c>
      <c r="AF96" s="29" t="n">
        <f aca="false">Raw!P96</f>
        <v>1263.61</v>
      </c>
      <c r="AG96" s="29" t="n">
        <f aca="false">AD96/J96</f>
        <v>455.41412911084</v>
      </c>
    </row>
    <row r="97" customFormat="false" ht="15" hidden="false" customHeight="false" outlineLevel="0" collapsed="false">
      <c r="A97" s="0" t="str">
        <f aca="false">Raw!A97</f>
        <v>SHP0096</v>
      </c>
      <c r="B97" s="0" t="str">
        <f aca="false">Raw!B97</f>
        <v>Outbound</v>
      </c>
      <c r="C97" s="0" t="str">
        <f aca="false">Raw!C97</f>
        <v>Surat</v>
      </c>
      <c r="D97" s="0" t="str">
        <f aca="false">Raw!D97</f>
        <v>Karnataka</v>
      </c>
      <c r="E97" s="0" t="str">
        <f aca="false">IFERROR(INDEX(Location_Map!$B$2:$B$15,MATCH(C97,Location_Map!$A$2:$A$15,0)),"UNMAPPED")</f>
        <v>Gujarat</v>
      </c>
      <c r="F97" s="0" t="str">
        <f aca="false">IFERROR(INDEX(Location_Map!$C$2:$C$15,MATCH(C97,Location_Map!$A$2:$A$15,0)),"UNMAPPED")</f>
        <v>West</v>
      </c>
      <c r="G97" s="0" t="str">
        <f aca="false">IFERROR(INDEX(Location_Map!$B$2:$B$15,MATCH(D97,Location_Map!$A$2:$A$15,0)),"UNMAPPED")</f>
        <v>Karnataka</v>
      </c>
      <c r="H97" s="0" t="str">
        <f aca="false">IFERROR(INDEX(Location_Map!$C$2:$C$15,MATCH(D97,Location_Map!$A$2:$A$15,0)),"UNMAPPED")</f>
        <v>South</v>
      </c>
      <c r="I97" s="0" t="str">
        <f aca="false">Raw!E97</f>
        <v>Finished Yarn</v>
      </c>
      <c r="J97" s="28" t="n">
        <f aca="false">Raw!F97</f>
        <v>3.66</v>
      </c>
      <c r="K97" s="30" t="n">
        <f aca="false">DATE(LEFT(Raw!G97,4),MID(Raw!G97,6,2),MID(Raw!G97,9,2))</f>
        <v>45918</v>
      </c>
      <c r="L97" s="30" t="n">
        <f aca="false">DATE(LEFT(Raw!H97,4),MID(Raw!H97,6,2),MID(Raw!H97,9,2))</f>
        <v>45920</v>
      </c>
      <c r="M97" s="30" t="n">
        <f aca="false">DATE(LEFT(Raw!I97,4),MID(Raw!I97,6,2),MID(Raw!I97,9,2))</f>
        <v>45922</v>
      </c>
      <c r="N97" s="31" t="n">
        <f aca="false">DATE(LEFT(Raw!J97,4),MID(Raw!J97,6,2),MID(Raw!J97,9,2))+TIME(MID(Raw!J97,12,2),MID(Raw!J97,15,2),MID(Raw!J97,18,2))</f>
        <v>45919.8333333333</v>
      </c>
      <c r="O97" s="31" t="n">
        <f aca="false">DATE(LEFT(Raw!K97,4),MID(Raw!K97,6,2),MID(Raw!K97,9,2))+TIME(MID(Raw!K97,12,2),MID(Raw!K97,15,2),MID(Raw!K97,18,2))</f>
        <v>45922</v>
      </c>
      <c r="P97" s="32" t="n">
        <f aca="false">L97-K97</f>
        <v>2</v>
      </c>
      <c r="Q97" s="32" t="n">
        <f aca="false">M97-L97</f>
        <v>2</v>
      </c>
      <c r="R97" s="32" t="n">
        <f aca="false">O97-N97</f>
        <v>2.16666666666667</v>
      </c>
      <c r="S97" s="32" t="n">
        <f aca="false">Raw!L97</f>
        <v>-0</v>
      </c>
      <c r="T97" s="32" t="n">
        <f aca="false">O97-M97</f>
        <v>0</v>
      </c>
      <c r="U97" s="0" t="str">
        <f aca="false">IF(ABS(T97-S97)&lt;0.01,"OK","MISMATCH")</f>
        <v>OK</v>
      </c>
      <c r="V97" s="33" t="n">
        <f aca="false">Raw!M97</f>
        <v>0</v>
      </c>
      <c r="W97" s="0" t="str">
        <f aca="false">IF((S97&gt;0)=(V97=1),"OK","MISMATCH")</f>
        <v>OK</v>
      </c>
      <c r="X97" s="0" t="str">
        <f aca="false">_xlfn.IFS(S97&lt;=0,"Early/On time",S97&lt;=2,"Minor (up to 2 days)",S97&lt;=5,"Moderate (2-5 days)",TRUE(),"Severe (over 5 days)")</f>
        <v>Early/On time</v>
      </c>
      <c r="Y97" s="0" t="str">
        <f aca="false">YEAR(K97)&amp;"-"&amp;TEXT(MONTH(K97),"00")</f>
        <v>2025-09</v>
      </c>
      <c r="Z97" s="0" t="str">
        <f aca="false">C97&amp;" → "&amp;D97</f>
        <v>Surat → Karnataka</v>
      </c>
      <c r="AA97" s="0" t="str">
        <f aca="false">Raw!Q97</f>
        <v>VRL Cargo</v>
      </c>
      <c r="AB97" s="0" t="str">
        <f aca="false">Raw!R97</f>
        <v>No</v>
      </c>
      <c r="AC97" s="0" t="str">
        <f aca="false">Raw!S97</f>
        <v>Expedited</v>
      </c>
      <c r="AD97" s="29" t="n">
        <f aca="false">Raw!N97</f>
        <v>1735.72</v>
      </c>
      <c r="AE97" s="29" t="n">
        <f aca="false">Raw!O97</f>
        <v>3166.54</v>
      </c>
      <c r="AF97" s="29" t="n">
        <f aca="false">Raw!P97</f>
        <v>1133.48</v>
      </c>
      <c r="AG97" s="29" t="n">
        <f aca="false">AD97/J97</f>
        <v>474.24043715847</v>
      </c>
    </row>
    <row r="98" customFormat="false" ht="15" hidden="false" customHeight="false" outlineLevel="0" collapsed="false">
      <c r="A98" s="0" t="str">
        <f aca="false">Raw!A98</f>
        <v>SHP0097</v>
      </c>
      <c r="B98" s="0" t="str">
        <f aca="false">Raw!B98</f>
        <v>Outbound</v>
      </c>
      <c r="C98" s="0" t="str">
        <f aca="false">Raw!C98</f>
        <v>Surat</v>
      </c>
      <c r="D98" s="0" t="str">
        <f aca="false">Raw!D98</f>
        <v>Uttarakhand</v>
      </c>
      <c r="E98" s="0" t="str">
        <f aca="false">IFERROR(INDEX(Location_Map!$B$2:$B$15,MATCH(C98,Location_Map!$A$2:$A$15,0)),"UNMAPPED")</f>
        <v>Gujarat</v>
      </c>
      <c r="F98" s="0" t="str">
        <f aca="false">IFERROR(INDEX(Location_Map!$C$2:$C$15,MATCH(C98,Location_Map!$A$2:$A$15,0)),"UNMAPPED")</f>
        <v>West</v>
      </c>
      <c r="G98" s="0" t="str">
        <f aca="false">IFERROR(INDEX(Location_Map!$B$2:$B$15,MATCH(D98,Location_Map!$A$2:$A$15,0)),"UNMAPPED")</f>
        <v>Uttarakhand</v>
      </c>
      <c r="H98" s="0" t="str">
        <f aca="false">IFERROR(INDEX(Location_Map!$C$2:$C$15,MATCH(D98,Location_Map!$A$2:$A$15,0)),"UNMAPPED")</f>
        <v>North</v>
      </c>
      <c r="I98" s="0" t="str">
        <f aca="false">Raw!E98</f>
        <v>Raw Yarn</v>
      </c>
      <c r="J98" s="28" t="n">
        <f aca="false">Raw!F98</f>
        <v>5.9</v>
      </c>
      <c r="K98" s="30" t="n">
        <f aca="false">DATE(LEFT(Raw!G98,4),MID(Raw!G98,6,2),MID(Raw!G98,9,2))</f>
        <v>45699</v>
      </c>
      <c r="L98" s="30" t="n">
        <f aca="false">DATE(LEFT(Raw!H98,4),MID(Raw!H98,6,2),MID(Raw!H98,9,2))</f>
        <v>45703</v>
      </c>
      <c r="M98" s="30" t="n">
        <f aca="false">DATE(LEFT(Raw!I98,4),MID(Raw!I98,6,2),MID(Raw!I98,9,2))</f>
        <v>45708</v>
      </c>
      <c r="N98" s="31" t="n">
        <f aca="false">DATE(LEFT(Raw!J98,4),MID(Raw!J98,6,2),MID(Raw!J98,9,2))+TIME(MID(Raw!J98,12,2),MID(Raw!J98,15,2),MID(Raw!J98,18,2))</f>
        <v>45703</v>
      </c>
      <c r="O98" s="31" t="n">
        <f aca="false">DATE(LEFT(Raw!K98,4),MID(Raw!K98,6,2),MID(Raw!K98,9,2))+TIME(MID(Raw!K98,12,2),MID(Raw!K98,15,2),MID(Raw!K98,18,2))</f>
        <v>45713.3</v>
      </c>
      <c r="P98" s="32" t="n">
        <f aca="false">L98-K98</f>
        <v>4</v>
      </c>
      <c r="Q98" s="32" t="n">
        <f aca="false">M98-L98</f>
        <v>5</v>
      </c>
      <c r="R98" s="32" t="n">
        <f aca="false">O98-N98</f>
        <v>10.3</v>
      </c>
      <c r="S98" s="32" t="n">
        <f aca="false">Raw!L98</f>
        <v>5.3</v>
      </c>
      <c r="T98" s="32" t="n">
        <f aca="false">O98-M98</f>
        <v>5.3</v>
      </c>
      <c r="U98" s="0" t="str">
        <f aca="false">IF(ABS(T98-S98)&lt;0.01,"OK","MISMATCH")</f>
        <v>OK</v>
      </c>
      <c r="V98" s="33" t="n">
        <f aca="false">Raw!M98</f>
        <v>1</v>
      </c>
      <c r="W98" s="0" t="str">
        <f aca="false">IF((S98&gt;0)=(V98=1),"OK","MISMATCH")</f>
        <v>OK</v>
      </c>
      <c r="X98" s="0" t="str">
        <f aca="false">_xlfn.IFS(S98&lt;=0,"Early/On time",S98&lt;=2,"Minor (up to 2 days)",S98&lt;=5,"Moderate (2-5 days)",TRUE(),"Severe (over 5 days)")</f>
        <v>Severe (over 5 days)</v>
      </c>
      <c r="Y98" s="0" t="str">
        <f aca="false">YEAR(K98)&amp;"-"&amp;TEXT(MONTH(K98),"00")</f>
        <v>2025-02</v>
      </c>
      <c r="Z98" s="0" t="str">
        <f aca="false">C98&amp;" → "&amp;D98</f>
        <v>Surat → Uttarakhand</v>
      </c>
      <c r="AA98" s="0" t="str">
        <f aca="false">Raw!Q98</f>
        <v>TCI Express</v>
      </c>
      <c r="AB98" s="0" t="str">
        <f aca="false">Raw!R98</f>
        <v>Yes</v>
      </c>
      <c r="AC98" s="0" t="str">
        <f aca="false">Raw!S98</f>
        <v>Normal</v>
      </c>
      <c r="AD98" s="29" t="n">
        <f aca="false">Raw!N98</f>
        <v>3351.73</v>
      </c>
      <c r="AE98" s="29" t="n">
        <f aca="false">Raw!O98</f>
        <v>3306.07</v>
      </c>
      <c r="AF98" s="29" t="n">
        <f aca="false">Raw!P98</f>
        <v>774.06</v>
      </c>
      <c r="AG98" s="29" t="n">
        <f aca="false">AD98/J98</f>
        <v>568.089830508475</v>
      </c>
    </row>
    <row r="99" customFormat="false" ht="15" hidden="false" customHeight="false" outlineLevel="0" collapsed="false">
      <c r="A99" s="0" t="str">
        <f aca="false">Raw!A99</f>
        <v>SHP0098</v>
      </c>
      <c r="B99" s="0" t="str">
        <f aca="false">Raw!B99</f>
        <v>Outbound</v>
      </c>
      <c r="C99" s="0" t="str">
        <f aca="false">Raw!C99</f>
        <v>Surat</v>
      </c>
      <c r="D99" s="0" t="str">
        <f aca="false">Raw!D99</f>
        <v>Assam</v>
      </c>
      <c r="E99" s="0" t="str">
        <f aca="false">IFERROR(INDEX(Location_Map!$B$2:$B$15,MATCH(C99,Location_Map!$A$2:$A$15,0)),"UNMAPPED")</f>
        <v>Gujarat</v>
      </c>
      <c r="F99" s="0" t="str">
        <f aca="false">IFERROR(INDEX(Location_Map!$C$2:$C$15,MATCH(C99,Location_Map!$A$2:$A$15,0)),"UNMAPPED")</f>
        <v>West</v>
      </c>
      <c r="G99" s="0" t="str">
        <f aca="false">IFERROR(INDEX(Location_Map!$B$2:$B$15,MATCH(D99,Location_Map!$A$2:$A$15,0)),"UNMAPPED")</f>
        <v>Assam</v>
      </c>
      <c r="H99" s="0" t="str">
        <f aca="false">IFERROR(INDEX(Location_Map!$C$2:$C$15,MATCH(D99,Location_Map!$A$2:$A$15,0)),"UNMAPPED")</f>
        <v>North-East</v>
      </c>
      <c r="I99" s="0" t="str">
        <f aca="false">Raw!E99</f>
        <v>Semi-Processed Yarn</v>
      </c>
      <c r="J99" s="28" t="n">
        <f aca="false">Raw!F99</f>
        <v>11.53</v>
      </c>
      <c r="K99" s="30" t="n">
        <f aca="false">DATE(LEFT(Raw!G99,4),MID(Raw!G99,6,2),MID(Raw!G99,9,2))</f>
        <v>45853</v>
      </c>
      <c r="L99" s="30" t="n">
        <f aca="false">DATE(LEFT(Raw!H99,4),MID(Raw!H99,6,2),MID(Raw!H99,9,2))</f>
        <v>45857</v>
      </c>
      <c r="M99" s="30" t="n">
        <f aca="false">DATE(LEFT(Raw!I99,4),MID(Raw!I99,6,2),MID(Raw!I99,9,2))</f>
        <v>45863</v>
      </c>
      <c r="N99" s="31" t="n">
        <f aca="false">DATE(LEFT(Raw!J99,4),MID(Raw!J99,6,2),MID(Raw!J99,9,2))+TIME(MID(Raw!J99,12,2),MID(Raw!J99,15,2),MID(Raw!J99,18,2))</f>
        <v>45857.1666666667</v>
      </c>
      <c r="O99" s="31" t="n">
        <f aca="false">DATE(LEFT(Raw!K99,4),MID(Raw!K99,6,2),MID(Raw!K99,9,2))+TIME(MID(Raw!K99,12,2),MID(Raw!K99,15,2),MID(Raw!K99,18,2))</f>
        <v>45868.5</v>
      </c>
      <c r="P99" s="32" t="n">
        <f aca="false">L99-K99</f>
        <v>4</v>
      </c>
      <c r="Q99" s="32" t="n">
        <f aca="false">M99-L99</f>
        <v>6</v>
      </c>
      <c r="R99" s="32" t="n">
        <f aca="false">O99-N99</f>
        <v>11.3333333333333</v>
      </c>
      <c r="S99" s="32" t="n">
        <f aca="false">Raw!L99</f>
        <v>5.5</v>
      </c>
      <c r="T99" s="32" t="n">
        <f aca="false">O99-M99</f>
        <v>5.5</v>
      </c>
      <c r="U99" s="0" t="str">
        <f aca="false">IF(ABS(T99-S99)&lt;0.01,"OK","MISMATCH")</f>
        <v>OK</v>
      </c>
      <c r="V99" s="33" t="n">
        <f aca="false">Raw!M99</f>
        <v>1</v>
      </c>
      <c r="W99" s="0" t="str">
        <f aca="false">IF((S99&gt;0)=(V99=1),"OK","MISMATCH")</f>
        <v>OK</v>
      </c>
      <c r="X99" s="0" t="str">
        <f aca="false">_xlfn.IFS(S99&lt;=0,"Early/On time",S99&lt;=2,"Minor (up to 2 days)",S99&lt;=5,"Moderate (2-5 days)",TRUE(),"Severe (over 5 days)")</f>
        <v>Severe (over 5 days)</v>
      </c>
      <c r="Y99" s="0" t="str">
        <f aca="false">YEAR(K99)&amp;"-"&amp;TEXT(MONTH(K99),"00")</f>
        <v>2025-07</v>
      </c>
      <c r="Z99" s="0" t="str">
        <f aca="false">C99&amp;" → "&amp;D99</f>
        <v>Surat → Assam</v>
      </c>
      <c r="AA99" s="0" t="str">
        <f aca="false">Raw!Q99</f>
        <v>VRL Cargo</v>
      </c>
      <c r="AB99" s="0" t="str">
        <f aca="false">Raw!R99</f>
        <v>Yes</v>
      </c>
      <c r="AC99" s="0" t="str">
        <f aca="false">Raw!S99</f>
        <v>Held at warehouse</v>
      </c>
      <c r="AD99" s="29" t="n">
        <f aca="false">Raw!N99</f>
        <v>3731.87</v>
      </c>
      <c r="AE99" s="29" t="n">
        <f aca="false">Raw!O99</f>
        <v>2065.99</v>
      </c>
      <c r="AF99" s="29" t="n">
        <f aca="false">Raw!P99</f>
        <v>1232.18</v>
      </c>
      <c r="AG99" s="29" t="n">
        <f aca="false">AD99/J99</f>
        <v>323.666088464874</v>
      </c>
    </row>
    <row r="100" customFormat="false" ht="15" hidden="false" customHeight="false" outlineLevel="0" collapsed="false">
      <c r="A100" s="0" t="str">
        <f aca="false">Raw!A100</f>
        <v>SHP0099</v>
      </c>
      <c r="B100" s="0" t="str">
        <f aca="false">Raw!B100</f>
        <v>Inbound</v>
      </c>
      <c r="C100" s="0" t="str">
        <f aca="false">Raw!C100</f>
        <v>Chennai</v>
      </c>
      <c r="D100" s="0" t="str">
        <f aca="false">Raw!D100</f>
        <v>Surat</v>
      </c>
      <c r="E100" s="0" t="str">
        <f aca="false">IFERROR(INDEX(Location_Map!$B$2:$B$15,MATCH(C100,Location_Map!$A$2:$A$15,0)),"UNMAPPED")</f>
        <v>Tamil Nadu</v>
      </c>
      <c r="F100" s="0" t="str">
        <f aca="false">IFERROR(INDEX(Location_Map!$C$2:$C$15,MATCH(C100,Location_Map!$A$2:$A$15,0)),"UNMAPPED")</f>
        <v>South</v>
      </c>
      <c r="G100" s="0" t="str">
        <f aca="false">IFERROR(INDEX(Location_Map!$B$2:$B$15,MATCH(D100,Location_Map!$A$2:$A$15,0)),"UNMAPPED")</f>
        <v>Gujarat</v>
      </c>
      <c r="H100" s="0" t="str">
        <f aca="false">IFERROR(INDEX(Location_Map!$C$2:$C$15,MATCH(D100,Location_Map!$A$2:$A$15,0)),"UNMAPPED")</f>
        <v>West</v>
      </c>
      <c r="I100" s="0" t="str">
        <f aca="false">Raw!E100</f>
        <v>Semi-Processed Yarn</v>
      </c>
      <c r="J100" s="28" t="n">
        <f aca="false">Raw!F100</f>
        <v>5.76</v>
      </c>
      <c r="K100" s="30" t="n">
        <f aca="false">DATE(LEFT(Raw!G100,4),MID(Raw!G100,6,2),MID(Raw!G100,9,2))</f>
        <v>45847</v>
      </c>
      <c r="L100" s="30" t="n">
        <f aca="false">DATE(LEFT(Raw!H100,4),MID(Raw!H100,6,2),MID(Raw!H100,9,2))</f>
        <v>45849</v>
      </c>
      <c r="M100" s="30" t="n">
        <f aca="false">DATE(LEFT(Raw!I100,4),MID(Raw!I100,6,2),MID(Raw!I100,9,2))</f>
        <v>45852</v>
      </c>
      <c r="N100" s="31" t="n">
        <f aca="false">DATE(LEFT(Raw!J100,4),MID(Raw!J100,6,2),MID(Raw!J100,9,2))+TIME(MID(Raw!J100,12,2),MID(Raw!J100,15,2),MID(Raw!J100,18,2))</f>
        <v>45849.25</v>
      </c>
      <c r="O100" s="31" t="n">
        <f aca="false">DATE(LEFT(Raw!K100,4),MID(Raw!K100,6,2),MID(Raw!K100,9,2))+TIME(MID(Raw!K100,12,2),MID(Raw!K100,15,2),MID(Raw!K100,18,2))</f>
        <v>45853.5</v>
      </c>
      <c r="P100" s="32" t="n">
        <f aca="false">L100-K100</f>
        <v>2</v>
      </c>
      <c r="Q100" s="32" t="n">
        <f aca="false">M100-L100</f>
        <v>3</v>
      </c>
      <c r="R100" s="32" t="n">
        <f aca="false">O100-N100</f>
        <v>4.25</v>
      </c>
      <c r="S100" s="32" t="n">
        <f aca="false">Raw!L100</f>
        <v>1.5</v>
      </c>
      <c r="T100" s="32" t="n">
        <f aca="false">O100-M100</f>
        <v>1.5</v>
      </c>
      <c r="U100" s="0" t="str">
        <f aca="false">IF(ABS(T100-S100)&lt;0.01,"OK","MISMATCH")</f>
        <v>OK</v>
      </c>
      <c r="V100" s="33" t="n">
        <f aca="false">Raw!M100</f>
        <v>1</v>
      </c>
      <c r="W100" s="0" t="str">
        <f aca="false">IF((S100&gt;0)=(V100=1),"OK","MISMATCH")</f>
        <v>OK</v>
      </c>
      <c r="X100" s="0" t="str">
        <f aca="false">_xlfn.IFS(S100&lt;=0,"Early/On time",S100&lt;=2,"Minor (up to 2 days)",S100&lt;=5,"Moderate (2-5 days)",TRUE(),"Severe (over 5 days)")</f>
        <v>Minor (up to 2 days)</v>
      </c>
      <c r="Y100" s="0" t="str">
        <f aca="false">YEAR(K100)&amp;"-"&amp;TEXT(MONTH(K100),"00")</f>
        <v>2025-07</v>
      </c>
      <c r="Z100" s="0" t="str">
        <f aca="false">C100&amp;" → "&amp;D100</f>
        <v>Chennai → Surat</v>
      </c>
      <c r="AA100" s="0" t="str">
        <f aca="false">Raw!Q100</f>
        <v>BlueDart</v>
      </c>
      <c r="AB100" s="0" t="str">
        <f aca="false">Raw!R100</f>
        <v>No</v>
      </c>
      <c r="AC100" s="0" t="str">
        <f aca="false">Raw!S100</f>
        <v>Damaged</v>
      </c>
      <c r="AD100" s="29" t="n">
        <f aca="false">Raw!N100</f>
        <v>3816.61</v>
      </c>
      <c r="AE100" s="29" t="n">
        <f aca="false">Raw!O100</f>
        <v>2415.49</v>
      </c>
      <c r="AF100" s="29" t="n">
        <f aca="false">Raw!P100</f>
        <v>1458.63</v>
      </c>
      <c r="AG100" s="29" t="n">
        <f aca="false">AD100/J100</f>
        <v>662.605902777778</v>
      </c>
    </row>
    <row r="101" customFormat="false" ht="15" hidden="false" customHeight="false" outlineLevel="0" collapsed="false">
      <c r="A101" s="0" t="str">
        <f aca="false">Raw!A101</f>
        <v>SHP0100</v>
      </c>
      <c r="B101" s="0" t="str">
        <f aca="false">Raw!B101</f>
        <v>Inbound</v>
      </c>
      <c r="C101" s="0" t="str">
        <f aca="false">Raw!C101</f>
        <v>Rajasthan</v>
      </c>
      <c r="D101" s="0" t="str">
        <f aca="false">Raw!D101</f>
        <v>Surat</v>
      </c>
      <c r="E101" s="0" t="str">
        <f aca="false">IFERROR(INDEX(Location_Map!$B$2:$B$15,MATCH(C101,Location_Map!$A$2:$A$15,0)),"UNMAPPED")</f>
        <v>Rajasthan</v>
      </c>
      <c r="F101" s="0" t="str">
        <f aca="false">IFERROR(INDEX(Location_Map!$C$2:$C$15,MATCH(C101,Location_Map!$A$2:$A$15,0)),"UNMAPPED")</f>
        <v>North</v>
      </c>
      <c r="G101" s="0" t="str">
        <f aca="false">IFERROR(INDEX(Location_Map!$B$2:$B$15,MATCH(D101,Location_Map!$A$2:$A$15,0)),"UNMAPPED")</f>
        <v>Gujarat</v>
      </c>
      <c r="H101" s="0" t="str">
        <f aca="false">IFERROR(INDEX(Location_Map!$C$2:$C$15,MATCH(D101,Location_Map!$A$2:$A$15,0)),"UNMAPPED")</f>
        <v>West</v>
      </c>
      <c r="I101" s="0" t="str">
        <f aca="false">Raw!E101</f>
        <v>Semi-Processed Yarn</v>
      </c>
      <c r="J101" s="28" t="n">
        <f aca="false">Raw!F101</f>
        <v>4.5</v>
      </c>
      <c r="K101" s="30" t="n">
        <f aca="false">DATE(LEFT(Raw!G101,4),MID(Raw!G101,6,2),MID(Raw!G101,9,2))</f>
        <v>45685</v>
      </c>
      <c r="L101" s="30" t="n">
        <f aca="false">DATE(LEFT(Raw!H101,4),MID(Raw!H101,6,2),MID(Raw!H101,9,2))</f>
        <v>45689</v>
      </c>
      <c r="M101" s="30" t="n">
        <f aca="false">DATE(LEFT(Raw!I101,4),MID(Raw!I101,6,2),MID(Raw!I101,9,2))</f>
        <v>45695</v>
      </c>
      <c r="N101" s="31" t="n">
        <f aca="false">DATE(LEFT(Raw!J101,4),MID(Raw!J101,6,2),MID(Raw!J101,9,2))+TIME(MID(Raw!J101,12,2),MID(Raw!J101,15,2),MID(Raw!J101,18,2))</f>
        <v>45688.9583333333</v>
      </c>
      <c r="O101" s="31" t="n">
        <f aca="false">DATE(LEFT(Raw!K101,4),MID(Raw!K101,6,2),MID(Raw!K101,9,2))+TIME(MID(Raw!K101,12,2),MID(Raw!K101,15,2),MID(Raw!K101,18,2))</f>
        <v>45699.4</v>
      </c>
      <c r="P101" s="32" t="n">
        <f aca="false">L101-K101</f>
        <v>4</v>
      </c>
      <c r="Q101" s="32" t="n">
        <f aca="false">M101-L101</f>
        <v>6</v>
      </c>
      <c r="R101" s="32" t="n">
        <f aca="false">O101-N101</f>
        <v>10.4416666666667</v>
      </c>
      <c r="S101" s="32" t="n">
        <f aca="false">Raw!L101</f>
        <v>4.4</v>
      </c>
      <c r="T101" s="32" t="n">
        <f aca="false">O101-M101</f>
        <v>4.4</v>
      </c>
      <c r="U101" s="0" t="str">
        <f aca="false">IF(ABS(T101-S101)&lt;0.01,"OK","MISMATCH")</f>
        <v>OK</v>
      </c>
      <c r="V101" s="33" t="n">
        <f aca="false">Raw!M101</f>
        <v>1</v>
      </c>
      <c r="W101" s="0" t="str">
        <f aca="false">IF((S101&gt;0)=(V101=1),"OK","MISMATCH")</f>
        <v>OK</v>
      </c>
      <c r="X101" s="0" t="str">
        <f aca="false">_xlfn.IFS(S101&lt;=0,"Early/On time",S101&lt;=2,"Minor (up to 2 days)",S101&lt;=5,"Moderate (2-5 days)",TRUE(),"Severe (over 5 days)")</f>
        <v>Moderate (2-5 days)</v>
      </c>
      <c r="Y101" s="0" t="str">
        <f aca="false">YEAR(K101)&amp;"-"&amp;TEXT(MONTH(K101),"00")</f>
        <v>2025-01</v>
      </c>
      <c r="Z101" s="0" t="str">
        <f aca="false">C101&amp;" → "&amp;D101</f>
        <v>Rajasthan → Surat</v>
      </c>
      <c r="AA101" s="0" t="str">
        <f aca="false">Raw!Q101</f>
        <v>GATI Logistics</v>
      </c>
      <c r="AB101" s="0" t="str">
        <f aca="false">Raw!R101</f>
        <v>No</v>
      </c>
      <c r="AC101" s="0" t="str">
        <f aca="false">Raw!S101</f>
        <v>Normal</v>
      </c>
      <c r="AD101" s="29" t="n">
        <f aca="false">Raw!N101</f>
        <v>3351.35</v>
      </c>
      <c r="AE101" s="29" t="n">
        <f aca="false">Raw!O101</f>
        <v>4662.05</v>
      </c>
      <c r="AF101" s="29" t="n">
        <f aca="false">Raw!P101</f>
        <v>1221.53</v>
      </c>
      <c r="AG101" s="29" t="n">
        <f aca="false">AD101/J101</f>
        <v>744.744444444444</v>
      </c>
    </row>
    <row r="102" customFormat="false" ht="15" hidden="false" customHeight="false" outlineLevel="0" collapsed="false">
      <c r="A102" s="0" t="str">
        <f aca="false">Raw!A102</f>
        <v>SHP0101</v>
      </c>
      <c r="B102" s="0" t="str">
        <f aca="false">Raw!B102</f>
        <v>Outbound</v>
      </c>
      <c r="C102" s="0" t="str">
        <f aca="false">Raw!C102</f>
        <v>Surat</v>
      </c>
      <c r="D102" s="0" t="str">
        <f aca="false">Raw!D102</f>
        <v>Mumbai</v>
      </c>
      <c r="E102" s="0" t="str">
        <f aca="false">IFERROR(INDEX(Location_Map!$B$2:$B$15,MATCH(C102,Location_Map!$A$2:$A$15,0)),"UNMAPPED")</f>
        <v>Gujarat</v>
      </c>
      <c r="F102" s="0" t="str">
        <f aca="false">IFERROR(INDEX(Location_Map!$C$2:$C$15,MATCH(C102,Location_Map!$A$2:$A$15,0)),"UNMAPPED")</f>
        <v>West</v>
      </c>
      <c r="G102" s="0" t="str">
        <f aca="false">IFERROR(INDEX(Location_Map!$B$2:$B$15,MATCH(D102,Location_Map!$A$2:$A$15,0)),"UNMAPPED")</f>
        <v>Maharashtra</v>
      </c>
      <c r="H102" s="0" t="str">
        <f aca="false">IFERROR(INDEX(Location_Map!$C$2:$C$15,MATCH(D102,Location_Map!$A$2:$A$15,0)),"UNMAPPED")</f>
        <v>West</v>
      </c>
      <c r="I102" s="0" t="str">
        <f aca="false">Raw!E102</f>
        <v>Semi-Processed Yarn</v>
      </c>
      <c r="J102" s="28" t="n">
        <f aca="false">Raw!F102</f>
        <v>12.6</v>
      </c>
      <c r="K102" s="30" t="n">
        <f aca="false">DATE(LEFT(Raw!G102,4),MID(Raw!G102,6,2),MID(Raw!G102,9,2))</f>
        <v>45942</v>
      </c>
      <c r="L102" s="30" t="n">
        <f aca="false">DATE(LEFT(Raw!H102,4),MID(Raw!H102,6,2),MID(Raw!H102,9,2))</f>
        <v>45944</v>
      </c>
      <c r="M102" s="30" t="n">
        <f aca="false">DATE(LEFT(Raw!I102,4),MID(Raw!I102,6,2),MID(Raw!I102,9,2))</f>
        <v>45950</v>
      </c>
      <c r="N102" s="31" t="n">
        <f aca="false">DATE(LEFT(Raw!J102,4),MID(Raw!J102,6,2),MID(Raw!J102,9,2))+TIME(MID(Raw!J102,12,2),MID(Raw!J102,15,2),MID(Raw!J102,18,2))</f>
        <v>45944.375</v>
      </c>
      <c r="O102" s="31" t="n">
        <f aca="false">DATE(LEFT(Raw!K102,4),MID(Raw!K102,6,2),MID(Raw!K102,9,2))+TIME(MID(Raw!K102,12,2),MID(Raw!K102,15,2),MID(Raw!K102,18,2))</f>
        <v>45949</v>
      </c>
      <c r="P102" s="32" t="n">
        <f aca="false">L102-K102</f>
        <v>2</v>
      </c>
      <c r="Q102" s="32" t="n">
        <f aca="false">M102-L102</f>
        <v>6</v>
      </c>
      <c r="R102" s="32" t="n">
        <f aca="false">O102-N102</f>
        <v>4.625</v>
      </c>
      <c r="S102" s="32" t="n">
        <f aca="false">Raw!L102</f>
        <v>-1</v>
      </c>
      <c r="T102" s="32" t="n">
        <f aca="false">O102-M102</f>
        <v>-1</v>
      </c>
      <c r="U102" s="0" t="str">
        <f aca="false">IF(ABS(T102-S102)&lt;0.01,"OK","MISMATCH")</f>
        <v>OK</v>
      </c>
      <c r="V102" s="33" t="n">
        <f aca="false">Raw!M102</f>
        <v>0</v>
      </c>
      <c r="W102" s="0" t="str">
        <f aca="false">IF((S102&gt;0)=(V102=1),"OK","MISMATCH")</f>
        <v>OK</v>
      </c>
      <c r="X102" s="0" t="str">
        <f aca="false">_xlfn.IFS(S102&lt;=0,"Early/On time",S102&lt;=2,"Minor (up to 2 days)",S102&lt;=5,"Moderate (2-5 days)",TRUE(),"Severe (over 5 days)")</f>
        <v>Early/On time</v>
      </c>
      <c r="Y102" s="0" t="str">
        <f aca="false">YEAR(K102)&amp;"-"&amp;TEXT(MONTH(K102),"00")</f>
        <v>2025-10</v>
      </c>
      <c r="Z102" s="0" t="str">
        <f aca="false">C102&amp;" → "&amp;D102</f>
        <v>Surat → Mumbai</v>
      </c>
      <c r="AA102" s="0" t="str">
        <f aca="false">Raw!Q102</f>
        <v>VRL Cargo</v>
      </c>
      <c r="AB102" s="0" t="str">
        <f aca="false">Raw!R102</f>
        <v>Yes</v>
      </c>
      <c r="AC102" s="0" t="str">
        <f aca="false">Raw!S102</f>
        <v>Normal</v>
      </c>
      <c r="AD102" s="29" t="n">
        <f aca="false">Raw!N102</f>
        <v>5488.31</v>
      </c>
      <c r="AE102" s="29" t="n">
        <f aca="false">Raw!O102</f>
        <v>1205.7</v>
      </c>
      <c r="AF102" s="29" t="n">
        <f aca="false">Raw!P102</f>
        <v>996.37</v>
      </c>
      <c r="AG102" s="29" t="n">
        <f aca="false">AD102/J102</f>
        <v>435.580158730159</v>
      </c>
    </row>
    <row r="103" customFormat="false" ht="15" hidden="false" customHeight="false" outlineLevel="0" collapsed="false">
      <c r="A103" s="0" t="str">
        <f aca="false">Raw!A103</f>
        <v>SHP0102</v>
      </c>
      <c r="B103" s="0" t="str">
        <f aca="false">Raw!B103</f>
        <v>Outbound</v>
      </c>
      <c r="C103" s="0" t="str">
        <f aca="false">Raw!C103</f>
        <v>Surat</v>
      </c>
      <c r="D103" s="0" t="str">
        <f aca="false">Raw!D103</f>
        <v>Gujarat</v>
      </c>
      <c r="E103" s="0" t="str">
        <f aca="false">IFERROR(INDEX(Location_Map!$B$2:$B$15,MATCH(C103,Location_Map!$A$2:$A$15,0)),"UNMAPPED")</f>
        <v>Gujarat</v>
      </c>
      <c r="F103" s="0" t="str">
        <f aca="false">IFERROR(INDEX(Location_Map!$C$2:$C$15,MATCH(C103,Location_Map!$A$2:$A$15,0)),"UNMAPPED")</f>
        <v>West</v>
      </c>
      <c r="G103" s="0" t="str">
        <f aca="false">IFERROR(INDEX(Location_Map!$B$2:$B$15,MATCH(D103,Location_Map!$A$2:$A$15,0)),"UNMAPPED")</f>
        <v>Gujarat</v>
      </c>
      <c r="H103" s="0" t="str">
        <f aca="false">IFERROR(INDEX(Location_Map!$C$2:$C$15,MATCH(D103,Location_Map!$A$2:$A$15,0)),"UNMAPPED")</f>
        <v>West</v>
      </c>
      <c r="I103" s="0" t="str">
        <f aca="false">Raw!E103</f>
        <v>Raw Yarn</v>
      </c>
      <c r="J103" s="28" t="n">
        <f aca="false">Raw!F103</f>
        <v>12.34</v>
      </c>
      <c r="K103" s="30" t="n">
        <f aca="false">DATE(LEFT(Raw!G103,4),MID(Raw!G103,6,2),MID(Raw!G103,9,2))</f>
        <v>45758</v>
      </c>
      <c r="L103" s="30" t="n">
        <f aca="false">DATE(LEFT(Raw!H103,4),MID(Raw!H103,6,2),MID(Raw!H103,9,2))</f>
        <v>45762</v>
      </c>
      <c r="M103" s="30" t="n">
        <f aca="false">DATE(LEFT(Raw!I103,4),MID(Raw!I103,6,2),MID(Raw!I103,9,2))</f>
        <v>45768</v>
      </c>
      <c r="N103" s="31" t="n">
        <f aca="false">DATE(LEFT(Raw!J103,4),MID(Raw!J103,6,2),MID(Raw!J103,9,2))+TIME(MID(Raw!J103,12,2),MID(Raw!J103,15,2),MID(Raw!J103,18,2))</f>
        <v>45762.125</v>
      </c>
      <c r="O103" s="31" t="n">
        <f aca="false">DATE(LEFT(Raw!K103,4),MID(Raw!K103,6,2),MID(Raw!K103,9,2))+TIME(MID(Raw!K103,12,2),MID(Raw!K103,15,2),MID(Raw!K103,18,2))</f>
        <v>45769.6</v>
      </c>
      <c r="P103" s="32" t="n">
        <f aca="false">L103-K103</f>
        <v>4</v>
      </c>
      <c r="Q103" s="32" t="n">
        <f aca="false">M103-L103</f>
        <v>6</v>
      </c>
      <c r="R103" s="32" t="n">
        <f aca="false">O103-N103</f>
        <v>7.475</v>
      </c>
      <c r="S103" s="32" t="n">
        <f aca="false">Raw!L103</f>
        <v>1.6</v>
      </c>
      <c r="T103" s="32" t="n">
        <f aca="false">O103-M103</f>
        <v>1.6</v>
      </c>
      <c r="U103" s="0" t="str">
        <f aca="false">IF(ABS(T103-S103)&lt;0.01,"OK","MISMATCH")</f>
        <v>OK</v>
      </c>
      <c r="V103" s="33" t="n">
        <f aca="false">Raw!M103</f>
        <v>1</v>
      </c>
      <c r="W103" s="0" t="str">
        <f aca="false">IF((S103&gt;0)=(V103=1),"OK","MISMATCH")</f>
        <v>OK</v>
      </c>
      <c r="X103" s="0" t="str">
        <f aca="false">_xlfn.IFS(S103&lt;=0,"Early/On time",S103&lt;=2,"Minor (up to 2 days)",S103&lt;=5,"Moderate (2-5 days)",TRUE(),"Severe (over 5 days)")</f>
        <v>Minor (up to 2 days)</v>
      </c>
      <c r="Y103" s="0" t="str">
        <f aca="false">YEAR(K103)&amp;"-"&amp;TEXT(MONTH(K103),"00")</f>
        <v>2025-04</v>
      </c>
      <c r="Z103" s="0" t="str">
        <f aca="false">C103&amp;" → "&amp;D103</f>
        <v>Surat → Gujarat</v>
      </c>
      <c r="AA103" s="0" t="str">
        <f aca="false">Raw!Q103</f>
        <v>GATI Logistics</v>
      </c>
      <c r="AB103" s="0" t="str">
        <f aca="false">Raw!R103</f>
        <v>Yes</v>
      </c>
      <c r="AC103" s="0" t="str">
        <f aca="false">Raw!S103</f>
        <v>Expedited</v>
      </c>
      <c r="AD103" s="29" t="n">
        <f aca="false">Raw!N103</f>
        <v>4906.47</v>
      </c>
      <c r="AE103" s="29" t="n">
        <f aca="false">Raw!O103</f>
        <v>2981.97</v>
      </c>
      <c r="AF103" s="29" t="n">
        <f aca="false">Raw!P103</f>
        <v>1188.4</v>
      </c>
      <c r="AG103" s="29" t="n">
        <f aca="false">AD103/J103</f>
        <v>397.606969205835</v>
      </c>
    </row>
    <row r="104" customFormat="false" ht="15" hidden="false" customHeight="false" outlineLevel="0" collapsed="false">
      <c r="A104" s="0" t="str">
        <f aca="false">Raw!A104</f>
        <v>SHP0103</v>
      </c>
      <c r="B104" s="0" t="str">
        <f aca="false">Raw!B104</f>
        <v>Inbound</v>
      </c>
      <c r="C104" s="0" t="str">
        <f aca="false">Raw!C104</f>
        <v>Gujarat</v>
      </c>
      <c r="D104" s="0" t="str">
        <f aca="false">Raw!D104</f>
        <v>Surat</v>
      </c>
      <c r="E104" s="0" t="str">
        <f aca="false">IFERROR(INDEX(Location_Map!$B$2:$B$15,MATCH(C104,Location_Map!$A$2:$A$15,0)),"UNMAPPED")</f>
        <v>Gujarat</v>
      </c>
      <c r="F104" s="0" t="str">
        <f aca="false">IFERROR(INDEX(Location_Map!$C$2:$C$15,MATCH(C104,Location_Map!$A$2:$A$15,0)),"UNMAPPED")</f>
        <v>West</v>
      </c>
      <c r="G104" s="0" t="str">
        <f aca="false">IFERROR(INDEX(Location_Map!$B$2:$B$15,MATCH(D104,Location_Map!$A$2:$A$15,0)),"UNMAPPED")</f>
        <v>Gujarat</v>
      </c>
      <c r="H104" s="0" t="str">
        <f aca="false">IFERROR(INDEX(Location_Map!$C$2:$C$15,MATCH(D104,Location_Map!$A$2:$A$15,0)),"UNMAPPED")</f>
        <v>West</v>
      </c>
      <c r="I104" s="0" t="str">
        <f aca="false">Raw!E104</f>
        <v>Finished Yarn</v>
      </c>
      <c r="J104" s="28" t="n">
        <f aca="false">Raw!F104</f>
        <v>9.26</v>
      </c>
      <c r="K104" s="30" t="n">
        <f aca="false">DATE(LEFT(Raw!G104,4),MID(Raw!G104,6,2),MID(Raw!G104,9,2))</f>
        <v>45731</v>
      </c>
      <c r="L104" s="30" t="n">
        <f aca="false">DATE(LEFT(Raw!H104,4),MID(Raw!H104,6,2),MID(Raw!H104,9,2))</f>
        <v>45735</v>
      </c>
      <c r="M104" s="30" t="n">
        <f aca="false">DATE(LEFT(Raw!I104,4),MID(Raw!I104,6,2),MID(Raw!I104,9,2))</f>
        <v>45741</v>
      </c>
      <c r="N104" s="31" t="n">
        <f aca="false">DATE(LEFT(Raw!J104,4),MID(Raw!J104,6,2),MID(Raw!J104,9,2))+TIME(MID(Raw!J104,12,2),MID(Raw!J104,15,2),MID(Raw!J104,18,2))</f>
        <v>45734.7916666667</v>
      </c>
      <c r="O104" s="31" t="n">
        <f aca="false">DATE(LEFT(Raw!K104,4),MID(Raw!K104,6,2),MID(Raw!K104,9,2))+TIME(MID(Raw!K104,12,2),MID(Raw!K104,15,2),MID(Raw!K104,18,2))</f>
        <v>45746</v>
      </c>
      <c r="P104" s="32" t="n">
        <f aca="false">L104-K104</f>
        <v>4</v>
      </c>
      <c r="Q104" s="32" t="n">
        <f aca="false">M104-L104</f>
        <v>6</v>
      </c>
      <c r="R104" s="32" t="n">
        <f aca="false">O104-N104</f>
        <v>11.2083333333333</v>
      </c>
      <c r="S104" s="32" t="n">
        <f aca="false">Raw!L104</f>
        <v>5</v>
      </c>
      <c r="T104" s="32" t="n">
        <f aca="false">O104-M104</f>
        <v>5</v>
      </c>
      <c r="U104" s="0" t="str">
        <f aca="false">IF(ABS(T104-S104)&lt;0.01,"OK","MISMATCH")</f>
        <v>OK</v>
      </c>
      <c r="V104" s="33" t="n">
        <f aca="false">Raw!M104</f>
        <v>1</v>
      </c>
      <c r="W104" s="0" t="str">
        <f aca="false">IF((S104&gt;0)=(V104=1),"OK","MISMATCH")</f>
        <v>OK</v>
      </c>
      <c r="X104" s="0" t="str">
        <f aca="false">_xlfn.IFS(S104&lt;=0,"Early/On time",S104&lt;=2,"Minor (up to 2 days)",S104&lt;=5,"Moderate (2-5 days)",TRUE(),"Severe (over 5 days)")</f>
        <v>Moderate (2-5 days)</v>
      </c>
      <c r="Y104" s="0" t="str">
        <f aca="false">YEAR(K104)&amp;"-"&amp;TEXT(MONTH(K104),"00")</f>
        <v>2025-03</v>
      </c>
      <c r="Z104" s="0" t="str">
        <f aca="false">C104&amp;" → "&amp;D104</f>
        <v>Gujarat → Surat</v>
      </c>
      <c r="AA104" s="0" t="str">
        <f aca="false">Raw!Q104</f>
        <v>VRL Cargo</v>
      </c>
      <c r="AB104" s="0" t="str">
        <f aca="false">Raw!R104</f>
        <v>No</v>
      </c>
      <c r="AC104" s="0" t="str">
        <f aca="false">Raw!S104</f>
        <v>Held at warehouse</v>
      </c>
      <c r="AD104" s="29" t="n">
        <f aca="false">Raw!N104</f>
        <v>4735.54</v>
      </c>
      <c r="AE104" s="29" t="n">
        <f aca="false">Raw!O104</f>
        <v>2784.02</v>
      </c>
      <c r="AF104" s="29" t="n">
        <f aca="false">Raw!P104</f>
        <v>685.13</v>
      </c>
      <c r="AG104" s="29" t="n">
        <f aca="false">AD104/J104</f>
        <v>511.397408207343</v>
      </c>
    </row>
    <row r="105" customFormat="false" ht="15" hidden="false" customHeight="false" outlineLevel="0" collapsed="false">
      <c r="A105" s="0" t="str">
        <f aca="false">Raw!A105</f>
        <v>SHP0104</v>
      </c>
      <c r="B105" s="0" t="str">
        <f aca="false">Raw!B105</f>
        <v>Outbound</v>
      </c>
      <c r="C105" s="0" t="str">
        <f aca="false">Raw!C105</f>
        <v>Surat</v>
      </c>
      <c r="D105" s="0" t="str">
        <f aca="false">Raw!D105</f>
        <v>Assam</v>
      </c>
      <c r="E105" s="0" t="str">
        <f aca="false">IFERROR(INDEX(Location_Map!$B$2:$B$15,MATCH(C105,Location_Map!$A$2:$A$15,0)),"UNMAPPED")</f>
        <v>Gujarat</v>
      </c>
      <c r="F105" s="0" t="str">
        <f aca="false">IFERROR(INDEX(Location_Map!$C$2:$C$15,MATCH(C105,Location_Map!$A$2:$A$15,0)),"UNMAPPED")</f>
        <v>West</v>
      </c>
      <c r="G105" s="0" t="str">
        <f aca="false">IFERROR(INDEX(Location_Map!$B$2:$B$15,MATCH(D105,Location_Map!$A$2:$A$15,0)),"UNMAPPED")</f>
        <v>Assam</v>
      </c>
      <c r="H105" s="0" t="str">
        <f aca="false">IFERROR(INDEX(Location_Map!$C$2:$C$15,MATCH(D105,Location_Map!$A$2:$A$15,0)),"UNMAPPED")</f>
        <v>North-East</v>
      </c>
      <c r="I105" s="0" t="str">
        <f aca="false">Raw!E105</f>
        <v>Finished Yarn</v>
      </c>
      <c r="J105" s="28" t="n">
        <f aca="false">Raw!F105</f>
        <v>11.3</v>
      </c>
      <c r="K105" s="30" t="n">
        <f aca="false">DATE(LEFT(Raw!G105,4),MID(Raw!G105,6,2),MID(Raw!G105,9,2))</f>
        <v>45919</v>
      </c>
      <c r="L105" s="30" t="n">
        <f aca="false">DATE(LEFT(Raw!H105,4),MID(Raw!H105,6,2),MID(Raw!H105,9,2))</f>
        <v>45922</v>
      </c>
      <c r="M105" s="30" t="n">
        <f aca="false">DATE(LEFT(Raw!I105,4),MID(Raw!I105,6,2),MID(Raw!I105,9,2))</f>
        <v>45928</v>
      </c>
      <c r="N105" s="31" t="n">
        <f aca="false">DATE(LEFT(Raw!J105,4),MID(Raw!J105,6,2),MID(Raw!J105,9,2))+TIME(MID(Raw!J105,12,2),MID(Raw!J105,15,2),MID(Raw!J105,18,2))</f>
        <v>45921.7916666667</v>
      </c>
      <c r="O105" s="31" t="n">
        <f aca="false">DATE(LEFT(Raw!K105,4),MID(Raw!K105,6,2),MID(Raw!K105,9,2))+TIME(MID(Raw!K105,12,2),MID(Raw!K105,15,2),MID(Raw!K105,18,2))</f>
        <v>45928.2</v>
      </c>
      <c r="P105" s="32" t="n">
        <f aca="false">L105-K105</f>
        <v>3</v>
      </c>
      <c r="Q105" s="32" t="n">
        <f aca="false">M105-L105</f>
        <v>6</v>
      </c>
      <c r="R105" s="32" t="n">
        <f aca="false">O105-N105</f>
        <v>6.40833333333333</v>
      </c>
      <c r="S105" s="32" t="n">
        <f aca="false">Raw!L105</f>
        <v>0.2</v>
      </c>
      <c r="T105" s="32" t="n">
        <f aca="false">O105-M105</f>
        <v>0.2</v>
      </c>
      <c r="U105" s="0" t="str">
        <f aca="false">IF(ABS(T105-S105)&lt;0.01,"OK","MISMATCH")</f>
        <v>OK</v>
      </c>
      <c r="V105" s="33" t="n">
        <f aca="false">Raw!M105</f>
        <v>1</v>
      </c>
      <c r="W105" s="0" t="str">
        <f aca="false">IF((S105&gt;0)=(V105=1),"OK","MISMATCH")</f>
        <v>OK</v>
      </c>
      <c r="X105" s="0" t="str">
        <f aca="false">_xlfn.IFS(S105&lt;=0,"Early/On time",S105&lt;=2,"Minor (up to 2 days)",S105&lt;=5,"Moderate (2-5 days)",TRUE(),"Severe (over 5 days)")</f>
        <v>Minor (up to 2 days)</v>
      </c>
      <c r="Y105" s="0" t="str">
        <f aca="false">YEAR(K105)&amp;"-"&amp;TEXT(MONTH(K105),"00")</f>
        <v>2025-09</v>
      </c>
      <c r="Z105" s="0" t="str">
        <f aca="false">C105&amp;" → "&amp;D105</f>
        <v>Surat → Assam</v>
      </c>
      <c r="AA105" s="0" t="str">
        <f aca="false">Raw!Q105</f>
        <v>Delhivery</v>
      </c>
      <c r="AB105" s="0" t="str">
        <f aca="false">Raw!R105</f>
        <v>Yes</v>
      </c>
      <c r="AC105" s="0" t="str">
        <f aca="false">Raw!S105</f>
        <v>Expedited</v>
      </c>
      <c r="AD105" s="29" t="n">
        <f aca="false">Raw!N105</f>
        <v>7056.63</v>
      </c>
      <c r="AE105" s="29" t="n">
        <f aca="false">Raw!O105</f>
        <v>4396.78</v>
      </c>
      <c r="AF105" s="29" t="n">
        <f aca="false">Raw!P105</f>
        <v>749.67</v>
      </c>
      <c r="AG105" s="29" t="n">
        <f aca="false">AD105/J105</f>
        <v>624.480530973451</v>
      </c>
    </row>
    <row r="106" customFormat="false" ht="15" hidden="false" customHeight="false" outlineLevel="0" collapsed="false">
      <c r="A106" s="0" t="str">
        <f aca="false">Raw!A106</f>
        <v>SHP0105</v>
      </c>
      <c r="B106" s="0" t="str">
        <f aca="false">Raw!B106</f>
        <v>Outbound</v>
      </c>
      <c r="C106" s="0" t="str">
        <f aca="false">Raw!C106</f>
        <v>Surat</v>
      </c>
      <c r="D106" s="0" t="str">
        <f aca="false">Raw!D106</f>
        <v>Madhya Pradesh</v>
      </c>
      <c r="E106" s="0" t="str">
        <f aca="false">IFERROR(INDEX(Location_Map!$B$2:$B$15,MATCH(C106,Location_Map!$A$2:$A$15,0)),"UNMAPPED")</f>
        <v>Gujarat</v>
      </c>
      <c r="F106" s="0" t="str">
        <f aca="false">IFERROR(INDEX(Location_Map!$C$2:$C$15,MATCH(C106,Location_Map!$A$2:$A$15,0)),"UNMAPPED")</f>
        <v>West</v>
      </c>
      <c r="G106" s="0" t="str">
        <f aca="false">IFERROR(INDEX(Location_Map!$B$2:$B$15,MATCH(D106,Location_Map!$A$2:$A$15,0)),"UNMAPPED")</f>
        <v>Madhya Pradesh</v>
      </c>
      <c r="H106" s="0" t="str">
        <f aca="false">IFERROR(INDEX(Location_Map!$C$2:$C$15,MATCH(D106,Location_Map!$A$2:$A$15,0)),"UNMAPPED")</f>
        <v>Central</v>
      </c>
      <c r="I106" s="0" t="str">
        <f aca="false">Raw!E106</f>
        <v>Finished Yarn</v>
      </c>
      <c r="J106" s="28" t="n">
        <f aca="false">Raw!F106</f>
        <v>10.3</v>
      </c>
      <c r="K106" s="30" t="n">
        <f aca="false">DATE(LEFT(Raw!G106,4),MID(Raw!G106,6,2),MID(Raw!G106,9,2))</f>
        <v>45724</v>
      </c>
      <c r="L106" s="30" t="n">
        <f aca="false">DATE(LEFT(Raw!H106,4),MID(Raw!H106,6,2),MID(Raw!H106,9,2))</f>
        <v>45728</v>
      </c>
      <c r="M106" s="30" t="n">
        <f aca="false">DATE(LEFT(Raw!I106,4),MID(Raw!I106,6,2),MID(Raw!I106,9,2))</f>
        <v>45734</v>
      </c>
      <c r="N106" s="31" t="n">
        <f aca="false">DATE(LEFT(Raw!J106,4),MID(Raw!J106,6,2),MID(Raw!J106,9,2))+TIME(MID(Raw!J106,12,2),MID(Raw!J106,15,2),MID(Raw!J106,18,2))</f>
        <v>45728.0416666667</v>
      </c>
      <c r="O106" s="31" t="n">
        <f aca="false">DATE(LEFT(Raw!K106,4),MID(Raw!K106,6,2),MID(Raw!K106,9,2))+TIME(MID(Raw!K106,12,2),MID(Raw!K106,15,2),MID(Raw!K106,18,2))</f>
        <v>45735.1</v>
      </c>
      <c r="P106" s="32" t="n">
        <f aca="false">L106-K106</f>
        <v>4</v>
      </c>
      <c r="Q106" s="32" t="n">
        <f aca="false">M106-L106</f>
        <v>6</v>
      </c>
      <c r="R106" s="32" t="n">
        <f aca="false">O106-N106</f>
        <v>7.05833333333333</v>
      </c>
      <c r="S106" s="32" t="n">
        <f aca="false">Raw!L106</f>
        <v>1.1</v>
      </c>
      <c r="T106" s="32" t="n">
        <f aca="false">O106-M106</f>
        <v>1.1</v>
      </c>
      <c r="U106" s="0" t="str">
        <f aca="false">IF(ABS(T106-S106)&lt;0.01,"OK","MISMATCH")</f>
        <v>OK</v>
      </c>
      <c r="V106" s="33" t="n">
        <f aca="false">Raw!M106</f>
        <v>1</v>
      </c>
      <c r="W106" s="0" t="str">
        <f aca="false">IF((S106&gt;0)=(V106=1),"OK","MISMATCH")</f>
        <v>OK</v>
      </c>
      <c r="X106" s="0" t="str">
        <f aca="false">_xlfn.IFS(S106&lt;=0,"Early/On time",S106&lt;=2,"Minor (up to 2 days)",S106&lt;=5,"Moderate (2-5 days)",TRUE(),"Severe (over 5 days)")</f>
        <v>Minor (up to 2 days)</v>
      </c>
      <c r="Y106" s="0" t="str">
        <f aca="false">YEAR(K106)&amp;"-"&amp;TEXT(MONTH(K106),"00")</f>
        <v>2025-03</v>
      </c>
      <c r="Z106" s="0" t="str">
        <f aca="false">C106&amp;" → "&amp;D106</f>
        <v>Surat → Madhya Pradesh</v>
      </c>
      <c r="AA106" s="0" t="str">
        <f aca="false">Raw!Q106</f>
        <v>GATI Logistics</v>
      </c>
      <c r="AB106" s="0" t="str">
        <f aca="false">Raw!R106</f>
        <v>No</v>
      </c>
      <c r="AC106" s="0" t="str">
        <f aca="false">Raw!S106</f>
        <v>Returned</v>
      </c>
      <c r="AD106" s="29" t="n">
        <f aca="false">Raw!N106</f>
        <v>7310.37</v>
      </c>
      <c r="AE106" s="29" t="n">
        <f aca="false">Raw!O106</f>
        <v>2892.84</v>
      </c>
      <c r="AF106" s="29" t="n">
        <f aca="false">Raw!P106</f>
        <v>812.85</v>
      </c>
      <c r="AG106" s="29" t="n">
        <f aca="false">AD106/J106</f>
        <v>709.744660194175</v>
      </c>
    </row>
    <row r="107" customFormat="false" ht="15" hidden="false" customHeight="false" outlineLevel="0" collapsed="false">
      <c r="A107" s="0" t="str">
        <f aca="false">Raw!A107</f>
        <v>SHP0106</v>
      </c>
      <c r="B107" s="0" t="str">
        <f aca="false">Raw!B107</f>
        <v>Outbound</v>
      </c>
      <c r="C107" s="0" t="str">
        <f aca="false">Raw!C107</f>
        <v>Surat</v>
      </c>
      <c r="D107" s="0" t="str">
        <f aca="false">Raw!D107</f>
        <v>Karnataka</v>
      </c>
      <c r="E107" s="0" t="str">
        <f aca="false">IFERROR(INDEX(Location_Map!$B$2:$B$15,MATCH(C107,Location_Map!$A$2:$A$15,0)),"UNMAPPED")</f>
        <v>Gujarat</v>
      </c>
      <c r="F107" s="0" t="str">
        <f aca="false">IFERROR(INDEX(Location_Map!$C$2:$C$15,MATCH(C107,Location_Map!$A$2:$A$15,0)),"UNMAPPED")</f>
        <v>West</v>
      </c>
      <c r="G107" s="0" t="str">
        <f aca="false">IFERROR(INDEX(Location_Map!$B$2:$B$15,MATCH(D107,Location_Map!$A$2:$A$15,0)),"UNMAPPED")</f>
        <v>Karnataka</v>
      </c>
      <c r="H107" s="0" t="str">
        <f aca="false">IFERROR(INDEX(Location_Map!$C$2:$C$15,MATCH(D107,Location_Map!$A$2:$A$15,0)),"UNMAPPED")</f>
        <v>South</v>
      </c>
      <c r="I107" s="0" t="str">
        <f aca="false">Raw!E107</f>
        <v>Semi-Processed Yarn</v>
      </c>
      <c r="J107" s="28" t="n">
        <f aca="false">Raw!F107</f>
        <v>3.29</v>
      </c>
      <c r="K107" s="30" t="n">
        <f aca="false">DATE(LEFT(Raw!G107,4),MID(Raw!G107,6,2),MID(Raw!G107,9,2))</f>
        <v>45877</v>
      </c>
      <c r="L107" s="30" t="n">
        <f aca="false">DATE(LEFT(Raw!H107,4),MID(Raw!H107,6,2),MID(Raw!H107,9,2))</f>
        <v>45878</v>
      </c>
      <c r="M107" s="30" t="n">
        <f aca="false">DATE(LEFT(Raw!I107,4),MID(Raw!I107,6,2),MID(Raw!I107,9,2))</f>
        <v>45881</v>
      </c>
      <c r="N107" s="31" t="n">
        <f aca="false">DATE(LEFT(Raw!J107,4),MID(Raw!J107,6,2),MID(Raw!J107,9,2))+TIME(MID(Raw!J107,12,2),MID(Raw!J107,15,2),MID(Raw!J107,18,2))</f>
        <v>45878.2083333333</v>
      </c>
      <c r="O107" s="31" t="n">
        <f aca="false">DATE(LEFT(Raw!K107,4),MID(Raw!K107,6,2),MID(Raw!K107,9,2))+TIME(MID(Raw!K107,12,2),MID(Raw!K107,15,2),MID(Raw!K107,18,2))</f>
        <v>45883.3</v>
      </c>
      <c r="P107" s="32" t="n">
        <f aca="false">L107-K107</f>
        <v>1</v>
      </c>
      <c r="Q107" s="32" t="n">
        <f aca="false">M107-L107</f>
        <v>3</v>
      </c>
      <c r="R107" s="32" t="n">
        <f aca="false">O107-N107</f>
        <v>5.09166666666667</v>
      </c>
      <c r="S107" s="32" t="n">
        <f aca="false">Raw!L107</f>
        <v>2.3</v>
      </c>
      <c r="T107" s="32" t="n">
        <f aca="false">O107-M107</f>
        <v>2.3</v>
      </c>
      <c r="U107" s="0" t="str">
        <f aca="false">IF(ABS(T107-S107)&lt;0.01,"OK","MISMATCH")</f>
        <v>OK</v>
      </c>
      <c r="V107" s="33" t="n">
        <f aca="false">Raw!M107</f>
        <v>1</v>
      </c>
      <c r="W107" s="0" t="str">
        <f aca="false">IF((S107&gt;0)=(V107=1),"OK","MISMATCH")</f>
        <v>OK</v>
      </c>
      <c r="X107" s="0" t="str">
        <f aca="false">_xlfn.IFS(S107&lt;=0,"Early/On time",S107&lt;=2,"Minor (up to 2 days)",S107&lt;=5,"Moderate (2-5 days)",TRUE(),"Severe (over 5 days)")</f>
        <v>Moderate (2-5 days)</v>
      </c>
      <c r="Y107" s="0" t="str">
        <f aca="false">YEAR(K107)&amp;"-"&amp;TEXT(MONTH(K107),"00")</f>
        <v>2025-08</v>
      </c>
      <c r="Z107" s="0" t="str">
        <f aca="false">C107&amp;" → "&amp;D107</f>
        <v>Surat → Karnataka</v>
      </c>
      <c r="AA107" s="0" t="str">
        <f aca="false">Raw!Q107</f>
        <v>VRL Cargo</v>
      </c>
      <c r="AB107" s="0" t="str">
        <f aca="false">Raw!R107</f>
        <v>Yes</v>
      </c>
      <c r="AC107" s="0" t="str">
        <f aca="false">Raw!S107</f>
        <v>Returned</v>
      </c>
      <c r="AD107" s="29" t="n">
        <f aca="false">Raw!N107</f>
        <v>2931.74</v>
      </c>
      <c r="AE107" s="29" t="n">
        <f aca="false">Raw!O107</f>
        <v>4448.17</v>
      </c>
      <c r="AF107" s="29" t="n">
        <f aca="false">Raw!P107</f>
        <v>1344.55</v>
      </c>
      <c r="AG107" s="29" t="n">
        <f aca="false">AD107/J107</f>
        <v>891.106382978723</v>
      </c>
    </row>
    <row r="108" customFormat="false" ht="15" hidden="false" customHeight="false" outlineLevel="0" collapsed="false">
      <c r="A108" s="0" t="str">
        <f aca="false">Raw!A108</f>
        <v>SHP0107</v>
      </c>
      <c r="B108" s="0" t="str">
        <f aca="false">Raw!B108</f>
        <v>Outbound</v>
      </c>
      <c r="C108" s="0" t="str">
        <f aca="false">Raw!C108</f>
        <v>Surat</v>
      </c>
      <c r="D108" s="0" t="str">
        <f aca="false">Raw!D108</f>
        <v>Gujarat</v>
      </c>
      <c r="E108" s="0" t="str">
        <f aca="false">IFERROR(INDEX(Location_Map!$B$2:$B$15,MATCH(C108,Location_Map!$A$2:$A$15,0)),"UNMAPPED")</f>
        <v>Gujarat</v>
      </c>
      <c r="F108" s="0" t="str">
        <f aca="false">IFERROR(INDEX(Location_Map!$C$2:$C$15,MATCH(C108,Location_Map!$A$2:$A$15,0)),"UNMAPPED")</f>
        <v>West</v>
      </c>
      <c r="G108" s="0" t="str">
        <f aca="false">IFERROR(INDEX(Location_Map!$B$2:$B$15,MATCH(D108,Location_Map!$A$2:$A$15,0)),"UNMAPPED")</f>
        <v>Gujarat</v>
      </c>
      <c r="H108" s="0" t="str">
        <f aca="false">IFERROR(INDEX(Location_Map!$C$2:$C$15,MATCH(D108,Location_Map!$A$2:$A$15,0)),"UNMAPPED")</f>
        <v>West</v>
      </c>
      <c r="I108" s="0" t="str">
        <f aca="false">Raw!E108</f>
        <v>Raw Yarn</v>
      </c>
      <c r="J108" s="28" t="n">
        <f aca="false">Raw!F108</f>
        <v>7.06</v>
      </c>
      <c r="K108" s="30" t="n">
        <f aca="false">DATE(LEFT(Raw!G108,4),MID(Raw!G108,6,2),MID(Raw!G108,9,2))</f>
        <v>45906</v>
      </c>
      <c r="L108" s="30" t="n">
        <f aca="false">DATE(LEFT(Raw!H108,4),MID(Raw!H108,6,2),MID(Raw!H108,9,2))</f>
        <v>45907</v>
      </c>
      <c r="M108" s="30" t="n">
        <f aca="false">DATE(LEFT(Raw!I108,4),MID(Raw!I108,6,2),MID(Raw!I108,9,2))</f>
        <v>45911</v>
      </c>
      <c r="N108" s="31" t="n">
        <f aca="false">DATE(LEFT(Raw!J108,4),MID(Raw!J108,6,2),MID(Raw!J108,9,2))+TIME(MID(Raw!J108,12,2),MID(Raw!J108,15,2),MID(Raw!J108,18,2))</f>
        <v>45906.875</v>
      </c>
      <c r="O108" s="31" t="n">
        <f aca="false">DATE(LEFT(Raw!K108,4),MID(Raw!K108,6,2),MID(Raw!K108,9,2))+TIME(MID(Raw!K108,12,2),MID(Raw!K108,15,2),MID(Raw!K108,18,2))</f>
        <v>45910.4</v>
      </c>
      <c r="P108" s="32" t="n">
        <f aca="false">L108-K108</f>
        <v>1</v>
      </c>
      <c r="Q108" s="32" t="n">
        <f aca="false">M108-L108</f>
        <v>4</v>
      </c>
      <c r="R108" s="32" t="n">
        <f aca="false">O108-N108</f>
        <v>3.525</v>
      </c>
      <c r="S108" s="32" t="n">
        <f aca="false">Raw!L108</f>
        <v>-0.6</v>
      </c>
      <c r="T108" s="32" t="n">
        <f aca="false">O108-M108</f>
        <v>-0.6</v>
      </c>
      <c r="U108" s="0" t="str">
        <f aca="false">IF(ABS(T108-S108)&lt;0.01,"OK","MISMATCH")</f>
        <v>OK</v>
      </c>
      <c r="V108" s="33" t="n">
        <f aca="false">Raw!M108</f>
        <v>0</v>
      </c>
      <c r="W108" s="0" t="str">
        <f aca="false">IF((S108&gt;0)=(V108=1),"OK","MISMATCH")</f>
        <v>OK</v>
      </c>
      <c r="X108" s="0" t="str">
        <f aca="false">_xlfn.IFS(S108&lt;=0,"Early/On time",S108&lt;=2,"Minor (up to 2 days)",S108&lt;=5,"Moderate (2-5 days)",TRUE(),"Severe (over 5 days)")</f>
        <v>Early/On time</v>
      </c>
      <c r="Y108" s="0" t="str">
        <f aca="false">YEAR(K108)&amp;"-"&amp;TEXT(MONTH(K108),"00")</f>
        <v>2025-09</v>
      </c>
      <c r="Z108" s="0" t="str">
        <f aca="false">C108&amp;" → "&amp;D108</f>
        <v>Surat → Gujarat</v>
      </c>
      <c r="AA108" s="0" t="str">
        <f aca="false">Raw!Q108</f>
        <v>BlueDart</v>
      </c>
      <c r="AB108" s="0" t="str">
        <f aca="false">Raw!R108</f>
        <v>Yes</v>
      </c>
      <c r="AC108" s="0" t="str">
        <f aca="false">Raw!S108</f>
        <v>Returned</v>
      </c>
      <c r="AD108" s="29" t="n">
        <f aca="false">Raw!N108</f>
        <v>4034.1</v>
      </c>
      <c r="AE108" s="29" t="n">
        <f aca="false">Raw!O108</f>
        <v>3899.07</v>
      </c>
      <c r="AF108" s="29" t="n">
        <f aca="false">Raw!P108</f>
        <v>565.36</v>
      </c>
      <c r="AG108" s="29" t="n">
        <f aca="false">AD108/J108</f>
        <v>571.402266288952</v>
      </c>
    </row>
    <row r="109" customFormat="false" ht="15" hidden="false" customHeight="false" outlineLevel="0" collapsed="false">
      <c r="A109" s="0" t="str">
        <f aca="false">Raw!A109</f>
        <v>SHP0108</v>
      </c>
      <c r="B109" s="0" t="str">
        <f aca="false">Raw!B109</f>
        <v>Outbound</v>
      </c>
      <c r="C109" s="0" t="str">
        <f aca="false">Raw!C109</f>
        <v>Surat</v>
      </c>
      <c r="D109" s="0" t="str">
        <f aca="false">Raw!D109</f>
        <v>West Bengal</v>
      </c>
      <c r="E109" s="0" t="str">
        <f aca="false">IFERROR(INDEX(Location_Map!$B$2:$B$15,MATCH(C109,Location_Map!$A$2:$A$15,0)),"UNMAPPED")</f>
        <v>Gujarat</v>
      </c>
      <c r="F109" s="0" t="str">
        <f aca="false">IFERROR(INDEX(Location_Map!$C$2:$C$15,MATCH(C109,Location_Map!$A$2:$A$15,0)),"UNMAPPED")</f>
        <v>West</v>
      </c>
      <c r="G109" s="0" t="str">
        <f aca="false">IFERROR(INDEX(Location_Map!$B$2:$B$15,MATCH(D109,Location_Map!$A$2:$A$15,0)),"UNMAPPED")</f>
        <v>West Bengal</v>
      </c>
      <c r="H109" s="0" t="str">
        <f aca="false">IFERROR(INDEX(Location_Map!$C$2:$C$15,MATCH(D109,Location_Map!$A$2:$A$15,0)),"UNMAPPED")</f>
        <v>East</v>
      </c>
      <c r="I109" s="0" t="str">
        <f aca="false">Raw!E109</f>
        <v>Finished Yarn</v>
      </c>
      <c r="J109" s="28" t="n">
        <f aca="false">Raw!F109</f>
        <v>6.99</v>
      </c>
      <c r="K109" s="30" t="n">
        <f aca="false">DATE(LEFT(Raw!G109,4),MID(Raw!G109,6,2),MID(Raw!G109,9,2))</f>
        <v>45819</v>
      </c>
      <c r="L109" s="30" t="n">
        <f aca="false">DATE(LEFT(Raw!H109,4),MID(Raw!H109,6,2),MID(Raw!H109,9,2))</f>
        <v>45823</v>
      </c>
      <c r="M109" s="30" t="n">
        <f aca="false">DATE(LEFT(Raw!I109,4),MID(Raw!I109,6,2),MID(Raw!I109,9,2))</f>
        <v>45825</v>
      </c>
      <c r="N109" s="31" t="n">
        <f aca="false">DATE(LEFT(Raw!J109,4),MID(Raw!J109,6,2),MID(Raw!J109,9,2))+TIME(MID(Raw!J109,12,2),MID(Raw!J109,15,2),MID(Raw!J109,18,2))</f>
        <v>45823.2916666667</v>
      </c>
      <c r="O109" s="31" t="n">
        <f aca="false">DATE(LEFT(Raw!K109,4),MID(Raw!K109,6,2),MID(Raw!K109,9,2))+TIME(MID(Raw!K109,12,2),MID(Raw!K109,15,2),MID(Raw!K109,18,2))</f>
        <v>45835.2</v>
      </c>
      <c r="P109" s="32" t="n">
        <f aca="false">L109-K109</f>
        <v>4</v>
      </c>
      <c r="Q109" s="32" t="n">
        <f aca="false">M109-L109</f>
        <v>2</v>
      </c>
      <c r="R109" s="32" t="n">
        <f aca="false">O109-N109</f>
        <v>11.9083333333333</v>
      </c>
      <c r="S109" s="32" t="n">
        <f aca="false">Raw!L109</f>
        <v>10.2</v>
      </c>
      <c r="T109" s="32" t="n">
        <f aca="false">O109-M109</f>
        <v>10.2</v>
      </c>
      <c r="U109" s="0" t="str">
        <f aca="false">IF(ABS(T109-S109)&lt;0.01,"OK","MISMATCH")</f>
        <v>OK</v>
      </c>
      <c r="V109" s="33" t="n">
        <f aca="false">Raw!M109</f>
        <v>1</v>
      </c>
      <c r="W109" s="0" t="str">
        <f aca="false">IF((S109&gt;0)=(V109=1),"OK","MISMATCH")</f>
        <v>OK</v>
      </c>
      <c r="X109" s="0" t="str">
        <f aca="false">_xlfn.IFS(S109&lt;=0,"Early/On time",S109&lt;=2,"Minor (up to 2 days)",S109&lt;=5,"Moderate (2-5 days)",TRUE(),"Severe (over 5 days)")</f>
        <v>Severe (over 5 days)</v>
      </c>
      <c r="Y109" s="0" t="str">
        <f aca="false">YEAR(K109)&amp;"-"&amp;TEXT(MONTH(K109),"00")</f>
        <v>2025-06</v>
      </c>
      <c r="Z109" s="0" t="str">
        <f aca="false">C109&amp;" → "&amp;D109</f>
        <v>Surat → West Bengal</v>
      </c>
      <c r="AA109" s="0" t="str">
        <f aca="false">Raw!Q109</f>
        <v>TCI Express</v>
      </c>
      <c r="AB109" s="0" t="str">
        <f aca="false">Raw!R109</f>
        <v>No</v>
      </c>
      <c r="AC109" s="0" t="str">
        <f aca="false">Raw!S109</f>
        <v>Normal</v>
      </c>
      <c r="AD109" s="29" t="n">
        <f aca="false">Raw!N109</f>
        <v>5269.59</v>
      </c>
      <c r="AE109" s="29" t="n">
        <f aca="false">Raw!O109</f>
        <v>3463.45</v>
      </c>
      <c r="AF109" s="29" t="n">
        <f aca="false">Raw!P109</f>
        <v>732.96</v>
      </c>
      <c r="AG109" s="29" t="n">
        <f aca="false">AD109/J109</f>
        <v>753.875536480687</v>
      </c>
    </row>
    <row r="110" customFormat="false" ht="15" hidden="false" customHeight="false" outlineLevel="0" collapsed="false">
      <c r="A110" s="0" t="str">
        <f aca="false">Raw!A110</f>
        <v>SHP0109</v>
      </c>
      <c r="B110" s="0" t="str">
        <f aca="false">Raw!B110</f>
        <v>Inbound</v>
      </c>
      <c r="C110" s="0" t="str">
        <f aca="false">Raw!C110</f>
        <v>Punjab</v>
      </c>
      <c r="D110" s="0" t="str">
        <f aca="false">Raw!D110</f>
        <v>Surat</v>
      </c>
      <c r="E110" s="0" t="str">
        <f aca="false">IFERROR(INDEX(Location_Map!$B$2:$B$15,MATCH(C110,Location_Map!$A$2:$A$15,0)),"UNMAPPED")</f>
        <v>Punjab</v>
      </c>
      <c r="F110" s="0" t="str">
        <f aca="false">IFERROR(INDEX(Location_Map!$C$2:$C$15,MATCH(C110,Location_Map!$A$2:$A$15,0)),"UNMAPPED")</f>
        <v>North</v>
      </c>
      <c r="G110" s="0" t="str">
        <f aca="false">IFERROR(INDEX(Location_Map!$B$2:$B$15,MATCH(D110,Location_Map!$A$2:$A$15,0)),"UNMAPPED")</f>
        <v>Gujarat</v>
      </c>
      <c r="H110" s="0" t="str">
        <f aca="false">IFERROR(INDEX(Location_Map!$C$2:$C$15,MATCH(D110,Location_Map!$A$2:$A$15,0)),"UNMAPPED")</f>
        <v>West</v>
      </c>
      <c r="I110" s="0" t="str">
        <f aca="false">Raw!E110</f>
        <v>Raw Yarn</v>
      </c>
      <c r="J110" s="28" t="n">
        <f aca="false">Raw!F110</f>
        <v>1.46</v>
      </c>
      <c r="K110" s="30" t="n">
        <f aca="false">DATE(LEFT(Raw!G110,4),MID(Raw!G110,6,2),MID(Raw!G110,9,2))</f>
        <v>45919</v>
      </c>
      <c r="L110" s="30" t="n">
        <f aca="false">DATE(LEFT(Raw!H110,4),MID(Raw!H110,6,2),MID(Raw!H110,9,2))</f>
        <v>45920</v>
      </c>
      <c r="M110" s="30" t="n">
        <f aca="false">DATE(LEFT(Raw!I110,4),MID(Raw!I110,6,2),MID(Raw!I110,9,2))</f>
        <v>45926</v>
      </c>
      <c r="N110" s="31" t="n">
        <f aca="false">DATE(LEFT(Raw!J110,4),MID(Raw!J110,6,2),MID(Raw!J110,9,2))+TIME(MID(Raw!J110,12,2),MID(Raw!J110,15,2),MID(Raw!J110,18,2))</f>
        <v>45919.875</v>
      </c>
      <c r="O110" s="31" t="n">
        <f aca="false">DATE(LEFT(Raw!K110,4),MID(Raw!K110,6,2),MID(Raw!K110,9,2))+TIME(MID(Raw!K110,12,2),MID(Raw!K110,15,2),MID(Raw!K110,18,2))</f>
        <v>45930.1</v>
      </c>
      <c r="P110" s="32" t="n">
        <f aca="false">L110-K110</f>
        <v>1</v>
      </c>
      <c r="Q110" s="32" t="n">
        <f aca="false">M110-L110</f>
        <v>6</v>
      </c>
      <c r="R110" s="32" t="n">
        <f aca="false">O110-N110</f>
        <v>10.225</v>
      </c>
      <c r="S110" s="32" t="n">
        <f aca="false">Raw!L110</f>
        <v>4.1</v>
      </c>
      <c r="T110" s="32" t="n">
        <f aca="false">O110-M110</f>
        <v>4.1</v>
      </c>
      <c r="U110" s="0" t="str">
        <f aca="false">IF(ABS(T110-S110)&lt;0.01,"OK","MISMATCH")</f>
        <v>OK</v>
      </c>
      <c r="V110" s="33" t="n">
        <f aca="false">Raw!M110</f>
        <v>1</v>
      </c>
      <c r="W110" s="0" t="str">
        <f aca="false">IF((S110&gt;0)=(V110=1),"OK","MISMATCH")</f>
        <v>OK</v>
      </c>
      <c r="X110" s="0" t="str">
        <f aca="false">_xlfn.IFS(S110&lt;=0,"Early/On time",S110&lt;=2,"Minor (up to 2 days)",S110&lt;=5,"Moderate (2-5 days)",TRUE(),"Severe (over 5 days)")</f>
        <v>Moderate (2-5 days)</v>
      </c>
      <c r="Y110" s="0" t="str">
        <f aca="false">YEAR(K110)&amp;"-"&amp;TEXT(MONTH(K110),"00")</f>
        <v>2025-09</v>
      </c>
      <c r="Z110" s="0" t="str">
        <f aca="false">C110&amp;" → "&amp;D110</f>
        <v>Punjab → Surat</v>
      </c>
      <c r="AA110" s="0" t="str">
        <f aca="false">Raw!Q110</f>
        <v>TCI Express</v>
      </c>
      <c r="AB110" s="0" t="str">
        <f aca="false">Raw!R110</f>
        <v>No</v>
      </c>
      <c r="AC110" s="0" t="str">
        <f aca="false">Raw!S110</f>
        <v>Normal</v>
      </c>
      <c r="AD110" s="29" t="n">
        <f aca="false">Raw!N110</f>
        <v>1066.92</v>
      </c>
      <c r="AE110" s="29" t="n">
        <f aca="false">Raw!O110</f>
        <v>1210.74</v>
      </c>
      <c r="AF110" s="29" t="n">
        <f aca="false">Raw!P110</f>
        <v>588.54</v>
      </c>
      <c r="AG110" s="29" t="n">
        <f aca="false">AD110/J110</f>
        <v>730.767123287671</v>
      </c>
    </row>
    <row r="111" customFormat="false" ht="15" hidden="false" customHeight="false" outlineLevel="0" collapsed="false">
      <c r="A111" s="0" t="str">
        <f aca="false">Raw!A111</f>
        <v>SHP0110</v>
      </c>
      <c r="B111" s="0" t="str">
        <f aca="false">Raw!B111</f>
        <v>Inbound</v>
      </c>
      <c r="C111" s="0" t="str">
        <f aca="false">Raw!C111</f>
        <v>Punjab</v>
      </c>
      <c r="D111" s="0" t="str">
        <f aca="false">Raw!D111</f>
        <v>Surat</v>
      </c>
      <c r="E111" s="0" t="str">
        <f aca="false">IFERROR(INDEX(Location_Map!$B$2:$B$15,MATCH(C111,Location_Map!$A$2:$A$15,0)),"UNMAPPED")</f>
        <v>Punjab</v>
      </c>
      <c r="F111" s="0" t="str">
        <f aca="false">IFERROR(INDEX(Location_Map!$C$2:$C$15,MATCH(C111,Location_Map!$A$2:$A$15,0)),"UNMAPPED")</f>
        <v>North</v>
      </c>
      <c r="G111" s="0" t="str">
        <f aca="false">IFERROR(INDEX(Location_Map!$B$2:$B$15,MATCH(D111,Location_Map!$A$2:$A$15,0)),"UNMAPPED")</f>
        <v>Gujarat</v>
      </c>
      <c r="H111" s="0" t="str">
        <f aca="false">IFERROR(INDEX(Location_Map!$C$2:$C$15,MATCH(D111,Location_Map!$A$2:$A$15,0)),"UNMAPPED")</f>
        <v>West</v>
      </c>
      <c r="I111" s="0" t="str">
        <f aca="false">Raw!E111</f>
        <v>Finished Yarn</v>
      </c>
      <c r="J111" s="28" t="n">
        <f aca="false">Raw!F111</f>
        <v>1.71</v>
      </c>
      <c r="K111" s="30" t="n">
        <f aca="false">DATE(LEFT(Raw!G111,4),MID(Raw!G111,6,2),MID(Raw!G111,9,2))</f>
        <v>45801</v>
      </c>
      <c r="L111" s="30" t="n">
        <f aca="false">DATE(LEFT(Raw!H111,4),MID(Raw!H111,6,2),MID(Raw!H111,9,2))</f>
        <v>45804</v>
      </c>
      <c r="M111" s="30" t="n">
        <f aca="false">DATE(LEFT(Raw!I111,4),MID(Raw!I111,6,2),MID(Raw!I111,9,2))</f>
        <v>45809</v>
      </c>
      <c r="N111" s="31" t="n">
        <f aca="false">DATE(LEFT(Raw!J111,4),MID(Raw!J111,6,2),MID(Raw!J111,9,2))+TIME(MID(Raw!J111,12,2),MID(Raw!J111,15,2),MID(Raw!J111,18,2))</f>
        <v>45804.375</v>
      </c>
      <c r="O111" s="31" t="n">
        <f aca="false">DATE(LEFT(Raw!K111,4),MID(Raw!K111,6,2),MID(Raw!K111,9,2))+TIME(MID(Raw!K111,12,2),MID(Raw!K111,15,2),MID(Raw!K111,18,2))</f>
        <v>45811.1</v>
      </c>
      <c r="P111" s="32" t="n">
        <f aca="false">L111-K111</f>
        <v>3</v>
      </c>
      <c r="Q111" s="32" t="n">
        <f aca="false">M111-L111</f>
        <v>5</v>
      </c>
      <c r="R111" s="32" t="n">
        <f aca="false">O111-N111</f>
        <v>6.725</v>
      </c>
      <c r="S111" s="32" t="n">
        <f aca="false">Raw!L111</f>
        <v>2.1</v>
      </c>
      <c r="T111" s="32" t="n">
        <f aca="false">O111-M111</f>
        <v>2.1</v>
      </c>
      <c r="U111" s="0" t="str">
        <f aca="false">IF(ABS(T111-S111)&lt;0.01,"OK","MISMATCH")</f>
        <v>OK</v>
      </c>
      <c r="V111" s="33" t="n">
        <f aca="false">Raw!M111</f>
        <v>1</v>
      </c>
      <c r="W111" s="0" t="str">
        <f aca="false">IF((S111&gt;0)=(V111=1),"OK","MISMATCH")</f>
        <v>OK</v>
      </c>
      <c r="X111" s="0" t="str">
        <f aca="false">_xlfn.IFS(S111&lt;=0,"Early/On time",S111&lt;=2,"Minor (up to 2 days)",S111&lt;=5,"Moderate (2-5 days)",TRUE(),"Severe (over 5 days)")</f>
        <v>Moderate (2-5 days)</v>
      </c>
      <c r="Y111" s="0" t="str">
        <f aca="false">YEAR(K111)&amp;"-"&amp;TEXT(MONTH(K111),"00")</f>
        <v>2025-05</v>
      </c>
      <c r="Z111" s="0" t="str">
        <f aca="false">C111&amp;" → "&amp;D111</f>
        <v>Punjab → Surat</v>
      </c>
      <c r="AA111" s="0" t="str">
        <f aca="false">Raw!Q111</f>
        <v>TCI Express</v>
      </c>
      <c r="AB111" s="0" t="str">
        <f aca="false">Raw!R111</f>
        <v>Yes</v>
      </c>
      <c r="AC111" s="0" t="str">
        <f aca="false">Raw!S111</f>
        <v>Damaged</v>
      </c>
      <c r="AD111" s="29" t="n">
        <f aca="false">Raw!N111</f>
        <v>1336.31</v>
      </c>
      <c r="AE111" s="29" t="n">
        <f aca="false">Raw!O111</f>
        <v>2345.48</v>
      </c>
      <c r="AF111" s="29" t="n">
        <f aca="false">Raw!P111</f>
        <v>1022.52</v>
      </c>
      <c r="AG111" s="29" t="n">
        <f aca="false">AD111/J111</f>
        <v>781.46783625731</v>
      </c>
    </row>
    <row r="112" customFormat="false" ht="15" hidden="false" customHeight="false" outlineLevel="0" collapsed="false">
      <c r="A112" s="0" t="str">
        <f aca="false">Raw!A112</f>
        <v>SHP0111</v>
      </c>
      <c r="B112" s="0" t="str">
        <f aca="false">Raw!B112</f>
        <v>Inbound</v>
      </c>
      <c r="C112" s="0" t="str">
        <f aca="false">Raw!C112</f>
        <v>Uttar Pradesh</v>
      </c>
      <c r="D112" s="0" t="str">
        <f aca="false">Raw!D112</f>
        <v>Surat</v>
      </c>
      <c r="E112" s="0" t="str">
        <f aca="false">IFERROR(INDEX(Location_Map!$B$2:$B$15,MATCH(C112,Location_Map!$A$2:$A$15,0)),"UNMAPPED")</f>
        <v>Uttar Pradesh</v>
      </c>
      <c r="F112" s="0" t="str">
        <f aca="false">IFERROR(INDEX(Location_Map!$C$2:$C$15,MATCH(C112,Location_Map!$A$2:$A$15,0)),"UNMAPPED")</f>
        <v>North</v>
      </c>
      <c r="G112" s="0" t="str">
        <f aca="false">IFERROR(INDEX(Location_Map!$B$2:$B$15,MATCH(D112,Location_Map!$A$2:$A$15,0)),"UNMAPPED")</f>
        <v>Gujarat</v>
      </c>
      <c r="H112" s="0" t="str">
        <f aca="false">IFERROR(INDEX(Location_Map!$C$2:$C$15,MATCH(D112,Location_Map!$A$2:$A$15,0)),"UNMAPPED")</f>
        <v>West</v>
      </c>
      <c r="I112" s="0" t="str">
        <f aca="false">Raw!E112</f>
        <v>Finished Yarn</v>
      </c>
      <c r="J112" s="28" t="n">
        <f aca="false">Raw!F112</f>
        <v>14.91</v>
      </c>
      <c r="K112" s="30" t="n">
        <f aca="false">DATE(LEFT(Raw!G112,4),MID(Raw!G112,6,2),MID(Raw!G112,9,2))</f>
        <v>45659</v>
      </c>
      <c r="L112" s="30" t="n">
        <f aca="false">DATE(LEFT(Raw!H112,4),MID(Raw!H112,6,2),MID(Raw!H112,9,2))</f>
        <v>45661</v>
      </c>
      <c r="M112" s="30" t="n">
        <f aca="false">DATE(LEFT(Raw!I112,4),MID(Raw!I112,6,2),MID(Raw!I112,9,2))</f>
        <v>45664</v>
      </c>
      <c r="N112" s="31" t="n">
        <f aca="false">DATE(LEFT(Raw!J112,4),MID(Raw!J112,6,2),MID(Raw!J112,9,2))+TIME(MID(Raw!J112,12,2),MID(Raw!J112,15,2),MID(Raw!J112,18,2))</f>
        <v>45661.125</v>
      </c>
      <c r="O112" s="31" t="n">
        <f aca="false">DATE(LEFT(Raw!K112,4),MID(Raw!K112,6,2),MID(Raw!K112,9,2))+TIME(MID(Raw!K112,12,2),MID(Raw!K112,15,2),MID(Raw!K112,18,2))</f>
        <v>45663</v>
      </c>
      <c r="P112" s="32" t="n">
        <f aca="false">L112-K112</f>
        <v>2</v>
      </c>
      <c r="Q112" s="32" t="n">
        <f aca="false">M112-L112</f>
        <v>3</v>
      </c>
      <c r="R112" s="32" t="n">
        <f aca="false">O112-N112</f>
        <v>1.875</v>
      </c>
      <c r="S112" s="32" t="n">
        <f aca="false">Raw!L112</f>
        <v>-1</v>
      </c>
      <c r="T112" s="32" t="n">
        <f aca="false">O112-M112</f>
        <v>-1</v>
      </c>
      <c r="U112" s="0" t="str">
        <f aca="false">IF(ABS(T112-S112)&lt;0.01,"OK","MISMATCH")</f>
        <v>OK</v>
      </c>
      <c r="V112" s="33" t="n">
        <f aca="false">Raw!M112</f>
        <v>0</v>
      </c>
      <c r="W112" s="0" t="str">
        <f aca="false">IF((S112&gt;0)=(V112=1),"OK","MISMATCH")</f>
        <v>OK</v>
      </c>
      <c r="X112" s="0" t="str">
        <f aca="false">_xlfn.IFS(S112&lt;=0,"Early/On time",S112&lt;=2,"Minor (up to 2 days)",S112&lt;=5,"Moderate (2-5 days)",TRUE(),"Severe (over 5 days)")</f>
        <v>Early/On time</v>
      </c>
      <c r="Y112" s="0" t="str">
        <f aca="false">YEAR(K112)&amp;"-"&amp;TEXT(MONTH(K112),"00")</f>
        <v>2025-01</v>
      </c>
      <c r="Z112" s="0" t="str">
        <f aca="false">C112&amp;" → "&amp;D112</f>
        <v>Uttar Pradesh → Surat</v>
      </c>
      <c r="AA112" s="0" t="str">
        <f aca="false">Raw!Q112</f>
        <v>BlueDart</v>
      </c>
      <c r="AB112" s="0" t="str">
        <f aca="false">Raw!R112</f>
        <v>No</v>
      </c>
      <c r="AC112" s="0" t="str">
        <f aca="false">Raw!S112</f>
        <v>Damaged</v>
      </c>
      <c r="AD112" s="29" t="n">
        <f aca="false">Raw!N112</f>
        <v>7505.55</v>
      </c>
      <c r="AE112" s="29" t="n">
        <f aca="false">Raw!O112</f>
        <v>1180.4</v>
      </c>
      <c r="AF112" s="29" t="n">
        <f aca="false">Raw!P112</f>
        <v>609.47</v>
      </c>
      <c r="AG112" s="29" t="n">
        <f aca="false">AD112/J112</f>
        <v>503.390342052314</v>
      </c>
    </row>
    <row r="113" customFormat="false" ht="15" hidden="false" customHeight="false" outlineLevel="0" collapsed="false">
      <c r="A113" s="0" t="str">
        <f aca="false">Raw!A113</f>
        <v>SHP0112</v>
      </c>
      <c r="B113" s="0" t="str">
        <f aca="false">Raw!B113</f>
        <v>Inbound</v>
      </c>
      <c r="C113" s="0" t="str">
        <f aca="false">Raw!C113</f>
        <v>Uttar Pradesh</v>
      </c>
      <c r="D113" s="0" t="str">
        <f aca="false">Raw!D113</f>
        <v>Surat</v>
      </c>
      <c r="E113" s="0" t="str">
        <f aca="false">IFERROR(INDEX(Location_Map!$B$2:$B$15,MATCH(C113,Location_Map!$A$2:$A$15,0)),"UNMAPPED")</f>
        <v>Uttar Pradesh</v>
      </c>
      <c r="F113" s="0" t="str">
        <f aca="false">IFERROR(INDEX(Location_Map!$C$2:$C$15,MATCH(C113,Location_Map!$A$2:$A$15,0)),"UNMAPPED")</f>
        <v>North</v>
      </c>
      <c r="G113" s="0" t="str">
        <f aca="false">IFERROR(INDEX(Location_Map!$B$2:$B$15,MATCH(D113,Location_Map!$A$2:$A$15,0)),"UNMAPPED")</f>
        <v>Gujarat</v>
      </c>
      <c r="H113" s="0" t="str">
        <f aca="false">IFERROR(INDEX(Location_Map!$C$2:$C$15,MATCH(D113,Location_Map!$A$2:$A$15,0)),"UNMAPPED")</f>
        <v>West</v>
      </c>
      <c r="I113" s="0" t="str">
        <f aca="false">Raw!E113</f>
        <v>Semi-Processed Yarn</v>
      </c>
      <c r="J113" s="28" t="n">
        <f aca="false">Raw!F113</f>
        <v>8.44</v>
      </c>
      <c r="K113" s="30" t="n">
        <f aca="false">DATE(LEFT(Raw!G113,4),MID(Raw!G113,6,2),MID(Raw!G113,9,2))</f>
        <v>45695</v>
      </c>
      <c r="L113" s="30" t="n">
        <f aca="false">DATE(LEFT(Raw!H113,4),MID(Raw!H113,6,2),MID(Raw!H113,9,2))</f>
        <v>45699</v>
      </c>
      <c r="M113" s="30" t="n">
        <f aca="false">DATE(LEFT(Raw!I113,4),MID(Raw!I113,6,2),MID(Raw!I113,9,2))</f>
        <v>45705</v>
      </c>
      <c r="N113" s="31" t="n">
        <f aca="false">DATE(LEFT(Raw!J113,4),MID(Raw!J113,6,2),MID(Raw!J113,9,2))+TIME(MID(Raw!J113,12,2),MID(Raw!J113,15,2),MID(Raw!J113,18,2))</f>
        <v>45699.2916666667</v>
      </c>
      <c r="O113" s="31" t="n">
        <f aca="false">DATE(LEFT(Raw!K113,4),MID(Raw!K113,6,2),MID(Raw!K113,9,2))+TIME(MID(Raw!K113,12,2),MID(Raw!K113,15,2),MID(Raw!K113,18,2))</f>
        <v>45704.7</v>
      </c>
      <c r="P113" s="32" t="n">
        <f aca="false">L113-K113</f>
        <v>4</v>
      </c>
      <c r="Q113" s="32" t="n">
        <f aca="false">M113-L113</f>
        <v>6</v>
      </c>
      <c r="R113" s="32" t="n">
        <f aca="false">O113-N113</f>
        <v>5.40833333333333</v>
      </c>
      <c r="S113" s="32" t="n">
        <f aca="false">Raw!L113</f>
        <v>-0.3</v>
      </c>
      <c r="T113" s="32" t="n">
        <f aca="false">O113-M113</f>
        <v>-0.300000000005833</v>
      </c>
      <c r="U113" s="0" t="str">
        <f aca="false">IF(ABS(T113-S113)&lt;0.01,"OK","MISMATCH")</f>
        <v>OK</v>
      </c>
      <c r="V113" s="33" t="n">
        <f aca="false">Raw!M113</f>
        <v>0</v>
      </c>
      <c r="W113" s="0" t="str">
        <f aca="false">IF((S113&gt;0)=(V113=1),"OK","MISMATCH")</f>
        <v>OK</v>
      </c>
      <c r="X113" s="0" t="str">
        <f aca="false">_xlfn.IFS(S113&lt;=0,"Early/On time",S113&lt;=2,"Minor (up to 2 days)",S113&lt;=5,"Moderate (2-5 days)",TRUE(),"Severe (over 5 days)")</f>
        <v>Early/On time</v>
      </c>
      <c r="Y113" s="0" t="str">
        <f aca="false">YEAR(K113)&amp;"-"&amp;TEXT(MONTH(K113),"00")</f>
        <v>2025-02</v>
      </c>
      <c r="Z113" s="0" t="str">
        <f aca="false">C113&amp;" → "&amp;D113</f>
        <v>Uttar Pradesh → Surat</v>
      </c>
      <c r="AA113" s="0" t="str">
        <f aca="false">Raw!Q113</f>
        <v>BlueDart</v>
      </c>
      <c r="AB113" s="0" t="str">
        <f aca="false">Raw!R113</f>
        <v>Yes</v>
      </c>
      <c r="AC113" s="0" t="str">
        <f aca="false">Raw!S113</f>
        <v>Normal</v>
      </c>
      <c r="AD113" s="29" t="n">
        <f aca="false">Raw!N113</f>
        <v>4052.58</v>
      </c>
      <c r="AE113" s="29" t="n">
        <f aca="false">Raw!O113</f>
        <v>4929.32</v>
      </c>
      <c r="AF113" s="29" t="n">
        <f aca="false">Raw!P113</f>
        <v>1384.2</v>
      </c>
      <c r="AG113" s="29" t="n">
        <f aca="false">AD113/J113</f>
        <v>480.163507109005</v>
      </c>
    </row>
    <row r="114" customFormat="false" ht="15" hidden="false" customHeight="false" outlineLevel="0" collapsed="false">
      <c r="A114" s="0" t="str">
        <f aca="false">Raw!A114</f>
        <v>SHP0113</v>
      </c>
      <c r="B114" s="0" t="str">
        <f aca="false">Raw!B114</f>
        <v>Inbound</v>
      </c>
      <c r="C114" s="0" t="str">
        <f aca="false">Raw!C114</f>
        <v>Rajasthan</v>
      </c>
      <c r="D114" s="0" t="str">
        <f aca="false">Raw!D114</f>
        <v>Surat</v>
      </c>
      <c r="E114" s="0" t="str">
        <f aca="false">IFERROR(INDEX(Location_Map!$B$2:$B$15,MATCH(C114,Location_Map!$A$2:$A$15,0)),"UNMAPPED")</f>
        <v>Rajasthan</v>
      </c>
      <c r="F114" s="0" t="str">
        <f aca="false">IFERROR(INDEX(Location_Map!$C$2:$C$15,MATCH(C114,Location_Map!$A$2:$A$15,0)),"UNMAPPED")</f>
        <v>North</v>
      </c>
      <c r="G114" s="0" t="str">
        <f aca="false">IFERROR(INDEX(Location_Map!$B$2:$B$15,MATCH(D114,Location_Map!$A$2:$A$15,0)),"UNMAPPED")</f>
        <v>Gujarat</v>
      </c>
      <c r="H114" s="0" t="str">
        <f aca="false">IFERROR(INDEX(Location_Map!$C$2:$C$15,MATCH(D114,Location_Map!$A$2:$A$15,0)),"UNMAPPED")</f>
        <v>West</v>
      </c>
      <c r="I114" s="0" t="str">
        <f aca="false">Raw!E114</f>
        <v>Raw Yarn</v>
      </c>
      <c r="J114" s="28" t="n">
        <f aca="false">Raw!F114</f>
        <v>12.42</v>
      </c>
      <c r="K114" s="30" t="n">
        <f aca="false">DATE(LEFT(Raw!G114,4),MID(Raw!G114,6,2),MID(Raw!G114,9,2))</f>
        <v>45929</v>
      </c>
      <c r="L114" s="30" t="n">
        <f aca="false">DATE(LEFT(Raw!H114,4),MID(Raw!H114,6,2),MID(Raw!H114,9,2))</f>
        <v>45933</v>
      </c>
      <c r="M114" s="30" t="n">
        <f aca="false">DATE(LEFT(Raw!I114,4),MID(Raw!I114,6,2),MID(Raw!I114,9,2))</f>
        <v>45938</v>
      </c>
      <c r="N114" s="31" t="n">
        <f aca="false">DATE(LEFT(Raw!J114,4),MID(Raw!J114,6,2),MID(Raw!J114,9,2))+TIME(MID(Raw!J114,12,2),MID(Raw!J114,15,2),MID(Raw!J114,18,2))</f>
        <v>45933.2916666667</v>
      </c>
      <c r="O114" s="31" t="n">
        <f aca="false">DATE(LEFT(Raw!K114,4),MID(Raw!K114,6,2),MID(Raw!K114,9,2))+TIME(MID(Raw!K114,12,2),MID(Raw!K114,15,2),MID(Raw!K114,18,2))</f>
        <v>45939.6</v>
      </c>
      <c r="P114" s="32" t="n">
        <f aca="false">L114-K114</f>
        <v>4</v>
      </c>
      <c r="Q114" s="32" t="n">
        <f aca="false">M114-L114</f>
        <v>5</v>
      </c>
      <c r="R114" s="32" t="n">
        <f aca="false">O114-N114</f>
        <v>6.30833333333333</v>
      </c>
      <c r="S114" s="32" t="n">
        <f aca="false">Raw!L114</f>
        <v>1.6</v>
      </c>
      <c r="T114" s="32" t="n">
        <f aca="false">O114-M114</f>
        <v>1.6</v>
      </c>
      <c r="U114" s="0" t="str">
        <f aca="false">IF(ABS(T114-S114)&lt;0.01,"OK","MISMATCH")</f>
        <v>OK</v>
      </c>
      <c r="V114" s="33" t="n">
        <f aca="false">Raw!M114</f>
        <v>1</v>
      </c>
      <c r="W114" s="0" t="str">
        <f aca="false">IF((S114&gt;0)=(V114=1),"OK","MISMATCH")</f>
        <v>OK</v>
      </c>
      <c r="X114" s="0" t="str">
        <f aca="false">_xlfn.IFS(S114&lt;=0,"Early/On time",S114&lt;=2,"Minor (up to 2 days)",S114&lt;=5,"Moderate (2-5 days)",TRUE(),"Severe (over 5 days)")</f>
        <v>Minor (up to 2 days)</v>
      </c>
      <c r="Y114" s="0" t="str">
        <f aca="false">YEAR(K114)&amp;"-"&amp;TEXT(MONTH(K114),"00")</f>
        <v>2025-09</v>
      </c>
      <c r="Z114" s="0" t="str">
        <f aca="false">C114&amp;" → "&amp;D114</f>
        <v>Rajasthan → Surat</v>
      </c>
      <c r="AA114" s="0" t="str">
        <f aca="false">Raw!Q114</f>
        <v>TCI Express</v>
      </c>
      <c r="AB114" s="0" t="str">
        <f aca="false">Raw!R114</f>
        <v>No</v>
      </c>
      <c r="AC114" s="0" t="str">
        <f aca="false">Raw!S114</f>
        <v>Held at warehouse</v>
      </c>
      <c r="AD114" s="29" t="n">
        <f aca="false">Raw!N114</f>
        <v>7235.57</v>
      </c>
      <c r="AE114" s="29" t="n">
        <f aca="false">Raw!O114</f>
        <v>3050.75</v>
      </c>
      <c r="AF114" s="29" t="n">
        <f aca="false">Raw!P114</f>
        <v>730.67</v>
      </c>
      <c r="AG114" s="29" t="n">
        <f aca="false">AD114/J114</f>
        <v>582.574074074074</v>
      </c>
    </row>
    <row r="115" customFormat="false" ht="15" hidden="false" customHeight="false" outlineLevel="0" collapsed="false">
      <c r="A115" s="0" t="str">
        <f aca="false">Raw!A115</f>
        <v>SHP0114</v>
      </c>
      <c r="B115" s="0" t="str">
        <f aca="false">Raw!B115</f>
        <v>Inbound</v>
      </c>
      <c r="C115" s="0" t="str">
        <f aca="false">Raw!C115</f>
        <v>Punjab</v>
      </c>
      <c r="D115" s="0" t="str">
        <f aca="false">Raw!D115</f>
        <v>Surat</v>
      </c>
      <c r="E115" s="0" t="str">
        <f aca="false">IFERROR(INDEX(Location_Map!$B$2:$B$15,MATCH(C115,Location_Map!$A$2:$A$15,0)),"UNMAPPED")</f>
        <v>Punjab</v>
      </c>
      <c r="F115" s="0" t="str">
        <f aca="false">IFERROR(INDEX(Location_Map!$C$2:$C$15,MATCH(C115,Location_Map!$A$2:$A$15,0)),"UNMAPPED")</f>
        <v>North</v>
      </c>
      <c r="G115" s="0" t="str">
        <f aca="false">IFERROR(INDEX(Location_Map!$B$2:$B$15,MATCH(D115,Location_Map!$A$2:$A$15,0)),"UNMAPPED")</f>
        <v>Gujarat</v>
      </c>
      <c r="H115" s="0" t="str">
        <f aca="false">IFERROR(INDEX(Location_Map!$C$2:$C$15,MATCH(D115,Location_Map!$A$2:$A$15,0)),"UNMAPPED")</f>
        <v>West</v>
      </c>
      <c r="I115" s="0" t="str">
        <f aca="false">Raw!E115</f>
        <v>Raw Yarn</v>
      </c>
      <c r="J115" s="28" t="n">
        <f aca="false">Raw!F115</f>
        <v>4.35</v>
      </c>
      <c r="K115" s="30" t="n">
        <f aca="false">DATE(LEFT(Raw!G115,4),MID(Raw!G115,6,2),MID(Raw!G115,9,2))</f>
        <v>45724</v>
      </c>
      <c r="L115" s="30" t="n">
        <f aca="false">DATE(LEFT(Raw!H115,4),MID(Raw!H115,6,2),MID(Raw!H115,9,2))</f>
        <v>45725</v>
      </c>
      <c r="M115" s="30" t="n">
        <f aca="false">DATE(LEFT(Raw!I115,4),MID(Raw!I115,6,2),MID(Raw!I115,9,2))</f>
        <v>45729</v>
      </c>
      <c r="N115" s="31" t="n">
        <f aca="false">DATE(LEFT(Raw!J115,4),MID(Raw!J115,6,2),MID(Raw!J115,9,2))+TIME(MID(Raw!J115,12,2),MID(Raw!J115,15,2),MID(Raw!J115,18,2))</f>
        <v>45725.0833333333</v>
      </c>
      <c r="O115" s="31" t="n">
        <f aca="false">DATE(LEFT(Raw!K115,4),MID(Raw!K115,6,2),MID(Raw!K115,9,2))+TIME(MID(Raw!K115,12,2),MID(Raw!K115,15,2),MID(Raw!K115,18,2))</f>
        <v>45729</v>
      </c>
      <c r="P115" s="32" t="n">
        <f aca="false">L115-K115</f>
        <v>1</v>
      </c>
      <c r="Q115" s="32" t="n">
        <f aca="false">M115-L115</f>
        <v>4</v>
      </c>
      <c r="R115" s="32" t="n">
        <f aca="false">O115-N115</f>
        <v>3.91666666666667</v>
      </c>
      <c r="S115" s="32" t="n">
        <f aca="false">Raw!L115</f>
        <v>0</v>
      </c>
      <c r="T115" s="32" t="n">
        <f aca="false">O115-M115</f>
        <v>0</v>
      </c>
      <c r="U115" s="0" t="str">
        <f aca="false">IF(ABS(T115-S115)&lt;0.01,"OK","MISMATCH")</f>
        <v>OK</v>
      </c>
      <c r="V115" s="33" t="n">
        <f aca="false">Raw!M115</f>
        <v>0</v>
      </c>
      <c r="W115" s="0" t="str">
        <f aca="false">IF((S115&gt;0)=(V115=1),"OK","MISMATCH")</f>
        <v>OK</v>
      </c>
      <c r="X115" s="0" t="str">
        <f aca="false">_xlfn.IFS(S115&lt;=0,"Early/On time",S115&lt;=2,"Minor (up to 2 days)",S115&lt;=5,"Moderate (2-5 days)",TRUE(),"Severe (over 5 days)")</f>
        <v>Early/On time</v>
      </c>
      <c r="Y115" s="0" t="str">
        <f aca="false">YEAR(K115)&amp;"-"&amp;TEXT(MONTH(K115),"00")</f>
        <v>2025-03</v>
      </c>
      <c r="Z115" s="0" t="str">
        <f aca="false">C115&amp;" → "&amp;D115</f>
        <v>Punjab → Surat</v>
      </c>
      <c r="AA115" s="0" t="str">
        <f aca="false">Raw!Q115</f>
        <v>TCI Express</v>
      </c>
      <c r="AB115" s="0" t="str">
        <f aca="false">Raw!R115</f>
        <v>Yes</v>
      </c>
      <c r="AC115" s="0" t="str">
        <f aca="false">Raw!S115</f>
        <v>Held at warehouse</v>
      </c>
      <c r="AD115" s="29" t="n">
        <f aca="false">Raw!N115</f>
        <v>1955.75</v>
      </c>
      <c r="AE115" s="29" t="n">
        <f aca="false">Raw!O115</f>
        <v>4876.41</v>
      </c>
      <c r="AF115" s="29" t="n">
        <f aca="false">Raw!P115</f>
        <v>1383.79</v>
      </c>
      <c r="AG115" s="29" t="n">
        <f aca="false">AD115/J115</f>
        <v>449.597701149425</v>
      </c>
    </row>
    <row r="116" customFormat="false" ht="15" hidden="false" customHeight="false" outlineLevel="0" collapsed="false">
      <c r="A116" s="0" t="str">
        <f aca="false">Raw!A116</f>
        <v>SHP0115</v>
      </c>
      <c r="B116" s="0" t="str">
        <f aca="false">Raw!B116</f>
        <v>Outbound</v>
      </c>
      <c r="C116" s="0" t="str">
        <f aca="false">Raw!C116</f>
        <v>Surat</v>
      </c>
      <c r="D116" s="0" t="str">
        <f aca="false">Raw!D116</f>
        <v>West Bengal</v>
      </c>
      <c r="E116" s="0" t="str">
        <f aca="false">IFERROR(INDEX(Location_Map!$B$2:$B$15,MATCH(C116,Location_Map!$A$2:$A$15,0)),"UNMAPPED")</f>
        <v>Gujarat</v>
      </c>
      <c r="F116" s="0" t="str">
        <f aca="false">IFERROR(INDEX(Location_Map!$C$2:$C$15,MATCH(C116,Location_Map!$A$2:$A$15,0)),"UNMAPPED")</f>
        <v>West</v>
      </c>
      <c r="G116" s="0" t="str">
        <f aca="false">IFERROR(INDEX(Location_Map!$B$2:$B$15,MATCH(D116,Location_Map!$A$2:$A$15,0)),"UNMAPPED")</f>
        <v>West Bengal</v>
      </c>
      <c r="H116" s="0" t="str">
        <f aca="false">IFERROR(INDEX(Location_Map!$C$2:$C$15,MATCH(D116,Location_Map!$A$2:$A$15,0)),"UNMAPPED")</f>
        <v>East</v>
      </c>
      <c r="I116" s="0" t="str">
        <f aca="false">Raw!E116</f>
        <v>Semi-Processed Yarn</v>
      </c>
      <c r="J116" s="28" t="n">
        <f aca="false">Raw!F116</f>
        <v>18.63</v>
      </c>
      <c r="K116" s="30" t="n">
        <f aca="false">DATE(LEFT(Raw!G116,4),MID(Raw!G116,6,2),MID(Raw!G116,9,2))</f>
        <v>45956</v>
      </c>
      <c r="L116" s="30" t="n">
        <f aca="false">DATE(LEFT(Raw!H116,4),MID(Raw!H116,6,2),MID(Raw!H116,9,2))</f>
        <v>45957</v>
      </c>
      <c r="M116" s="30" t="n">
        <f aca="false">DATE(LEFT(Raw!I116,4),MID(Raw!I116,6,2),MID(Raw!I116,9,2))</f>
        <v>45960</v>
      </c>
      <c r="N116" s="31" t="n">
        <f aca="false">DATE(LEFT(Raw!J116,4),MID(Raw!J116,6,2),MID(Raw!J116,9,2))+TIME(MID(Raw!J116,12,2),MID(Raw!J116,15,2),MID(Raw!J116,18,2))</f>
        <v>45956.7916666667</v>
      </c>
      <c r="O116" s="31" t="n">
        <f aca="false">DATE(LEFT(Raw!K116,4),MID(Raw!K116,6,2),MID(Raw!K116,9,2))+TIME(MID(Raw!K116,12,2),MID(Raw!K116,15,2),MID(Raw!K116,18,2))</f>
        <v>45959</v>
      </c>
      <c r="P116" s="32" t="n">
        <f aca="false">L116-K116</f>
        <v>1</v>
      </c>
      <c r="Q116" s="32" t="n">
        <f aca="false">M116-L116</f>
        <v>3</v>
      </c>
      <c r="R116" s="32" t="n">
        <f aca="false">O116-N116</f>
        <v>2.20833333333333</v>
      </c>
      <c r="S116" s="32" t="n">
        <f aca="false">Raw!L116</f>
        <v>-1</v>
      </c>
      <c r="T116" s="32" t="n">
        <f aca="false">O116-M116</f>
        <v>-1</v>
      </c>
      <c r="U116" s="0" t="str">
        <f aca="false">IF(ABS(T116-S116)&lt;0.01,"OK","MISMATCH")</f>
        <v>OK</v>
      </c>
      <c r="V116" s="33" t="n">
        <f aca="false">Raw!M116</f>
        <v>0</v>
      </c>
      <c r="W116" s="0" t="str">
        <f aca="false">IF((S116&gt;0)=(V116=1),"OK","MISMATCH")</f>
        <v>OK</v>
      </c>
      <c r="X116" s="0" t="str">
        <f aca="false">_xlfn.IFS(S116&lt;=0,"Early/On time",S116&lt;=2,"Minor (up to 2 days)",S116&lt;=5,"Moderate (2-5 days)",TRUE(),"Severe (over 5 days)")</f>
        <v>Early/On time</v>
      </c>
      <c r="Y116" s="0" t="str">
        <f aca="false">YEAR(K116)&amp;"-"&amp;TEXT(MONTH(K116),"00")</f>
        <v>2025-10</v>
      </c>
      <c r="Z116" s="0" t="str">
        <f aca="false">C116&amp;" → "&amp;D116</f>
        <v>Surat → West Bengal</v>
      </c>
      <c r="AA116" s="0" t="str">
        <f aca="false">Raw!Q116</f>
        <v>Delhivery</v>
      </c>
      <c r="AB116" s="0" t="str">
        <f aca="false">Raw!R116</f>
        <v>No</v>
      </c>
      <c r="AC116" s="0" t="str">
        <f aca="false">Raw!S116</f>
        <v>Returned</v>
      </c>
      <c r="AD116" s="29" t="n">
        <f aca="false">Raw!N116</f>
        <v>7659.04</v>
      </c>
      <c r="AE116" s="29" t="n">
        <f aca="false">Raw!O116</f>
        <v>1897.76</v>
      </c>
      <c r="AF116" s="29" t="n">
        <f aca="false">Raw!P116</f>
        <v>723.82</v>
      </c>
      <c r="AG116" s="29" t="n">
        <f aca="false">AD116/J116</f>
        <v>411.113258185722</v>
      </c>
    </row>
    <row r="117" customFormat="false" ht="15" hidden="false" customHeight="false" outlineLevel="0" collapsed="false">
      <c r="A117" s="0" t="str">
        <f aca="false">Raw!A117</f>
        <v>SHP0116</v>
      </c>
      <c r="B117" s="0" t="str">
        <f aca="false">Raw!B117</f>
        <v>Inbound</v>
      </c>
      <c r="C117" s="0" t="str">
        <f aca="false">Raw!C117</f>
        <v>Chennai</v>
      </c>
      <c r="D117" s="0" t="str">
        <f aca="false">Raw!D117</f>
        <v>Surat</v>
      </c>
      <c r="E117" s="0" t="str">
        <f aca="false">IFERROR(INDEX(Location_Map!$B$2:$B$15,MATCH(C117,Location_Map!$A$2:$A$15,0)),"UNMAPPED")</f>
        <v>Tamil Nadu</v>
      </c>
      <c r="F117" s="0" t="str">
        <f aca="false">IFERROR(INDEX(Location_Map!$C$2:$C$15,MATCH(C117,Location_Map!$A$2:$A$15,0)),"UNMAPPED")</f>
        <v>South</v>
      </c>
      <c r="G117" s="0" t="str">
        <f aca="false">IFERROR(INDEX(Location_Map!$B$2:$B$15,MATCH(D117,Location_Map!$A$2:$A$15,0)),"UNMAPPED")</f>
        <v>Gujarat</v>
      </c>
      <c r="H117" s="0" t="str">
        <f aca="false">IFERROR(INDEX(Location_Map!$C$2:$C$15,MATCH(D117,Location_Map!$A$2:$A$15,0)),"UNMAPPED")</f>
        <v>West</v>
      </c>
      <c r="I117" s="0" t="str">
        <f aca="false">Raw!E117</f>
        <v>Raw Yarn</v>
      </c>
      <c r="J117" s="28" t="n">
        <f aca="false">Raw!F117</f>
        <v>11.2</v>
      </c>
      <c r="K117" s="30" t="n">
        <f aca="false">DATE(LEFT(Raw!G117,4),MID(Raw!G117,6,2),MID(Raw!G117,9,2))</f>
        <v>45835</v>
      </c>
      <c r="L117" s="30" t="n">
        <f aca="false">DATE(LEFT(Raw!H117,4),MID(Raw!H117,6,2),MID(Raw!H117,9,2))</f>
        <v>45838</v>
      </c>
      <c r="M117" s="30" t="n">
        <f aca="false">DATE(LEFT(Raw!I117,4),MID(Raw!I117,6,2),MID(Raw!I117,9,2))</f>
        <v>45841</v>
      </c>
      <c r="N117" s="31" t="n">
        <f aca="false">DATE(LEFT(Raw!J117,4),MID(Raw!J117,6,2),MID(Raw!J117,9,2))+TIME(MID(Raw!J117,12,2),MID(Raw!J117,15,2),MID(Raw!J117,18,2))</f>
        <v>45838.2083333333</v>
      </c>
      <c r="O117" s="31" t="n">
        <f aca="false">DATE(LEFT(Raw!K117,4),MID(Raw!K117,6,2),MID(Raw!K117,9,2))+TIME(MID(Raw!K117,12,2),MID(Raw!K117,15,2),MID(Raw!K117,18,2))</f>
        <v>45852.5</v>
      </c>
      <c r="P117" s="32" t="n">
        <f aca="false">L117-K117</f>
        <v>3</v>
      </c>
      <c r="Q117" s="32" t="n">
        <f aca="false">M117-L117</f>
        <v>3</v>
      </c>
      <c r="R117" s="32" t="n">
        <f aca="false">O117-N117</f>
        <v>14.2916666666667</v>
      </c>
      <c r="S117" s="32" t="n">
        <f aca="false">Raw!L117</f>
        <v>11.5</v>
      </c>
      <c r="T117" s="32" t="n">
        <f aca="false">O117-M117</f>
        <v>11.5</v>
      </c>
      <c r="U117" s="0" t="str">
        <f aca="false">IF(ABS(T117-S117)&lt;0.01,"OK","MISMATCH")</f>
        <v>OK</v>
      </c>
      <c r="V117" s="33" t="n">
        <f aca="false">Raw!M117</f>
        <v>1</v>
      </c>
      <c r="W117" s="0" t="str">
        <f aca="false">IF((S117&gt;0)=(V117=1),"OK","MISMATCH")</f>
        <v>OK</v>
      </c>
      <c r="X117" s="0" t="str">
        <f aca="false">_xlfn.IFS(S117&lt;=0,"Early/On time",S117&lt;=2,"Minor (up to 2 days)",S117&lt;=5,"Moderate (2-5 days)",TRUE(),"Severe (over 5 days)")</f>
        <v>Severe (over 5 days)</v>
      </c>
      <c r="Y117" s="0" t="str">
        <f aca="false">YEAR(K117)&amp;"-"&amp;TEXT(MONTH(K117),"00")</f>
        <v>2025-06</v>
      </c>
      <c r="Z117" s="0" t="str">
        <f aca="false">C117&amp;" → "&amp;D117</f>
        <v>Chennai → Surat</v>
      </c>
      <c r="AA117" s="0" t="str">
        <f aca="false">Raw!Q117</f>
        <v>VRL Cargo</v>
      </c>
      <c r="AB117" s="0" t="str">
        <f aca="false">Raw!R117</f>
        <v>No</v>
      </c>
      <c r="AC117" s="0" t="str">
        <f aca="false">Raw!S117</f>
        <v>Damaged</v>
      </c>
      <c r="AD117" s="29" t="n">
        <f aca="false">Raw!N117</f>
        <v>6101.14</v>
      </c>
      <c r="AE117" s="29" t="n">
        <f aca="false">Raw!O117</f>
        <v>1518.06</v>
      </c>
      <c r="AF117" s="29" t="n">
        <f aca="false">Raw!P117</f>
        <v>1388.75</v>
      </c>
      <c r="AG117" s="29" t="n">
        <f aca="false">AD117/J117</f>
        <v>544.744642857143</v>
      </c>
    </row>
    <row r="118" customFormat="false" ht="15" hidden="false" customHeight="false" outlineLevel="0" collapsed="false">
      <c r="A118" s="0" t="str">
        <f aca="false">Raw!A118</f>
        <v>SHP0117</v>
      </c>
      <c r="B118" s="0" t="str">
        <f aca="false">Raw!B118</f>
        <v>Inbound</v>
      </c>
      <c r="C118" s="0" t="str">
        <f aca="false">Raw!C118</f>
        <v>Chennai</v>
      </c>
      <c r="D118" s="0" t="str">
        <f aca="false">Raw!D118</f>
        <v>Surat</v>
      </c>
      <c r="E118" s="0" t="str">
        <f aca="false">IFERROR(INDEX(Location_Map!$B$2:$B$15,MATCH(C118,Location_Map!$A$2:$A$15,0)),"UNMAPPED")</f>
        <v>Tamil Nadu</v>
      </c>
      <c r="F118" s="0" t="str">
        <f aca="false">IFERROR(INDEX(Location_Map!$C$2:$C$15,MATCH(C118,Location_Map!$A$2:$A$15,0)),"UNMAPPED")</f>
        <v>South</v>
      </c>
      <c r="G118" s="0" t="str">
        <f aca="false">IFERROR(INDEX(Location_Map!$B$2:$B$15,MATCH(D118,Location_Map!$A$2:$A$15,0)),"UNMAPPED")</f>
        <v>Gujarat</v>
      </c>
      <c r="H118" s="0" t="str">
        <f aca="false">IFERROR(INDEX(Location_Map!$C$2:$C$15,MATCH(D118,Location_Map!$A$2:$A$15,0)),"UNMAPPED")</f>
        <v>West</v>
      </c>
      <c r="I118" s="0" t="str">
        <f aca="false">Raw!E118</f>
        <v>Finished Yarn</v>
      </c>
      <c r="J118" s="28" t="n">
        <f aca="false">Raw!F118</f>
        <v>19.16</v>
      </c>
      <c r="K118" s="30" t="n">
        <f aca="false">DATE(LEFT(Raw!G118,4),MID(Raw!G118,6,2),MID(Raw!G118,9,2))</f>
        <v>45916</v>
      </c>
      <c r="L118" s="30" t="n">
        <f aca="false">DATE(LEFT(Raw!H118,4),MID(Raw!H118,6,2),MID(Raw!H118,9,2))</f>
        <v>45920</v>
      </c>
      <c r="M118" s="30" t="n">
        <f aca="false">DATE(LEFT(Raw!I118,4),MID(Raw!I118,6,2),MID(Raw!I118,9,2))</f>
        <v>45922</v>
      </c>
      <c r="N118" s="31" t="n">
        <f aca="false">DATE(LEFT(Raw!J118,4),MID(Raw!J118,6,2),MID(Raw!J118,9,2))+TIME(MID(Raw!J118,12,2),MID(Raw!J118,15,2),MID(Raw!J118,18,2))</f>
        <v>45920.0833333333</v>
      </c>
      <c r="O118" s="31" t="n">
        <f aca="false">DATE(LEFT(Raw!K118,4),MID(Raw!K118,6,2),MID(Raw!K118,9,2))+TIME(MID(Raw!K118,12,2),MID(Raw!K118,15,2),MID(Raw!K118,18,2))</f>
        <v>45921.4</v>
      </c>
      <c r="P118" s="32" t="n">
        <f aca="false">L118-K118</f>
        <v>4</v>
      </c>
      <c r="Q118" s="32" t="n">
        <f aca="false">M118-L118</f>
        <v>2</v>
      </c>
      <c r="R118" s="32" t="n">
        <f aca="false">O118-N118</f>
        <v>1.31666666666667</v>
      </c>
      <c r="S118" s="32" t="n">
        <f aca="false">Raw!L118</f>
        <v>-0.6</v>
      </c>
      <c r="T118" s="32" t="n">
        <f aca="false">O118-M118</f>
        <v>-0.6</v>
      </c>
      <c r="U118" s="0" t="str">
        <f aca="false">IF(ABS(T118-S118)&lt;0.01,"OK","MISMATCH")</f>
        <v>OK</v>
      </c>
      <c r="V118" s="33" t="n">
        <f aca="false">Raw!M118</f>
        <v>0</v>
      </c>
      <c r="W118" s="0" t="str">
        <f aca="false">IF((S118&gt;0)=(V118=1),"OK","MISMATCH")</f>
        <v>OK</v>
      </c>
      <c r="X118" s="0" t="str">
        <f aca="false">_xlfn.IFS(S118&lt;=0,"Early/On time",S118&lt;=2,"Minor (up to 2 days)",S118&lt;=5,"Moderate (2-5 days)",TRUE(),"Severe (over 5 days)")</f>
        <v>Early/On time</v>
      </c>
      <c r="Y118" s="0" t="str">
        <f aca="false">YEAR(K118)&amp;"-"&amp;TEXT(MONTH(K118),"00")</f>
        <v>2025-09</v>
      </c>
      <c r="Z118" s="0" t="str">
        <f aca="false">C118&amp;" → "&amp;D118</f>
        <v>Chennai → Surat</v>
      </c>
      <c r="AA118" s="0" t="str">
        <f aca="false">Raw!Q118</f>
        <v>TCI Express</v>
      </c>
      <c r="AB118" s="0" t="str">
        <f aca="false">Raw!R118</f>
        <v>No</v>
      </c>
      <c r="AC118" s="0" t="str">
        <f aca="false">Raw!S118</f>
        <v>Damaged</v>
      </c>
      <c r="AD118" s="29" t="n">
        <f aca="false">Raw!N118</f>
        <v>5049.74</v>
      </c>
      <c r="AE118" s="29" t="n">
        <f aca="false">Raw!O118</f>
        <v>3782.86</v>
      </c>
      <c r="AF118" s="29" t="n">
        <f aca="false">Raw!P118</f>
        <v>548.78</v>
      </c>
      <c r="AG118" s="29" t="n">
        <f aca="false">AD118/J118</f>
        <v>263.55636743215</v>
      </c>
    </row>
    <row r="119" customFormat="false" ht="15" hidden="false" customHeight="false" outlineLevel="0" collapsed="false">
      <c r="A119" s="0" t="str">
        <f aca="false">Raw!A119</f>
        <v>SHP0118</v>
      </c>
      <c r="B119" s="0" t="str">
        <f aca="false">Raw!B119</f>
        <v>Outbound</v>
      </c>
      <c r="C119" s="0" t="str">
        <f aca="false">Raw!C119</f>
        <v>Surat</v>
      </c>
      <c r="D119" s="0" t="str">
        <f aca="false">Raw!D119</f>
        <v>Madhya Pradesh</v>
      </c>
      <c r="E119" s="0" t="str">
        <f aca="false">IFERROR(INDEX(Location_Map!$B$2:$B$15,MATCH(C119,Location_Map!$A$2:$A$15,0)),"UNMAPPED")</f>
        <v>Gujarat</v>
      </c>
      <c r="F119" s="0" t="str">
        <f aca="false">IFERROR(INDEX(Location_Map!$C$2:$C$15,MATCH(C119,Location_Map!$A$2:$A$15,0)),"UNMAPPED")</f>
        <v>West</v>
      </c>
      <c r="G119" s="0" t="str">
        <f aca="false">IFERROR(INDEX(Location_Map!$B$2:$B$15,MATCH(D119,Location_Map!$A$2:$A$15,0)),"UNMAPPED")</f>
        <v>Madhya Pradesh</v>
      </c>
      <c r="H119" s="0" t="str">
        <f aca="false">IFERROR(INDEX(Location_Map!$C$2:$C$15,MATCH(D119,Location_Map!$A$2:$A$15,0)),"UNMAPPED")</f>
        <v>Central</v>
      </c>
      <c r="I119" s="0" t="str">
        <f aca="false">Raw!E119</f>
        <v>Semi-Processed Yarn</v>
      </c>
      <c r="J119" s="28" t="n">
        <f aca="false">Raw!F119</f>
        <v>11.12</v>
      </c>
      <c r="K119" s="30" t="n">
        <f aca="false">DATE(LEFT(Raw!G119,4),MID(Raw!G119,6,2),MID(Raw!G119,9,2))</f>
        <v>45946</v>
      </c>
      <c r="L119" s="30" t="n">
        <f aca="false">DATE(LEFT(Raw!H119,4),MID(Raw!H119,6,2),MID(Raw!H119,9,2))</f>
        <v>45947</v>
      </c>
      <c r="M119" s="30" t="n">
        <f aca="false">DATE(LEFT(Raw!I119,4),MID(Raw!I119,6,2),MID(Raw!I119,9,2))</f>
        <v>45952</v>
      </c>
      <c r="N119" s="31" t="n">
        <f aca="false">DATE(LEFT(Raw!J119,4),MID(Raw!J119,6,2),MID(Raw!J119,9,2))+TIME(MID(Raw!J119,12,2),MID(Raw!J119,15,2),MID(Raw!J119,18,2))</f>
        <v>45946.9583333333</v>
      </c>
      <c r="O119" s="31" t="n">
        <f aca="false">DATE(LEFT(Raw!K119,4),MID(Raw!K119,6,2),MID(Raw!K119,9,2))+TIME(MID(Raw!K119,12,2),MID(Raw!K119,15,2),MID(Raw!K119,18,2))</f>
        <v>45954.3</v>
      </c>
      <c r="P119" s="32" t="n">
        <f aca="false">L119-K119</f>
        <v>1</v>
      </c>
      <c r="Q119" s="32" t="n">
        <f aca="false">M119-L119</f>
        <v>5</v>
      </c>
      <c r="R119" s="32" t="n">
        <f aca="false">O119-N119</f>
        <v>7.34166666666667</v>
      </c>
      <c r="S119" s="32" t="n">
        <f aca="false">Raw!L119</f>
        <v>2.3</v>
      </c>
      <c r="T119" s="32" t="n">
        <f aca="false">O119-M119</f>
        <v>2.3</v>
      </c>
      <c r="U119" s="0" t="str">
        <f aca="false">IF(ABS(T119-S119)&lt;0.01,"OK","MISMATCH")</f>
        <v>OK</v>
      </c>
      <c r="V119" s="33" t="n">
        <f aca="false">Raw!M119</f>
        <v>1</v>
      </c>
      <c r="W119" s="0" t="str">
        <f aca="false">IF((S119&gt;0)=(V119=1),"OK","MISMATCH")</f>
        <v>OK</v>
      </c>
      <c r="X119" s="0" t="str">
        <f aca="false">_xlfn.IFS(S119&lt;=0,"Early/On time",S119&lt;=2,"Minor (up to 2 days)",S119&lt;=5,"Moderate (2-5 days)",TRUE(),"Severe (over 5 days)")</f>
        <v>Moderate (2-5 days)</v>
      </c>
      <c r="Y119" s="0" t="str">
        <f aca="false">YEAR(K119)&amp;"-"&amp;TEXT(MONTH(K119),"00")</f>
        <v>2025-10</v>
      </c>
      <c r="Z119" s="0" t="str">
        <f aca="false">C119&amp;" → "&amp;D119</f>
        <v>Surat → Madhya Pradesh</v>
      </c>
      <c r="AA119" s="0" t="str">
        <f aca="false">Raw!Q119</f>
        <v>VRL Cargo</v>
      </c>
      <c r="AB119" s="0" t="str">
        <f aca="false">Raw!R119</f>
        <v>No</v>
      </c>
      <c r="AC119" s="0" t="str">
        <f aca="false">Raw!S119</f>
        <v>Expedited</v>
      </c>
      <c r="AD119" s="29" t="n">
        <f aca="false">Raw!N119</f>
        <v>5506.51</v>
      </c>
      <c r="AE119" s="29" t="n">
        <f aca="false">Raw!O119</f>
        <v>4531.63</v>
      </c>
      <c r="AF119" s="29" t="n">
        <f aca="false">Raw!P119</f>
        <v>1016.08</v>
      </c>
      <c r="AG119" s="29" t="n">
        <f aca="false">AD119/J119</f>
        <v>495.189748201439</v>
      </c>
    </row>
    <row r="120" customFormat="false" ht="15" hidden="false" customHeight="false" outlineLevel="0" collapsed="false">
      <c r="A120" s="0" t="str">
        <f aca="false">Raw!A120</f>
        <v>SHP0119</v>
      </c>
      <c r="B120" s="0" t="str">
        <f aca="false">Raw!B120</f>
        <v>Inbound</v>
      </c>
      <c r="C120" s="0" t="str">
        <f aca="false">Raw!C120</f>
        <v>Uttar Pradesh</v>
      </c>
      <c r="D120" s="0" t="str">
        <f aca="false">Raw!D120</f>
        <v>Surat</v>
      </c>
      <c r="E120" s="0" t="str">
        <f aca="false">IFERROR(INDEX(Location_Map!$B$2:$B$15,MATCH(C120,Location_Map!$A$2:$A$15,0)),"UNMAPPED")</f>
        <v>Uttar Pradesh</v>
      </c>
      <c r="F120" s="0" t="str">
        <f aca="false">IFERROR(INDEX(Location_Map!$C$2:$C$15,MATCH(C120,Location_Map!$A$2:$A$15,0)),"UNMAPPED")</f>
        <v>North</v>
      </c>
      <c r="G120" s="0" t="str">
        <f aca="false">IFERROR(INDEX(Location_Map!$B$2:$B$15,MATCH(D120,Location_Map!$A$2:$A$15,0)),"UNMAPPED")</f>
        <v>Gujarat</v>
      </c>
      <c r="H120" s="0" t="str">
        <f aca="false">IFERROR(INDEX(Location_Map!$C$2:$C$15,MATCH(D120,Location_Map!$A$2:$A$15,0)),"UNMAPPED")</f>
        <v>West</v>
      </c>
      <c r="I120" s="0" t="str">
        <f aca="false">Raw!E120</f>
        <v>Semi-Processed Yarn</v>
      </c>
      <c r="J120" s="28" t="n">
        <f aca="false">Raw!F120</f>
        <v>18.22</v>
      </c>
      <c r="K120" s="30" t="n">
        <f aca="false">DATE(LEFT(Raw!G120,4),MID(Raw!G120,6,2),MID(Raw!G120,9,2))</f>
        <v>45829</v>
      </c>
      <c r="L120" s="30" t="n">
        <f aca="false">DATE(LEFT(Raw!H120,4),MID(Raw!H120,6,2),MID(Raw!H120,9,2))</f>
        <v>45832</v>
      </c>
      <c r="M120" s="30" t="n">
        <f aca="false">DATE(LEFT(Raw!I120,4),MID(Raw!I120,6,2),MID(Raw!I120,9,2))</f>
        <v>45836</v>
      </c>
      <c r="N120" s="31" t="n">
        <f aca="false">DATE(LEFT(Raw!J120,4),MID(Raw!J120,6,2),MID(Raw!J120,9,2))+TIME(MID(Raw!J120,12,2),MID(Raw!J120,15,2),MID(Raw!J120,18,2))</f>
        <v>45832.0833333333</v>
      </c>
      <c r="O120" s="31" t="n">
        <f aca="false">DATE(LEFT(Raw!K120,4),MID(Raw!K120,6,2),MID(Raw!K120,9,2))+TIME(MID(Raw!K120,12,2),MID(Raw!K120,15,2),MID(Raw!K120,18,2))</f>
        <v>45839.2</v>
      </c>
      <c r="P120" s="32" t="n">
        <f aca="false">L120-K120</f>
        <v>3</v>
      </c>
      <c r="Q120" s="32" t="n">
        <f aca="false">M120-L120</f>
        <v>4</v>
      </c>
      <c r="R120" s="32" t="n">
        <f aca="false">O120-N120</f>
        <v>7.11666666666667</v>
      </c>
      <c r="S120" s="32" t="n">
        <f aca="false">Raw!L120</f>
        <v>3.2</v>
      </c>
      <c r="T120" s="32" t="n">
        <f aca="false">O120-M120</f>
        <v>3.2</v>
      </c>
      <c r="U120" s="0" t="str">
        <f aca="false">IF(ABS(T120-S120)&lt;0.01,"OK","MISMATCH")</f>
        <v>OK</v>
      </c>
      <c r="V120" s="33" t="n">
        <f aca="false">Raw!M120</f>
        <v>1</v>
      </c>
      <c r="W120" s="0" t="str">
        <f aca="false">IF((S120&gt;0)=(V120=1),"OK","MISMATCH")</f>
        <v>OK</v>
      </c>
      <c r="X120" s="0" t="str">
        <f aca="false">_xlfn.IFS(S120&lt;=0,"Early/On time",S120&lt;=2,"Minor (up to 2 days)",S120&lt;=5,"Moderate (2-5 days)",TRUE(),"Severe (over 5 days)")</f>
        <v>Moderate (2-5 days)</v>
      </c>
      <c r="Y120" s="0" t="str">
        <f aca="false">YEAR(K120)&amp;"-"&amp;TEXT(MONTH(K120),"00")</f>
        <v>2025-06</v>
      </c>
      <c r="Z120" s="0" t="str">
        <f aca="false">C120&amp;" → "&amp;D120</f>
        <v>Uttar Pradesh → Surat</v>
      </c>
      <c r="AA120" s="0" t="str">
        <f aca="false">Raw!Q120</f>
        <v>TCI Express</v>
      </c>
      <c r="AB120" s="0" t="str">
        <f aca="false">Raw!R120</f>
        <v>No</v>
      </c>
      <c r="AC120" s="0" t="str">
        <f aca="false">Raw!S120</f>
        <v>Damaged</v>
      </c>
      <c r="AD120" s="29" t="n">
        <f aca="false">Raw!N120</f>
        <v>11351.69</v>
      </c>
      <c r="AE120" s="29" t="n">
        <f aca="false">Raw!O120</f>
        <v>4402.33</v>
      </c>
      <c r="AF120" s="29" t="n">
        <f aca="false">Raw!P120</f>
        <v>1367.29</v>
      </c>
      <c r="AG120" s="29" t="n">
        <f aca="false">AD120/J120</f>
        <v>623.034577387486</v>
      </c>
    </row>
    <row r="121" customFormat="false" ht="15" hidden="false" customHeight="false" outlineLevel="0" collapsed="false">
      <c r="A121" s="0" t="str">
        <f aca="false">Raw!A121</f>
        <v>SHP0120</v>
      </c>
      <c r="B121" s="0" t="str">
        <f aca="false">Raw!B121</f>
        <v>Outbound</v>
      </c>
      <c r="C121" s="0" t="str">
        <f aca="false">Raw!C121</f>
        <v>Surat</v>
      </c>
      <c r="D121" s="0" t="str">
        <f aca="false">Raw!D121</f>
        <v>Uttarakhand</v>
      </c>
      <c r="E121" s="0" t="str">
        <f aca="false">IFERROR(INDEX(Location_Map!$B$2:$B$15,MATCH(C121,Location_Map!$A$2:$A$15,0)),"UNMAPPED")</f>
        <v>Gujarat</v>
      </c>
      <c r="F121" s="0" t="str">
        <f aca="false">IFERROR(INDEX(Location_Map!$C$2:$C$15,MATCH(C121,Location_Map!$A$2:$A$15,0)),"UNMAPPED")</f>
        <v>West</v>
      </c>
      <c r="G121" s="0" t="str">
        <f aca="false">IFERROR(INDEX(Location_Map!$B$2:$B$15,MATCH(D121,Location_Map!$A$2:$A$15,0)),"UNMAPPED")</f>
        <v>Uttarakhand</v>
      </c>
      <c r="H121" s="0" t="str">
        <f aca="false">IFERROR(INDEX(Location_Map!$C$2:$C$15,MATCH(D121,Location_Map!$A$2:$A$15,0)),"UNMAPPED")</f>
        <v>North</v>
      </c>
      <c r="I121" s="0" t="str">
        <f aca="false">Raw!E121</f>
        <v>Semi-Processed Yarn</v>
      </c>
      <c r="J121" s="28" t="n">
        <f aca="false">Raw!F121</f>
        <v>14.46</v>
      </c>
      <c r="K121" s="30" t="n">
        <f aca="false">DATE(LEFT(Raw!G121,4),MID(Raw!G121,6,2),MID(Raw!G121,9,2))</f>
        <v>45909</v>
      </c>
      <c r="L121" s="30" t="n">
        <f aca="false">DATE(LEFT(Raw!H121,4),MID(Raw!H121,6,2),MID(Raw!H121,9,2))</f>
        <v>45912</v>
      </c>
      <c r="M121" s="30" t="n">
        <f aca="false">DATE(LEFT(Raw!I121,4),MID(Raw!I121,6,2),MID(Raw!I121,9,2))</f>
        <v>45915</v>
      </c>
      <c r="N121" s="31" t="n">
        <f aca="false">DATE(LEFT(Raw!J121,4),MID(Raw!J121,6,2),MID(Raw!J121,9,2))+TIME(MID(Raw!J121,12,2),MID(Raw!J121,15,2),MID(Raw!J121,18,2))</f>
        <v>45911.9166666667</v>
      </c>
      <c r="O121" s="31" t="n">
        <f aca="false">DATE(LEFT(Raw!K121,4),MID(Raw!K121,6,2),MID(Raw!K121,9,2))+TIME(MID(Raw!K121,12,2),MID(Raw!K121,15,2),MID(Raw!K121,18,2))</f>
        <v>45918.9</v>
      </c>
      <c r="P121" s="32" t="n">
        <f aca="false">L121-K121</f>
        <v>3</v>
      </c>
      <c r="Q121" s="32" t="n">
        <f aca="false">M121-L121</f>
        <v>3</v>
      </c>
      <c r="R121" s="32" t="n">
        <f aca="false">O121-N121</f>
        <v>6.98333333333333</v>
      </c>
      <c r="S121" s="32" t="n">
        <f aca="false">Raw!L121</f>
        <v>3.9</v>
      </c>
      <c r="T121" s="32" t="n">
        <f aca="false">O121-M121</f>
        <v>3.9</v>
      </c>
      <c r="U121" s="0" t="str">
        <f aca="false">IF(ABS(T121-S121)&lt;0.01,"OK","MISMATCH")</f>
        <v>OK</v>
      </c>
      <c r="V121" s="33" t="n">
        <f aca="false">Raw!M121</f>
        <v>1</v>
      </c>
      <c r="W121" s="0" t="str">
        <f aca="false">IF((S121&gt;0)=(V121=1),"OK","MISMATCH")</f>
        <v>OK</v>
      </c>
      <c r="X121" s="0" t="str">
        <f aca="false">_xlfn.IFS(S121&lt;=0,"Early/On time",S121&lt;=2,"Minor (up to 2 days)",S121&lt;=5,"Moderate (2-5 days)",TRUE(),"Severe (over 5 days)")</f>
        <v>Moderate (2-5 days)</v>
      </c>
      <c r="Y121" s="0" t="str">
        <f aca="false">YEAR(K121)&amp;"-"&amp;TEXT(MONTH(K121),"00")</f>
        <v>2025-09</v>
      </c>
      <c r="Z121" s="0" t="str">
        <f aca="false">C121&amp;" → "&amp;D121</f>
        <v>Surat → Uttarakhand</v>
      </c>
      <c r="AA121" s="0" t="str">
        <f aca="false">Raw!Q121</f>
        <v>BlueDart</v>
      </c>
      <c r="AB121" s="0" t="str">
        <f aca="false">Raw!R121</f>
        <v>No</v>
      </c>
      <c r="AC121" s="0" t="str">
        <f aca="false">Raw!S121</f>
        <v>Held at warehouse</v>
      </c>
      <c r="AD121" s="29" t="n">
        <f aca="false">Raw!N121</f>
        <v>8725.09</v>
      </c>
      <c r="AE121" s="29" t="n">
        <f aca="false">Raw!O121</f>
        <v>1634.42</v>
      </c>
      <c r="AF121" s="29" t="n">
        <f aca="false">Raw!P121</f>
        <v>1380.87</v>
      </c>
      <c r="AG121" s="29" t="n">
        <f aca="false">AD121/J121</f>
        <v>603.394882434302</v>
      </c>
    </row>
    <row r="122" customFormat="false" ht="15" hidden="false" customHeight="false" outlineLevel="0" collapsed="false">
      <c r="A122" s="0" t="str">
        <f aca="false">Raw!A122</f>
        <v>SHP0121</v>
      </c>
      <c r="B122" s="0" t="str">
        <f aca="false">Raw!B122</f>
        <v>Inbound</v>
      </c>
      <c r="C122" s="0" t="str">
        <f aca="false">Raw!C122</f>
        <v>Chennai</v>
      </c>
      <c r="D122" s="0" t="str">
        <f aca="false">Raw!D122</f>
        <v>Surat</v>
      </c>
      <c r="E122" s="0" t="str">
        <f aca="false">IFERROR(INDEX(Location_Map!$B$2:$B$15,MATCH(C122,Location_Map!$A$2:$A$15,0)),"UNMAPPED")</f>
        <v>Tamil Nadu</v>
      </c>
      <c r="F122" s="0" t="str">
        <f aca="false">IFERROR(INDEX(Location_Map!$C$2:$C$15,MATCH(C122,Location_Map!$A$2:$A$15,0)),"UNMAPPED")</f>
        <v>South</v>
      </c>
      <c r="G122" s="0" t="str">
        <f aca="false">IFERROR(INDEX(Location_Map!$B$2:$B$15,MATCH(D122,Location_Map!$A$2:$A$15,0)),"UNMAPPED")</f>
        <v>Gujarat</v>
      </c>
      <c r="H122" s="0" t="str">
        <f aca="false">IFERROR(INDEX(Location_Map!$C$2:$C$15,MATCH(D122,Location_Map!$A$2:$A$15,0)),"UNMAPPED")</f>
        <v>West</v>
      </c>
      <c r="I122" s="0" t="str">
        <f aca="false">Raw!E122</f>
        <v>Raw Yarn</v>
      </c>
      <c r="J122" s="28" t="n">
        <f aca="false">Raw!F122</f>
        <v>17.57</v>
      </c>
      <c r="K122" s="30" t="n">
        <f aca="false">DATE(LEFT(Raw!G122,4),MID(Raw!G122,6,2),MID(Raw!G122,9,2))</f>
        <v>45666</v>
      </c>
      <c r="L122" s="30" t="n">
        <f aca="false">DATE(LEFT(Raw!H122,4),MID(Raw!H122,6,2),MID(Raw!H122,9,2))</f>
        <v>45670</v>
      </c>
      <c r="M122" s="30" t="n">
        <f aca="false">DATE(LEFT(Raw!I122,4),MID(Raw!I122,6,2),MID(Raw!I122,9,2))</f>
        <v>45673</v>
      </c>
      <c r="N122" s="31" t="n">
        <f aca="false">DATE(LEFT(Raw!J122,4),MID(Raw!J122,6,2),MID(Raw!J122,9,2))+TIME(MID(Raw!J122,12,2),MID(Raw!J122,15,2),MID(Raw!J122,18,2))</f>
        <v>45670.0416666667</v>
      </c>
      <c r="O122" s="31" t="n">
        <f aca="false">DATE(LEFT(Raw!K122,4),MID(Raw!K122,6,2),MID(Raw!K122,9,2))+TIME(MID(Raw!K122,12,2),MID(Raw!K122,15,2),MID(Raw!K122,18,2))</f>
        <v>45673.4</v>
      </c>
      <c r="P122" s="32" t="n">
        <f aca="false">L122-K122</f>
        <v>4</v>
      </c>
      <c r="Q122" s="32" t="n">
        <f aca="false">M122-L122</f>
        <v>3</v>
      </c>
      <c r="R122" s="32" t="n">
        <f aca="false">O122-N122</f>
        <v>3.35833333333333</v>
      </c>
      <c r="S122" s="32" t="n">
        <f aca="false">Raw!L122</f>
        <v>0.4</v>
      </c>
      <c r="T122" s="32" t="n">
        <f aca="false">O122-M122</f>
        <v>0.4</v>
      </c>
      <c r="U122" s="0" t="str">
        <f aca="false">IF(ABS(T122-S122)&lt;0.01,"OK","MISMATCH")</f>
        <v>OK</v>
      </c>
      <c r="V122" s="33" t="n">
        <f aca="false">Raw!M122</f>
        <v>1</v>
      </c>
      <c r="W122" s="0" t="str">
        <f aca="false">IF((S122&gt;0)=(V122=1),"OK","MISMATCH")</f>
        <v>OK</v>
      </c>
      <c r="X122" s="0" t="str">
        <f aca="false">_xlfn.IFS(S122&lt;=0,"Early/On time",S122&lt;=2,"Minor (up to 2 days)",S122&lt;=5,"Moderate (2-5 days)",TRUE(),"Severe (over 5 days)")</f>
        <v>Minor (up to 2 days)</v>
      </c>
      <c r="Y122" s="0" t="str">
        <f aca="false">YEAR(K122)&amp;"-"&amp;TEXT(MONTH(K122),"00")</f>
        <v>2025-01</v>
      </c>
      <c r="Z122" s="0" t="str">
        <f aca="false">C122&amp;" → "&amp;D122</f>
        <v>Chennai → Surat</v>
      </c>
      <c r="AA122" s="0" t="str">
        <f aca="false">Raw!Q122</f>
        <v>VRL Cargo</v>
      </c>
      <c r="AB122" s="0" t="str">
        <f aca="false">Raw!R122</f>
        <v>No</v>
      </c>
      <c r="AC122" s="0" t="str">
        <f aca="false">Raw!S122</f>
        <v>Normal</v>
      </c>
      <c r="AD122" s="29" t="n">
        <f aca="false">Raw!N122</f>
        <v>7358.89</v>
      </c>
      <c r="AE122" s="29" t="n">
        <f aca="false">Raw!O122</f>
        <v>4328.54</v>
      </c>
      <c r="AF122" s="29" t="n">
        <f aca="false">Raw!P122</f>
        <v>1007.47</v>
      </c>
      <c r="AG122" s="29" t="n">
        <f aca="false">AD122/J122</f>
        <v>418.832669322709</v>
      </c>
    </row>
    <row r="123" customFormat="false" ht="15" hidden="false" customHeight="false" outlineLevel="0" collapsed="false">
      <c r="A123" s="0" t="str">
        <f aca="false">Raw!A123</f>
        <v>SHP0122</v>
      </c>
      <c r="B123" s="0" t="str">
        <f aca="false">Raw!B123</f>
        <v>Outbound</v>
      </c>
      <c r="C123" s="0" t="str">
        <f aca="false">Raw!C123</f>
        <v>Surat</v>
      </c>
      <c r="D123" s="0" t="str">
        <f aca="false">Raw!D123</f>
        <v>Assam</v>
      </c>
      <c r="E123" s="0" t="str">
        <f aca="false">IFERROR(INDEX(Location_Map!$B$2:$B$15,MATCH(C123,Location_Map!$A$2:$A$15,0)),"UNMAPPED")</f>
        <v>Gujarat</v>
      </c>
      <c r="F123" s="0" t="str">
        <f aca="false">IFERROR(INDEX(Location_Map!$C$2:$C$15,MATCH(C123,Location_Map!$A$2:$A$15,0)),"UNMAPPED")</f>
        <v>West</v>
      </c>
      <c r="G123" s="0" t="str">
        <f aca="false">IFERROR(INDEX(Location_Map!$B$2:$B$15,MATCH(D123,Location_Map!$A$2:$A$15,0)),"UNMAPPED")</f>
        <v>Assam</v>
      </c>
      <c r="H123" s="0" t="str">
        <f aca="false">IFERROR(INDEX(Location_Map!$C$2:$C$15,MATCH(D123,Location_Map!$A$2:$A$15,0)),"UNMAPPED")</f>
        <v>North-East</v>
      </c>
      <c r="I123" s="0" t="str">
        <f aca="false">Raw!E123</f>
        <v>Raw Yarn</v>
      </c>
      <c r="J123" s="28" t="n">
        <f aca="false">Raw!F123</f>
        <v>1.12</v>
      </c>
      <c r="K123" s="30" t="n">
        <f aca="false">DATE(LEFT(Raw!G123,4),MID(Raw!G123,6,2),MID(Raw!G123,9,2))</f>
        <v>45744</v>
      </c>
      <c r="L123" s="30" t="n">
        <f aca="false">DATE(LEFT(Raw!H123,4),MID(Raw!H123,6,2),MID(Raw!H123,9,2))</f>
        <v>45747</v>
      </c>
      <c r="M123" s="30" t="n">
        <f aca="false">DATE(LEFT(Raw!I123,4),MID(Raw!I123,6,2),MID(Raw!I123,9,2))</f>
        <v>45749</v>
      </c>
      <c r="N123" s="31" t="n">
        <f aca="false">DATE(LEFT(Raw!J123,4),MID(Raw!J123,6,2),MID(Raw!J123,9,2))+TIME(MID(Raw!J123,12,2),MID(Raw!J123,15,2),MID(Raw!J123,18,2))</f>
        <v>45747.125</v>
      </c>
      <c r="O123" s="31" t="n">
        <f aca="false">DATE(LEFT(Raw!K123,4),MID(Raw!K123,6,2),MID(Raw!K123,9,2))+TIME(MID(Raw!K123,12,2),MID(Raw!K123,15,2),MID(Raw!K123,18,2))</f>
        <v>45752.9</v>
      </c>
      <c r="P123" s="32" t="n">
        <f aca="false">L123-K123</f>
        <v>3</v>
      </c>
      <c r="Q123" s="32" t="n">
        <f aca="false">M123-L123</f>
        <v>2</v>
      </c>
      <c r="R123" s="32" t="n">
        <f aca="false">O123-N123</f>
        <v>5.775</v>
      </c>
      <c r="S123" s="32" t="n">
        <f aca="false">Raw!L123</f>
        <v>3.9</v>
      </c>
      <c r="T123" s="32" t="n">
        <f aca="false">O123-M123</f>
        <v>3.9</v>
      </c>
      <c r="U123" s="0" t="str">
        <f aca="false">IF(ABS(T123-S123)&lt;0.01,"OK","MISMATCH")</f>
        <v>OK</v>
      </c>
      <c r="V123" s="33" t="n">
        <f aca="false">Raw!M123</f>
        <v>1</v>
      </c>
      <c r="W123" s="0" t="str">
        <f aca="false">IF((S123&gt;0)=(V123=1),"OK","MISMATCH")</f>
        <v>OK</v>
      </c>
      <c r="X123" s="0" t="str">
        <f aca="false">_xlfn.IFS(S123&lt;=0,"Early/On time",S123&lt;=2,"Minor (up to 2 days)",S123&lt;=5,"Moderate (2-5 days)",TRUE(),"Severe (over 5 days)")</f>
        <v>Moderate (2-5 days)</v>
      </c>
      <c r="Y123" s="0" t="str">
        <f aca="false">YEAR(K123)&amp;"-"&amp;TEXT(MONTH(K123),"00")</f>
        <v>2025-03</v>
      </c>
      <c r="Z123" s="0" t="str">
        <f aca="false">C123&amp;" → "&amp;D123</f>
        <v>Surat → Assam</v>
      </c>
      <c r="AA123" s="0" t="str">
        <f aca="false">Raw!Q123</f>
        <v>VRL Cargo</v>
      </c>
      <c r="AB123" s="0" t="str">
        <f aca="false">Raw!R123</f>
        <v>No</v>
      </c>
      <c r="AC123" s="0" t="str">
        <f aca="false">Raw!S123</f>
        <v>Held at warehouse</v>
      </c>
      <c r="AD123" s="29" t="n">
        <f aca="false">Raw!N123</f>
        <v>1410.24</v>
      </c>
      <c r="AE123" s="29" t="n">
        <f aca="false">Raw!O123</f>
        <v>3536.02</v>
      </c>
      <c r="AF123" s="29" t="n">
        <f aca="false">Raw!P123</f>
        <v>1039.99</v>
      </c>
      <c r="AG123" s="29" t="n">
        <f aca="false">AD123/J123</f>
        <v>1259.14285714286</v>
      </c>
    </row>
    <row r="124" customFormat="false" ht="15" hidden="false" customHeight="false" outlineLevel="0" collapsed="false">
      <c r="A124" s="0" t="str">
        <f aca="false">Raw!A124</f>
        <v>SHP0123</v>
      </c>
      <c r="B124" s="0" t="str">
        <f aca="false">Raw!B124</f>
        <v>Outbound</v>
      </c>
      <c r="C124" s="0" t="str">
        <f aca="false">Raw!C124</f>
        <v>Surat</v>
      </c>
      <c r="D124" s="0" t="str">
        <f aca="false">Raw!D124</f>
        <v>Uttarakhand</v>
      </c>
      <c r="E124" s="0" t="str">
        <f aca="false">IFERROR(INDEX(Location_Map!$B$2:$B$15,MATCH(C124,Location_Map!$A$2:$A$15,0)),"UNMAPPED")</f>
        <v>Gujarat</v>
      </c>
      <c r="F124" s="0" t="str">
        <f aca="false">IFERROR(INDEX(Location_Map!$C$2:$C$15,MATCH(C124,Location_Map!$A$2:$A$15,0)),"UNMAPPED")</f>
        <v>West</v>
      </c>
      <c r="G124" s="0" t="str">
        <f aca="false">IFERROR(INDEX(Location_Map!$B$2:$B$15,MATCH(D124,Location_Map!$A$2:$A$15,0)),"UNMAPPED")</f>
        <v>Uttarakhand</v>
      </c>
      <c r="H124" s="0" t="str">
        <f aca="false">IFERROR(INDEX(Location_Map!$C$2:$C$15,MATCH(D124,Location_Map!$A$2:$A$15,0)),"UNMAPPED")</f>
        <v>North</v>
      </c>
      <c r="I124" s="0" t="str">
        <f aca="false">Raw!E124</f>
        <v>Finished Yarn</v>
      </c>
      <c r="J124" s="28" t="n">
        <f aca="false">Raw!F124</f>
        <v>15.82</v>
      </c>
      <c r="K124" s="30" t="n">
        <f aca="false">DATE(LEFT(Raw!G124,4),MID(Raw!G124,6,2),MID(Raw!G124,9,2))</f>
        <v>45690</v>
      </c>
      <c r="L124" s="30" t="n">
        <f aca="false">DATE(LEFT(Raw!H124,4),MID(Raw!H124,6,2),MID(Raw!H124,9,2))</f>
        <v>45694</v>
      </c>
      <c r="M124" s="30" t="n">
        <f aca="false">DATE(LEFT(Raw!I124,4),MID(Raw!I124,6,2),MID(Raw!I124,9,2))</f>
        <v>45697</v>
      </c>
      <c r="N124" s="31" t="n">
        <f aca="false">DATE(LEFT(Raw!J124,4),MID(Raw!J124,6,2),MID(Raw!J124,9,2))+TIME(MID(Raw!J124,12,2),MID(Raw!J124,15,2),MID(Raw!J124,18,2))</f>
        <v>45694.25</v>
      </c>
      <c r="O124" s="31" t="n">
        <f aca="false">DATE(LEFT(Raw!K124,4),MID(Raw!K124,6,2),MID(Raw!K124,9,2))+TIME(MID(Raw!K124,12,2),MID(Raw!K124,15,2),MID(Raw!K124,18,2))</f>
        <v>45702.6</v>
      </c>
      <c r="P124" s="32" t="n">
        <f aca="false">L124-K124</f>
        <v>4</v>
      </c>
      <c r="Q124" s="32" t="n">
        <f aca="false">M124-L124</f>
        <v>3</v>
      </c>
      <c r="R124" s="32" t="n">
        <f aca="false">O124-N124</f>
        <v>8.35</v>
      </c>
      <c r="S124" s="32" t="n">
        <f aca="false">Raw!L124</f>
        <v>5.6</v>
      </c>
      <c r="T124" s="32" t="n">
        <f aca="false">O124-M124</f>
        <v>5.6</v>
      </c>
      <c r="U124" s="0" t="str">
        <f aca="false">IF(ABS(T124-S124)&lt;0.01,"OK","MISMATCH")</f>
        <v>OK</v>
      </c>
      <c r="V124" s="33" t="n">
        <f aca="false">Raw!M124</f>
        <v>1</v>
      </c>
      <c r="W124" s="0" t="str">
        <f aca="false">IF((S124&gt;0)=(V124=1),"OK","MISMATCH")</f>
        <v>OK</v>
      </c>
      <c r="X124" s="0" t="str">
        <f aca="false">_xlfn.IFS(S124&lt;=0,"Early/On time",S124&lt;=2,"Minor (up to 2 days)",S124&lt;=5,"Moderate (2-5 days)",TRUE(),"Severe (over 5 days)")</f>
        <v>Severe (over 5 days)</v>
      </c>
      <c r="Y124" s="0" t="str">
        <f aca="false">YEAR(K124)&amp;"-"&amp;TEXT(MONTH(K124),"00")</f>
        <v>2025-02</v>
      </c>
      <c r="Z124" s="0" t="str">
        <f aca="false">C124&amp;" → "&amp;D124</f>
        <v>Surat → Uttarakhand</v>
      </c>
      <c r="AA124" s="0" t="str">
        <f aca="false">Raw!Q124</f>
        <v>BlueDart</v>
      </c>
      <c r="AB124" s="0" t="str">
        <f aca="false">Raw!R124</f>
        <v>Yes</v>
      </c>
      <c r="AC124" s="0" t="str">
        <f aca="false">Raw!S124</f>
        <v>Expedited</v>
      </c>
      <c r="AD124" s="29" t="n">
        <f aca="false">Raw!N124</f>
        <v>10408.65</v>
      </c>
      <c r="AE124" s="29" t="n">
        <f aca="false">Raw!O124</f>
        <v>1410.04</v>
      </c>
      <c r="AF124" s="29" t="n">
        <f aca="false">Raw!P124</f>
        <v>1437.23</v>
      </c>
      <c r="AG124" s="29" t="n">
        <f aca="false">AD124/J124</f>
        <v>657.942477876106</v>
      </c>
    </row>
    <row r="125" customFormat="false" ht="15" hidden="false" customHeight="false" outlineLevel="0" collapsed="false">
      <c r="A125" s="0" t="str">
        <f aca="false">Raw!A125</f>
        <v>SHP0124</v>
      </c>
      <c r="B125" s="0" t="str">
        <f aca="false">Raw!B125</f>
        <v>Inbound</v>
      </c>
      <c r="C125" s="0" t="str">
        <f aca="false">Raw!C125</f>
        <v>Punjab</v>
      </c>
      <c r="D125" s="0" t="str">
        <f aca="false">Raw!D125</f>
        <v>Surat</v>
      </c>
      <c r="E125" s="0" t="str">
        <f aca="false">IFERROR(INDEX(Location_Map!$B$2:$B$15,MATCH(C125,Location_Map!$A$2:$A$15,0)),"UNMAPPED")</f>
        <v>Punjab</v>
      </c>
      <c r="F125" s="0" t="str">
        <f aca="false">IFERROR(INDEX(Location_Map!$C$2:$C$15,MATCH(C125,Location_Map!$A$2:$A$15,0)),"UNMAPPED")</f>
        <v>North</v>
      </c>
      <c r="G125" s="0" t="str">
        <f aca="false">IFERROR(INDEX(Location_Map!$B$2:$B$15,MATCH(D125,Location_Map!$A$2:$A$15,0)),"UNMAPPED")</f>
        <v>Gujarat</v>
      </c>
      <c r="H125" s="0" t="str">
        <f aca="false">IFERROR(INDEX(Location_Map!$C$2:$C$15,MATCH(D125,Location_Map!$A$2:$A$15,0)),"UNMAPPED")</f>
        <v>West</v>
      </c>
      <c r="I125" s="0" t="str">
        <f aca="false">Raw!E125</f>
        <v>Raw Yarn</v>
      </c>
      <c r="J125" s="28" t="n">
        <f aca="false">Raw!F125</f>
        <v>14.07</v>
      </c>
      <c r="K125" s="30" t="n">
        <f aca="false">DATE(LEFT(Raw!G125,4),MID(Raw!G125,6,2),MID(Raw!G125,9,2))</f>
        <v>45678</v>
      </c>
      <c r="L125" s="30" t="n">
        <f aca="false">DATE(LEFT(Raw!H125,4),MID(Raw!H125,6,2),MID(Raw!H125,9,2))</f>
        <v>45680</v>
      </c>
      <c r="M125" s="30" t="n">
        <f aca="false">DATE(LEFT(Raw!I125,4),MID(Raw!I125,6,2),MID(Raw!I125,9,2))</f>
        <v>45682</v>
      </c>
      <c r="N125" s="31" t="n">
        <f aca="false">DATE(LEFT(Raw!J125,4),MID(Raw!J125,6,2),MID(Raw!J125,9,2))+TIME(MID(Raw!J125,12,2),MID(Raw!J125,15,2),MID(Raw!J125,18,2))</f>
        <v>45680.25</v>
      </c>
      <c r="O125" s="31" t="n">
        <f aca="false">DATE(LEFT(Raw!K125,4),MID(Raw!K125,6,2),MID(Raw!K125,9,2))+TIME(MID(Raw!K125,12,2),MID(Raw!K125,15,2),MID(Raw!K125,18,2))</f>
        <v>45683.3</v>
      </c>
      <c r="P125" s="32" t="n">
        <f aca="false">L125-K125</f>
        <v>2</v>
      </c>
      <c r="Q125" s="32" t="n">
        <f aca="false">M125-L125</f>
        <v>2</v>
      </c>
      <c r="R125" s="32" t="n">
        <f aca="false">O125-N125</f>
        <v>3.05</v>
      </c>
      <c r="S125" s="32" t="n">
        <f aca="false">Raw!L125</f>
        <v>1.3</v>
      </c>
      <c r="T125" s="32" t="n">
        <f aca="false">O125-M125</f>
        <v>1.3</v>
      </c>
      <c r="U125" s="0" t="str">
        <f aca="false">IF(ABS(T125-S125)&lt;0.01,"OK","MISMATCH")</f>
        <v>OK</v>
      </c>
      <c r="V125" s="33" t="n">
        <f aca="false">Raw!M125</f>
        <v>1</v>
      </c>
      <c r="W125" s="0" t="str">
        <f aca="false">IF((S125&gt;0)=(V125=1),"OK","MISMATCH")</f>
        <v>OK</v>
      </c>
      <c r="X125" s="0" t="str">
        <f aca="false">_xlfn.IFS(S125&lt;=0,"Early/On time",S125&lt;=2,"Minor (up to 2 days)",S125&lt;=5,"Moderate (2-5 days)",TRUE(),"Severe (over 5 days)")</f>
        <v>Minor (up to 2 days)</v>
      </c>
      <c r="Y125" s="0" t="str">
        <f aca="false">YEAR(K125)&amp;"-"&amp;TEXT(MONTH(K125),"00")</f>
        <v>2025-01</v>
      </c>
      <c r="Z125" s="0" t="str">
        <f aca="false">C125&amp;" → "&amp;D125</f>
        <v>Punjab → Surat</v>
      </c>
      <c r="AA125" s="0" t="str">
        <f aca="false">Raw!Q125</f>
        <v>BlueDart</v>
      </c>
      <c r="AB125" s="0" t="str">
        <f aca="false">Raw!R125</f>
        <v>Yes</v>
      </c>
      <c r="AC125" s="0" t="str">
        <f aca="false">Raw!S125</f>
        <v>Returned</v>
      </c>
      <c r="AD125" s="29" t="n">
        <f aca="false">Raw!N125</f>
        <v>4948.76</v>
      </c>
      <c r="AE125" s="29" t="n">
        <f aca="false">Raw!O125</f>
        <v>2383.53</v>
      </c>
      <c r="AF125" s="29" t="n">
        <f aca="false">Raw!P125</f>
        <v>1120.92</v>
      </c>
      <c r="AG125" s="29" t="n">
        <f aca="false">AD125/J125</f>
        <v>351.724235963042</v>
      </c>
    </row>
    <row r="126" customFormat="false" ht="15" hidden="false" customHeight="false" outlineLevel="0" collapsed="false">
      <c r="A126" s="0" t="str">
        <f aca="false">Raw!A126</f>
        <v>SHP0125</v>
      </c>
      <c r="B126" s="0" t="str">
        <f aca="false">Raw!B126</f>
        <v>Inbound</v>
      </c>
      <c r="C126" s="0" t="str">
        <f aca="false">Raw!C126</f>
        <v>Gujarat</v>
      </c>
      <c r="D126" s="0" t="str">
        <f aca="false">Raw!D126</f>
        <v>Surat</v>
      </c>
      <c r="E126" s="0" t="str">
        <f aca="false">IFERROR(INDEX(Location_Map!$B$2:$B$15,MATCH(C126,Location_Map!$A$2:$A$15,0)),"UNMAPPED")</f>
        <v>Gujarat</v>
      </c>
      <c r="F126" s="0" t="str">
        <f aca="false">IFERROR(INDEX(Location_Map!$C$2:$C$15,MATCH(C126,Location_Map!$A$2:$A$15,0)),"UNMAPPED")</f>
        <v>West</v>
      </c>
      <c r="G126" s="0" t="str">
        <f aca="false">IFERROR(INDEX(Location_Map!$B$2:$B$15,MATCH(D126,Location_Map!$A$2:$A$15,0)),"UNMAPPED")</f>
        <v>Gujarat</v>
      </c>
      <c r="H126" s="0" t="str">
        <f aca="false">IFERROR(INDEX(Location_Map!$C$2:$C$15,MATCH(D126,Location_Map!$A$2:$A$15,0)),"UNMAPPED")</f>
        <v>West</v>
      </c>
      <c r="I126" s="0" t="str">
        <f aca="false">Raw!E126</f>
        <v>Raw Yarn</v>
      </c>
      <c r="J126" s="28" t="n">
        <f aca="false">Raw!F126</f>
        <v>1.87</v>
      </c>
      <c r="K126" s="30" t="n">
        <f aca="false">DATE(LEFT(Raw!G126,4),MID(Raw!G126,6,2),MID(Raw!G126,9,2))</f>
        <v>45919</v>
      </c>
      <c r="L126" s="30" t="n">
        <f aca="false">DATE(LEFT(Raw!H126,4),MID(Raw!H126,6,2),MID(Raw!H126,9,2))</f>
        <v>45923</v>
      </c>
      <c r="M126" s="30" t="n">
        <f aca="false">DATE(LEFT(Raw!I126,4),MID(Raw!I126,6,2),MID(Raw!I126,9,2))</f>
        <v>45929</v>
      </c>
      <c r="N126" s="31" t="n">
        <f aca="false">DATE(LEFT(Raw!J126,4),MID(Raw!J126,6,2),MID(Raw!J126,9,2))+TIME(MID(Raw!J126,12,2),MID(Raw!J126,15,2),MID(Raw!J126,18,2))</f>
        <v>45922.9166666667</v>
      </c>
      <c r="O126" s="31" t="n">
        <f aca="false">DATE(LEFT(Raw!K126,4),MID(Raw!K126,6,2),MID(Raw!K126,9,2))+TIME(MID(Raw!K126,12,2),MID(Raw!K126,15,2),MID(Raw!K126,18,2))</f>
        <v>45937.1</v>
      </c>
      <c r="P126" s="32" t="n">
        <f aca="false">L126-K126</f>
        <v>4</v>
      </c>
      <c r="Q126" s="32" t="n">
        <f aca="false">M126-L126</f>
        <v>6</v>
      </c>
      <c r="R126" s="32" t="n">
        <f aca="false">O126-N126</f>
        <v>14.1833333333333</v>
      </c>
      <c r="S126" s="32" t="n">
        <f aca="false">Raw!L126</f>
        <v>8.1</v>
      </c>
      <c r="T126" s="32" t="n">
        <f aca="false">O126-M126</f>
        <v>8.1</v>
      </c>
      <c r="U126" s="0" t="str">
        <f aca="false">IF(ABS(T126-S126)&lt;0.01,"OK","MISMATCH")</f>
        <v>OK</v>
      </c>
      <c r="V126" s="33" t="n">
        <f aca="false">Raw!M126</f>
        <v>1</v>
      </c>
      <c r="W126" s="0" t="str">
        <f aca="false">IF((S126&gt;0)=(V126=1),"OK","MISMATCH")</f>
        <v>OK</v>
      </c>
      <c r="X126" s="0" t="str">
        <f aca="false">_xlfn.IFS(S126&lt;=0,"Early/On time",S126&lt;=2,"Minor (up to 2 days)",S126&lt;=5,"Moderate (2-5 days)",TRUE(),"Severe (over 5 days)")</f>
        <v>Severe (over 5 days)</v>
      </c>
      <c r="Y126" s="0" t="str">
        <f aca="false">YEAR(K126)&amp;"-"&amp;TEXT(MONTH(K126),"00")</f>
        <v>2025-09</v>
      </c>
      <c r="Z126" s="0" t="str">
        <f aca="false">C126&amp;" → "&amp;D126</f>
        <v>Gujarat → Surat</v>
      </c>
      <c r="AA126" s="0" t="str">
        <f aca="false">Raw!Q126</f>
        <v>Delhivery</v>
      </c>
      <c r="AB126" s="0" t="str">
        <f aca="false">Raw!R126</f>
        <v>No</v>
      </c>
      <c r="AC126" s="0" t="str">
        <f aca="false">Raw!S126</f>
        <v>Expedited</v>
      </c>
      <c r="AD126" s="29" t="n">
        <f aca="false">Raw!N126</f>
        <v>1470.48</v>
      </c>
      <c r="AE126" s="29" t="n">
        <f aca="false">Raw!O126</f>
        <v>1088.49</v>
      </c>
      <c r="AF126" s="29" t="n">
        <f aca="false">Raw!P126</f>
        <v>823.61</v>
      </c>
      <c r="AG126" s="29" t="n">
        <f aca="false">AD126/J126</f>
        <v>786.352941176471</v>
      </c>
    </row>
    <row r="127" customFormat="false" ht="15" hidden="false" customHeight="false" outlineLevel="0" collapsed="false">
      <c r="A127" s="0" t="str">
        <f aca="false">Raw!A127</f>
        <v>SHP0126</v>
      </c>
      <c r="B127" s="0" t="str">
        <f aca="false">Raw!B127</f>
        <v>Outbound</v>
      </c>
      <c r="C127" s="0" t="str">
        <f aca="false">Raw!C127</f>
        <v>Surat</v>
      </c>
      <c r="D127" s="0" t="str">
        <f aca="false">Raw!D127</f>
        <v>Jaipur</v>
      </c>
      <c r="E127" s="0" t="str">
        <f aca="false">IFERROR(INDEX(Location_Map!$B$2:$B$15,MATCH(C127,Location_Map!$A$2:$A$15,0)),"UNMAPPED")</f>
        <v>Gujarat</v>
      </c>
      <c r="F127" s="0" t="str">
        <f aca="false">IFERROR(INDEX(Location_Map!$C$2:$C$15,MATCH(C127,Location_Map!$A$2:$A$15,0)),"UNMAPPED")</f>
        <v>West</v>
      </c>
      <c r="G127" s="0" t="str">
        <f aca="false">IFERROR(INDEX(Location_Map!$B$2:$B$15,MATCH(D127,Location_Map!$A$2:$A$15,0)),"UNMAPPED")</f>
        <v>Rajasthan</v>
      </c>
      <c r="H127" s="0" t="str">
        <f aca="false">IFERROR(INDEX(Location_Map!$C$2:$C$15,MATCH(D127,Location_Map!$A$2:$A$15,0)),"UNMAPPED")</f>
        <v>North</v>
      </c>
      <c r="I127" s="0" t="str">
        <f aca="false">Raw!E127</f>
        <v>Raw Yarn</v>
      </c>
      <c r="J127" s="28" t="n">
        <f aca="false">Raw!F127</f>
        <v>10.28</v>
      </c>
      <c r="K127" s="30" t="n">
        <f aca="false">DATE(LEFT(Raw!G127,4),MID(Raw!G127,6,2),MID(Raw!G127,9,2))</f>
        <v>45889</v>
      </c>
      <c r="L127" s="30" t="n">
        <f aca="false">DATE(LEFT(Raw!H127,4),MID(Raw!H127,6,2),MID(Raw!H127,9,2))</f>
        <v>45892</v>
      </c>
      <c r="M127" s="30" t="n">
        <f aca="false">DATE(LEFT(Raw!I127,4),MID(Raw!I127,6,2),MID(Raw!I127,9,2))</f>
        <v>45895</v>
      </c>
      <c r="N127" s="31" t="n">
        <f aca="false">DATE(LEFT(Raw!J127,4),MID(Raw!J127,6,2),MID(Raw!J127,9,2))+TIME(MID(Raw!J127,12,2),MID(Raw!J127,15,2),MID(Raw!J127,18,2))</f>
        <v>45891.8333333333</v>
      </c>
      <c r="O127" s="31" t="n">
        <f aca="false">DATE(LEFT(Raw!K127,4),MID(Raw!K127,6,2),MID(Raw!K127,9,2))+TIME(MID(Raw!K127,12,2),MID(Raw!K127,15,2),MID(Raw!K127,18,2))</f>
        <v>45894.8</v>
      </c>
      <c r="P127" s="32" t="n">
        <f aca="false">L127-K127</f>
        <v>3</v>
      </c>
      <c r="Q127" s="32" t="n">
        <f aca="false">M127-L127</f>
        <v>3</v>
      </c>
      <c r="R127" s="32" t="n">
        <f aca="false">O127-N127</f>
        <v>2.96666666666667</v>
      </c>
      <c r="S127" s="32" t="n">
        <f aca="false">Raw!L127</f>
        <v>-0.2</v>
      </c>
      <c r="T127" s="32" t="n">
        <f aca="false">O127-M127</f>
        <v>-0.2</v>
      </c>
      <c r="U127" s="0" t="str">
        <f aca="false">IF(ABS(T127-S127)&lt;0.01,"OK","MISMATCH")</f>
        <v>OK</v>
      </c>
      <c r="V127" s="33" t="n">
        <f aca="false">Raw!M127</f>
        <v>0</v>
      </c>
      <c r="W127" s="0" t="str">
        <f aca="false">IF((S127&gt;0)=(V127=1),"OK","MISMATCH")</f>
        <v>OK</v>
      </c>
      <c r="X127" s="0" t="str">
        <f aca="false">_xlfn.IFS(S127&lt;=0,"Early/On time",S127&lt;=2,"Minor (up to 2 days)",S127&lt;=5,"Moderate (2-5 days)",TRUE(),"Severe (over 5 days)")</f>
        <v>Early/On time</v>
      </c>
      <c r="Y127" s="0" t="str">
        <f aca="false">YEAR(K127)&amp;"-"&amp;TEXT(MONTH(K127),"00")</f>
        <v>2025-08</v>
      </c>
      <c r="Z127" s="0" t="str">
        <f aca="false">C127&amp;" → "&amp;D127</f>
        <v>Surat → Jaipur</v>
      </c>
      <c r="AA127" s="0" t="str">
        <f aca="false">Raw!Q127</f>
        <v>GATI Logistics</v>
      </c>
      <c r="AB127" s="0" t="str">
        <f aca="false">Raw!R127</f>
        <v>No</v>
      </c>
      <c r="AC127" s="0" t="str">
        <f aca="false">Raw!S127</f>
        <v>Damaged</v>
      </c>
      <c r="AD127" s="29" t="n">
        <f aca="false">Raw!N127</f>
        <v>5841.95</v>
      </c>
      <c r="AE127" s="29" t="n">
        <f aca="false">Raw!O127</f>
        <v>2704.73</v>
      </c>
      <c r="AF127" s="29" t="n">
        <f aca="false">Raw!P127</f>
        <v>951.39</v>
      </c>
      <c r="AG127" s="29" t="n">
        <f aca="false">AD127/J127</f>
        <v>568.283073929961</v>
      </c>
    </row>
    <row r="128" customFormat="false" ht="15" hidden="false" customHeight="false" outlineLevel="0" collapsed="false">
      <c r="A128" s="0" t="str">
        <f aca="false">Raw!A128</f>
        <v>SHP0127</v>
      </c>
      <c r="B128" s="0" t="str">
        <f aca="false">Raw!B128</f>
        <v>Inbound</v>
      </c>
      <c r="C128" s="0" t="str">
        <f aca="false">Raw!C128</f>
        <v>Punjab</v>
      </c>
      <c r="D128" s="0" t="str">
        <f aca="false">Raw!D128</f>
        <v>Surat</v>
      </c>
      <c r="E128" s="0" t="str">
        <f aca="false">IFERROR(INDEX(Location_Map!$B$2:$B$15,MATCH(C128,Location_Map!$A$2:$A$15,0)),"UNMAPPED")</f>
        <v>Punjab</v>
      </c>
      <c r="F128" s="0" t="str">
        <f aca="false">IFERROR(INDEX(Location_Map!$C$2:$C$15,MATCH(C128,Location_Map!$A$2:$A$15,0)),"UNMAPPED")</f>
        <v>North</v>
      </c>
      <c r="G128" s="0" t="str">
        <f aca="false">IFERROR(INDEX(Location_Map!$B$2:$B$15,MATCH(D128,Location_Map!$A$2:$A$15,0)),"UNMAPPED")</f>
        <v>Gujarat</v>
      </c>
      <c r="H128" s="0" t="str">
        <f aca="false">IFERROR(INDEX(Location_Map!$C$2:$C$15,MATCH(D128,Location_Map!$A$2:$A$15,0)),"UNMAPPED")</f>
        <v>West</v>
      </c>
      <c r="I128" s="0" t="str">
        <f aca="false">Raw!E128</f>
        <v>Raw Yarn</v>
      </c>
      <c r="J128" s="28" t="n">
        <f aca="false">Raw!F128</f>
        <v>4.11</v>
      </c>
      <c r="K128" s="30" t="n">
        <f aca="false">DATE(LEFT(Raw!G128,4),MID(Raw!G128,6,2),MID(Raw!G128,9,2))</f>
        <v>45896</v>
      </c>
      <c r="L128" s="30" t="n">
        <f aca="false">DATE(LEFT(Raw!H128,4),MID(Raw!H128,6,2),MID(Raw!H128,9,2))</f>
        <v>45899</v>
      </c>
      <c r="M128" s="30" t="n">
        <f aca="false">DATE(LEFT(Raw!I128,4),MID(Raw!I128,6,2),MID(Raw!I128,9,2))</f>
        <v>45904</v>
      </c>
      <c r="N128" s="31" t="n">
        <f aca="false">DATE(LEFT(Raw!J128,4),MID(Raw!J128,6,2),MID(Raw!J128,9,2))+TIME(MID(Raw!J128,12,2),MID(Raw!J128,15,2),MID(Raw!J128,18,2))</f>
        <v>45898.9166666667</v>
      </c>
      <c r="O128" s="31" t="n">
        <f aca="false">DATE(LEFT(Raw!K128,4),MID(Raw!K128,6,2),MID(Raw!K128,9,2))+TIME(MID(Raw!K128,12,2),MID(Raw!K128,15,2),MID(Raw!K128,18,2))</f>
        <v>45907.4</v>
      </c>
      <c r="P128" s="32" t="n">
        <f aca="false">L128-K128</f>
        <v>3</v>
      </c>
      <c r="Q128" s="32" t="n">
        <f aca="false">M128-L128</f>
        <v>5</v>
      </c>
      <c r="R128" s="32" t="n">
        <f aca="false">O128-N128</f>
        <v>8.48333333333333</v>
      </c>
      <c r="S128" s="32" t="n">
        <f aca="false">Raw!L128</f>
        <v>3.4</v>
      </c>
      <c r="T128" s="32" t="n">
        <f aca="false">O128-M128</f>
        <v>3.4</v>
      </c>
      <c r="U128" s="0" t="str">
        <f aca="false">IF(ABS(T128-S128)&lt;0.01,"OK","MISMATCH")</f>
        <v>OK</v>
      </c>
      <c r="V128" s="33" t="n">
        <f aca="false">Raw!M128</f>
        <v>1</v>
      </c>
      <c r="W128" s="0" t="str">
        <f aca="false">IF((S128&gt;0)=(V128=1),"OK","MISMATCH")</f>
        <v>OK</v>
      </c>
      <c r="X128" s="0" t="str">
        <f aca="false">_xlfn.IFS(S128&lt;=0,"Early/On time",S128&lt;=2,"Minor (up to 2 days)",S128&lt;=5,"Moderate (2-5 days)",TRUE(),"Severe (over 5 days)")</f>
        <v>Moderate (2-5 days)</v>
      </c>
      <c r="Y128" s="0" t="str">
        <f aca="false">YEAR(K128)&amp;"-"&amp;TEXT(MONTH(K128),"00")</f>
        <v>2025-08</v>
      </c>
      <c r="Z128" s="0" t="str">
        <f aca="false">C128&amp;" → "&amp;D128</f>
        <v>Punjab → Surat</v>
      </c>
      <c r="AA128" s="0" t="str">
        <f aca="false">Raw!Q128</f>
        <v>GATI Logistics</v>
      </c>
      <c r="AB128" s="0" t="str">
        <f aca="false">Raw!R128</f>
        <v>No</v>
      </c>
      <c r="AC128" s="0" t="str">
        <f aca="false">Raw!S128</f>
        <v>Damaged</v>
      </c>
      <c r="AD128" s="29" t="n">
        <f aca="false">Raw!N128</f>
        <v>2606.09</v>
      </c>
      <c r="AE128" s="29" t="n">
        <f aca="false">Raw!O128</f>
        <v>4803.45</v>
      </c>
      <c r="AF128" s="29" t="n">
        <f aca="false">Raw!P128</f>
        <v>651.06</v>
      </c>
      <c r="AG128" s="29" t="n">
        <f aca="false">AD128/J128</f>
        <v>634.085158150852</v>
      </c>
    </row>
    <row r="129" customFormat="false" ht="15" hidden="false" customHeight="false" outlineLevel="0" collapsed="false">
      <c r="A129" s="0" t="str">
        <f aca="false">Raw!A129</f>
        <v>SHP0128</v>
      </c>
      <c r="B129" s="0" t="str">
        <f aca="false">Raw!B129</f>
        <v>Inbound</v>
      </c>
      <c r="C129" s="0" t="str">
        <f aca="false">Raw!C129</f>
        <v>Gujarat</v>
      </c>
      <c r="D129" s="0" t="str">
        <f aca="false">Raw!D129</f>
        <v>Surat</v>
      </c>
      <c r="E129" s="0" t="str">
        <f aca="false">IFERROR(INDEX(Location_Map!$B$2:$B$15,MATCH(C129,Location_Map!$A$2:$A$15,0)),"UNMAPPED")</f>
        <v>Gujarat</v>
      </c>
      <c r="F129" s="0" t="str">
        <f aca="false">IFERROR(INDEX(Location_Map!$C$2:$C$15,MATCH(C129,Location_Map!$A$2:$A$15,0)),"UNMAPPED")</f>
        <v>West</v>
      </c>
      <c r="G129" s="0" t="str">
        <f aca="false">IFERROR(INDEX(Location_Map!$B$2:$B$15,MATCH(D129,Location_Map!$A$2:$A$15,0)),"UNMAPPED")</f>
        <v>Gujarat</v>
      </c>
      <c r="H129" s="0" t="str">
        <f aca="false">IFERROR(INDEX(Location_Map!$C$2:$C$15,MATCH(D129,Location_Map!$A$2:$A$15,0)),"UNMAPPED")</f>
        <v>West</v>
      </c>
      <c r="I129" s="0" t="str">
        <f aca="false">Raw!E129</f>
        <v>Semi-Processed Yarn</v>
      </c>
      <c r="J129" s="28" t="n">
        <f aca="false">Raw!F129</f>
        <v>9.21</v>
      </c>
      <c r="K129" s="30" t="n">
        <f aca="false">DATE(LEFT(Raw!G129,4),MID(Raw!G129,6,2),MID(Raw!G129,9,2))</f>
        <v>45941</v>
      </c>
      <c r="L129" s="30" t="n">
        <f aca="false">DATE(LEFT(Raw!H129,4),MID(Raw!H129,6,2),MID(Raw!H129,9,2))</f>
        <v>45943</v>
      </c>
      <c r="M129" s="30" t="n">
        <f aca="false">DATE(LEFT(Raw!I129,4),MID(Raw!I129,6,2),MID(Raw!I129,9,2))</f>
        <v>45947</v>
      </c>
      <c r="N129" s="31" t="n">
        <f aca="false">DATE(LEFT(Raw!J129,4),MID(Raw!J129,6,2),MID(Raw!J129,9,2))+TIME(MID(Raw!J129,12,2),MID(Raw!J129,15,2),MID(Raw!J129,18,2))</f>
        <v>45942.9166666667</v>
      </c>
      <c r="O129" s="31" t="n">
        <f aca="false">DATE(LEFT(Raw!K129,4),MID(Raw!K129,6,2),MID(Raw!K129,9,2))+TIME(MID(Raw!K129,12,2),MID(Raw!K129,15,2),MID(Raw!K129,18,2))</f>
        <v>45950.7</v>
      </c>
      <c r="P129" s="32" t="n">
        <f aca="false">L129-K129</f>
        <v>2</v>
      </c>
      <c r="Q129" s="32" t="n">
        <f aca="false">M129-L129</f>
        <v>4</v>
      </c>
      <c r="R129" s="32" t="n">
        <f aca="false">O129-N129</f>
        <v>7.78333333333333</v>
      </c>
      <c r="S129" s="32" t="n">
        <f aca="false">Raw!L129</f>
        <v>3.7</v>
      </c>
      <c r="T129" s="32" t="n">
        <f aca="false">O129-M129</f>
        <v>3.7</v>
      </c>
      <c r="U129" s="0" t="str">
        <f aca="false">IF(ABS(T129-S129)&lt;0.01,"OK","MISMATCH")</f>
        <v>OK</v>
      </c>
      <c r="V129" s="33" t="n">
        <f aca="false">Raw!M129</f>
        <v>1</v>
      </c>
      <c r="W129" s="0" t="str">
        <f aca="false">IF((S129&gt;0)=(V129=1),"OK","MISMATCH")</f>
        <v>OK</v>
      </c>
      <c r="X129" s="0" t="str">
        <f aca="false">_xlfn.IFS(S129&lt;=0,"Early/On time",S129&lt;=2,"Minor (up to 2 days)",S129&lt;=5,"Moderate (2-5 days)",TRUE(),"Severe (over 5 days)")</f>
        <v>Moderate (2-5 days)</v>
      </c>
      <c r="Y129" s="0" t="str">
        <f aca="false">YEAR(K129)&amp;"-"&amp;TEXT(MONTH(K129),"00")</f>
        <v>2025-10</v>
      </c>
      <c r="Z129" s="0" t="str">
        <f aca="false">C129&amp;" → "&amp;D129</f>
        <v>Gujarat → Surat</v>
      </c>
      <c r="AA129" s="0" t="str">
        <f aca="false">Raw!Q129</f>
        <v>TCI Express</v>
      </c>
      <c r="AB129" s="0" t="str">
        <f aca="false">Raw!R129</f>
        <v>Yes</v>
      </c>
      <c r="AC129" s="0" t="str">
        <f aca="false">Raw!S129</f>
        <v>Returned</v>
      </c>
      <c r="AD129" s="29" t="n">
        <f aca="false">Raw!N129</f>
        <v>3908.83</v>
      </c>
      <c r="AE129" s="29" t="n">
        <f aca="false">Raw!O129</f>
        <v>4935.91</v>
      </c>
      <c r="AF129" s="29" t="n">
        <f aca="false">Raw!P129</f>
        <v>909.33</v>
      </c>
      <c r="AG129" s="29" t="n">
        <f aca="false">AD129/J129</f>
        <v>424.411509229099</v>
      </c>
    </row>
    <row r="130" customFormat="false" ht="15" hidden="false" customHeight="false" outlineLevel="0" collapsed="false">
      <c r="A130" s="0" t="str">
        <f aca="false">Raw!A130</f>
        <v>SHP0129</v>
      </c>
      <c r="B130" s="0" t="str">
        <f aca="false">Raw!B130</f>
        <v>Outbound</v>
      </c>
      <c r="C130" s="0" t="str">
        <f aca="false">Raw!C130</f>
        <v>Surat</v>
      </c>
      <c r="D130" s="0" t="str">
        <f aca="false">Raw!D130</f>
        <v>Mumbai</v>
      </c>
      <c r="E130" s="0" t="str">
        <f aca="false">IFERROR(INDEX(Location_Map!$B$2:$B$15,MATCH(C130,Location_Map!$A$2:$A$15,0)),"UNMAPPED")</f>
        <v>Gujarat</v>
      </c>
      <c r="F130" s="0" t="str">
        <f aca="false">IFERROR(INDEX(Location_Map!$C$2:$C$15,MATCH(C130,Location_Map!$A$2:$A$15,0)),"UNMAPPED")</f>
        <v>West</v>
      </c>
      <c r="G130" s="0" t="str">
        <f aca="false">IFERROR(INDEX(Location_Map!$B$2:$B$15,MATCH(D130,Location_Map!$A$2:$A$15,0)),"UNMAPPED")</f>
        <v>Maharashtra</v>
      </c>
      <c r="H130" s="0" t="str">
        <f aca="false">IFERROR(INDEX(Location_Map!$C$2:$C$15,MATCH(D130,Location_Map!$A$2:$A$15,0)),"UNMAPPED")</f>
        <v>West</v>
      </c>
      <c r="I130" s="0" t="str">
        <f aca="false">Raw!E130</f>
        <v>Raw Yarn</v>
      </c>
      <c r="J130" s="28" t="n">
        <f aca="false">Raw!F130</f>
        <v>17.99</v>
      </c>
      <c r="K130" s="30" t="n">
        <f aca="false">DATE(LEFT(Raw!G130,4),MID(Raw!G130,6,2),MID(Raw!G130,9,2))</f>
        <v>45726</v>
      </c>
      <c r="L130" s="30" t="n">
        <f aca="false">DATE(LEFT(Raw!H130,4),MID(Raw!H130,6,2),MID(Raw!H130,9,2))</f>
        <v>45727</v>
      </c>
      <c r="M130" s="30" t="n">
        <f aca="false">DATE(LEFT(Raw!I130,4),MID(Raw!I130,6,2),MID(Raw!I130,9,2))</f>
        <v>45729</v>
      </c>
      <c r="N130" s="31" t="n">
        <f aca="false">DATE(LEFT(Raw!J130,4),MID(Raw!J130,6,2),MID(Raw!J130,9,2))+TIME(MID(Raw!J130,12,2),MID(Raw!J130,15,2),MID(Raw!J130,18,2))</f>
        <v>45727.375</v>
      </c>
      <c r="O130" s="31" t="n">
        <f aca="false">DATE(LEFT(Raw!K130,4),MID(Raw!K130,6,2),MID(Raw!K130,9,2))+TIME(MID(Raw!K130,12,2),MID(Raw!K130,15,2),MID(Raw!K130,18,2))</f>
        <v>45728</v>
      </c>
      <c r="P130" s="32" t="n">
        <f aca="false">L130-K130</f>
        <v>1</v>
      </c>
      <c r="Q130" s="32" t="n">
        <f aca="false">M130-L130</f>
        <v>2</v>
      </c>
      <c r="R130" s="32" t="n">
        <f aca="false">O130-N130</f>
        <v>0.625</v>
      </c>
      <c r="S130" s="32" t="n">
        <f aca="false">Raw!L130</f>
        <v>-1</v>
      </c>
      <c r="T130" s="32" t="n">
        <f aca="false">O130-M130</f>
        <v>-1</v>
      </c>
      <c r="U130" s="0" t="str">
        <f aca="false">IF(ABS(T130-S130)&lt;0.01,"OK","MISMATCH")</f>
        <v>OK</v>
      </c>
      <c r="V130" s="33" t="n">
        <f aca="false">Raw!M130</f>
        <v>0</v>
      </c>
      <c r="W130" s="0" t="str">
        <f aca="false">IF((S130&gt;0)=(V130=1),"OK","MISMATCH")</f>
        <v>OK</v>
      </c>
      <c r="X130" s="0" t="str">
        <f aca="false">_xlfn.IFS(S130&lt;=0,"Early/On time",S130&lt;=2,"Minor (up to 2 days)",S130&lt;=5,"Moderate (2-5 days)",TRUE(),"Severe (over 5 days)")</f>
        <v>Early/On time</v>
      </c>
      <c r="Y130" s="0" t="str">
        <f aca="false">YEAR(K130)&amp;"-"&amp;TEXT(MONTH(K130),"00")</f>
        <v>2025-03</v>
      </c>
      <c r="Z130" s="0" t="str">
        <f aca="false">C130&amp;" → "&amp;D130</f>
        <v>Surat → Mumbai</v>
      </c>
      <c r="AA130" s="0" t="str">
        <f aca="false">Raw!Q130</f>
        <v>VRL Cargo</v>
      </c>
      <c r="AB130" s="0" t="str">
        <f aca="false">Raw!R130</f>
        <v>No</v>
      </c>
      <c r="AC130" s="0" t="str">
        <f aca="false">Raw!S130</f>
        <v>Normal</v>
      </c>
      <c r="AD130" s="29" t="n">
        <f aca="false">Raw!N130</f>
        <v>8430.45</v>
      </c>
      <c r="AE130" s="29" t="n">
        <f aca="false">Raw!O130</f>
        <v>1636.98</v>
      </c>
      <c r="AF130" s="29" t="n">
        <f aca="false">Raw!P130</f>
        <v>703.7</v>
      </c>
      <c r="AG130" s="29" t="n">
        <f aca="false">AD130/J130</f>
        <v>468.618677042802</v>
      </c>
    </row>
    <row r="131" customFormat="false" ht="15" hidden="false" customHeight="false" outlineLevel="0" collapsed="false">
      <c r="A131" s="0" t="str">
        <f aca="false">Raw!A131</f>
        <v>SHP0130</v>
      </c>
      <c r="B131" s="0" t="str">
        <f aca="false">Raw!B131</f>
        <v>Outbound</v>
      </c>
      <c r="C131" s="0" t="str">
        <f aca="false">Raw!C131</f>
        <v>Surat</v>
      </c>
      <c r="D131" s="0" t="str">
        <f aca="false">Raw!D131</f>
        <v>Madhya Pradesh</v>
      </c>
      <c r="E131" s="0" t="str">
        <f aca="false">IFERROR(INDEX(Location_Map!$B$2:$B$15,MATCH(C131,Location_Map!$A$2:$A$15,0)),"UNMAPPED")</f>
        <v>Gujarat</v>
      </c>
      <c r="F131" s="0" t="str">
        <f aca="false">IFERROR(INDEX(Location_Map!$C$2:$C$15,MATCH(C131,Location_Map!$A$2:$A$15,0)),"UNMAPPED")</f>
        <v>West</v>
      </c>
      <c r="G131" s="0" t="str">
        <f aca="false">IFERROR(INDEX(Location_Map!$B$2:$B$15,MATCH(D131,Location_Map!$A$2:$A$15,0)),"UNMAPPED")</f>
        <v>Madhya Pradesh</v>
      </c>
      <c r="H131" s="0" t="str">
        <f aca="false">IFERROR(INDEX(Location_Map!$C$2:$C$15,MATCH(D131,Location_Map!$A$2:$A$15,0)),"UNMAPPED")</f>
        <v>Central</v>
      </c>
      <c r="I131" s="0" t="str">
        <f aca="false">Raw!E131</f>
        <v>Finished Yarn</v>
      </c>
      <c r="J131" s="28" t="n">
        <f aca="false">Raw!F131</f>
        <v>2.73</v>
      </c>
      <c r="K131" s="30" t="n">
        <f aca="false">DATE(LEFT(Raw!G131,4),MID(Raw!G131,6,2),MID(Raw!G131,9,2))</f>
        <v>45704</v>
      </c>
      <c r="L131" s="30" t="n">
        <f aca="false">DATE(LEFT(Raw!H131,4),MID(Raw!H131,6,2),MID(Raw!H131,9,2))</f>
        <v>45706</v>
      </c>
      <c r="M131" s="30" t="n">
        <f aca="false">DATE(LEFT(Raw!I131,4),MID(Raw!I131,6,2),MID(Raw!I131,9,2))</f>
        <v>45709</v>
      </c>
      <c r="N131" s="31" t="n">
        <f aca="false">DATE(LEFT(Raw!J131,4),MID(Raw!J131,6,2),MID(Raw!J131,9,2))+TIME(MID(Raw!J131,12,2),MID(Raw!J131,15,2),MID(Raw!J131,18,2))</f>
        <v>45705.9166666667</v>
      </c>
      <c r="O131" s="31" t="n">
        <f aca="false">DATE(LEFT(Raw!K131,4),MID(Raw!K131,6,2),MID(Raw!K131,9,2))+TIME(MID(Raw!K131,12,2),MID(Raw!K131,15,2),MID(Raw!K131,18,2))</f>
        <v>45715.3</v>
      </c>
      <c r="P131" s="32" t="n">
        <f aca="false">L131-K131</f>
        <v>2</v>
      </c>
      <c r="Q131" s="32" t="n">
        <f aca="false">M131-L131</f>
        <v>3</v>
      </c>
      <c r="R131" s="32" t="n">
        <f aca="false">O131-N131</f>
        <v>9.38333333333333</v>
      </c>
      <c r="S131" s="32" t="n">
        <f aca="false">Raw!L131</f>
        <v>6.3</v>
      </c>
      <c r="T131" s="32" t="n">
        <f aca="false">O131-M131</f>
        <v>6.3</v>
      </c>
      <c r="U131" s="0" t="str">
        <f aca="false">IF(ABS(T131-S131)&lt;0.01,"OK","MISMATCH")</f>
        <v>OK</v>
      </c>
      <c r="V131" s="33" t="n">
        <f aca="false">Raw!M131</f>
        <v>1</v>
      </c>
      <c r="W131" s="0" t="str">
        <f aca="false">IF((S131&gt;0)=(V131=1),"OK","MISMATCH")</f>
        <v>OK</v>
      </c>
      <c r="X131" s="0" t="str">
        <f aca="false">_xlfn.IFS(S131&lt;=0,"Early/On time",S131&lt;=2,"Minor (up to 2 days)",S131&lt;=5,"Moderate (2-5 days)",TRUE(),"Severe (over 5 days)")</f>
        <v>Severe (over 5 days)</v>
      </c>
      <c r="Y131" s="0" t="str">
        <f aca="false">YEAR(K131)&amp;"-"&amp;TEXT(MONTH(K131),"00")</f>
        <v>2025-02</v>
      </c>
      <c r="Z131" s="0" t="str">
        <f aca="false">C131&amp;" → "&amp;D131</f>
        <v>Surat → Madhya Pradesh</v>
      </c>
      <c r="AA131" s="0" t="str">
        <f aca="false">Raw!Q131</f>
        <v>TCI Express</v>
      </c>
      <c r="AB131" s="0" t="str">
        <f aca="false">Raw!R131</f>
        <v>Yes</v>
      </c>
      <c r="AC131" s="0" t="str">
        <f aca="false">Raw!S131</f>
        <v>Returned</v>
      </c>
      <c r="AD131" s="29" t="n">
        <f aca="false">Raw!N131</f>
        <v>2118.96</v>
      </c>
      <c r="AE131" s="29" t="n">
        <f aca="false">Raw!O131</f>
        <v>2176.67</v>
      </c>
      <c r="AF131" s="29" t="n">
        <f aca="false">Raw!P131</f>
        <v>1411.84</v>
      </c>
      <c r="AG131" s="29" t="n">
        <f aca="false">AD131/J131</f>
        <v>776.175824175824</v>
      </c>
    </row>
    <row r="132" customFormat="false" ht="15" hidden="false" customHeight="false" outlineLevel="0" collapsed="false">
      <c r="A132" s="0" t="str">
        <f aca="false">Raw!A132</f>
        <v>SHP0131</v>
      </c>
      <c r="B132" s="0" t="str">
        <f aca="false">Raw!B132</f>
        <v>Inbound</v>
      </c>
      <c r="C132" s="0" t="str">
        <f aca="false">Raw!C132</f>
        <v>Rajasthan</v>
      </c>
      <c r="D132" s="0" t="str">
        <f aca="false">Raw!D132</f>
        <v>Surat</v>
      </c>
      <c r="E132" s="0" t="str">
        <f aca="false">IFERROR(INDEX(Location_Map!$B$2:$B$15,MATCH(C132,Location_Map!$A$2:$A$15,0)),"UNMAPPED")</f>
        <v>Rajasthan</v>
      </c>
      <c r="F132" s="0" t="str">
        <f aca="false">IFERROR(INDEX(Location_Map!$C$2:$C$15,MATCH(C132,Location_Map!$A$2:$A$15,0)),"UNMAPPED")</f>
        <v>North</v>
      </c>
      <c r="G132" s="0" t="str">
        <f aca="false">IFERROR(INDEX(Location_Map!$B$2:$B$15,MATCH(D132,Location_Map!$A$2:$A$15,0)),"UNMAPPED")</f>
        <v>Gujarat</v>
      </c>
      <c r="H132" s="0" t="str">
        <f aca="false">IFERROR(INDEX(Location_Map!$C$2:$C$15,MATCH(D132,Location_Map!$A$2:$A$15,0)),"UNMAPPED")</f>
        <v>West</v>
      </c>
      <c r="I132" s="0" t="str">
        <f aca="false">Raw!E132</f>
        <v>Semi-Processed Yarn</v>
      </c>
      <c r="J132" s="28" t="n">
        <f aca="false">Raw!F132</f>
        <v>19.38</v>
      </c>
      <c r="K132" s="30" t="n">
        <f aca="false">DATE(LEFT(Raw!G132,4),MID(Raw!G132,6,2),MID(Raw!G132,9,2))</f>
        <v>45713</v>
      </c>
      <c r="L132" s="30" t="n">
        <f aca="false">DATE(LEFT(Raw!H132,4),MID(Raw!H132,6,2),MID(Raw!H132,9,2))</f>
        <v>45715</v>
      </c>
      <c r="M132" s="30" t="n">
        <f aca="false">DATE(LEFT(Raw!I132,4),MID(Raw!I132,6,2),MID(Raw!I132,9,2))</f>
        <v>45717</v>
      </c>
      <c r="N132" s="31" t="n">
        <f aca="false">DATE(LEFT(Raw!J132,4),MID(Raw!J132,6,2),MID(Raw!J132,9,2))+TIME(MID(Raw!J132,12,2),MID(Raw!J132,15,2),MID(Raw!J132,18,2))</f>
        <v>45715.125</v>
      </c>
      <c r="O132" s="31" t="n">
        <f aca="false">DATE(LEFT(Raw!K132,4),MID(Raw!K132,6,2),MID(Raw!K132,9,2))+TIME(MID(Raw!K132,12,2),MID(Raw!K132,15,2),MID(Raw!K132,18,2))</f>
        <v>45716</v>
      </c>
      <c r="P132" s="32" t="n">
        <f aca="false">L132-K132</f>
        <v>2</v>
      </c>
      <c r="Q132" s="32" t="n">
        <f aca="false">M132-L132</f>
        <v>2</v>
      </c>
      <c r="R132" s="32" t="n">
        <f aca="false">O132-N132</f>
        <v>0.875</v>
      </c>
      <c r="S132" s="32" t="n">
        <f aca="false">Raw!L132</f>
        <v>-1</v>
      </c>
      <c r="T132" s="32" t="n">
        <f aca="false">O132-M132</f>
        <v>-1</v>
      </c>
      <c r="U132" s="0" t="str">
        <f aca="false">IF(ABS(T132-S132)&lt;0.01,"OK","MISMATCH")</f>
        <v>OK</v>
      </c>
      <c r="V132" s="33" t="n">
        <f aca="false">Raw!M132</f>
        <v>0</v>
      </c>
      <c r="W132" s="0" t="str">
        <f aca="false">IF((S132&gt;0)=(V132=1),"OK","MISMATCH")</f>
        <v>OK</v>
      </c>
      <c r="X132" s="0" t="str">
        <f aca="false">_xlfn.IFS(S132&lt;=0,"Early/On time",S132&lt;=2,"Minor (up to 2 days)",S132&lt;=5,"Moderate (2-5 days)",TRUE(),"Severe (over 5 days)")</f>
        <v>Early/On time</v>
      </c>
      <c r="Y132" s="0" t="str">
        <f aca="false">YEAR(K132)&amp;"-"&amp;TEXT(MONTH(K132),"00")</f>
        <v>2025-02</v>
      </c>
      <c r="Z132" s="0" t="str">
        <f aca="false">C132&amp;" → "&amp;D132</f>
        <v>Rajasthan → Surat</v>
      </c>
      <c r="AA132" s="0" t="str">
        <f aca="false">Raw!Q132</f>
        <v>Delhivery</v>
      </c>
      <c r="AB132" s="0" t="str">
        <f aca="false">Raw!R132</f>
        <v>No</v>
      </c>
      <c r="AC132" s="0" t="str">
        <f aca="false">Raw!S132</f>
        <v>Held at warehouse</v>
      </c>
      <c r="AD132" s="29" t="n">
        <f aca="false">Raw!N132</f>
        <v>6912.58</v>
      </c>
      <c r="AE132" s="29" t="n">
        <f aca="false">Raw!O132</f>
        <v>1256.84</v>
      </c>
      <c r="AF132" s="29" t="n">
        <f aca="false">Raw!P132</f>
        <v>1081.97</v>
      </c>
      <c r="AG132" s="29" t="n">
        <f aca="false">AD132/J132</f>
        <v>356.686274509804</v>
      </c>
    </row>
    <row r="133" customFormat="false" ht="15" hidden="false" customHeight="false" outlineLevel="0" collapsed="false">
      <c r="A133" s="0" t="str">
        <f aca="false">Raw!A133</f>
        <v>SHP0132</v>
      </c>
      <c r="B133" s="0" t="str">
        <f aca="false">Raw!B133</f>
        <v>Inbound</v>
      </c>
      <c r="C133" s="0" t="str">
        <f aca="false">Raw!C133</f>
        <v>Gujarat</v>
      </c>
      <c r="D133" s="0" t="str">
        <f aca="false">Raw!D133</f>
        <v>Surat</v>
      </c>
      <c r="E133" s="0" t="str">
        <f aca="false">IFERROR(INDEX(Location_Map!$B$2:$B$15,MATCH(C133,Location_Map!$A$2:$A$15,0)),"UNMAPPED")</f>
        <v>Gujarat</v>
      </c>
      <c r="F133" s="0" t="str">
        <f aca="false">IFERROR(INDEX(Location_Map!$C$2:$C$15,MATCH(C133,Location_Map!$A$2:$A$15,0)),"UNMAPPED")</f>
        <v>West</v>
      </c>
      <c r="G133" s="0" t="str">
        <f aca="false">IFERROR(INDEX(Location_Map!$B$2:$B$15,MATCH(D133,Location_Map!$A$2:$A$15,0)),"UNMAPPED")</f>
        <v>Gujarat</v>
      </c>
      <c r="H133" s="0" t="str">
        <f aca="false">IFERROR(INDEX(Location_Map!$C$2:$C$15,MATCH(D133,Location_Map!$A$2:$A$15,0)),"UNMAPPED")</f>
        <v>West</v>
      </c>
      <c r="I133" s="0" t="str">
        <f aca="false">Raw!E133</f>
        <v>Finished Yarn</v>
      </c>
      <c r="J133" s="28" t="n">
        <f aca="false">Raw!F133</f>
        <v>6.11</v>
      </c>
      <c r="K133" s="30" t="n">
        <f aca="false">DATE(LEFT(Raw!G133,4),MID(Raw!G133,6,2),MID(Raw!G133,9,2))</f>
        <v>45897</v>
      </c>
      <c r="L133" s="30" t="n">
        <f aca="false">DATE(LEFT(Raw!H133,4),MID(Raw!H133,6,2),MID(Raw!H133,9,2))</f>
        <v>45899</v>
      </c>
      <c r="M133" s="30" t="n">
        <f aca="false">DATE(LEFT(Raw!I133,4),MID(Raw!I133,6,2),MID(Raw!I133,9,2))</f>
        <v>45905</v>
      </c>
      <c r="N133" s="31" t="n">
        <f aca="false">DATE(LEFT(Raw!J133,4),MID(Raw!J133,6,2),MID(Raw!J133,9,2))+TIME(MID(Raw!J133,12,2),MID(Raw!J133,15,2),MID(Raw!J133,18,2))</f>
        <v>45898.7916666667</v>
      </c>
      <c r="O133" s="31" t="n">
        <f aca="false">DATE(LEFT(Raw!K133,4),MID(Raw!K133,6,2),MID(Raw!K133,9,2))+TIME(MID(Raw!K133,12,2),MID(Raw!K133,15,2),MID(Raw!K133,18,2))</f>
        <v>45908.8</v>
      </c>
      <c r="P133" s="32" t="n">
        <f aca="false">L133-K133</f>
        <v>2</v>
      </c>
      <c r="Q133" s="32" t="n">
        <f aca="false">M133-L133</f>
        <v>6</v>
      </c>
      <c r="R133" s="32" t="n">
        <f aca="false">O133-N133</f>
        <v>10.0083333333333</v>
      </c>
      <c r="S133" s="32" t="n">
        <f aca="false">Raw!L133</f>
        <v>3.8</v>
      </c>
      <c r="T133" s="32" t="n">
        <f aca="false">O133-M133</f>
        <v>3.8</v>
      </c>
      <c r="U133" s="0" t="str">
        <f aca="false">IF(ABS(T133-S133)&lt;0.01,"OK","MISMATCH")</f>
        <v>OK</v>
      </c>
      <c r="V133" s="33" t="n">
        <f aca="false">Raw!M133</f>
        <v>1</v>
      </c>
      <c r="W133" s="0" t="str">
        <f aca="false">IF((S133&gt;0)=(V133=1),"OK","MISMATCH")</f>
        <v>OK</v>
      </c>
      <c r="X133" s="0" t="str">
        <f aca="false">_xlfn.IFS(S133&lt;=0,"Early/On time",S133&lt;=2,"Minor (up to 2 days)",S133&lt;=5,"Moderate (2-5 days)",TRUE(),"Severe (over 5 days)")</f>
        <v>Moderate (2-5 days)</v>
      </c>
      <c r="Y133" s="0" t="str">
        <f aca="false">YEAR(K133)&amp;"-"&amp;TEXT(MONTH(K133),"00")</f>
        <v>2025-08</v>
      </c>
      <c r="Z133" s="0" t="str">
        <f aca="false">C133&amp;" → "&amp;D133</f>
        <v>Gujarat → Surat</v>
      </c>
      <c r="AA133" s="0" t="str">
        <f aca="false">Raw!Q133</f>
        <v>GATI Logistics</v>
      </c>
      <c r="AB133" s="0" t="str">
        <f aca="false">Raw!R133</f>
        <v>Yes</v>
      </c>
      <c r="AC133" s="0" t="str">
        <f aca="false">Raw!S133</f>
        <v>Expedited</v>
      </c>
      <c r="AD133" s="29" t="n">
        <f aca="false">Raw!N133</f>
        <v>1908.4</v>
      </c>
      <c r="AE133" s="29" t="n">
        <f aca="false">Raw!O133</f>
        <v>2569.97</v>
      </c>
      <c r="AF133" s="29" t="n">
        <f aca="false">Raw!P133</f>
        <v>979.94</v>
      </c>
      <c r="AG133" s="29" t="n">
        <f aca="false">AD133/J133</f>
        <v>312.340425531915</v>
      </c>
    </row>
    <row r="134" customFormat="false" ht="15" hidden="false" customHeight="false" outlineLevel="0" collapsed="false">
      <c r="A134" s="0" t="str">
        <f aca="false">Raw!A134</f>
        <v>SHP0133</v>
      </c>
      <c r="B134" s="0" t="str">
        <f aca="false">Raw!B134</f>
        <v>Inbound</v>
      </c>
      <c r="C134" s="0" t="str">
        <f aca="false">Raw!C134</f>
        <v>Gujarat</v>
      </c>
      <c r="D134" s="0" t="str">
        <f aca="false">Raw!D134</f>
        <v>Surat</v>
      </c>
      <c r="E134" s="0" t="str">
        <f aca="false">IFERROR(INDEX(Location_Map!$B$2:$B$15,MATCH(C134,Location_Map!$A$2:$A$15,0)),"UNMAPPED")</f>
        <v>Gujarat</v>
      </c>
      <c r="F134" s="0" t="str">
        <f aca="false">IFERROR(INDEX(Location_Map!$C$2:$C$15,MATCH(C134,Location_Map!$A$2:$A$15,0)),"UNMAPPED")</f>
        <v>West</v>
      </c>
      <c r="G134" s="0" t="str">
        <f aca="false">IFERROR(INDEX(Location_Map!$B$2:$B$15,MATCH(D134,Location_Map!$A$2:$A$15,0)),"UNMAPPED")</f>
        <v>Gujarat</v>
      </c>
      <c r="H134" s="0" t="str">
        <f aca="false">IFERROR(INDEX(Location_Map!$C$2:$C$15,MATCH(D134,Location_Map!$A$2:$A$15,0)),"UNMAPPED")</f>
        <v>West</v>
      </c>
      <c r="I134" s="0" t="str">
        <f aca="false">Raw!E134</f>
        <v>Raw Yarn</v>
      </c>
      <c r="J134" s="28" t="n">
        <f aca="false">Raw!F134</f>
        <v>12.4</v>
      </c>
      <c r="K134" s="30" t="n">
        <f aca="false">DATE(LEFT(Raw!G134,4),MID(Raw!G134,6,2),MID(Raw!G134,9,2))</f>
        <v>45745</v>
      </c>
      <c r="L134" s="30" t="n">
        <f aca="false">DATE(LEFT(Raw!H134,4),MID(Raw!H134,6,2),MID(Raw!H134,9,2))</f>
        <v>45748</v>
      </c>
      <c r="M134" s="30" t="n">
        <f aca="false">DATE(LEFT(Raw!I134,4),MID(Raw!I134,6,2),MID(Raw!I134,9,2))</f>
        <v>45750</v>
      </c>
      <c r="N134" s="31" t="n">
        <f aca="false">DATE(LEFT(Raw!J134,4),MID(Raw!J134,6,2),MID(Raw!J134,9,2))+TIME(MID(Raw!J134,12,2),MID(Raw!J134,15,2),MID(Raw!J134,18,2))</f>
        <v>45748.125</v>
      </c>
      <c r="O134" s="31" t="n">
        <f aca="false">DATE(LEFT(Raw!K134,4),MID(Raw!K134,6,2),MID(Raw!K134,9,2))+TIME(MID(Raw!K134,12,2),MID(Raw!K134,15,2),MID(Raw!K134,18,2))</f>
        <v>45754.8</v>
      </c>
      <c r="P134" s="32" t="n">
        <f aca="false">L134-K134</f>
        <v>3</v>
      </c>
      <c r="Q134" s="32" t="n">
        <f aca="false">M134-L134</f>
        <v>2</v>
      </c>
      <c r="R134" s="32" t="n">
        <f aca="false">O134-N134</f>
        <v>6.675</v>
      </c>
      <c r="S134" s="32" t="n">
        <f aca="false">Raw!L134</f>
        <v>4.8</v>
      </c>
      <c r="T134" s="32" t="n">
        <f aca="false">O134-M134</f>
        <v>4.8</v>
      </c>
      <c r="U134" s="0" t="str">
        <f aca="false">IF(ABS(T134-S134)&lt;0.01,"OK","MISMATCH")</f>
        <v>OK</v>
      </c>
      <c r="V134" s="33" t="n">
        <f aca="false">Raw!M134</f>
        <v>1</v>
      </c>
      <c r="W134" s="0" t="str">
        <f aca="false">IF((S134&gt;0)=(V134=1),"OK","MISMATCH")</f>
        <v>OK</v>
      </c>
      <c r="X134" s="0" t="str">
        <f aca="false">_xlfn.IFS(S134&lt;=0,"Early/On time",S134&lt;=2,"Minor (up to 2 days)",S134&lt;=5,"Moderate (2-5 days)",TRUE(),"Severe (over 5 days)")</f>
        <v>Moderate (2-5 days)</v>
      </c>
      <c r="Y134" s="0" t="str">
        <f aca="false">YEAR(K134)&amp;"-"&amp;TEXT(MONTH(K134),"00")</f>
        <v>2025-03</v>
      </c>
      <c r="Z134" s="0" t="str">
        <f aca="false">C134&amp;" → "&amp;D134</f>
        <v>Gujarat → Surat</v>
      </c>
      <c r="AA134" s="0" t="str">
        <f aca="false">Raw!Q134</f>
        <v>VRL Cargo</v>
      </c>
      <c r="AB134" s="0" t="str">
        <f aca="false">Raw!R134</f>
        <v>Yes</v>
      </c>
      <c r="AC134" s="0" t="str">
        <f aca="false">Raw!S134</f>
        <v>Returned</v>
      </c>
      <c r="AD134" s="29" t="n">
        <f aca="false">Raw!N134</f>
        <v>6529.71</v>
      </c>
      <c r="AE134" s="29" t="n">
        <f aca="false">Raw!O134</f>
        <v>1569.98</v>
      </c>
      <c r="AF134" s="29" t="n">
        <f aca="false">Raw!P134</f>
        <v>998.89</v>
      </c>
      <c r="AG134" s="29" t="n">
        <f aca="false">AD134/J134</f>
        <v>526.589516129032</v>
      </c>
    </row>
    <row r="135" customFormat="false" ht="15" hidden="false" customHeight="false" outlineLevel="0" collapsed="false">
      <c r="A135" s="0" t="str">
        <f aca="false">Raw!A135</f>
        <v>SHP0134</v>
      </c>
      <c r="B135" s="0" t="str">
        <f aca="false">Raw!B135</f>
        <v>Inbound</v>
      </c>
      <c r="C135" s="0" t="str">
        <f aca="false">Raw!C135</f>
        <v>Gujarat</v>
      </c>
      <c r="D135" s="0" t="str">
        <f aca="false">Raw!D135</f>
        <v>Surat</v>
      </c>
      <c r="E135" s="0" t="str">
        <f aca="false">IFERROR(INDEX(Location_Map!$B$2:$B$15,MATCH(C135,Location_Map!$A$2:$A$15,0)),"UNMAPPED")</f>
        <v>Gujarat</v>
      </c>
      <c r="F135" s="0" t="str">
        <f aca="false">IFERROR(INDEX(Location_Map!$C$2:$C$15,MATCH(C135,Location_Map!$A$2:$A$15,0)),"UNMAPPED")</f>
        <v>West</v>
      </c>
      <c r="G135" s="0" t="str">
        <f aca="false">IFERROR(INDEX(Location_Map!$B$2:$B$15,MATCH(D135,Location_Map!$A$2:$A$15,0)),"UNMAPPED")</f>
        <v>Gujarat</v>
      </c>
      <c r="H135" s="0" t="str">
        <f aca="false">IFERROR(INDEX(Location_Map!$C$2:$C$15,MATCH(D135,Location_Map!$A$2:$A$15,0)),"UNMAPPED")</f>
        <v>West</v>
      </c>
      <c r="I135" s="0" t="str">
        <f aca="false">Raw!E135</f>
        <v>Semi-Processed Yarn</v>
      </c>
      <c r="J135" s="28" t="n">
        <f aca="false">Raw!F135</f>
        <v>12.74</v>
      </c>
      <c r="K135" s="30" t="n">
        <f aca="false">DATE(LEFT(Raw!G135,4),MID(Raw!G135,6,2),MID(Raw!G135,9,2))</f>
        <v>45868</v>
      </c>
      <c r="L135" s="30" t="n">
        <f aca="false">DATE(LEFT(Raw!H135,4),MID(Raw!H135,6,2),MID(Raw!H135,9,2))</f>
        <v>45871</v>
      </c>
      <c r="M135" s="30" t="n">
        <f aca="false">DATE(LEFT(Raw!I135,4),MID(Raw!I135,6,2),MID(Raw!I135,9,2))</f>
        <v>45874</v>
      </c>
      <c r="N135" s="31" t="n">
        <f aca="false">DATE(LEFT(Raw!J135,4),MID(Raw!J135,6,2),MID(Raw!J135,9,2))+TIME(MID(Raw!J135,12,2),MID(Raw!J135,15,2),MID(Raw!J135,18,2))</f>
        <v>45871.25</v>
      </c>
      <c r="O135" s="31" t="n">
        <f aca="false">DATE(LEFT(Raw!K135,4),MID(Raw!K135,6,2),MID(Raw!K135,9,2))+TIME(MID(Raw!K135,12,2),MID(Raw!K135,15,2),MID(Raw!K135,18,2))</f>
        <v>45878.5</v>
      </c>
      <c r="P135" s="32" t="n">
        <f aca="false">L135-K135</f>
        <v>3</v>
      </c>
      <c r="Q135" s="32" t="n">
        <f aca="false">M135-L135</f>
        <v>3</v>
      </c>
      <c r="R135" s="32" t="n">
        <f aca="false">O135-N135</f>
        <v>7.25</v>
      </c>
      <c r="S135" s="32" t="n">
        <f aca="false">Raw!L135</f>
        <v>4.5</v>
      </c>
      <c r="T135" s="32" t="n">
        <f aca="false">O135-M135</f>
        <v>4.5</v>
      </c>
      <c r="U135" s="0" t="str">
        <f aca="false">IF(ABS(T135-S135)&lt;0.01,"OK","MISMATCH")</f>
        <v>OK</v>
      </c>
      <c r="V135" s="33" t="n">
        <f aca="false">Raw!M135</f>
        <v>1</v>
      </c>
      <c r="W135" s="0" t="str">
        <f aca="false">IF((S135&gt;0)=(V135=1),"OK","MISMATCH")</f>
        <v>OK</v>
      </c>
      <c r="X135" s="0" t="str">
        <f aca="false">_xlfn.IFS(S135&lt;=0,"Early/On time",S135&lt;=2,"Minor (up to 2 days)",S135&lt;=5,"Moderate (2-5 days)",TRUE(),"Severe (over 5 days)")</f>
        <v>Moderate (2-5 days)</v>
      </c>
      <c r="Y135" s="0" t="str">
        <f aca="false">YEAR(K135)&amp;"-"&amp;TEXT(MONTH(K135),"00")</f>
        <v>2025-07</v>
      </c>
      <c r="Z135" s="0" t="str">
        <f aca="false">C135&amp;" → "&amp;D135</f>
        <v>Gujarat → Surat</v>
      </c>
      <c r="AA135" s="0" t="str">
        <f aca="false">Raw!Q135</f>
        <v>TCI Express</v>
      </c>
      <c r="AB135" s="0" t="str">
        <f aca="false">Raw!R135</f>
        <v>No</v>
      </c>
      <c r="AC135" s="0" t="str">
        <f aca="false">Raw!S135</f>
        <v>Held at warehouse</v>
      </c>
      <c r="AD135" s="29" t="n">
        <f aca="false">Raw!N135</f>
        <v>4490.17</v>
      </c>
      <c r="AE135" s="29" t="n">
        <f aca="false">Raw!O135</f>
        <v>4530.13</v>
      </c>
      <c r="AF135" s="29" t="n">
        <f aca="false">Raw!P135</f>
        <v>582.51</v>
      </c>
      <c r="AG135" s="29" t="n">
        <f aca="false">AD135/J135</f>
        <v>352.446624803768</v>
      </c>
    </row>
    <row r="136" customFormat="false" ht="15" hidden="false" customHeight="false" outlineLevel="0" collapsed="false">
      <c r="A136" s="0" t="str">
        <f aca="false">Raw!A136</f>
        <v>SHP0135</v>
      </c>
      <c r="B136" s="0" t="str">
        <f aca="false">Raw!B136</f>
        <v>Inbound</v>
      </c>
      <c r="C136" s="0" t="str">
        <f aca="false">Raw!C136</f>
        <v>Punjab</v>
      </c>
      <c r="D136" s="0" t="str">
        <f aca="false">Raw!D136</f>
        <v>Surat</v>
      </c>
      <c r="E136" s="0" t="str">
        <f aca="false">IFERROR(INDEX(Location_Map!$B$2:$B$15,MATCH(C136,Location_Map!$A$2:$A$15,0)),"UNMAPPED")</f>
        <v>Punjab</v>
      </c>
      <c r="F136" s="0" t="str">
        <f aca="false">IFERROR(INDEX(Location_Map!$C$2:$C$15,MATCH(C136,Location_Map!$A$2:$A$15,0)),"UNMAPPED")</f>
        <v>North</v>
      </c>
      <c r="G136" s="0" t="str">
        <f aca="false">IFERROR(INDEX(Location_Map!$B$2:$B$15,MATCH(D136,Location_Map!$A$2:$A$15,0)),"UNMAPPED")</f>
        <v>Gujarat</v>
      </c>
      <c r="H136" s="0" t="str">
        <f aca="false">IFERROR(INDEX(Location_Map!$C$2:$C$15,MATCH(D136,Location_Map!$A$2:$A$15,0)),"UNMAPPED")</f>
        <v>West</v>
      </c>
      <c r="I136" s="0" t="str">
        <f aca="false">Raw!E136</f>
        <v>Finished Yarn</v>
      </c>
      <c r="J136" s="28" t="n">
        <f aca="false">Raw!F136</f>
        <v>16.67</v>
      </c>
      <c r="K136" s="30" t="n">
        <f aca="false">DATE(LEFT(Raw!G136,4),MID(Raw!G136,6,2),MID(Raw!G136,9,2))</f>
        <v>45765</v>
      </c>
      <c r="L136" s="30" t="n">
        <f aca="false">DATE(LEFT(Raw!H136,4),MID(Raw!H136,6,2),MID(Raw!H136,9,2))</f>
        <v>45767</v>
      </c>
      <c r="M136" s="30" t="n">
        <f aca="false">DATE(LEFT(Raw!I136,4),MID(Raw!I136,6,2),MID(Raw!I136,9,2))</f>
        <v>45770</v>
      </c>
      <c r="N136" s="31" t="n">
        <f aca="false">DATE(LEFT(Raw!J136,4),MID(Raw!J136,6,2),MID(Raw!J136,9,2))+TIME(MID(Raw!J136,12,2),MID(Raw!J136,15,2),MID(Raw!J136,18,2))</f>
        <v>45766.8333333333</v>
      </c>
      <c r="O136" s="31" t="n">
        <f aca="false">DATE(LEFT(Raw!K136,4),MID(Raw!K136,6,2),MID(Raw!K136,9,2))+TIME(MID(Raw!K136,12,2),MID(Raw!K136,15,2),MID(Raw!K136,18,2))</f>
        <v>45775</v>
      </c>
      <c r="P136" s="32" t="n">
        <f aca="false">L136-K136</f>
        <v>2</v>
      </c>
      <c r="Q136" s="32" t="n">
        <f aca="false">M136-L136</f>
        <v>3</v>
      </c>
      <c r="R136" s="32" t="n">
        <f aca="false">O136-N136</f>
        <v>8.16666666666667</v>
      </c>
      <c r="S136" s="32" t="n">
        <f aca="false">Raw!L136</f>
        <v>5</v>
      </c>
      <c r="T136" s="32" t="n">
        <f aca="false">O136-M136</f>
        <v>5</v>
      </c>
      <c r="U136" s="0" t="str">
        <f aca="false">IF(ABS(T136-S136)&lt;0.01,"OK","MISMATCH")</f>
        <v>OK</v>
      </c>
      <c r="V136" s="33" t="n">
        <f aca="false">Raw!M136</f>
        <v>1</v>
      </c>
      <c r="W136" s="0" t="str">
        <f aca="false">IF((S136&gt;0)=(V136=1),"OK","MISMATCH")</f>
        <v>OK</v>
      </c>
      <c r="X136" s="0" t="str">
        <f aca="false">_xlfn.IFS(S136&lt;=0,"Early/On time",S136&lt;=2,"Minor (up to 2 days)",S136&lt;=5,"Moderate (2-5 days)",TRUE(),"Severe (over 5 days)")</f>
        <v>Moderate (2-5 days)</v>
      </c>
      <c r="Y136" s="0" t="str">
        <f aca="false">YEAR(K136)&amp;"-"&amp;TEXT(MONTH(K136),"00")</f>
        <v>2025-04</v>
      </c>
      <c r="Z136" s="0" t="str">
        <f aca="false">C136&amp;" → "&amp;D136</f>
        <v>Punjab → Surat</v>
      </c>
      <c r="AA136" s="0" t="str">
        <f aca="false">Raw!Q136</f>
        <v>BlueDart</v>
      </c>
      <c r="AB136" s="0" t="str">
        <f aca="false">Raw!R136</f>
        <v>No</v>
      </c>
      <c r="AC136" s="0" t="str">
        <f aca="false">Raw!S136</f>
        <v>Normal</v>
      </c>
      <c r="AD136" s="29" t="n">
        <f aca="false">Raw!N136</f>
        <v>5762.43</v>
      </c>
      <c r="AE136" s="29" t="n">
        <f aca="false">Raw!O136</f>
        <v>4806.2</v>
      </c>
      <c r="AF136" s="29" t="n">
        <f aca="false">Raw!P136</f>
        <v>624.22</v>
      </c>
      <c r="AG136" s="29" t="n">
        <f aca="false">AD136/J136</f>
        <v>345.676664667067</v>
      </c>
    </row>
    <row r="137" customFormat="false" ht="15" hidden="false" customHeight="false" outlineLevel="0" collapsed="false">
      <c r="A137" s="0" t="str">
        <f aca="false">Raw!A137</f>
        <v>SHP0136</v>
      </c>
      <c r="B137" s="0" t="str">
        <f aca="false">Raw!B137</f>
        <v>Outbound</v>
      </c>
      <c r="C137" s="0" t="str">
        <f aca="false">Raw!C137</f>
        <v>Surat</v>
      </c>
      <c r="D137" s="0" t="str">
        <f aca="false">Raw!D137</f>
        <v>Kerala</v>
      </c>
      <c r="E137" s="0" t="str">
        <f aca="false">IFERROR(INDEX(Location_Map!$B$2:$B$15,MATCH(C137,Location_Map!$A$2:$A$15,0)),"UNMAPPED")</f>
        <v>Gujarat</v>
      </c>
      <c r="F137" s="0" t="str">
        <f aca="false">IFERROR(INDEX(Location_Map!$C$2:$C$15,MATCH(C137,Location_Map!$A$2:$A$15,0)),"UNMAPPED")</f>
        <v>West</v>
      </c>
      <c r="G137" s="0" t="str">
        <f aca="false">IFERROR(INDEX(Location_Map!$B$2:$B$15,MATCH(D137,Location_Map!$A$2:$A$15,0)),"UNMAPPED")</f>
        <v>Kerala</v>
      </c>
      <c r="H137" s="0" t="str">
        <f aca="false">IFERROR(INDEX(Location_Map!$C$2:$C$15,MATCH(D137,Location_Map!$A$2:$A$15,0)),"UNMAPPED")</f>
        <v>South</v>
      </c>
      <c r="I137" s="0" t="str">
        <f aca="false">Raw!E137</f>
        <v>Finished Yarn</v>
      </c>
      <c r="J137" s="28" t="n">
        <f aca="false">Raw!F137</f>
        <v>18.03</v>
      </c>
      <c r="K137" s="30" t="n">
        <f aca="false">DATE(LEFT(Raw!G137,4),MID(Raw!G137,6,2),MID(Raw!G137,9,2))</f>
        <v>45836</v>
      </c>
      <c r="L137" s="30" t="n">
        <f aca="false">DATE(LEFT(Raw!H137,4),MID(Raw!H137,6,2),MID(Raw!H137,9,2))</f>
        <v>45839</v>
      </c>
      <c r="M137" s="30" t="n">
        <f aca="false">DATE(LEFT(Raw!I137,4),MID(Raw!I137,6,2),MID(Raw!I137,9,2))</f>
        <v>45841</v>
      </c>
      <c r="N137" s="31" t="n">
        <f aca="false">DATE(LEFT(Raw!J137,4),MID(Raw!J137,6,2),MID(Raw!J137,9,2))+TIME(MID(Raw!J137,12,2),MID(Raw!J137,15,2),MID(Raw!J137,18,2))</f>
        <v>45838.8333333333</v>
      </c>
      <c r="O137" s="31" t="n">
        <f aca="false">DATE(LEFT(Raw!K137,4),MID(Raw!K137,6,2),MID(Raw!K137,9,2))+TIME(MID(Raw!K137,12,2),MID(Raw!K137,15,2),MID(Raw!K137,18,2))</f>
        <v>45844.9</v>
      </c>
      <c r="P137" s="32" t="n">
        <f aca="false">L137-K137</f>
        <v>3</v>
      </c>
      <c r="Q137" s="32" t="n">
        <f aca="false">M137-L137</f>
        <v>2</v>
      </c>
      <c r="R137" s="32" t="n">
        <f aca="false">O137-N137</f>
        <v>6.06666666666667</v>
      </c>
      <c r="S137" s="32" t="n">
        <f aca="false">Raw!L137</f>
        <v>3.9</v>
      </c>
      <c r="T137" s="32" t="n">
        <f aca="false">O137-M137</f>
        <v>3.9</v>
      </c>
      <c r="U137" s="0" t="str">
        <f aca="false">IF(ABS(T137-S137)&lt;0.01,"OK","MISMATCH")</f>
        <v>OK</v>
      </c>
      <c r="V137" s="33" t="n">
        <f aca="false">Raw!M137</f>
        <v>1</v>
      </c>
      <c r="W137" s="0" t="str">
        <f aca="false">IF((S137&gt;0)=(V137=1),"OK","MISMATCH")</f>
        <v>OK</v>
      </c>
      <c r="X137" s="0" t="str">
        <f aca="false">_xlfn.IFS(S137&lt;=0,"Early/On time",S137&lt;=2,"Minor (up to 2 days)",S137&lt;=5,"Moderate (2-5 days)",TRUE(),"Severe (over 5 days)")</f>
        <v>Moderate (2-5 days)</v>
      </c>
      <c r="Y137" s="0" t="str">
        <f aca="false">YEAR(K137)&amp;"-"&amp;TEXT(MONTH(K137),"00")</f>
        <v>2025-06</v>
      </c>
      <c r="Z137" s="0" t="str">
        <f aca="false">C137&amp;" → "&amp;D137</f>
        <v>Surat → Kerala</v>
      </c>
      <c r="AA137" s="0" t="str">
        <f aca="false">Raw!Q137</f>
        <v>Delhivery</v>
      </c>
      <c r="AB137" s="0" t="str">
        <f aca="false">Raw!R137</f>
        <v>Yes</v>
      </c>
      <c r="AC137" s="0" t="str">
        <f aca="false">Raw!S137</f>
        <v>Damaged</v>
      </c>
      <c r="AD137" s="29" t="n">
        <f aca="false">Raw!N137</f>
        <v>14140.58</v>
      </c>
      <c r="AE137" s="29" t="n">
        <f aca="false">Raw!O137</f>
        <v>3501.22</v>
      </c>
      <c r="AF137" s="29" t="n">
        <f aca="false">Raw!P137</f>
        <v>1283.42</v>
      </c>
      <c r="AG137" s="29" t="n">
        <f aca="false">AD137/J137</f>
        <v>784.280643372157</v>
      </c>
    </row>
    <row r="138" customFormat="false" ht="15" hidden="false" customHeight="false" outlineLevel="0" collapsed="false">
      <c r="A138" s="0" t="str">
        <f aca="false">Raw!A138</f>
        <v>SHP0137</v>
      </c>
      <c r="B138" s="0" t="str">
        <f aca="false">Raw!B138</f>
        <v>Inbound</v>
      </c>
      <c r="C138" s="0" t="str">
        <f aca="false">Raw!C138</f>
        <v>Chennai</v>
      </c>
      <c r="D138" s="0" t="str">
        <f aca="false">Raw!D138</f>
        <v>Surat</v>
      </c>
      <c r="E138" s="0" t="str">
        <f aca="false">IFERROR(INDEX(Location_Map!$B$2:$B$15,MATCH(C138,Location_Map!$A$2:$A$15,0)),"UNMAPPED")</f>
        <v>Tamil Nadu</v>
      </c>
      <c r="F138" s="0" t="str">
        <f aca="false">IFERROR(INDEX(Location_Map!$C$2:$C$15,MATCH(C138,Location_Map!$A$2:$A$15,0)),"UNMAPPED")</f>
        <v>South</v>
      </c>
      <c r="G138" s="0" t="str">
        <f aca="false">IFERROR(INDEX(Location_Map!$B$2:$B$15,MATCH(D138,Location_Map!$A$2:$A$15,0)),"UNMAPPED")</f>
        <v>Gujarat</v>
      </c>
      <c r="H138" s="0" t="str">
        <f aca="false">IFERROR(INDEX(Location_Map!$C$2:$C$15,MATCH(D138,Location_Map!$A$2:$A$15,0)),"UNMAPPED")</f>
        <v>West</v>
      </c>
      <c r="I138" s="0" t="str">
        <f aca="false">Raw!E138</f>
        <v>Finished Yarn</v>
      </c>
      <c r="J138" s="28" t="n">
        <f aca="false">Raw!F138</f>
        <v>12.63</v>
      </c>
      <c r="K138" s="30" t="n">
        <f aca="false">DATE(LEFT(Raw!G138,4),MID(Raw!G138,6,2),MID(Raw!G138,9,2))</f>
        <v>45803</v>
      </c>
      <c r="L138" s="30" t="n">
        <f aca="false">DATE(LEFT(Raw!H138,4),MID(Raw!H138,6,2),MID(Raw!H138,9,2))</f>
        <v>45806</v>
      </c>
      <c r="M138" s="30" t="n">
        <f aca="false">DATE(LEFT(Raw!I138,4),MID(Raw!I138,6,2),MID(Raw!I138,9,2))</f>
        <v>45811</v>
      </c>
      <c r="N138" s="31" t="n">
        <f aca="false">DATE(LEFT(Raw!J138,4),MID(Raw!J138,6,2),MID(Raw!J138,9,2))+TIME(MID(Raw!J138,12,2),MID(Raw!J138,15,2),MID(Raw!J138,18,2))</f>
        <v>45806.375</v>
      </c>
      <c r="O138" s="31" t="n">
        <f aca="false">DATE(LEFT(Raw!K138,4),MID(Raw!K138,6,2),MID(Raw!K138,9,2))+TIME(MID(Raw!K138,12,2),MID(Raw!K138,15,2),MID(Raw!K138,18,2))</f>
        <v>45817.1</v>
      </c>
      <c r="P138" s="32" t="n">
        <f aca="false">L138-K138</f>
        <v>3</v>
      </c>
      <c r="Q138" s="32" t="n">
        <f aca="false">M138-L138</f>
        <v>5</v>
      </c>
      <c r="R138" s="32" t="n">
        <f aca="false">O138-N138</f>
        <v>10.725</v>
      </c>
      <c r="S138" s="32" t="n">
        <f aca="false">Raw!L138</f>
        <v>6.1</v>
      </c>
      <c r="T138" s="32" t="n">
        <f aca="false">O138-M138</f>
        <v>6.1</v>
      </c>
      <c r="U138" s="0" t="str">
        <f aca="false">IF(ABS(T138-S138)&lt;0.01,"OK","MISMATCH")</f>
        <v>OK</v>
      </c>
      <c r="V138" s="33" t="n">
        <f aca="false">Raw!M138</f>
        <v>1</v>
      </c>
      <c r="W138" s="0" t="str">
        <f aca="false">IF((S138&gt;0)=(V138=1),"OK","MISMATCH")</f>
        <v>OK</v>
      </c>
      <c r="X138" s="0" t="str">
        <f aca="false">_xlfn.IFS(S138&lt;=0,"Early/On time",S138&lt;=2,"Minor (up to 2 days)",S138&lt;=5,"Moderate (2-5 days)",TRUE(),"Severe (over 5 days)")</f>
        <v>Severe (over 5 days)</v>
      </c>
      <c r="Y138" s="0" t="str">
        <f aca="false">YEAR(K138)&amp;"-"&amp;TEXT(MONTH(K138),"00")</f>
        <v>2025-05</v>
      </c>
      <c r="Z138" s="0" t="str">
        <f aca="false">C138&amp;" → "&amp;D138</f>
        <v>Chennai → Surat</v>
      </c>
      <c r="AA138" s="0" t="str">
        <f aca="false">Raw!Q138</f>
        <v>VRL Cargo</v>
      </c>
      <c r="AB138" s="0" t="str">
        <f aca="false">Raw!R138</f>
        <v>No</v>
      </c>
      <c r="AC138" s="0" t="str">
        <f aca="false">Raw!S138</f>
        <v>Expedited</v>
      </c>
      <c r="AD138" s="29" t="n">
        <f aca="false">Raw!N138</f>
        <v>6969.43</v>
      </c>
      <c r="AE138" s="29" t="n">
        <f aca="false">Raw!O138</f>
        <v>3926.36</v>
      </c>
      <c r="AF138" s="29" t="n">
        <f aca="false">Raw!P138</f>
        <v>581.63</v>
      </c>
      <c r="AG138" s="29" t="n">
        <f aca="false">AD138/J138</f>
        <v>551.815518606492</v>
      </c>
    </row>
    <row r="139" customFormat="false" ht="15" hidden="false" customHeight="false" outlineLevel="0" collapsed="false">
      <c r="A139" s="0" t="str">
        <f aca="false">Raw!A139</f>
        <v>SHP0138</v>
      </c>
      <c r="B139" s="0" t="str">
        <f aca="false">Raw!B139</f>
        <v>Inbound</v>
      </c>
      <c r="C139" s="0" t="str">
        <f aca="false">Raw!C139</f>
        <v>Chennai</v>
      </c>
      <c r="D139" s="0" t="str">
        <f aca="false">Raw!D139</f>
        <v>Surat</v>
      </c>
      <c r="E139" s="0" t="str">
        <f aca="false">IFERROR(INDEX(Location_Map!$B$2:$B$15,MATCH(C139,Location_Map!$A$2:$A$15,0)),"UNMAPPED")</f>
        <v>Tamil Nadu</v>
      </c>
      <c r="F139" s="0" t="str">
        <f aca="false">IFERROR(INDEX(Location_Map!$C$2:$C$15,MATCH(C139,Location_Map!$A$2:$A$15,0)),"UNMAPPED")</f>
        <v>South</v>
      </c>
      <c r="G139" s="0" t="str">
        <f aca="false">IFERROR(INDEX(Location_Map!$B$2:$B$15,MATCH(D139,Location_Map!$A$2:$A$15,0)),"UNMAPPED")</f>
        <v>Gujarat</v>
      </c>
      <c r="H139" s="0" t="str">
        <f aca="false">IFERROR(INDEX(Location_Map!$C$2:$C$15,MATCH(D139,Location_Map!$A$2:$A$15,0)),"UNMAPPED")</f>
        <v>West</v>
      </c>
      <c r="I139" s="0" t="str">
        <f aca="false">Raw!E139</f>
        <v>Semi-Processed Yarn</v>
      </c>
      <c r="J139" s="28" t="n">
        <f aca="false">Raw!F139</f>
        <v>2.15</v>
      </c>
      <c r="K139" s="30" t="n">
        <f aca="false">DATE(LEFT(Raw!G139,4),MID(Raw!G139,6,2),MID(Raw!G139,9,2))</f>
        <v>45732</v>
      </c>
      <c r="L139" s="30" t="n">
        <f aca="false">DATE(LEFT(Raw!H139,4),MID(Raw!H139,6,2),MID(Raw!H139,9,2))</f>
        <v>45733</v>
      </c>
      <c r="M139" s="30" t="n">
        <f aca="false">DATE(LEFT(Raw!I139,4),MID(Raw!I139,6,2),MID(Raw!I139,9,2))</f>
        <v>45739</v>
      </c>
      <c r="N139" s="31" t="n">
        <f aca="false">DATE(LEFT(Raw!J139,4),MID(Raw!J139,6,2),MID(Raw!J139,9,2))+TIME(MID(Raw!J139,12,2),MID(Raw!J139,15,2),MID(Raw!J139,18,2))</f>
        <v>45732.875</v>
      </c>
      <c r="O139" s="31" t="n">
        <f aca="false">DATE(LEFT(Raw!K139,4),MID(Raw!K139,6,2),MID(Raw!K139,9,2))+TIME(MID(Raw!K139,12,2),MID(Raw!K139,15,2),MID(Raw!K139,18,2))</f>
        <v>45742.4</v>
      </c>
      <c r="P139" s="32" t="n">
        <f aca="false">L139-K139</f>
        <v>1</v>
      </c>
      <c r="Q139" s="32" t="n">
        <f aca="false">M139-L139</f>
        <v>6</v>
      </c>
      <c r="R139" s="32" t="n">
        <f aca="false">O139-N139</f>
        <v>9.525</v>
      </c>
      <c r="S139" s="32" t="n">
        <f aca="false">Raw!L139</f>
        <v>3.4</v>
      </c>
      <c r="T139" s="32" t="n">
        <f aca="false">O139-M139</f>
        <v>3.4</v>
      </c>
      <c r="U139" s="0" t="str">
        <f aca="false">IF(ABS(T139-S139)&lt;0.01,"OK","MISMATCH")</f>
        <v>OK</v>
      </c>
      <c r="V139" s="33" t="n">
        <f aca="false">Raw!M139</f>
        <v>1</v>
      </c>
      <c r="W139" s="0" t="str">
        <f aca="false">IF((S139&gt;0)=(V139=1),"OK","MISMATCH")</f>
        <v>OK</v>
      </c>
      <c r="X139" s="0" t="str">
        <f aca="false">_xlfn.IFS(S139&lt;=0,"Early/On time",S139&lt;=2,"Minor (up to 2 days)",S139&lt;=5,"Moderate (2-5 days)",TRUE(),"Severe (over 5 days)")</f>
        <v>Moderate (2-5 days)</v>
      </c>
      <c r="Y139" s="0" t="str">
        <f aca="false">YEAR(K139)&amp;"-"&amp;TEXT(MONTH(K139),"00")</f>
        <v>2025-03</v>
      </c>
      <c r="Z139" s="0" t="str">
        <f aca="false">C139&amp;" → "&amp;D139</f>
        <v>Chennai → Surat</v>
      </c>
      <c r="AA139" s="0" t="str">
        <f aca="false">Raw!Q139</f>
        <v>Delhivery</v>
      </c>
      <c r="AB139" s="0" t="str">
        <f aca="false">Raw!R139</f>
        <v>No</v>
      </c>
      <c r="AC139" s="0" t="str">
        <f aca="false">Raw!S139</f>
        <v>Damaged</v>
      </c>
      <c r="AD139" s="29" t="n">
        <f aca="false">Raw!N139</f>
        <v>2330.54</v>
      </c>
      <c r="AE139" s="29" t="n">
        <f aca="false">Raw!O139</f>
        <v>2347.58</v>
      </c>
      <c r="AF139" s="29" t="n">
        <f aca="false">Raw!P139</f>
        <v>682.12</v>
      </c>
      <c r="AG139" s="29" t="n">
        <f aca="false">AD139/J139</f>
        <v>1083.97209302326</v>
      </c>
    </row>
    <row r="140" customFormat="false" ht="15" hidden="false" customHeight="false" outlineLevel="0" collapsed="false">
      <c r="A140" s="0" t="str">
        <f aca="false">Raw!A140</f>
        <v>SHP0139</v>
      </c>
      <c r="B140" s="0" t="str">
        <f aca="false">Raw!B140</f>
        <v>Inbound</v>
      </c>
      <c r="C140" s="0" t="str">
        <f aca="false">Raw!C140</f>
        <v>Punjab</v>
      </c>
      <c r="D140" s="0" t="str">
        <f aca="false">Raw!D140</f>
        <v>Surat</v>
      </c>
      <c r="E140" s="0" t="str">
        <f aca="false">IFERROR(INDEX(Location_Map!$B$2:$B$15,MATCH(C140,Location_Map!$A$2:$A$15,0)),"UNMAPPED")</f>
        <v>Punjab</v>
      </c>
      <c r="F140" s="0" t="str">
        <f aca="false">IFERROR(INDEX(Location_Map!$C$2:$C$15,MATCH(C140,Location_Map!$A$2:$A$15,0)),"UNMAPPED")</f>
        <v>North</v>
      </c>
      <c r="G140" s="0" t="str">
        <f aca="false">IFERROR(INDEX(Location_Map!$B$2:$B$15,MATCH(D140,Location_Map!$A$2:$A$15,0)),"UNMAPPED")</f>
        <v>Gujarat</v>
      </c>
      <c r="H140" s="0" t="str">
        <f aca="false">IFERROR(INDEX(Location_Map!$C$2:$C$15,MATCH(D140,Location_Map!$A$2:$A$15,0)),"UNMAPPED")</f>
        <v>West</v>
      </c>
      <c r="I140" s="0" t="str">
        <f aca="false">Raw!E140</f>
        <v>Finished Yarn</v>
      </c>
      <c r="J140" s="28" t="n">
        <f aca="false">Raw!F140</f>
        <v>16</v>
      </c>
      <c r="K140" s="30" t="n">
        <f aca="false">DATE(LEFT(Raw!G140,4),MID(Raw!G140,6,2),MID(Raw!G140,9,2))</f>
        <v>45855</v>
      </c>
      <c r="L140" s="30" t="n">
        <f aca="false">DATE(LEFT(Raw!H140,4),MID(Raw!H140,6,2),MID(Raw!H140,9,2))</f>
        <v>45857</v>
      </c>
      <c r="M140" s="30" t="n">
        <f aca="false">DATE(LEFT(Raw!I140,4),MID(Raw!I140,6,2),MID(Raw!I140,9,2))</f>
        <v>45860</v>
      </c>
      <c r="N140" s="31" t="n">
        <f aca="false">DATE(LEFT(Raw!J140,4),MID(Raw!J140,6,2),MID(Raw!J140,9,2))+TIME(MID(Raw!J140,12,2),MID(Raw!J140,15,2),MID(Raw!J140,18,2))</f>
        <v>45857.2083333333</v>
      </c>
      <c r="O140" s="31" t="n">
        <f aca="false">DATE(LEFT(Raw!K140,4),MID(Raw!K140,6,2),MID(Raw!K140,9,2))+TIME(MID(Raw!K140,12,2),MID(Raw!K140,15,2),MID(Raw!K140,18,2))</f>
        <v>45863.5</v>
      </c>
      <c r="P140" s="32" t="n">
        <f aca="false">L140-K140</f>
        <v>2</v>
      </c>
      <c r="Q140" s="32" t="n">
        <f aca="false">M140-L140</f>
        <v>3</v>
      </c>
      <c r="R140" s="32" t="n">
        <f aca="false">O140-N140</f>
        <v>6.29166666666667</v>
      </c>
      <c r="S140" s="32" t="n">
        <f aca="false">Raw!L140</f>
        <v>3.5</v>
      </c>
      <c r="T140" s="32" t="n">
        <f aca="false">O140-M140</f>
        <v>3.5</v>
      </c>
      <c r="U140" s="0" t="str">
        <f aca="false">IF(ABS(T140-S140)&lt;0.01,"OK","MISMATCH")</f>
        <v>OK</v>
      </c>
      <c r="V140" s="33" t="n">
        <f aca="false">Raw!M140</f>
        <v>1</v>
      </c>
      <c r="W140" s="0" t="str">
        <f aca="false">IF((S140&gt;0)=(V140=1),"OK","MISMATCH")</f>
        <v>OK</v>
      </c>
      <c r="X140" s="0" t="str">
        <f aca="false">_xlfn.IFS(S140&lt;=0,"Early/On time",S140&lt;=2,"Minor (up to 2 days)",S140&lt;=5,"Moderate (2-5 days)",TRUE(),"Severe (over 5 days)")</f>
        <v>Moderate (2-5 days)</v>
      </c>
      <c r="Y140" s="0" t="str">
        <f aca="false">YEAR(K140)&amp;"-"&amp;TEXT(MONTH(K140),"00")</f>
        <v>2025-07</v>
      </c>
      <c r="Z140" s="0" t="str">
        <f aca="false">C140&amp;" → "&amp;D140</f>
        <v>Punjab → Surat</v>
      </c>
      <c r="AA140" s="0" t="str">
        <f aca="false">Raw!Q140</f>
        <v>TCI Express</v>
      </c>
      <c r="AB140" s="0" t="str">
        <f aca="false">Raw!R140</f>
        <v>No</v>
      </c>
      <c r="AC140" s="0" t="str">
        <f aca="false">Raw!S140</f>
        <v>Returned</v>
      </c>
      <c r="AD140" s="29" t="n">
        <f aca="false">Raw!N140</f>
        <v>6879.92</v>
      </c>
      <c r="AE140" s="29" t="n">
        <f aca="false">Raw!O140</f>
        <v>3720.91</v>
      </c>
      <c r="AF140" s="29" t="n">
        <f aca="false">Raw!P140</f>
        <v>572.2</v>
      </c>
      <c r="AG140" s="29" t="n">
        <f aca="false">AD140/J140</f>
        <v>429.995</v>
      </c>
    </row>
    <row r="141" customFormat="false" ht="15" hidden="false" customHeight="false" outlineLevel="0" collapsed="false">
      <c r="A141" s="0" t="str">
        <f aca="false">Raw!A141</f>
        <v>SHP0140</v>
      </c>
      <c r="B141" s="0" t="str">
        <f aca="false">Raw!B141</f>
        <v>Inbound</v>
      </c>
      <c r="C141" s="0" t="str">
        <f aca="false">Raw!C141</f>
        <v>Rajasthan</v>
      </c>
      <c r="D141" s="0" t="str">
        <f aca="false">Raw!D141</f>
        <v>Surat</v>
      </c>
      <c r="E141" s="0" t="str">
        <f aca="false">IFERROR(INDEX(Location_Map!$B$2:$B$15,MATCH(C141,Location_Map!$A$2:$A$15,0)),"UNMAPPED")</f>
        <v>Rajasthan</v>
      </c>
      <c r="F141" s="0" t="str">
        <f aca="false">IFERROR(INDEX(Location_Map!$C$2:$C$15,MATCH(C141,Location_Map!$A$2:$A$15,0)),"UNMAPPED")</f>
        <v>North</v>
      </c>
      <c r="G141" s="0" t="str">
        <f aca="false">IFERROR(INDEX(Location_Map!$B$2:$B$15,MATCH(D141,Location_Map!$A$2:$A$15,0)),"UNMAPPED")</f>
        <v>Gujarat</v>
      </c>
      <c r="H141" s="0" t="str">
        <f aca="false">IFERROR(INDEX(Location_Map!$C$2:$C$15,MATCH(D141,Location_Map!$A$2:$A$15,0)),"UNMAPPED")</f>
        <v>West</v>
      </c>
      <c r="I141" s="0" t="str">
        <f aca="false">Raw!E141</f>
        <v>Raw Yarn</v>
      </c>
      <c r="J141" s="28" t="n">
        <f aca="false">Raw!F141</f>
        <v>1.58</v>
      </c>
      <c r="K141" s="30" t="n">
        <f aca="false">DATE(LEFT(Raw!G141,4),MID(Raw!G141,6,2),MID(Raw!G141,9,2))</f>
        <v>45735</v>
      </c>
      <c r="L141" s="30" t="n">
        <f aca="false">DATE(LEFT(Raw!H141,4),MID(Raw!H141,6,2),MID(Raw!H141,9,2))</f>
        <v>45737</v>
      </c>
      <c r="M141" s="30" t="n">
        <f aca="false">DATE(LEFT(Raw!I141,4),MID(Raw!I141,6,2),MID(Raw!I141,9,2))</f>
        <v>45743</v>
      </c>
      <c r="N141" s="31" t="n">
        <f aca="false">DATE(LEFT(Raw!J141,4),MID(Raw!J141,6,2),MID(Raw!J141,9,2))+TIME(MID(Raw!J141,12,2),MID(Raw!J141,15,2),MID(Raw!J141,18,2))</f>
        <v>45737.375</v>
      </c>
      <c r="O141" s="31" t="n">
        <f aca="false">DATE(LEFT(Raw!K141,4),MID(Raw!K141,6,2),MID(Raw!K141,9,2))+TIME(MID(Raw!K141,12,2),MID(Raw!K141,15,2),MID(Raw!K141,18,2))</f>
        <v>45742</v>
      </c>
      <c r="P141" s="32" t="n">
        <f aca="false">L141-K141</f>
        <v>2</v>
      </c>
      <c r="Q141" s="32" t="n">
        <f aca="false">M141-L141</f>
        <v>6</v>
      </c>
      <c r="R141" s="32" t="n">
        <f aca="false">O141-N141</f>
        <v>4.625</v>
      </c>
      <c r="S141" s="32" t="n">
        <f aca="false">Raw!L141</f>
        <v>-1</v>
      </c>
      <c r="T141" s="32" t="n">
        <f aca="false">O141-M141</f>
        <v>-1</v>
      </c>
      <c r="U141" s="0" t="str">
        <f aca="false">IF(ABS(T141-S141)&lt;0.01,"OK","MISMATCH")</f>
        <v>OK</v>
      </c>
      <c r="V141" s="33" t="n">
        <f aca="false">Raw!M141</f>
        <v>0</v>
      </c>
      <c r="W141" s="0" t="str">
        <f aca="false">IF((S141&gt;0)=(V141=1),"OK","MISMATCH")</f>
        <v>OK</v>
      </c>
      <c r="X141" s="0" t="str">
        <f aca="false">_xlfn.IFS(S141&lt;=0,"Early/On time",S141&lt;=2,"Minor (up to 2 days)",S141&lt;=5,"Moderate (2-5 days)",TRUE(),"Severe (over 5 days)")</f>
        <v>Early/On time</v>
      </c>
      <c r="Y141" s="0" t="str">
        <f aca="false">YEAR(K141)&amp;"-"&amp;TEXT(MONTH(K141),"00")</f>
        <v>2025-03</v>
      </c>
      <c r="Z141" s="0" t="str">
        <f aca="false">C141&amp;" → "&amp;D141</f>
        <v>Rajasthan → Surat</v>
      </c>
      <c r="AA141" s="0" t="str">
        <f aca="false">Raw!Q141</f>
        <v>Delhivery</v>
      </c>
      <c r="AB141" s="0" t="str">
        <f aca="false">Raw!R141</f>
        <v>Yes</v>
      </c>
      <c r="AC141" s="0" t="str">
        <f aca="false">Raw!S141</f>
        <v>Damaged</v>
      </c>
      <c r="AD141" s="29" t="n">
        <f aca="false">Raw!N141</f>
        <v>2106.85</v>
      </c>
      <c r="AE141" s="29" t="n">
        <f aca="false">Raw!O141</f>
        <v>3515.06</v>
      </c>
      <c r="AF141" s="29" t="n">
        <f aca="false">Raw!P141</f>
        <v>1235.35</v>
      </c>
      <c r="AG141" s="29" t="n">
        <f aca="false">AD141/J141</f>
        <v>1333.44936708861</v>
      </c>
    </row>
    <row r="142" customFormat="false" ht="15" hidden="false" customHeight="false" outlineLevel="0" collapsed="false">
      <c r="A142" s="0" t="str">
        <f aca="false">Raw!A142</f>
        <v>SHP0141</v>
      </c>
      <c r="B142" s="0" t="str">
        <f aca="false">Raw!B142</f>
        <v>Outbound</v>
      </c>
      <c r="C142" s="0" t="str">
        <f aca="false">Raw!C142</f>
        <v>Surat</v>
      </c>
      <c r="D142" s="0" t="str">
        <f aca="false">Raw!D142</f>
        <v>Kerala</v>
      </c>
      <c r="E142" s="0" t="str">
        <f aca="false">IFERROR(INDEX(Location_Map!$B$2:$B$15,MATCH(C142,Location_Map!$A$2:$A$15,0)),"UNMAPPED")</f>
        <v>Gujarat</v>
      </c>
      <c r="F142" s="0" t="str">
        <f aca="false">IFERROR(INDEX(Location_Map!$C$2:$C$15,MATCH(C142,Location_Map!$A$2:$A$15,0)),"UNMAPPED")</f>
        <v>West</v>
      </c>
      <c r="G142" s="0" t="str">
        <f aca="false">IFERROR(INDEX(Location_Map!$B$2:$B$15,MATCH(D142,Location_Map!$A$2:$A$15,0)),"UNMAPPED")</f>
        <v>Kerala</v>
      </c>
      <c r="H142" s="0" t="str">
        <f aca="false">IFERROR(INDEX(Location_Map!$C$2:$C$15,MATCH(D142,Location_Map!$A$2:$A$15,0)),"UNMAPPED")</f>
        <v>South</v>
      </c>
      <c r="I142" s="0" t="str">
        <f aca="false">Raw!E142</f>
        <v>Raw Yarn</v>
      </c>
      <c r="J142" s="28" t="n">
        <f aca="false">Raw!F142</f>
        <v>15.59</v>
      </c>
      <c r="K142" s="30" t="n">
        <f aca="false">DATE(LEFT(Raw!G142,4),MID(Raw!G142,6,2),MID(Raw!G142,9,2))</f>
        <v>45809</v>
      </c>
      <c r="L142" s="30" t="n">
        <f aca="false">DATE(LEFT(Raw!H142,4),MID(Raw!H142,6,2),MID(Raw!H142,9,2))</f>
        <v>45812</v>
      </c>
      <c r="M142" s="30" t="n">
        <f aca="false">DATE(LEFT(Raw!I142,4),MID(Raw!I142,6,2),MID(Raw!I142,9,2))</f>
        <v>45816</v>
      </c>
      <c r="N142" s="31" t="n">
        <f aca="false">DATE(LEFT(Raw!J142,4),MID(Raw!J142,6,2),MID(Raw!J142,9,2))+TIME(MID(Raw!J142,12,2),MID(Raw!J142,15,2),MID(Raw!J142,18,2))</f>
        <v>45811.9583333333</v>
      </c>
      <c r="O142" s="31" t="n">
        <f aca="false">DATE(LEFT(Raw!K142,4),MID(Raw!K142,6,2),MID(Raw!K142,9,2))+TIME(MID(Raw!K142,12,2),MID(Raw!K142,15,2),MID(Raw!K142,18,2))</f>
        <v>45815</v>
      </c>
      <c r="P142" s="32" t="n">
        <f aca="false">L142-K142</f>
        <v>3</v>
      </c>
      <c r="Q142" s="32" t="n">
        <f aca="false">M142-L142</f>
        <v>4</v>
      </c>
      <c r="R142" s="32" t="n">
        <f aca="false">O142-N142</f>
        <v>3.04166666666667</v>
      </c>
      <c r="S142" s="32" t="n">
        <f aca="false">Raw!L142</f>
        <v>-1</v>
      </c>
      <c r="T142" s="32" t="n">
        <f aca="false">O142-M142</f>
        <v>-1</v>
      </c>
      <c r="U142" s="0" t="str">
        <f aca="false">IF(ABS(T142-S142)&lt;0.01,"OK","MISMATCH")</f>
        <v>OK</v>
      </c>
      <c r="V142" s="33" t="n">
        <f aca="false">Raw!M142</f>
        <v>0</v>
      </c>
      <c r="W142" s="0" t="str">
        <f aca="false">IF((S142&gt;0)=(V142=1),"OK","MISMATCH")</f>
        <v>OK</v>
      </c>
      <c r="X142" s="0" t="str">
        <f aca="false">_xlfn.IFS(S142&lt;=0,"Early/On time",S142&lt;=2,"Minor (up to 2 days)",S142&lt;=5,"Moderate (2-5 days)",TRUE(),"Severe (over 5 days)")</f>
        <v>Early/On time</v>
      </c>
      <c r="Y142" s="0" t="str">
        <f aca="false">YEAR(K142)&amp;"-"&amp;TEXT(MONTH(K142),"00")</f>
        <v>2025-06</v>
      </c>
      <c r="Z142" s="0" t="str">
        <f aca="false">C142&amp;" → "&amp;D142</f>
        <v>Surat → Kerala</v>
      </c>
      <c r="AA142" s="0" t="str">
        <f aca="false">Raw!Q142</f>
        <v>GATI Logistics</v>
      </c>
      <c r="AB142" s="0" t="str">
        <f aca="false">Raw!R142</f>
        <v>Yes</v>
      </c>
      <c r="AC142" s="0" t="str">
        <f aca="false">Raw!S142</f>
        <v>Returned</v>
      </c>
      <c r="AD142" s="29" t="n">
        <f aca="false">Raw!N142</f>
        <v>7306.6</v>
      </c>
      <c r="AE142" s="29" t="n">
        <f aca="false">Raw!O142</f>
        <v>3390.89</v>
      </c>
      <c r="AF142" s="29" t="n">
        <f aca="false">Raw!P142</f>
        <v>1292.96</v>
      </c>
      <c r="AG142" s="29" t="n">
        <f aca="false">AD142/J142</f>
        <v>468.67222578576</v>
      </c>
    </row>
    <row r="143" customFormat="false" ht="15" hidden="false" customHeight="false" outlineLevel="0" collapsed="false">
      <c r="A143" s="0" t="str">
        <f aca="false">Raw!A143</f>
        <v>SHP0142</v>
      </c>
      <c r="B143" s="0" t="str">
        <f aca="false">Raw!B143</f>
        <v>Inbound</v>
      </c>
      <c r="C143" s="0" t="str">
        <f aca="false">Raw!C143</f>
        <v>Gujarat</v>
      </c>
      <c r="D143" s="0" t="str">
        <f aca="false">Raw!D143</f>
        <v>Surat</v>
      </c>
      <c r="E143" s="0" t="str">
        <f aca="false">IFERROR(INDEX(Location_Map!$B$2:$B$15,MATCH(C143,Location_Map!$A$2:$A$15,0)),"UNMAPPED")</f>
        <v>Gujarat</v>
      </c>
      <c r="F143" s="0" t="str">
        <f aca="false">IFERROR(INDEX(Location_Map!$C$2:$C$15,MATCH(C143,Location_Map!$A$2:$A$15,0)),"UNMAPPED")</f>
        <v>West</v>
      </c>
      <c r="G143" s="0" t="str">
        <f aca="false">IFERROR(INDEX(Location_Map!$B$2:$B$15,MATCH(D143,Location_Map!$A$2:$A$15,0)),"UNMAPPED")</f>
        <v>Gujarat</v>
      </c>
      <c r="H143" s="0" t="str">
        <f aca="false">IFERROR(INDEX(Location_Map!$C$2:$C$15,MATCH(D143,Location_Map!$A$2:$A$15,0)),"UNMAPPED")</f>
        <v>West</v>
      </c>
      <c r="I143" s="0" t="str">
        <f aca="false">Raw!E143</f>
        <v>Finished Yarn</v>
      </c>
      <c r="J143" s="28" t="n">
        <f aca="false">Raw!F143</f>
        <v>13.45</v>
      </c>
      <c r="K143" s="30" t="n">
        <f aca="false">DATE(LEFT(Raw!G143,4),MID(Raw!G143,6,2),MID(Raw!G143,9,2))</f>
        <v>45955</v>
      </c>
      <c r="L143" s="30" t="n">
        <f aca="false">DATE(LEFT(Raw!H143,4),MID(Raw!H143,6,2),MID(Raw!H143,9,2))</f>
        <v>45957</v>
      </c>
      <c r="M143" s="30" t="n">
        <f aca="false">DATE(LEFT(Raw!I143,4),MID(Raw!I143,6,2),MID(Raw!I143,9,2))</f>
        <v>45963</v>
      </c>
      <c r="N143" s="31" t="n">
        <f aca="false">DATE(LEFT(Raw!J143,4),MID(Raw!J143,6,2),MID(Raw!J143,9,2))+TIME(MID(Raw!J143,12,2),MID(Raw!J143,15,2),MID(Raw!J143,18,2))</f>
        <v>45957.25</v>
      </c>
      <c r="O143" s="31" t="n">
        <f aca="false">DATE(LEFT(Raw!K143,4),MID(Raw!K143,6,2),MID(Raw!K143,9,2))+TIME(MID(Raw!K143,12,2),MID(Raw!K143,15,2),MID(Raw!K143,18,2))</f>
        <v>45971</v>
      </c>
      <c r="P143" s="32" t="n">
        <f aca="false">L143-K143</f>
        <v>2</v>
      </c>
      <c r="Q143" s="32" t="n">
        <f aca="false">M143-L143</f>
        <v>6</v>
      </c>
      <c r="R143" s="32" t="n">
        <f aca="false">O143-N143</f>
        <v>13.75</v>
      </c>
      <c r="S143" s="32" t="n">
        <f aca="false">Raw!L143</f>
        <v>8</v>
      </c>
      <c r="T143" s="32" t="n">
        <f aca="false">O143-M143</f>
        <v>8</v>
      </c>
      <c r="U143" s="0" t="str">
        <f aca="false">IF(ABS(T143-S143)&lt;0.01,"OK","MISMATCH")</f>
        <v>OK</v>
      </c>
      <c r="V143" s="33" t="n">
        <f aca="false">Raw!M143</f>
        <v>1</v>
      </c>
      <c r="W143" s="0" t="str">
        <f aca="false">IF((S143&gt;0)=(V143=1),"OK","MISMATCH")</f>
        <v>OK</v>
      </c>
      <c r="X143" s="0" t="str">
        <f aca="false">_xlfn.IFS(S143&lt;=0,"Early/On time",S143&lt;=2,"Minor (up to 2 days)",S143&lt;=5,"Moderate (2-5 days)",TRUE(),"Severe (over 5 days)")</f>
        <v>Severe (over 5 days)</v>
      </c>
      <c r="Y143" s="0" t="str">
        <f aca="false">YEAR(K143)&amp;"-"&amp;TEXT(MONTH(K143),"00")</f>
        <v>2025-10</v>
      </c>
      <c r="Z143" s="0" t="str">
        <f aca="false">C143&amp;" → "&amp;D143</f>
        <v>Gujarat → Surat</v>
      </c>
      <c r="AA143" s="0" t="str">
        <f aca="false">Raw!Q143</f>
        <v>BlueDart</v>
      </c>
      <c r="AB143" s="0" t="str">
        <f aca="false">Raw!R143</f>
        <v>Yes</v>
      </c>
      <c r="AC143" s="0" t="str">
        <f aca="false">Raw!S143</f>
        <v>Expedited</v>
      </c>
      <c r="AD143" s="29" t="n">
        <f aca="false">Raw!N143</f>
        <v>5899.28</v>
      </c>
      <c r="AE143" s="29" t="n">
        <f aca="false">Raw!O143</f>
        <v>4343.99</v>
      </c>
      <c r="AF143" s="29" t="n">
        <f aca="false">Raw!P143</f>
        <v>735.79</v>
      </c>
      <c r="AG143" s="29" t="n">
        <f aca="false">AD143/J143</f>
        <v>438.608178438662</v>
      </c>
    </row>
    <row r="144" customFormat="false" ht="15" hidden="false" customHeight="false" outlineLevel="0" collapsed="false">
      <c r="A144" s="0" t="str">
        <f aca="false">Raw!A144</f>
        <v>SHP0143</v>
      </c>
      <c r="B144" s="0" t="str">
        <f aca="false">Raw!B144</f>
        <v>Inbound</v>
      </c>
      <c r="C144" s="0" t="str">
        <f aca="false">Raw!C144</f>
        <v>Rajasthan</v>
      </c>
      <c r="D144" s="0" t="str">
        <f aca="false">Raw!D144</f>
        <v>Surat</v>
      </c>
      <c r="E144" s="0" t="str">
        <f aca="false">IFERROR(INDEX(Location_Map!$B$2:$B$15,MATCH(C144,Location_Map!$A$2:$A$15,0)),"UNMAPPED")</f>
        <v>Rajasthan</v>
      </c>
      <c r="F144" s="0" t="str">
        <f aca="false">IFERROR(INDEX(Location_Map!$C$2:$C$15,MATCH(C144,Location_Map!$A$2:$A$15,0)),"UNMAPPED")</f>
        <v>North</v>
      </c>
      <c r="G144" s="0" t="str">
        <f aca="false">IFERROR(INDEX(Location_Map!$B$2:$B$15,MATCH(D144,Location_Map!$A$2:$A$15,0)),"UNMAPPED")</f>
        <v>Gujarat</v>
      </c>
      <c r="H144" s="0" t="str">
        <f aca="false">IFERROR(INDEX(Location_Map!$C$2:$C$15,MATCH(D144,Location_Map!$A$2:$A$15,0)),"UNMAPPED")</f>
        <v>West</v>
      </c>
      <c r="I144" s="0" t="str">
        <f aca="false">Raw!E144</f>
        <v>Semi-Processed Yarn</v>
      </c>
      <c r="J144" s="28" t="n">
        <f aca="false">Raw!F144</f>
        <v>15.74</v>
      </c>
      <c r="K144" s="30" t="n">
        <f aca="false">DATE(LEFT(Raw!G144,4),MID(Raw!G144,6,2),MID(Raw!G144,9,2))</f>
        <v>45779</v>
      </c>
      <c r="L144" s="30" t="n">
        <f aca="false">DATE(LEFT(Raw!H144,4),MID(Raw!H144,6,2),MID(Raw!H144,9,2))</f>
        <v>45782</v>
      </c>
      <c r="M144" s="30" t="n">
        <f aca="false">DATE(LEFT(Raw!I144,4),MID(Raw!I144,6,2),MID(Raw!I144,9,2))</f>
        <v>45785</v>
      </c>
      <c r="N144" s="31" t="n">
        <f aca="false">DATE(LEFT(Raw!J144,4),MID(Raw!J144,6,2),MID(Raw!J144,9,2))+TIME(MID(Raw!J144,12,2),MID(Raw!J144,15,2),MID(Raw!J144,18,2))</f>
        <v>45782.2916666667</v>
      </c>
      <c r="O144" s="31" t="n">
        <f aca="false">DATE(LEFT(Raw!K144,4),MID(Raw!K144,6,2),MID(Raw!K144,9,2))+TIME(MID(Raw!K144,12,2),MID(Raw!K144,15,2),MID(Raw!K144,18,2))</f>
        <v>45788</v>
      </c>
      <c r="P144" s="32" t="n">
        <f aca="false">L144-K144</f>
        <v>3</v>
      </c>
      <c r="Q144" s="32" t="n">
        <f aca="false">M144-L144</f>
        <v>3</v>
      </c>
      <c r="R144" s="32" t="n">
        <f aca="false">O144-N144</f>
        <v>5.70833333333333</v>
      </c>
      <c r="S144" s="32" t="n">
        <f aca="false">Raw!L144</f>
        <v>3</v>
      </c>
      <c r="T144" s="32" t="n">
        <f aca="false">O144-M144</f>
        <v>3</v>
      </c>
      <c r="U144" s="0" t="str">
        <f aca="false">IF(ABS(T144-S144)&lt;0.01,"OK","MISMATCH")</f>
        <v>OK</v>
      </c>
      <c r="V144" s="33" t="n">
        <f aca="false">Raw!M144</f>
        <v>1</v>
      </c>
      <c r="W144" s="0" t="str">
        <f aca="false">IF((S144&gt;0)=(V144=1),"OK","MISMATCH")</f>
        <v>OK</v>
      </c>
      <c r="X144" s="0" t="str">
        <f aca="false">_xlfn.IFS(S144&lt;=0,"Early/On time",S144&lt;=2,"Minor (up to 2 days)",S144&lt;=5,"Moderate (2-5 days)",TRUE(),"Severe (over 5 days)")</f>
        <v>Moderate (2-5 days)</v>
      </c>
      <c r="Y144" s="0" t="str">
        <f aca="false">YEAR(K144)&amp;"-"&amp;TEXT(MONTH(K144),"00")</f>
        <v>2025-05</v>
      </c>
      <c r="Z144" s="0" t="str">
        <f aca="false">C144&amp;" → "&amp;D144</f>
        <v>Rajasthan → Surat</v>
      </c>
      <c r="AA144" s="0" t="str">
        <f aca="false">Raw!Q144</f>
        <v>VRL Cargo</v>
      </c>
      <c r="AB144" s="0" t="str">
        <f aca="false">Raw!R144</f>
        <v>No</v>
      </c>
      <c r="AC144" s="0" t="str">
        <f aca="false">Raw!S144</f>
        <v>Damaged</v>
      </c>
      <c r="AD144" s="29" t="n">
        <f aca="false">Raw!N144</f>
        <v>5393.36</v>
      </c>
      <c r="AE144" s="29" t="n">
        <f aca="false">Raw!O144</f>
        <v>2620.08</v>
      </c>
      <c r="AF144" s="29" t="n">
        <f aca="false">Raw!P144</f>
        <v>1092.92</v>
      </c>
      <c r="AG144" s="29" t="n">
        <f aca="false">AD144/J144</f>
        <v>342.653113087675</v>
      </c>
    </row>
    <row r="145" customFormat="false" ht="15" hidden="false" customHeight="false" outlineLevel="0" collapsed="false">
      <c r="A145" s="0" t="str">
        <f aca="false">Raw!A145</f>
        <v>SHP0144</v>
      </c>
      <c r="B145" s="0" t="str">
        <f aca="false">Raw!B145</f>
        <v>Outbound</v>
      </c>
      <c r="C145" s="0" t="str">
        <f aca="false">Raw!C145</f>
        <v>Surat</v>
      </c>
      <c r="D145" s="0" t="str">
        <f aca="false">Raw!D145</f>
        <v>Jaipur</v>
      </c>
      <c r="E145" s="0" t="str">
        <f aca="false">IFERROR(INDEX(Location_Map!$B$2:$B$15,MATCH(C145,Location_Map!$A$2:$A$15,0)),"UNMAPPED")</f>
        <v>Gujarat</v>
      </c>
      <c r="F145" s="0" t="str">
        <f aca="false">IFERROR(INDEX(Location_Map!$C$2:$C$15,MATCH(C145,Location_Map!$A$2:$A$15,0)),"UNMAPPED")</f>
        <v>West</v>
      </c>
      <c r="G145" s="0" t="str">
        <f aca="false">IFERROR(INDEX(Location_Map!$B$2:$B$15,MATCH(D145,Location_Map!$A$2:$A$15,0)),"UNMAPPED")</f>
        <v>Rajasthan</v>
      </c>
      <c r="H145" s="0" t="str">
        <f aca="false">IFERROR(INDEX(Location_Map!$C$2:$C$15,MATCH(D145,Location_Map!$A$2:$A$15,0)),"UNMAPPED")</f>
        <v>North</v>
      </c>
      <c r="I145" s="0" t="str">
        <f aca="false">Raw!E145</f>
        <v>Semi-Processed Yarn</v>
      </c>
      <c r="J145" s="28" t="n">
        <f aca="false">Raw!F145</f>
        <v>12.01</v>
      </c>
      <c r="K145" s="30" t="n">
        <f aca="false">DATE(LEFT(Raw!G145,4),MID(Raw!G145,6,2),MID(Raw!G145,9,2))</f>
        <v>45856</v>
      </c>
      <c r="L145" s="30" t="n">
        <f aca="false">DATE(LEFT(Raw!H145,4),MID(Raw!H145,6,2),MID(Raw!H145,9,2))</f>
        <v>45857</v>
      </c>
      <c r="M145" s="30" t="n">
        <f aca="false">DATE(LEFT(Raw!I145,4),MID(Raw!I145,6,2),MID(Raw!I145,9,2))</f>
        <v>45859</v>
      </c>
      <c r="N145" s="31" t="n">
        <f aca="false">DATE(LEFT(Raw!J145,4),MID(Raw!J145,6,2),MID(Raw!J145,9,2))+TIME(MID(Raw!J145,12,2),MID(Raw!J145,15,2),MID(Raw!J145,18,2))</f>
        <v>45857.2083333333</v>
      </c>
      <c r="O145" s="31" t="n">
        <f aca="false">DATE(LEFT(Raw!K145,4),MID(Raw!K145,6,2),MID(Raw!K145,9,2))+TIME(MID(Raw!K145,12,2),MID(Raw!K145,15,2),MID(Raw!K145,18,2))</f>
        <v>45860.1</v>
      </c>
      <c r="P145" s="32" t="n">
        <f aca="false">L145-K145</f>
        <v>1</v>
      </c>
      <c r="Q145" s="32" t="n">
        <f aca="false">M145-L145</f>
        <v>2</v>
      </c>
      <c r="R145" s="32" t="n">
        <f aca="false">O145-N145</f>
        <v>2.89166666666667</v>
      </c>
      <c r="S145" s="32" t="n">
        <f aca="false">Raw!L145</f>
        <v>1.1</v>
      </c>
      <c r="T145" s="32" t="n">
        <f aca="false">O145-M145</f>
        <v>1.1</v>
      </c>
      <c r="U145" s="0" t="str">
        <f aca="false">IF(ABS(T145-S145)&lt;0.01,"OK","MISMATCH")</f>
        <v>OK</v>
      </c>
      <c r="V145" s="33" t="n">
        <f aca="false">Raw!M145</f>
        <v>1</v>
      </c>
      <c r="W145" s="0" t="str">
        <f aca="false">IF((S145&gt;0)=(V145=1),"OK","MISMATCH")</f>
        <v>OK</v>
      </c>
      <c r="X145" s="0" t="str">
        <f aca="false">_xlfn.IFS(S145&lt;=0,"Early/On time",S145&lt;=2,"Minor (up to 2 days)",S145&lt;=5,"Moderate (2-5 days)",TRUE(),"Severe (over 5 days)")</f>
        <v>Minor (up to 2 days)</v>
      </c>
      <c r="Y145" s="0" t="str">
        <f aca="false">YEAR(K145)&amp;"-"&amp;TEXT(MONTH(K145),"00")</f>
        <v>2025-07</v>
      </c>
      <c r="Z145" s="0" t="str">
        <f aca="false">C145&amp;" → "&amp;D145</f>
        <v>Surat → Jaipur</v>
      </c>
      <c r="AA145" s="0" t="str">
        <f aca="false">Raw!Q145</f>
        <v>TCI Express</v>
      </c>
      <c r="AB145" s="0" t="str">
        <f aca="false">Raw!R145</f>
        <v>No</v>
      </c>
      <c r="AC145" s="0" t="str">
        <f aca="false">Raw!S145</f>
        <v>Held at warehouse</v>
      </c>
      <c r="AD145" s="29" t="n">
        <f aca="false">Raw!N145</f>
        <v>4885.78</v>
      </c>
      <c r="AE145" s="29" t="n">
        <f aca="false">Raw!O145</f>
        <v>4431.95</v>
      </c>
      <c r="AF145" s="29" t="n">
        <f aca="false">Raw!P145</f>
        <v>509.03</v>
      </c>
      <c r="AG145" s="29" t="n">
        <f aca="false">AD145/J145</f>
        <v>406.809325562032</v>
      </c>
    </row>
    <row r="146" customFormat="false" ht="15" hidden="false" customHeight="false" outlineLevel="0" collapsed="false">
      <c r="A146" s="0" t="str">
        <f aca="false">Raw!A146</f>
        <v>SHP0145</v>
      </c>
      <c r="B146" s="0" t="str">
        <f aca="false">Raw!B146</f>
        <v>Outbound</v>
      </c>
      <c r="C146" s="0" t="str">
        <f aca="false">Raw!C146</f>
        <v>Surat</v>
      </c>
      <c r="D146" s="0" t="str">
        <f aca="false">Raw!D146</f>
        <v>Assam</v>
      </c>
      <c r="E146" s="0" t="str">
        <f aca="false">IFERROR(INDEX(Location_Map!$B$2:$B$15,MATCH(C146,Location_Map!$A$2:$A$15,0)),"UNMAPPED")</f>
        <v>Gujarat</v>
      </c>
      <c r="F146" s="0" t="str">
        <f aca="false">IFERROR(INDEX(Location_Map!$C$2:$C$15,MATCH(C146,Location_Map!$A$2:$A$15,0)),"UNMAPPED")</f>
        <v>West</v>
      </c>
      <c r="G146" s="0" t="str">
        <f aca="false">IFERROR(INDEX(Location_Map!$B$2:$B$15,MATCH(D146,Location_Map!$A$2:$A$15,0)),"UNMAPPED")</f>
        <v>Assam</v>
      </c>
      <c r="H146" s="0" t="str">
        <f aca="false">IFERROR(INDEX(Location_Map!$C$2:$C$15,MATCH(D146,Location_Map!$A$2:$A$15,0)),"UNMAPPED")</f>
        <v>North-East</v>
      </c>
      <c r="I146" s="0" t="str">
        <f aca="false">Raw!E146</f>
        <v>Semi-Processed Yarn</v>
      </c>
      <c r="J146" s="28" t="n">
        <f aca="false">Raw!F146</f>
        <v>12.18</v>
      </c>
      <c r="K146" s="30" t="n">
        <f aca="false">DATE(LEFT(Raw!G146,4),MID(Raw!G146,6,2),MID(Raw!G146,9,2))</f>
        <v>45837</v>
      </c>
      <c r="L146" s="30" t="n">
        <f aca="false">DATE(LEFT(Raw!H146,4),MID(Raw!H146,6,2),MID(Raw!H146,9,2))</f>
        <v>45839</v>
      </c>
      <c r="M146" s="30" t="n">
        <f aca="false">DATE(LEFT(Raw!I146,4),MID(Raw!I146,6,2),MID(Raw!I146,9,2))</f>
        <v>45843</v>
      </c>
      <c r="N146" s="31" t="n">
        <f aca="false">DATE(LEFT(Raw!J146,4),MID(Raw!J146,6,2),MID(Raw!J146,9,2))+TIME(MID(Raw!J146,12,2),MID(Raw!J146,15,2),MID(Raw!J146,18,2))</f>
        <v>45839.1666666667</v>
      </c>
      <c r="O146" s="31" t="n">
        <f aca="false">DATE(LEFT(Raw!K146,4),MID(Raw!K146,6,2),MID(Raw!K146,9,2))+TIME(MID(Raw!K146,12,2),MID(Raw!K146,15,2),MID(Raw!K146,18,2))</f>
        <v>45844.5</v>
      </c>
      <c r="P146" s="32" t="n">
        <f aca="false">L146-K146</f>
        <v>2</v>
      </c>
      <c r="Q146" s="32" t="n">
        <f aca="false">M146-L146</f>
        <v>4</v>
      </c>
      <c r="R146" s="32" t="n">
        <f aca="false">O146-N146</f>
        <v>5.33333333333333</v>
      </c>
      <c r="S146" s="32" t="n">
        <f aca="false">Raw!L146</f>
        <v>1.5</v>
      </c>
      <c r="T146" s="32" t="n">
        <f aca="false">O146-M146</f>
        <v>1.5</v>
      </c>
      <c r="U146" s="0" t="str">
        <f aca="false">IF(ABS(T146-S146)&lt;0.01,"OK","MISMATCH")</f>
        <v>OK</v>
      </c>
      <c r="V146" s="33" t="n">
        <f aca="false">Raw!M146</f>
        <v>1</v>
      </c>
      <c r="W146" s="0" t="str">
        <f aca="false">IF((S146&gt;0)=(V146=1),"OK","MISMATCH")</f>
        <v>OK</v>
      </c>
      <c r="X146" s="0" t="str">
        <f aca="false">_xlfn.IFS(S146&lt;=0,"Early/On time",S146&lt;=2,"Minor (up to 2 days)",S146&lt;=5,"Moderate (2-5 days)",TRUE(),"Severe (over 5 days)")</f>
        <v>Minor (up to 2 days)</v>
      </c>
      <c r="Y146" s="0" t="str">
        <f aca="false">YEAR(K146)&amp;"-"&amp;TEXT(MONTH(K146),"00")</f>
        <v>2025-06</v>
      </c>
      <c r="Z146" s="0" t="str">
        <f aca="false">C146&amp;" → "&amp;D146</f>
        <v>Surat → Assam</v>
      </c>
      <c r="AA146" s="0" t="str">
        <f aca="false">Raw!Q146</f>
        <v>TCI Express</v>
      </c>
      <c r="AB146" s="0" t="str">
        <f aca="false">Raw!R146</f>
        <v>No</v>
      </c>
      <c r="AC146" s="0" t="str">
        <f aca="false">Raw!S146</f>
        <v>Held at warehouse</v>
      </c>
      <c r="AD146" s="29" t="n">
        <f aca="false">Raw!N146</f>
        <v>6439.07</v>
      </c>
      <c r="AE146" s="29" t="n">
        <f aca="false">Raw!O146</f>
        <v>1583.03</v>
      </c>
      <c r="AF146" s="29" t="n">
        <f aca="false">Raw!P146</f>
        <v>949.43</v>
      </c>
      <c r="AG146" s="29" t="n">
        <f aca="false">AD146/J146</f>
        <v>528.659277504105</v>
      </c>
    </row>
    <row r="147" customFormat="false" ht="15" hidden="false" customHeight="false" outlineLevel="0" collapsed="false">
      <c r="A147" s="0" t="str">
        <f aca="false">Raw!A147</f>
        <v>SHP0146</v>
      </c>
      <c r="B147" s="0" t="str">
        <f aca="false">Raw!B147</f>
        <v>Outbound</v>
      </c>
      <c r="C147" s="0" t="str">
        <f aca="false">Raw!C147</f>
        <v>Surat</v>
      </c>
      <c r="D147" s="0" t="str">
        <f aca="false">Raw!D147</f>
        <v>Karnataka</v>
      </c>
      <c r="E147" s="0" t="str">
        <f aca="false">IFERROR(INDEX(Location_Map!$B$2:$B$15,MATCH(C147,Location_Map!$A$2:$A$15,0)),"UNMAPPED")</f>
        <v>Gujarat</v>
      </c>
      <c r="F147" s="0" t="str">
        <f aca="false">IFERROR(INDEX(Location_Map!$C$2:$C$15,MATCH(C147,Location_Map!$A$2:$A$15,0)),"UNMAPPED")</f>
        <v>West</v>
      </c>
      <c r="G147" s="0" t="str">
        <f aca="false">IFERROR(INDEX(Location_Map!$B$2:$B$15,MATCH(D147,Location_Map!$A$2:$A$15,0)),"UNMAPPED")</f>
        <v>Karnataka</v>
      </c>
      <c r="H147" s="0" t="str">
        <f aca="false">IFERROR(INDEX(Location_Map!$C$2:$C$15,MATCH(D147,Location_Map!$A$2:$A$15,0)),"UNMAPPED")</f>
        <v>South</v>
      </c>
      <c r="I147" s="0" t="str">
        <f aca="false">Raw!E147</f>
        <v>Finished Yarn</v>
      </c>
      <c r="J147" s="28" t="n">
        <f aca="false">Raw!F147</f>
        <v>12.17</v>
      </c>
      <c r="K147" s="30" t="n">
        <f aca="false">DATE(LEFT(Raw!G147,4),MID(Raw!G147,6,2),MID(Raw!G147,9,2))</f>
        <v>45942</v>
      </c>
      <c r="L147" s="30" t="n">
        <f aca="false">DATE(LEFT(Raw!H147,4),MID(Raw!H147,6,2),MID(Raw!H147,9,2))</f>
        <v>45944</v>
      </c>
      <c r="M147" s="30" t="n">
        <f aca="false">DATE(LEFT(Raw!I147,4),MID(Raw!I147,6,2),MID(Raw!I147,9,2))</f>
        <v>45949</v>
      </c>
      <c r="N147" s="31" t="n">
        <f aca="false">DATE(LEFT(Raw!J147,4),MID(Raw!J147,6,2),MID(Raw!J147,9,2))+TIME(MID(Raw!J147,12,2),MID(Raw!J147,15,2),MID(Raw!J147,18,2))</f>
        <v>45944.25</v>
      </c>
      <c r="O147" s="31" t="n">
        <f aca="false">DATE(LEFT(Raw!K147,4),MID(Raw!K147,6,2),MID(Raw!K147,9,2))+TIME(MID(Raw!K147,12,2),MID(Raw!K147,15,2),MID(Raw!K147,18,2))</f>
        <v>45954</v>
      </c>
      <c r="P147" s="32" t="n">
        <f aca="false">L147-K147</f>
        <v>2</v>
      </c>
      <c r="Q147" s="32" t="n">
        <f aca="false">M147-L147</f>
        <v>5</v>
      </c>
      <c r="R147" s="32" t="n">
        <f aca="false">O147-N147</f>
        <v>9.75</v>
      </c>
      <c r="S147" s="32" t="n">
        <f aca="false">Raw!L147</f>
        <v>5</v>
      </c>
      <c r="T147" s="32" t="n">
        <f aca="false">O147-M147</f>
        <v>5</v>
      </c>
      <c r="U147" s="0" t="str">
        <f aca="false">IF(ABS(T147-S147)&lt;0.01,"OK","MISMATCH")</f>
        <v>OK</v>
      </c>
      <c r="V147" s="33" t="n">
        <f aca="false">Raw!M147</f>
        <v>1</v>
      </c>
      <c r="W147" s="0" t="str">
        <f aca="false">IF((S147&gt;0)=(V147=1),"OK","MISMATCH")</f>
        <v>OK</v>
      </c>
      <c r="X147" s="0" t="str">
        <f aca="false">_xlfn.IFS(S147&lt;=0,"Early/On time",S147&lt;=2,"Minor (up to 2 days)",S147&lt;=5,"Moderate (2-5 days)",TRUE(),"Severe (over 5 days)")</f>
        <v>Moderate (2-5 days)</v>
      </c>
      <c r="Y147" s="0" t="str">
        <f aca="false">YEAR(K147)&amp;"-"&amp;TEXT(MONTH(K147),"00")</f>
        <v>2025-10</v>
      </c>
      <c r="Z147" s="0" t="str">
        <f aca="false">C147&amp;" → "&amp;D147</f>
        <v>Surat → Karnataka</v>
      </c>
      <c r="AA147" s="0" t="str">
        <f aca="false">Raw!Q147</f>
        <v>GATI Logistics</v>
      </c>
      <c r="AB147" s="0" t="str">
        <f aca="false">Raw!R147</f>
        <v>No</v>
      </c>
      <c r="AC147" s="0" t="str">
        <f aca="false">Raw!S147</f>
        <v>Normal</v>
      </c>
      <c r="AD147" s="29" t="n">
        <f aca="false">Raw!N147</f>
        <v>4693.49</v>
      </c>
      <c r="AE147" s="29" t="n">
        <f aca="false">Raw!O147</f>
        <v>3655.22</v>
      </c>
      <c r="AF147" s="29" t="n">
        <f aca="false">Raw!P147</f>
        <v>974.63</v>
      </c>
      <c r="AG147" s="29" t="n">
        <f aca="false">AD147/J147</f>
        <v>385.660640920296</v>
      </c>
    </row>
    <row r="148" customFormat="false" ht="15" hidden="false" customHeight="false" outlineLevel="0" collapsed="false">
      <c r="A148" s="0" t="str">
        <f aca="false">Raw!A148</f>
        <v>SHP0147</v>
      </c>
      <c r="B148" s="0" t="str">
        <f aca="false">Raw!B148</f>
        <v>Inbound</v>
      </c>
      <c r="C148" s="0" t="str">
        <f aca="false">Raw!C148</f>
        <v>Punjab</v>
      </c>
      <c r="D148" s="0" t="str">
        <f aca="false">Raw!D148</f>
        <v>Surat</v>
      </c>
      <c r="E148" s="0" t="str">
        <f aca="false">IFERROR(INDEX(Location_Map!$B$2:$B$15,MATCH(C148,Location_Map!$A$2:$A$15,0)),"UNMAPPED")</f>
        <v>Punjab</v>
      </c>
      <c r="F148" s="0" t="str">
        <f aca="false">IFERROR(INDEX(Location_Map!$C$2:$C$15,MATCH(C148,Location_Map!$A$2:$A$15,0)),"UNMAPPED")</f>
        <v>North</v>
      </c>
      <c r="G148" s="0" t="str">
        <f aca="false">IFERROR(INDEX(Location_Map!$B$2:$B$15,MATCH(D148,Location_Map!$A$2:$A$15,0)),"UNMAPPED")</f>
        <v>Gujarat</v>
      </c>
      <c r="H148" s="0" t="str">
        <f aca="false">IFERROR(INDEX(Location_Map!$C$2:$C$15,MATCH(D148,Location_Map!$A$2:$A$15,0)),"UNMAPPED")</f>
        <v>West</v>
      </c>
      <c r="I148" s="0" t="str">
        <f aca="false">Raw!E148</f>
        <v>Raw Yarn</v>
      </c>
      <c r="J148" s="28" t="n">
        <f aca="false">Raw!F148</f>
        <v>17.04</v>
      </c>
      <c r="K148" s="30" t="n">
        <f aca="false">DATE(LEFT(Raw!G148,4),MID(Raw!G148,6,2),MID(Raw!G148,9,2))</f>
        <v>45899</v>
      </c>
      <c r="L148" s="30" t="n">
        <f aca="false">DATE(LEFT(Raw!H148,4),MID(Raw!H148,6,2),MID(Raw!H148,9,2))</f>
        <v>45902</v>
      </c>
      <c r="M148" s="30" t="n">
        <f aca="false">DATE(LEFT(Raw!I148,4),MID(Raw!I148,6,2),MID(Raw!I148,9,2))</f>
        <v>45907</v>
      </c>
      <c r="N148" s="31" t="n">
        <f aca="false">DATE(LEFT(Raw!J148,4),MID(Raw!J148,6,2),MID(Raw!J148,9,2))+TIME(MID(Raw!J148,12,2),MID(Raw!J148,15,2),MID(Raw!J148,18,2))</f>
        <v>45902.3333333333</v>
      </c>
      <c r="O148" s="31" t="n">
        <f aca="false">DATE(LEFT(Raw!K148,4),MID(Raw!K148,6,2),MID(Raw!K148,9,2))+TIME(MID(Raw!K148,12,2),MID(Raw!K148,15,2),MID(Raw!K148,18,2))</f>
        <v>45907.5</v>
      </c>
      <c r="P148" s="32" t="n">
        <f aca="false">L148-K148</f>
        <v>3</v>
      </c>
      <c r="Q148" s="32" t="n">
        <f aca="false">M148-L148</f>
        <v>5</v>
      </c>
      <c r="R148" s="32" t="n">
        <f aca="false">O148-N148</f>
        <v>5.16666666666667</v>
      </c>
      <c r="S148" s="32" t="n">
        <f aca="false">Raw!L148</f>
        <v>0.5</v>
      </c>
      <c r="T148" s="32" t="n">
        <f aca="false">O148-M148</f>
        <v>0.5</v>
      </c>
      <c r="U148" s="0" t="str">
        <f aca="false">IF(ABS(T148-S148)&lt;0.01,"OK","MISMATCH")</f>
        <v>OK</v>
      </c>
      <c r="V148" s="33" t="n">
        <f aca="false">Raw!M148</f>
        <v>1</v>
      </c>
      <c r="W148" s="0" t="str">
        <f aca="false">IF((S148&gt;0)=(V148=1),"OK","MISMATCH")</f>
        <v>OK</v>
      </c>
      <c r="X148" s="0" t="str">
        <f aca="false">_xlfn.IFS(S148&lt;=0,"Early/On time",S148&lt;=2,"Minor (up to 2 days)",S148&lt;=5,"Moderate (2-5 days)",TRUE(),"Severe (over 5 days)")</f>
        <v>Minor (up to 2 days)</v>
      </c>
      <c r="Y148" s="0" t="str">
        <f aca="false">YEAR(K148)&amp;"-"&amp;TEXT(MONTH(K148),"00")</f>
        <v>2025-08</v>
      </c>
      <c r="Z148" s="0" t="str">
        <f aca="false">C148&amp;" → "&amp;D148</f>
        <v>Punjab → Surat</v>
      </c>
      <c r="AA148" s="0" t="str">
        <f aca="false">Raw!Q148</f>
        <v>TCI Express</v>
      </c>
      <c r="AB148" s="0" t="str">
        <f aca="false">Raw!R148</f>
        <v>Yes</v>
      </c>
      <c r="AC148" s="0" t="str">
        <f aca="false">Raw!S148</f>
        <v>Returned</v>
      </c>
      <c r="AD148" s="29" t="n">
        <f aca="false">Raw!N148</f>
        <v>5507.35</v>
      </c>
      <c r="AE148" s="29" t="n">
        <f aca="false">Raw!O148</f>
        <v>4746.42</v>
      </c>
      <c r="AF148" s="29" t="n">
        <f aca="false">Raw!P148</f>
        <v>539.34</v>
      </c>
      <c r="AG148" s="29" t="n">
        <f aca="false">AD148/J148</f>
        <v>323.201291079812</v>
      </c>
    </row>
    <row r="149" customFormat="false" ht="15" hidden="false" customHeight="false" outlineLevel="0" collapsed="false">
      <c r="A149" s="0" t="str">
        <f aca="false">Raw!A149</f>
        <v>SHP0148</v>
      </c>
      <c r="B149" s="0" t="str">
        <f aca="false">Raw!B149</f>
        <v>Inbound</v>
      </c>
      <c r="C149" s="0" t="str">
        <f aca="false">Raw!C149</f>
        <v>Gujarat</v>
      </c>
      <c r="D149" s="0" t="str">
        <f aca="false">Raw!D149</f>
        <v>Surat</v>
      </c>
      <c r="E149" s="0" t="str">
        <f aca="false">IFERROR(INDEX(Location_Map!$B$2:$B$15,MATCH(C149,Location_Map!$A$2:$A$15,0)),"UNMAPPED")</f>
        <v>Gujarat</v>
      </c>
      <c r="F149" s="0" t="str">
        <f aca="false">IFERROR(INDEX(Location_Map!$C$2:$C$15,MATCH(C149,Location_Map!$A$2:$A$15,0)),"UNMAPPED")</f>
        <v>West</v>
      </c>
      <c r="G149" s="0" t="str">
        <f aca="false">IFERROR(INDEX(Location_Map!$B$2:$B$15,MATCH(D149,Location_Map!$A$2:$A$15,0)),"UNMAPPED")</f>
        <v>Gujarat</v>
      </c>
      <c r="H149" s="0" t="str">
        <f aca="false">IFERROR(INDEX(Location_Map!$C$2:$C$15,MATCH(D149,Location_Map!$A$2:$A$15,0)),"UNMAPPED")</f>
        <v>West</v>
      </c>
      <c r="I149" s="0" t="str">
        <f aca="false">Raw!E149</f>
        <v>Raw Yarn</v>
      </c>
      <c r="J149" s="28" t="n">
        <f aca="false">Raw!F149</f>
        <v>3.32</v>
      </c>
      <c r="K149" s="30" t="n">
        <f aca="false">DATE(LEFT(Raw!G149,4),MID(Raw!G149,6,2),MID(Raw!G149,9,2))</f>
        <v>45793</v>
      </c>
      <c r="L149" s="30" t="n">
        <f aca="false">DATE(LEFT(Raw!H149,4),MID(Raw!H149,6,2),MID(Raw!H149,9,2))</f>
        <v>45797</v>
      </c>
      <c r="M149" s="30" t="n">
        <f aca="false">DATE(LEFT(Raw!I149,4),MID(Raw!I149,6,2),MID(Raw!I149,9,2))</f>
        <v>45803</v>
      </c>
      <c r="N149" s="31" t="n">
        <f aca="false">DATE(LEFT(Raw!J149,4),MID(Raw!J149,6,2),MID(Raw!J149,9,2))+TIME(MID(Raw!J149,12,2),MID(Raw!J149,15,2),MID(Raw!J149,18,2))</f>
        <v>45796.7916666667</v>
      </c>
      <c r="O149" s="31" t="n">
        <f aca="false">DATE(LEFT(Raw!K149,4),MID(Raw!K149,6,2),MID(Raw!K149,9,2))+TIME(MID(Raw!K149,12,2),MID(Raw!K149,15,2),MID(Raw!K149,18,2))</f>
        <v>45805.1</v>
      </c>
      <c r="P149" s="32" t="n">
        <f aca="false">L149-K149</f>
        <v>4</v>
      </c>
      <c r="Q149" s="32" t="n">
        <f aca="false">M149-L149</f>
        <v>6</v>
      </c>
      <c r="R149" s="32" t="n">
        <f aca="false">O149-N149</f>
        <v>8.30833333333333</v>
      </c>
      <c r="S149" s="32" t="n">
        <f aca="false">Raw!L149</f>
        <v>2.1</v>
      </c>
      <c r="T149" s="32" t="n">
        <f aca="false">O149-M149</f>
        <v>2.1</v>
      </c>
      <c r="U149" s="0" t="str">
        <f aca="false">IF(ABS(T149-S149)&lt;0.01,"OK","MISMATCH")</f>
        <v>OK</v>
      </c>
      <c r="V149" s="33" t="n">
        <f aca="false">Raw!M149</f>
        <v>1</v>
      </c>
      <c r="W149" s="0" t="str">
        <f aca="false">IF((S149&gt;0)=(V149=1),"OK","MISMATCH")</f>
        <v>OK</v>
      </c>
      <c r="X149" s="0" t="str">
        <f aca="false">_xlfn.IFS(S149&lt;=0,"Early/On time",S149&lt;=2,"Minor (up to 2 days)",S149&lt;=5,"Moderate (2-5 days)",TRUE(),"Severe (over 5 days)")</f>
        <v>Moderate (2-5 days)</v>
      </c>
      <c r="Y149" s="0" t="str">
        <f aca="false">YEAR(K149)&amp;"-"&amp;TEXT(MONTH(K149),"00")</f>
        <v>2025-05</v>
      </c>
      <c r="Z149" s="0" t="str">
        <f aca="false">C149&amp;" → "&amp;D149</f>
        <v>Gujarat → Surat</v>
      </c>
      <c r="AA149" s="0" t="str">
        <f aca="false">Raw!Q149</f>
        <v>Delhivery</v>
      </c>
      <c r="AB149" s="0" t="str">
        <f aca="false">Raw!R149</f>
        <v>No</v>
      </c>
      <c r="AC149" s="0" t="str">
        <f aca="false">Raw!S149</f>
        <v>Returned</v>
      </c>
      <c r="AD149" s="29" t="n">
        <f aca="false">Raw!N149</f>
        <v>1798.49</v>
      </c>
      <c r="AE149" s="29" t="n">
        <f aca="false">Raw!O149</f>
        <v>1593.37</v>
      </c>
      <c r="AF149" s="29" t="n">
        <f aca="false">Raw!P149</f>
        <v>1486.63</v>
      </c>
      <c r="AG149" s="29" t="n">
        <f aca="false">AD149/J149</f>
        <v>541.713855421687</v>
      </c>
    </row>
    <row r="150" customFormat="false" ht="15" hidden="false" customHeight="false" outlineLevel="0" collapsed="false">
      <c r="A150" s="0" t="str">
        <f aca="false">Raw!A150</f>
        <v>SHP0149</v>
      </c>
      <c r="B150" s="0" t="str">
        <f aca="false">Raw!B150</f>
        <v>Outbound</v>
      </c>
      <c r="C150" s="0" t="str">
        <f aca="false">Raw!C150</f>
        <v>Surat</v>
      </c>
      <c r="D150" s="0" t="str">
        <f aca="false">Raw!D150</f>
        <v>Jaipur</v>
      </c>
      <c r="E150" s="0" t="str">
        <f aca="false">IFERROR(INDEX(Location_Map!$B$2:$B$15,MATCH(C150,Location_Map!$A$2:$A$15,0)),"UNMAPPED")</f>
        <v>Gujarat</v>
      </c>
      <c r="F150" s="0" t="str">
        <f aca="false">IFERROR(INDEX(Location_Map!$C$2:$C$15,MATCH(C150,Location_Map!$A$2:$A$15,0)),"UNMAPPED")</f>
        <v>West</v>
      </c>
      <c r="G150" s="0" t="str">
        <f aca="false">IFERROR(INDEX(Location_Map!$B$2:$B$15,MATCH(D150,Location_Map!$A$2:$A$15,0)),"UNMAPPED")</f>
        <v>Rajasthan</v>
      </c>
      <c r="H150" s="0" t="str">
        <f aca="false">IFERROR(INDEX(Location_Map!$C$2:$C$15,MATCH(D150,Location_Map!$A$2:$A$15,0)),"UNMAPPED")</f>
        <v>North</v>
      </c>
      <c r="I150" s="0" t="str">
        <f aca="false">Raw!E150</f>
        <v>Raw Yarn</v>
      </c>
      <c r="J150" s="28" t="n">
        <f aca="false">Raw!F150</f>
        <v>19.34</v>
      </c>
      <c r="K150" s="30" t="n">
        <f aca="false">DATE(LEFT(Raw!G150,4),MID(Raw!G150,6,2),MID(Raw!G150,9,2))</f>
        <v>45659</v>
      </c>
      <c r="L150" s="30" t="n">
        <f aca="false">DATE(LEFT(Raw!H150,4),MID(Raw!H150,6,2),MID(Raw!H150,9,2))</f>
        <v>45663</v>
      </c>
      <c r="M150" s="30" t="n">
        <f aca="false">DATE(LEFT(Raw!I150,4),MID(Raw!I150,6,2),MID(Raw!I150,9,2))</f>
        <v>45666</v>
      </c>
      <c r="N150" s="31" t="n">
        <f aca="false">DATE(LEFT(Raw!J150,4),MID(Raw!J150,6,2),MID(Raw!J150,9,2))+TIME(MID(Raw!J150,12,2),MID(Raw!J150,15,2),MID(Raw!J150,18,2))</f>
        <v>45663.0833333333</v>
      </c>
      <c r="O150" s="31" t="n">
        <f aca="false">DATE(LEFT(Raw!K150,4),MID(Raw!K150,6,2),MID(Raw!K150,9,2))+TIME(MID(Raw!K150,12,2),MID(Raw!K150,15,2),MID(Raw!K150,18,2))</f>
        <v>45668.2</v>
      </c>
      <c r="P150" s="32" t="n">
        <f aca="false">L150-K150</f>
        <v>4</v>
      </c>
      <c r="Q150" s="32" t="n">
        <f aca="false">M150-L150</f>
        <v>3</v>
      </c>
      <c r="R150" s="32" t="n">
        <f aca="false">O150-N150</f>
        <v>5.11666666666667</v>
      </c>
      <c r="S150" s="32" t="n">
        <f aca="false">Raw!L150</f>
        <v>2.2</v>
      </c>
      <c r="T150" s="32" t="n">
        <f aca="false">O150-M150</f>
        <v>2.2</v>
      </c>
      <c r="U150" s="0" t="str">
        <f aca="false">IF(ABS(T150-S150)&lt;0.01,"OK","MISMATCH")</f>
        <v>OK</v>
      </c>
      <c r="V150" s="33" t="n">
        <f aca="false">Raw!M150</f>
        <v>1</v>
      </c>
      <c r="W150" s="0" t="str">
        <f aca="false">IF((S150&gt;0)=(V150=1),"OK","MISMATCH")</f>
        <v>OK</v>
      </c>
      <c r="X150" s="0" t="str">
        <f aca="false">_xlfn.IFS(S150&lt;=0,"Early/On time",S150&lt;=2,"Minor (up to 2 days)",S150&lt;=5,"Moderate (2-5 days)",TRUE(),"Severe (over 5 days)")</f>
        <v>Moderate (2-5 days)</v>
      </c>
      <c r="Y150" s="0" t="str">
        <f aca="false">YEAR(K150)&amp;"-"&amp;TEXT(MONTH(K150),"00")</f>
        <v>2025-01</v>
      </c>
      <c r="Z150" s="0" t="str">
        <f aca="false">C150&amp;" → "&amp;D150</f>
        <v>Surat → Jaipur</v>
      </c>
      <c r="AA150" s="0" t="str">
        <f aca="false">Raw!Q150</f>
        <v>VRL Cargo</v>
      </c>
      <c r="AB150" s="0" t="str">
        <f aca="false">Raw!R150</f>
        <v>No</v>
      </c>
      <c r="AC150" s="0" t="str">
        <f aca="false">Raw!S150</f>
        <v>Returned</v>
      </c>
      <c r="AD150" s="29" t="n">
        <f aca="false">Raw!N150</f>
        <v>8977.05</v>
      </c>
      <c r="AE150" s="29" t="n">
        <f aca="false">Raw!O150</f>
        <v>3667.46</v>
      </c>
      <c r="AF150" s="29" t="n">
        <f aca="false">Raw!P150</f>
        <v>639.65</v>
      </c>
      <c r="AG150" s="29" t="n">
        <f aca="false">AD150/J150</f>
        <v>464.170113753878</v>
      </c>
    </row>
    <row r="151" customFormat="false" ht="15" hidden="false" customHeight="false" outlineLevel="0" collapsed="false">
      <c r="A151" s="0" t="str">
        <f aca="false">Raw!A151</f>
        <v>SHP0150</v>
      </c>
      <c r="B151" s="0" t="str">
        <f aca="false">Raw!B151</f>
        <v>Inbound</v>
      </c>
      <c r="C151" s="0" t="str">
        <f aca="false">Raw!C151</f>
        <v>Punjab</v>
      </c>
      <c r="D151" s="0" t="str">
        <f aca="false">Raw!D151</f>
        <v>Surat</v>
      </c>
      <c r="E151" s="0" t="str">
        <f aca="false">IFERROR(INDEX(Location_Map!$B$2:$B$15,MATCH(C151,Location_Map!$A$2:$A$15,0)),"UNMAPPED")</f>
        <v>Punjab</v>
      </c>
      <c r="F151" s="0" t="str">
        <f aca="false">IFERROR(INDEX(Location_Map!$C$2:$C$15,MATCH(C151,Location_Map!$A$2:$A$15,0)),"UNMAPPED")</f>
        <v>North</v>
      </c>
      <c r="G151" s="0" t="str">
        <f aca="false">IFERROR(INDEX(Location_Map!$B$2:$B$15,MATCH(D151,Location_Map!$A$2:$A$15,0)),"UNMAPPED")</f>
        <v>Gujarat</v>
      </c>
      <c r="H151" s="0" t="str">
        <f aca="false">IFERROR(INDEX(Location_Map!$C$2:$C$15,MATCH(D151,Location_Map!$A$2:$A$15,0)),"UNMAPPED")</f>
        <v>West</v>
      </c>
      <c r="I151" s="0" t="str">
        <f aca="false">Raw!E151</f>
        <v>Semi-Processed Yarn</v>
      </c>
      <c r="J151" s="28" t="n">
        <f aca="false">Raw!F151</f>
        <v>1.57</v>
      </c>
      <c r="K151" s="30" t="n">
        <f aca="false">DATE(LEFT(Raw!G151,4),MID(Raw!G151,6,2),MID(Raw!G151,9,2))</f>
        <v>45750</v>
      </c>
      <c r="L151" s="30" t="n">
        <f aca="false">DATE(LEFT(Raw!H151,4),MID(Raw!H151,6,2),MID(Raw!H151,9,2))</f>
        <v>45753</v>
      </c>
      <c r="M151" s="30" t="n">
        <f aca="false">DATE(LEFT(Raw!I151,4),MID(Raw!I151,6,2),MID(Raw!I151,9,2))</f>
        <v>45756</v>
      </c>
      <c r="N151" s="31" t="n">
        <f aca="false">DATE(LEFT(Raw!J151,4),MID(Raw!J151,6,2),MID(Raw!J151,9,2))+TIME(MID(Raw!J151,12,2),MID(Raw!J151,15,2),MID(Raw!J151,18,2))</f>
        <v>45753.25</v>
      </c>
      <c r="O151" s="31" t="n">
        <f aca="false">DATE(LEFT(Raw!K151,4),MID(Raw!K151,6,2),MID(Raw!K151,9,2))+TIME(MID(Raw!K151,12,2),MID(Raw!K151,15,2),MID(Raw!K151,18,2))</f>
        <v>45759.2</v>
      </c>
      <c r="P151" s="32" t="n">
        <f aca="false">L151-K151</f>
        <v>3</v>
      </c>
      <c r="Q151" s="32" t="n">
        <f aca="false">M151-L151</f>
        <v>3</v>
      </c>
      <c r="R151" s="32" t="n">
        <f aca="false">O151-N151</f>
        <v>5.95</v>
      </c>
      <c r="S151" s="32" t="n">
        <f aca="false">Raw!L151</f>
        <v>3.2</v>
      </c>
      <c r="T151" s="32" t="n">
        <f aca="false">O151-M151</f>
        <v>3.2</v>
      </c>
      <c r="U151" s="0" t="str">
        <f aca="false">IF(ABS(T151-S151)&lt;0.01,"OK","MISMATCH")</f>
        <v>OK</v>
      </c>
      <c r="V151" s="33" t="n">
        <f aca="false">Raw!M151</f>
        <v>1</v>
      </c>
      <c r="W151" s="0" t="str">
        <f aca="false">IF((S151&gt;0)=(V151=1),"OK","MISMATCH")</f>
        <v>OK</v>
      </c>
      <c r="X151" s="0" t="str">
        <f aca="false">_xlfn.IFS(S151&lt;=0,"Early/On time",S151&lt;=2,"Minor (up to 2 days)",S151&lt;=5,"Moderate (2-5 days)",TRUE(),"Severe (over 5 days)")</f>
        <v>Moderate (2-5 days)</v>
      </c>
      <c r="Y151" s="0" t="str">
        <f aca="false">YEAR(K151)&amp;"-"&amp;TEXT(MONTH(K151),"00")</f>
        <v>2025-04</v>
      </c>
      <c r="Z151" s="0" t="str">
        <f aca="false">C151&amp;" → "&amp;D151</f>
        <v>Punjab → Surat</v>
      </c>
      <c r="AA151" s="0" t="str">
        <f aca="false">Raw!Q151</f>
        <v>TCI Express</v>
      </c>
      <c r="AB151" s="0" t="str">
        <f aca="false">Raw!R151</f>
        <v>Yes</v>
      </c>
      <c r="AC151" s="0" t="str">
        <f aca="false">Raw!S151</f>
        <v>Normal</v>
      </c>
      <c r="AD151" s="29" t="n">
        <f aca="false">Raw!N151</f>
        <v>2412.42</v>
      </c>
      <c r="AE151" s="29" t="n">
        <f aca="false">Raw!O151</f>
        <v>1375.6</v>
      </c>
      <c r="AF151" s="29" t="n">
        <f aca="false">Raw!P151</f>
        <v>1172.6</v>
      </c>
      <c r="AG151" s="29" t="n">
        <f aca="false">AD151/J151</f>
        <v>1536.57324840764</v>
      </c>
    </row>
    <row r="152" customFormat="false" ht="15" hidden="false" customHeight="false" outlineLevel="0" collapsed="false">
      <c r="A152" s="0" t="str">
        <f aca="false">Raw!A152</f>
        <v>SHP0151</v>
      </c>
      <c r="B152" s="0" t="str">
        <f aca="false">Raw!B152</f>
        <v>Outbound</v>
      </c>
      <c r="C152" s="0" t="str">
        <f aca="false">Raw!C152</f>
        <v>Surat</v>
      </c>
      <c r="D152" s="0" t="str">
        <f aca="false">Raw!D152</f>
        <v>Gujarat</v>
      </c>
      <c r="E152" s="0" t="str">
        <f aca="false">IFERROR(INDEX(Location_Map!$B$2:$B$15,MATCH(C152,Location_Map!$A$2:$A$15,0)),"UNMAPPED")</f>
        <v>Gujarat</v>
      </c>
      <c r="F152" s="0" t="str">
        <f aca="false">IFERROR(INDEX(Location_Map!$C$2:$C$15,MATCH(C152,Location_Map!$A$2:$A$15,0)),"UNMAPPED")</f>
        <v>West</v>
      </c>
      <c r="G152" s="0" t="str">
        <f aca="false">IFERROR(INDEX(Location_Map!$B$2:$B$15,MATCH(D152,Location_Map!$A$2:$A$15,0)),"UNMAPPED")</f>
        <v>Gujarat</v>
      </c>
      <c r="H152" s="0" t="str">
        <f aca="false">IFERROR(INDEX(Location_Map!$C$2:$C$15,MATCH(D152,Location_Map!$A$2:$A$15,0)),"UNMAPPED")</f>
        <v>West</v>
      </c>
      <c r="I152" s="0" t="str">
        <f aca="false">Raw!E152</f>
        <v>Finished Yarn</v>
      </c>
      <c r="J152" s="28" t="n">
        <f aca="false">Raw!F152</f>
        <v>9.43</v>
      </c>
      <c r="K152" s="30" t="n">
        <f aca="false">DATE(LEFT(Raw!G152,4),MID(Raw!G152,6,2),MID(Raw!G152,9,2))</f>
        <v>45918</v>
      </c>
      <c r="L152" s="30" t="n">
        <f aca="false">DATE(LEFT(Raw!H152,4),MID(Raw!H152,6,2),MID(Raw!H152,9,2))</f>
        <v>45919</v>
      </c>
      <c r="M152" s="30" t="n">
        <f aca="false">DATE(LEFT(Raw!I152,4),MID(Raw!I152,6,2),MID(Raw!I152,9,2))</f>
        <v>45922</v>
      </c>
      <c r="N152" s="31" t="n">
        <f aca="false">DATE(LEFT(Raw!J152,4),MID(Raw!J152,6,2),MID(Raw!J152,9,2))+TIME(MID(Raw!J152,12,2),MID(Raw!J152,15,2),MID(Raw!J152,18,2))</f>
        <v>45918.8333333333</v>
      </c>
      <c r="O152" s="31" t="n">
        <f aca="false">DATE(LEFT(Raw!K152,4),MID(Raw!K152,6,2),MID(Raw!K152,9,2))+TIME(MID(Raw!K152,12,2),MID(Raw!K152,15,2),MID(Raw!K152,18,2))</f>
        <v>45923.7</v>
      </c>
      <c r="P152" s="32" t="n">
        <f aca="false">L152-K152</f>
        <v>1</v>
      </c>
      <c r="Q152" s="32" t="n">
        <f aca="false">M152-L152</f>
        <v>3</v>
      </c>
      <c r="R152" s="32" t="n">
        <f aca="false">O152-N152</f>
        <v>4.86666666666667</v>
      </c>
      <c r="S152" s="32" t="n">
        <f aca="false">Raw!L152</f>
        <v>1.7</v>
      </c>
      <c r="T152" s="32" t="n">
        <f aca="false">O152-M152</f>
        <v>1.7</v>
      </c>
      <c r="U152" s="0" t="str">
        <f aca="false">IF(ABS(T152-S152)&lt;0.01,"OK","MISMATCH")</f>
        <v>OK</v>
      </c>
      <c r="V152" s="33" t="n">
        <f aca="false">Raw!M152</f>
        <v>1</v>
      </c>
      <c r="W152" s="0" t="str">
        <f aca="false">IF((S152&gt;0)=(V152=1),"OK","MISMATCH")</f>
        <v>OK</v>
      </c>
      <c r="X152" s="0" t="str">
        <f aca="false">_xlfn.IFS(S152&lt;=0,"Early/On time",S152&lt;=2,"Minor (up to 2 days)",S152&lt;=5,"Moderate (2-5 days)",TRUE(),"Severe (over 5 days)")</f>
        <v>Minor (up to 2 days)</v>
      </c>
      <c r="Y152" s="0" t="str">
        <f aca="false">YEAR(K152)&amp;"-"&amp;TEXT(MONTH(K152),"00")</f>
        <v>2025-09</v>
      </c>
      <c r="Z152" s="0" t="str">
        <f aca="false">C152&amp;" → "&amp;D152</f>
        <v>Surat → Gujarat</v>
      </c>
      <c r="AA152" s="0" t="str">
        <f aca="false">Raw!Q152</f>
        <v>VRL Cargo</v>
      </c>
      <c r="AB152" s="0" t="str">
        <f aca="false">Raw!R152</f>
        <v>No</v>
      </c>
      <c r="AC152" s="0" t="str">
        <f aca="false">Raw!S152</f>
        <v>Returned</v>
      </c>
      <c r="AD152" s="29" t="n">
        <f aca="false">Raw!N152</f>
        <v>6525.6</v>
      </c>
      <c r="AE152" s="29" t="n">
        <f aca="false">Raw!O152</f>
        <v>3282.44</v>
      </c>
      <c r="AF152" s="29" t="n">
        <f aca="false">Raw!P152</f>
        <v>530.39</v>
      </c>
      <c r="AG152" s="29" t="n">
        <f aca="false">AD152/J152</f>
        <v>692.004241781548</v>
      </c>
    </row>
    <row r="153" customFormat="false" ht="15" hidden="false" customHeight="false" outlineLevel="0" collapsed="false">
      <c r="A153" s="0" t="str">
        <f aca="false">Raw!A153</f>
        <v>SHP0152</v>
      </c>
      <c r="B153" s="0" t="str">
        <f aca="false">Raw!B153</f>
        <v>Inbound</v>
      </c>
      <c r="C153" s="0" t="str">
        <f aca="false">Raw!C153</f>
        <v>Rajasthan</v>
      </c>
      <c r="D153" s="0" t="str">
        <f aca="false">Raw!D153</f>
        <v>Surat</v>
      </c>
      <c r="E153" s="0" t="str">
        <f aca="false">IFERROR(INDEX(Location_Map!$B$2:$B$15,MATCH(C153,Location_Map!$A$2:$A$15,0)),"UNMAPPED")</f>
        <v>Rajasthan</v>
      </c>
      <c r="F153" s="0" t="str">
        <f aca="false">IFERROR(INDEX(Location_Map!$C$2:$C$15,MATCH(C153,Location_Map!$A$2:$A$15,0)),"UNMAPPED")</f>
        <v>North</v>
      </c>
      <c r="G153" s="0" t="str">
        <f aca="false">IFERROR(INDEX(Location_Map!$B$2:$B$15,MATCH(D153,Location_Map!$A$2:$A$15,0)),"UNMAPPED")</f>
        <v>Gujarat</v>
      </c>
      <c r="H153" s="0" t="str">
        <f aca="false">IFERROR(INDEX(Location_Map!$C$2:$C$15,MATCH(D153,Location_Map!$A$2:$A$15,0)),"UNMAPPED")</f>
        <v>West</v>
      </c>
      <c r="I153" s="0" t="str">
        <f aca="false">Raw!E153</f>
        <v>Raw Yarn</v>
      </c>
      <c r="J153" s="28" t="n">
        <f aca="false">Raw!F153</f>
        <v>18.69</v>
      </c>
      <c r="K153" s="30" t="n">
        <f aca="false">DATE(LEFT(Raw!G153,4),MID(Raw!G153,6,2),MID(Raw!G153,9,2))</f>
        <v>45864</v>
      </c>
      <c r="L153" s="30" t="n">
        <f aca="false">DATE(LEFT(Raw!H153,4),MID(Raw!H153,6,2),MID(Raw!H153,9,2))</f>
        <v>45867</v>
      </c>
      <c r="M153" s="30" t="n">
        <f aca="false">DATE(LEFT(Raw!I153,4),MID(Raw!I153,6,2),MID(Raw!I153,9,2))</f>
        <v>45871</v>
      </c>
      <c r="N153" s="31" t="n">
        <f aca="false">DATE(LEFT(Raw!J153,4),MID(Raw!J153,6,2),MID(Raw!J153,9,2))+TIME(MID(Raw!J153,12,2),MID(Raw!J153,15,2),MID(Raw!J153,18,2))</f>
        <v>45867.375</v>
      </c>
      <c r="O153" s="31" t="n">
        <f aca="false">DATE(LEFT(Raw!K153,4),MID(Raw!K153,6,2),MID(Raw!K153,9,2))+TIME(MID(Raw!K153,12,2),MID(Raw!K153,15,2),MID(Raw!K153,18,2))</f>
        <v>45872.9</v>
      </c>
      <c r="P153" s="32" t="n">
        <f aca="false">L153-K153</f>
        <v>3</v>
      </c>
      <c r="Q153" s="32" t="n">
        <f aca="false">M153-L153</f>
        <v>4</v>
      </c>
      <c r="R153" s="32" t="n">
        <f aca="false">O153-N153</f>
        <v>5.525</v>
      </c>
      <c r="S153" s="32" t="n">
        <f aca="false">Raw!L153</f>
        <v>1.9</v>
      </c>
      <c r="T153" s="32" t="n">
        <f aca="false">O153-M153</f>
        <v>1.9</v>
      </c>
      <c r="U153" s="0" t="str">
        <f aca="false">IF(ABS(T153-S153)&lt;0.01,"OK","MISMATCH")</f>
        <v>OK</v>
      </c>
      <c r="V153" s="33" t="n">
        <f aca="false">Raw!M153</f>
        <v>1</v>
      </c>
      <c r="W153" s="0" t="str">
        <f aca="false">IF((S153&gt;0)=(V153=1),"OK","MISMATCH")</f>
        <v>OK</v>
      </c>
      <c r="X153" s="0" t="str">
        <f aca="false">_xlfn.IFS(S153&lt;=0,"Early/On time",S153&lt;=2,"Minor (up to 2 days)",S153&lt;=5,"Moderate (2-5 days)",TRUE(),"Severe (over 5 days)")</f>
        <v>Minor (up to 2 days)</v>
      </c>
      <c r="Y153" s="0" t="str">
        <f aca="false">YEAR(K153)&amp;"-"&amp;TEXT(MONTH(K153),"00")</f>
        <v>2025-07</v>
      </c>
      <c r="Z153" s="0" t="str">
        <f aca="false">C153&amp;" → "&amp;D153</f>
        <v>Rajasthan → Surat</v>
      </c>
      <c r="AA153" s="0" t="str">
        <f aca="false">Raw!Q153</f>
        <v>VRL Cargo</v>
      </c>
      <c r="AB153" s="0" t="str">
        <f aca="false">Raw!R153</f>
        <v>Yes</v>
      </c>
      <c r="AC153" s="0" t="str">
        <f aca="false">Raw!S153</f>
        <v>Damaged</v>
      </c>
      <c r="AD153" s="29" t="n">
        <f aca="false">Raw!N153</f>
        <v>9070.74</v>
      </c>
      <c r="AE153" s="29" t="n">
        <f aca="false">Raw!O153</f>
        <v>3604.93</v>
      </c>
      <c r="AF153" s="29" t="n">
        <f aca="false">Raw!P153</f>
        <v>606.59</v>
      </c>
      <c r="AG153" s="29" t="n">
        <f aca="false">AD153/J153</f>
        <v>485.325842696629</v>
      </c>
    </row>
    <row r="154" customFormat="false" ht="15" hidden="false" customHeight="false" outlineLevel="0" collapsed="false">
      <c r="A154" s="0" t="str">
        <f aca="false">Raw!A154</f>
        <v>SHP0153</v>
      </c>
      <c r="B154" s="0" t="str">
        <f aca="false">Raw!B154</f>
        <v>Outbound</v>
      </c>
      <c r="C154" s="0" t="str">
        <f aca="false">Raw!C154</f>
        <v>Surat</v>
      </c>
      <c r="D154" s="0" t="str">
        <f aca="false">Raw!D154</f>
        <v>Assam</v>
      </c>
      <c r="E154" s="0" t="str">
        <f aca="false">IFERROR(INDEX(Location_Map!$B$2:$B$15,MATCH(C154,Location_Map!$A$2:$A$15,0)),"UNMAPPED")</f>
        <v>Gujarat</v>
      </c>
      <c r="F154" s="0" t="str">
        <f aca="false">IFERROR(INDEX(Location_Map!$C$2:$C$15,MATCH(C154,Location_Map!$A$2:$A$15,0)),"UNMAPPED")</f>
        <v>West</v>
      </c>
      <c r="G154" s="0" t="str">
        <f aca="false">IFERROR(INDEX(Location_Map!$B$2:$B$15,MATCH(D154,Location_Map!$A$2:$A$15,0)),"UNMAPPED")</f>
        <v>Assam</v>
      </c>
      <c r="H154" s="0" t="str">
        <f aca="false">IFERROR(INDEX(Location_Map!$C$2:$C$15,MATCH(D154,Location_Map!$A$2:$A$15,0)),"UNMAPPED")</f>
        <v>North-East</v>
      </c>
      <c r="I154" s="0" t="str">
        <f aca="false">Raw!E154</f>
        <v>Semi-Processed Yarn</v>
      </c>
      <c r="J154" s="28" t="n">
        <f aca="false">Raw!F154</f>
        <v>13.5</v>
      </c>
      <c r="K154" s="30" t="n">
        <f aca="false">DATE(LEFT(Raw!G154,4),MID(Raw!G154,6,2),MID(Raw!G154,9,2))</f>
        <v>45957</v>
      </c>
      <c r="L154" s="30" t="n">
        <f aca="false">DATE(LEFT(Raw!H154,4),MID(Raw!H154,6,2),MID(Raw!H154,9,2))</f>
        <v>45958</v>
      </c>
      <c r="M154" s="30" t="n">
        <f aca="false">DATE(LEFT(Raw!I154,4),MID(Raw!I154,6,2),MID(Raw!I154,9,2))</f>
        <v>45960</v>
      </c>
      <c r="N154" s="31" t="n">
        <f aca="false">DATE(LEFT(Raw!J154,4),MID(Raw!J154,6,2),MID(Raw!J154,9,2))+TIME(MID(Raw!J154,12,2),MID(Raw!J154,15,2),MID(Raw!J154,18,2))</f>
        <v>45958.375</v>
      </c>
      <c r="O154" s="31" t="n">
        <f aca="false">DATE(LEFT(Raw!K154,4),MID(Raw!K154,6,2),MID(Raw!K154,9,2))+TIME(MID(Raw!K154,12,2),MID(Raw!K154,15,2),MID(Raw!K154,18,2))</f>
        <v>45961</v>
      </c>
      <c r="P154" s="32" t="n">
        <f aca="false">L154-K154</f>
        <v>1</v>
      </c>
      <c r="Q154" s="32" t="n">
        <f aca="false">M154-L154</f>
        <v>2</v>
      </c>
      <c r="R154" s="32" t="n">
        <f aca="false">O154-N154</f>
        <v>2.625</v>
      </c>
      <c r="S154" s="32" t="n">
        <f aca="false">Raw!L154</f>
        <v>1</v>
      </c>
      <c r="T154" s="32" t="n">
        <f aca="false">O154-M154</f>
        <v>1</v>
      </c>
      <c r="U154" s="0" t="str">
        <f aca="false">IF(ABS(T154-S154)&lt;0.01,"OK","MISMATCH")</f>
        <v>OK</v>
      </c>
      <c r="V154" s="33" t="n">
        <f aca="false">Raw!M154</f>
        <v>1</v>
      </c>
      <c r="W154" s="0" t="str">
        <f aca="false">IF((S154&gt;0)=(V154=1),"OK","MISMATCH")</f>
        <v>OK</v>
      </c>
      <c r="X154" s="0" t="str">
        <f aca="false">_xlfn.IFS(S154&lt;=0,"Early/On time",S154&lt;=2,"Minor (up to 2 days)",S154&lt;=5,"Moderate (2-5 days)",TRUE(),"Severe (over 5 days)")</f>
        <v>Minor (up to 2 days)</v>
      </c>
      <c r="Y154" s="0" t="str">
        <f aca="false">YEAR(K154)&amp;"-"&amp;TEXT(MONTH(K154),"00")</f>
        <v>2025-10</v>
      </c>
      <c r="Z154" s="0" t="str">
        <f aca="false">C154&amp;" → "&amp;D154</f>
        <v>Surat → Assam</v>
      </c>
      <c r="AA154" s="0" t="str">
        <f aca="false">Raw!Q154</f>
        <v>BlueDart</v>
      </c>
      <c r="AB154" s="0" t="str">
        <f aca="false">Raw!R154</f>
        <v>No</v>
      </c>
      <c r="AC154" s="0" t="str">
        <f aca="false">Raw!S154</f>
        <v>Damaged</v>
      </c>
      <c r="AD154" s="29" t="n">
        <f aca="false">Raw!N154</f>
        <v>9467.11</v>
      </c>
      <c r="AE154" s="29" t="n">
        <f aca="false">Raw!O154</f>
        <v>2616.56</v>
      </c>
      <c r="AF154" s="29" t="n">
        <f aca="false">Raw!P154</f>
        <v>827.03</v>
      </c>
      <c r="AG154" s="29" t="n">
        <f aca="false">AD154/J154</f>
        <v>701.267407407407</v>
      </c>
    </row>
    <row r="155" customFormat="false" ht="15" hidden="false" customHeight="false" outlineLevel="0" collapsed="false">
      <c r="A155" s="0" t="str">
        <f aca="false">Raw!A155</f>
        <v>SHP0154</v>
      </c>
      <c r="B155" s="0" t="str">
        <f aca="false">Raw!B155</f>
        <v>Outbound</v>
      </c>
      <c r="C155" s="0" t="str">
        <f aca="false">Raw!C155</f>
        <v>Surat</v>
      </c>
      <c r="D155" s="0" t="str">
        <f aca="false">Raw!D155</f>
        <v>Jaipur</v>
      </c>
      <c r="E155" s="0" t="str">
        <f aca="false">IFERROR(INDEX(Location_Map!$B$2:$B$15,MATCH(C155,Location_Map!$A$2:$A$15,0)),"UNMAPPED")</f>
        <v>Gujarat</v>
      </c>
      <c r="F155" s="0" t="str">
        <f aca="false">IFERROR(INDEX(Location_Map!$C$2:$C$15,MATCH(C155,Location_Map!$A$2:$A$15,0)),"UNMAPPED")</f>
        <v>West</v>
      </c>
      <c r="G155" s="0" t="str">
        <f aca="false">IFERROR(INDEX(Location_Map!$B$2:$B$15,MATCH(D155,Location_Map!$A$2:$A$15,0)),"UNMAPPED")</f>
        <v>Rajasthan</v>
      </c>
      <c r="H155" s="0" t="str">
        <f aca="false">IFERROR(INDEX(Location_Map!$C$2:$C$15,MATCH(D155,Location_Map!$A$2:$A$15,0)),"UNMAPPED")</f>
        <v>North</v>
      </c>
      <c r="I155" s="0" t="str">
        <f aca="false">Raw!E155</f>
        <v>Raw Yarn</v>
      </c>
      <c r="J155" s="28" t="n">
        <f aca="false">Raw!F155</f>
        <v>13.68</v>
      </c>
      <c r="K155" s="30" t="n">
        <f aca="false">DATE(LEFT(Raw!G155,4),MID(Raw!G155,6,2),MID(Raw!G155,9,2))</f>
        <v>45900</v>
      </c>
      <c r="L155" s="30" t="n">
        <f aca="false">DATE(LEFT(Raw!H155,4),MID(Raw!H155,6,2),MID(Raw!H155,9,2))</f>
        <v>45904</v>
      </c>
      <c r="M155" s="30" t="n">
        <f aca="false">DATE(LEFT(Raw!I155,4),MID(Raw!I155,6,2),MID(Raw!I155,9,2))</f>
        <v>45906</v>
      </c>
      <c r="N155" s="31" t="n">
        <f aca="false">DATE(LEFT(Raw!J155,4),MID(Raw!J155,6,2),MID(Raw!J155,9,2))+TIME(MID(Raw!J155,12,2),MID(Raw!J155,15,2),MID(Raw!J155,18,2))</f>
        <v>45904.0416666667</v>
      </c>
      <c r="O155" s="31" t="n">
        <f aca="false">DATE(LEFT(Raw!K155,4),MID(Raw!K155,6,2),MID(Raw!K155,9,2))+TIME(MID(Raw!K155,12,2),MID(Raw!K155,15,2),MID(Raw!K155,18,2))</f>
        <v>45908.6</v>
      </c>
      <c r="P155" s="32" t="n">
        <f aca="false">L155-K155</f>
        <v>4</v>
      </c>
      <c r="Q155" s="32" t="n">
        <f aca="false">M155-L155</f>
        <v>2</v>
      </c>
      <c r="R155" s="32" t="n">
        <f aca="false">O155-N155</f>
        <v>4.55833333333333</v>
      </c>
      <c r="S155" s="32" t="n">
        <f aca="false">Raw!L155</f>
        <v>2.6</v>
      </c>
      <c r="T155" s="32" t="n">
        <f aca="false">O155-M155</f>
        <v>2.6</v>
      </c>
      <c r="U155" s="0" t="str">
        <f aca="false">IF(ABS(T155-S155)&lt;0.01,"OK","MISMATCH")</f>
        <v>OK</v>
      </c>
      <c r="V155" s="33" t="n">
        <f aca="false">Raw!M155</f>
        <v>1</v>
      </c>
      <c r="W155" s="0" t="str">
        <f aca="false">IF((S155&gt;0)=(V155=1),"OK","MISMATCH")</f>
        <v>OK</v>
      </c>
      <c r="X155" s="0" t="str">
        <f aca="false">_xlfn.IFS(S155&lt;=0,"Early/On time",S155&lt;=2,"Minor (up to 2 days)",S155&lt;=5,"Moderate (2-5 days)",TRUE(),"Severe (over 5 days)")</f>
        <v>Moderate (2-5 days)</v>
      </c>
      <c r="Y155" s="0" t="str">
        <f aca="false">YEAR(K155)&amp;"-"&amp;TEXT(MONTH(K155),"00")</f>
        <v>2025-08</v>
      </c>
      <c r="Z155" s="0" t="str">
        <f aca="false">C155&amp;" → "&amp;D155</f>
        <v>Surat → Jaipur</v>
      </c>
      <c r="AA155" s="0" t="str">
        <f aca="false">Raw!Q155</f>
        <v>TCI Express</v>
      </c>
      <c r="AB155" s="0" t="str">
        <f aca="false">Raw!R155</f>
        <v>Yes</v>
      </c>
      <c r="AC155" s="0" t="str">
        <f aca="false">Raw!S155</f>
        <v>Damaged</v>
      </c>
      <c r="AD155" s="29" t="n">
        <f aca="false">Raw!N155</f>
        <v>7581.1</v>
      </c>
      <c r="AE155" s="29" t="n">
        <f aca="false">Raw!O155</f>
        <v>1480.84</v>
      </c>
      <c r="AF155" s="29" t="n">
        <f aca="false">Raw!P155</f>
        <v>1044.49</v>
      </c>
      <c r="AG155" s="29" t="n">
        <f aca="false">AD155/J155</f>
        <v>554.173976608187</v>
      </c>
    </row>
    <row r="156" customFormat="false" ht="15" hidden="false" customHeight="false" outlineLevel="0" collapsed="false">
      <c r="A156" s="0" t="str">
        <f aca="false">Raw!A156</f>
        <v>SHP0155</v>
      </c>
      <c r="B156" s="0" t="str">
        <f aca="false">Raw!B156</f>
        <v>Inbound</v>
      </c>
      <c r="C156" s="0" t="str">
        <f aca="false">Raw!C156</f>
        <v>Uttar Pradesh</v>
      </c>
      <c r="D156" s="0" t="str">
        <f aca="false">Raw!D156</f>
        <v>Surat</v>
      </c>
      <c r="E156" s="0" t="str">
        <f aca="false">IFERROR(INDEX(Location_Map!$B$2:$B$15,MATCH(C156,Location_Map!$A$2:$A$15,0)),"UNMAPPED")</f>
        <v>Uttar Pradesh</v>
      </c>
      <c r="F156" s="0" t="str">
        <f aca="false">IFERROR(INDEX(Location_Map!$C$2:$C$15,MATCH(C156,Location_Map!$A$2:$A$15,0)),"UNMAPPED")</f>
        <v>North</v>
      </c>
      <c r="G156" s="0" t="str">
        <f aca="false">IFERROR(INDEX(Location_Map!$B$2:$B$15,MATCH(D156,Location_Map!$A$2:$A$15,0)),"UNMAPPED")</f>
        <v>Gujarat</v>
      </c>
      <c r="H156" s="0" t="str">
        <f aca="false">IFERROR(INDEX(Location_Map!$C$2:$C$15,MATCH(D156,Location_Map!$A$2:$A$15,0)),"UNMAPPED")</f>
        <v>West</v>
      </c>
      <c r="I156" s="0" t="str">
        <f aca="false">Raw!E156</f>
        <v>Finished Yarn</v>
      </c>
      <c r="J156" s="28" t="n">
        <f aca="false">Raw!F156</f>
        <v>1.11</v>
      </c>
      <c r="K156" s="30" t="n">
        <f aca="false">DATE(LEFT(Raw!G156,4),MID(Raw!G156,6,2),MID(Raw!G156,9,2))</f>
        <v>45755</v>
      </c>
      <c r="L156" s="30" t="n">
        <f aca="false">DATE(LEFT(Raw!H156,4),MID(Raw!H156,6,2),MID(Raw!H156,9,2))</f>
        <v>45757</v>
      </c>
      <c r="M156" s="30" t="n">
        <f aca="false">DATE(LEFT(Raw!I156,4),MID(Raw!I156,6,2),MID(Raw!I156,9,2))</f>
        <v>45763</v>
      </c>
      <c r="N156" s="31" t="n">
        <f aca="false">DATE(LEFT(Raw!J156,4),MID(Raw!J156,6,2),MID(Raw!J156,9,2))+TIME(MID(Raw!J156,12,2),MID(Raw!J156,15,2),MID(Raw!J156,18,2))</f>
        <v>45756.7916666667</v>
      </c>
      <c r="O156" s="31" t="n">
        <f aca="false">DATE(LEFT(Raw!K156,4),MID(Raw!K156,6,2),MID(Raw!K156,9,2))+TIME(MID(Raw!K156,12,2),MID(Raw!K156,15,2),MID(Raw!K156,18,2))</f>
        <v>45767.6</v>
      </c>
      <c r="P156" s="32" t="n">
        <f aca="false">L156-K156</f>
        <v>2</v>
      </c>
      <c r="Q156" s="32" t="n">
        <f aca="false">M156-L156</f>
        <v>6</v>
      </c>
      <c r="R156" s="32" t="n">
        <f aca="false">O156-N156</f>
        <v>10.8083333333333</v>
      </c>
      <c r="S156" s="32" t="n">
        <f aca="false">Raw!L156</f>
        <v>4.6</v>
      </c>
      <c r="T156" s="32" t="n">
        <f aca="false">O156-M156</f>
        <v>4.6</v>
      </c>
      <c r="U156" s="0" t="str">
        <f aca="false">IF(ABS(T156-S156)&lt;0.01,"OK","MISMATCH")</f>
        <v>OK</v>
      </c>
      <c r="V156" s="33" t="n">
        <f aca="false">Raw!M156</f>
        <v>1</v>
      </c>
      <c r="W156" s="0" t="str">
        <f aca="false">IF((S156&gt;0)=(V156=1),"OK","MISMATCH")</f>
        <v>OK</v>
      </c>
      <c r="X156" s="0" t="str">
        <f aca="false">_xlfn.IFS(S156&lt;=0,"Early/On time",S156&lt;=2,"Minor (up to 2 days)",S156&lt;=5,"Moderate (2-5 days)",TRUE(),"Severe (over 5 days)")</f>
        <v>Moderate (2-5 days)</v>
      </c>
      <c r="Y156" s="0" t="str">
        <f aca="false">YEAR(K156)&amp;"-"&amp;TEXT(MONTH(K156),"00")</f>
        <v>2025-04</v>
      </c>
      <c r="Z156" s="0" t="str">
        <f aca="false">C156&amp;" → "&amp;D156</f>
        <v>Uttar Pradesh → Surat</v>
      </c>
      <c r="AA156" s="0" t="str">
        <f aca="false">Raw!Q156</f>
        <v>VRL Cargo</v>
      </c>
      <c r="AB156" s="0" t="str">
        <f aca="false">Raw!R156</f>
        <v>Yes</v>
      </c>
      <c r="AC156" s="0" t="str">
        <f aca="false">Raw!S156</f>
        <v>Held at warehouse</v>
      </c>
      <c r="AD156" s="29" t="n">
        <f aca="false">Raw!N156</f>
        <v>1380.83</v>
      </c>
      <c r="AE156" s="29" t="n">
        <f aca="false">Raw!O156</f>
        <v>1909.08</v>
      </c>
      <c r="AF156" s="29" t="n">
        <f aca="false">Raw!P156</f>
        <v>573.2</v>
      </c>
      <c r="AG156" s="29" t="n">
        <f aca="false">AD156/J156</f>
        <v>1243.99099099099</v>
      </c>
    </row>
    <row r="157" customFormat="false" ht="15" hidden="false" customHeight="false" outlineLevel="0" collapsed="false">
      <c r="A157" s="0" t="str">
        <f aca="false">Raw!A157</f>
        <v>SHP0156</v>
      </c>
      <c r="B157" s="0" t="str">
        <f aca="false">Raw!B157</f>
        <v>Outbound</v>
      </c>
      <c r="C157" s="0" t="str">
        <f aca="false">Raw!C157</f>
        <v>Surat</v>
      </c>
      <c r="D157" s="0" t="str">
        <f aca="false">Raw!D157</f>
        <v>Karnataka</v>
      </c>
      <c r="E157" s="0" t="str">
        <f aca="false">IFERROR(INDEX(Location_Map!$B$2:$B$15,MATCH(C157,Location_Map!$A$2:$A$15,0)),"UNMAPPED")</f>
        <v>Gujarat</v>
      </c>
      <c r="F157" s="0" t="str">
        <f aca="false">IFERROR(INDEX(Location_Map!$C$2:$C$15,MATCH(C157,Location_Map!$A$2:$A$15,0)),"UNMAPPED")</f>
        <v>West</v>
      </c>
      <c r="G157" s="0" t="str">
        <f aca="false">IFERROR(INDEX(Location_Map!$B$2:$B$15,MATCH(D157,Location_Map!$A$2:$A$15,0)),"UNMAPPED")</f>
        <v>Karnataka</v>
      </c>
      <c r="H157" s="0" t="str">
        <f aca="false">IFERROR(INDEX(Location_Map!$C$2:$C$15,MATCH(D157,Location_Map!$A$2:$A$15,0)),"UNMAPPED")</f>
        <v>South</v>
      </c>
      <c r="I157" s="0" t="str">
        <f aca="false">Raw!E157</f>
        <v>Semi-Processed Yarn</v>
      </c>
      <c r="J157" s="28" t="n">
        <f aca="false">Raw!F157</f>
        <v>12.47</v>
      </c>
      <c r="K157" s="30" t="n">
        <f aca="false">DATE(LEFT(Raw!G157,4),MID(Raw!G157,6,2),MID(Raw!G157,9,2))</f>
        <v>45858</v>
      </c>
      <c r="L157" s="30" t="n">
        <f aca="false">DATE(LEFT(Raw!H157,4),MID(Raw!H157,6,2),MID(Raw!H157,9,2))</f>
        <v>45861</v>
      </c>
      <c r="M157" s="30" t="n">
        <f aca="false">DATE(LEFT(Raw!I157,4),MID(Raw!I157,6,2),MID(Raw!I157,9,2))</f>
        <v>45863</v>
      </c>
      <c r="N157" s="31" t="n">
        <f aca="false">DATE(LEFT(Raw!J157,4),MID(Raw!J157,6,2),MID(Raw!J157,9,2))+TIME(MID(Raw!J157,12,2),MID(Raw!J157,15,2),MID(Raw!J157,18,2))</f>
        <v>45860.875</v>
      </c>
      <c r="O157" s="31" t="n">
        <f aca="false">DATE(LEFT(Raw!K157,4),MID(Raw!K157,6,2),MID(Raw!K157,9,2))+TIME(MID(Raw!K157,12,2),MID(Raw!K157,15,2),MID(Raw!K157,18,2))</f>
        <v>45862</v>
      </c>
      <c r="P157" s="32" t="n">
        <f aca="false">L157-K157</f>
        <v>3</v>
      </c>
      <c r="Q157" s="32" t="n">
        <f aca="false">M157-L157</f>
        <v>2</v>
      </c>
      <c r="R157" s="32" t="n">
        <f aca="false">O157-N157</f>
        <v>1.125</v>
      </c>
      <c r="S157" s="32" t="n">
        <f aca="false">Raw!L157</f>
        <v>-1</v>
      </c>
      <c r="T157" s="32" t="n">
        <f aca="false">O157-M157</f>
        <v>-1</v>
      </c>
      <c r="U157" s="0" t="str">
        <f aca="false">IF(ABS(T157-S157)&lt;0.01,"OK","MISMATCH")</f>
        <v>OK</v>
      </c>
      <c r="V157" s="33" t="n">
        <f aca="false">Raw!M157</f>
        <v>0</v>
      </c>
      <c r="W157" s="0" t="str">
        <f aca="false">IF((S157&gt;0)=(V157=1),"OK","MISMATCH")</f>
        <v>OK</v>
      </c>
      <c r="X157" s="0" t="str">
        <f aca="false">_xlfn.IFS(S157&lt;=0,"Early/On time",S157&lt;=2,"Minor (up to 2 days)",S157&lt;=5,"Moderate (2-5 days)",TRUE(),"Severe (over 5 days)")</f>
        <v>Early/On time</v>
      </c>
      <c r="Y157" s="0" t="str">
        <f aca="false">YEAR(K157)&amp;"-"&amp;TEXT(MONTH(K157),"00")</f>
        <v>2025-07</v>
      </c>
      <c r="Z157" s="0" t="str">
        <f aca="false">C157&amp;" → "&amp;D157</f>
        <v>Surat → Karnataka</v>
      </c>
      <c r="AA157" s="0" t="str">
        <f aca="false">Raw!Q157</f>
        <v>Delhivery</v>
      </c>
      <c r="AB157" s="0" t="str">
        <f aca="false">Raw!R157</f>
        <v>No</v>
      </c>
      <c r="AC157" s="0" t="str">
        <f aca="false">Raw!S157</f>
        <v>Normal</v>
      </c>
      <c r="AD157" s="29" t="n">
        <f aca="false">Raw!N157</f>
        <v>8096.89</v>
      </c>
      <c r="AE157" s="29" t="n">
        <f aca="false">Raw!O157</f>
        <v>4388.67</v>
      </c>
      <c r="AF157" s="29" t="n">
        <f aca="false">Raw!P157</f>
        <v>1414.24</v>
      </c>
      <c r="AG157" s="29" t="n">
        <f aca="false">AD157/J157</f>
        <v>649.309542902967</v>
      </c>
    </row>
    <row r="158" customFormat="false" ht="15" hidden="false" customHeight="false" outlineLevel="0" collapsed="false">
      <c r="A158" s="0" t="str">
        <f aca="false">Raw!A158</f>
        <v>SHP0157</v>
      </c>
      <c r="B158" s="0" t="str">
        <f aca="false">Raw!B158</f>
        <v>Inbound</v>
      </c>
      <c r="C158" s="0" t="str">
        <f aca="false">Raw!C158</f>
        <v>Punjab</v>
      </c>
      <c r="D158" s="0" t="str">
        <f aca="false">Raw!D158</f>
        <v>Surat</v>
      </c>
      <c r="E158" s="0" t="str">
        <f aca="false">IFERROR(INDEX(Location_Map!$B$2:$B$15,MATCH(C158,Location_Map!$A$2:$A$15,0)),"UNMAPPED")</f>
        <v>Punjab</v>
      </c>
      <c r="F158" s="0" t="str">
        <f aca="false">IFERROR(INDEX(Location_Map!$C$2:$C$15,MATCH(C158,Location_Map!$A$2:$A$15,0)),"UNMAPPED")</f>
        <v>North</v>
      </c>
      <c r="G158" s="0" t="str">
        <f aca="false">IFERROR(INDEX(Location_Map!$B$2:$B$15,MATCH(D158,Location_Map!$A$2:$A$15,0)),"UNMAPPED")</f>
        <v>Gujarat</v>
      </c>
      <c r="H158" s="0" t="str">
        <f aca="false">IFERROR(INDEX(Location_Map!$C$2:$C$15,MATCH(D158,Location_Map!$A$2:$A$15,0)),"UNMAPPED")</f>
        <v>West</v>
      </c>
      <c r="I158" s="0" t="str">
        <f aca="false">Raw!E158</f>
        <v>Finished Yarn</v>
      </c>
      <c r="J158" s="28" t="n">
        <f aca="false">Raw!F158</f>
        <v>16.46</v>
      </c>
      <c r="K158" s="30" t="n">
        <f aca="false">DATE(LEFT(Raw!G158,4),MID(Raw!G158,6,2),MID(Raw!G158,9,2))</f>
        <v>45690</v>
      </c>
      <c r="L158" s="30" t="n">
        <f aca="false">DATE(LEFT(Raw!H158,4),MID(Raw!H158,6,2),MID(Raw!H158,9,2))</f>
        <v>45691</v>
      </c>
      <c r="M158" s="30" t="n">
        <f aca="false">DATE(LEFT(Raw!I158,4),MID(Raw!I158,6,2),MID(Raw!I158,9,2))</f>
        <v>45697</v>
      </c>
      <c r="N158" s="31" t="n">
        <f aca="false">DATE(LEFT(Raw!J158,4),MID(Raw!J158,6,2),MID(Raw!J158,9,2))+TIME(MID(Raw!J158,12,2),MID(Raw!J158,15,2),MID(Raw!J158,18,2))</f>
        <v>45691.2083333333</v>
      </c>
      <c r="O158" s="31" t="n">
        <f aca="false">DATE(LEFT(Raw!K158,4),MID(Raw!K158,6,2),MID(Raw!K158,9,2))+TIME(MID(Raw!K158,12,2),MID(Raw!K158,15,2),MID(Raw!K158,18,2))</f>
        <v>45698.6</v>
      </c>
      <c r="P158" s="32" t="n">
        <f aca="false">L158-K158</f>
        <v>1</v>
      </c>
      <c r="Q158" s="32" t="n">
        <f aca="false">M158-L158</f>
        <v>6</v>
      </c>
      <c r="R158" s="32" t="n">
        <f aca="false">O158-N158</f>
        <v>7.39166666666667</v>
      </c>
      <c r="S158" s="32" t="n">
        <f aca="false">Raw!L158</f>
        <v>1.6</v>
      </c>
      <c r="T158" s="32" t="n">
        <f aca="false">O158-M158</f>
        <v>1.6</v>
      </c>
      <c r="U158" s="0" t="str">
        <f aca="false">IF(ABS(T158-S158)&lt;0.01,"OK","MISMATCH")</f>
        <v>OK</v>
      </c>
      <c r="V158" s="33" t="n">
        <f aca="false">Raw!M158</f>
        <v>1</v>
      </c>
      <c r="W158" s="0" t="str">
        <f aca="false">IF((S158&gt;0)=(V158=1),"OK","MISMATCH")</f>
        <v>OK</v>
      </c>
      <c r="X158" s="0" t="str">
        <f aca="false">_xlfn.IFS(S158&lt;=0,"Early/On time",S158&lt;=2,"Minor (up to 2 days)",S158&lt;=5,"Moderate (2-5 days)",TRUE(),"Severe (over 5 days)")</f>
        <v>Minor (up to 2 days)</v>
      </c>
      <c r="Y158" s="0" t="str">
        <f aca="false">YEAR(K158)&amp;"-"&amp;TEXT(MONTH(K158),"00")</f>
        <v>2025-02</v>
      </c>
      <c r="Z158" s="0" t="str">
        <f aca="false">C158&amp;" → "&amp;D158</f>
        <v>Punjab → Surat</v>
      </c>
      <c r="AA158" s="0" t="str">
        <f aca="false">Raw!Q158</f>
        <v>Delhivery</v>
      </c>
      <c r="AB158" s="0" t="str">
        <f aca="false">Raw!R158</f>
        <v>No</v>
      </c>
      <c r="AC158" s="0" t="str">
        <f aca="false">Raw!S158</f>
        <v>Expedited</v>
      </c>
      <c r="AD158" s="29" t="n">
        <f aca="false">Raw!N158</f>
        <v>11047.18</v>
      </c>
      <c r="AE158" s="29" t="n">
        <f aca="false">Raw!O158</f>
        <v>3872.49</v>
      </c>
      <c r="AF158" s="29" t="n">
        <f aca="false">Raw!P158</f>
        <v>1455.52</v>
      </c>
      <c r="AG158" s="29" t="n">
        <f aca="false">AD158/J158</f>
        <v>671.153098420413</v>
      </c>
    </row>
    <row r="159" customFormat="false" ht="15" hidden="false" customHeight="false" outlineLevel="0" collapsed="false">
      <c r="A159" s="0" t="str">
        <f aca="false">Raw!A159</f>
        <v>SHP0158</v>
      </c>
      <c r="B159" s="0" t="str">
        <f aca="false">Raw!B159</f>
        <v>Inbound</v>
      </c>
      <c r="C159" s="0" t="str">
        <f aca="false">Raw!C159</f>
        <v>Rajasthan</v>
      </c>
      <c r="D159" s="0" t="str">
        <f aca="false">Raw!D159</f>
        <v>Surat</v>
      </c>
      <c r="E159" s="0" t="str">
        <f aca="false">IFERROR(INDEX(Location_Map!$B$2:$B$15,MATCH(C159,Location_Map!$A$2:$A$15,0)),"UNMAPPED")</f>
        <v>Rajasthan</v>
      </c>
      <c r="F159" s="0" t="str">
        <f aca="false">IFERROR(INDEX(Location_Map!$C$2:$C$15,MATCH(C159,Location_Map!$A$2:$A$15,0)),"UNMAPPED")</f>
        <v>North</v>
      </c>
      <c r="G159" s="0" t="str">
        <f aca="false">IFERROR(INDEX(Location_Map!$B$2:$B$15,MATCH(D159,Location_Map!$A$2:$A$15,0)),"UNMAPPED")</f>
        <v>Gujarat</v>
      </c>
      <c r="H159" s="0" t="str">
        <f aca="false">IFERROR(INDEX(Location_Map!$C$2:$C$15,MATCH(D159,Location_Map!$A$2:$A$15,0)),"UNMAPPED")</f>
        <v>West</v>
      </c>
      <c r="I159" s="0" t="str">
        <f aca="false">Raw!E159</f>
        <v>Semi-Processed Yarn</v>
      </c>
      <c r="J159" s="28" t="n">
        <f aca="false">Raw!F159</f>
        <v>1.35</v>
      </c>
      <c r="K159" s="30" t="n">
        <f aca="false">DATE(LEFT(Raw!G159,4),MID(Raw!G159,6,2),MID(Raw!G159,9,2))</f>
        <v>45716</v>
      </c>
      <c r="L159" s="30" t="n">
        <f aca="false">DATE(LEFT(Raw!H159,4),MID(Raw!H159,6,2),MID(Raw!H159,9,2))</f>
        <v>45717</v>
      </c>
      <c r="M159" s="30" t="n">
        <f aca="false">DATE(LEFT(Raw!I159,4),MID(Raw!I159,6,2),MID(Raw!I159,9,2))</f>
        <v>45723</v>
      </c>
      <c r="N159" s="31" t="n">
        <f aca="false">DATE(LEFT(Raw!J159,4),MID(Raw!J159,6,2),MID(Raw!J159,9,2))+TIME(MID(Raw!J159,12,2),MID(Raw!J159,15,2),MID(Raw!J159,18,2))</f>
        <v>45717.25</v>
      </c>
      <c r="O159" s="31" t="n">
        <f aca="false">DATE(LEFT(Raw!K159,4),MID(Raw!K159,6,2),MID(Raw!K159,9,2))+TIME(MID(Raw!K159,12,2),MID(Raw!K159,15,2),MID(Raw!K159,18,2))</f>
        <v>45722</v>
      </c>
      <c r="P159" s="32" t="n">
        <f aca="false">L159-K159</f>
        <v>1</v>
      </c>
      <c r="Q159" s="32" t="n">
        <f aca="false">M159-L159</f>
        <v>6</v>
      </c>
      <c r="R159" s="32" t="n">
        <f aca="false">O159-N159</f>
        <v>4.75</v>
      </c>
      <c r="S159" s="32" t="n">
        <f aca="false">Raw!L159</f>
        <v>-1</v>
      </c>
      <c r="T159" s="32" t="n">
        <f aca="false">O159-M159</f>
        <v>-1</v>
      </c>
      <c r="U159" s="0" t="str">
        <f aca="false">IF(ABS(T159-S159)&lt;0.01,"OK","MISMATCH")</f>
        <v>OK</v>
      </c>
      <c r="V159" s="33" t="n">
        <f aca="false">Raw!M159</f>
        <v>0</v>
      </c>
      <c r="W159" s="0" t="str">
        <f aca="false">IF((S159&gt;0)=(V159=1),"OK","MISMATCH")</f>
        <v>OK</v>
      </c>
      <c r="X159" s="0" t="str">
        <f aca="false">_xlfn.IFS(S159&lt;=0,"Early/On time",S159&lt;=2,"Minor (up to 2 days)",S159&lt;=5,"Moderate (2-5 days)",TRUE(),"Severe (over 5 days)")</f>
        <v>Early/On time</v>
      </c>
      <c r="Y159" s="0" t="str">
        <f aca="false">YEAR(K159)&amp;"-"&amp;TEXT(MONTH(K159),"00")</f>
        <v>2025-02</v>
      </c>
      <c r="Z159" s="0" t="str">
        <f aca="false">C159&amp;" → "&amp;D159</f>
        <v>Rajasthan → Surat</v>
      </c>
      <c r="AA159" s="0" t="str">
        <f aca="false">Raw!Q159</f>
        <v>BlueDart</v>
      </c>
      <c r="AB159" s="0" t="str">
        <f aca="false">Raw!R159</f>
        <v>No</v>
      </c>
      <c r="AC159" s="0" t="str">
        <f aca="false">Raw!S159</f>
        <v>Damaged</v>
      </c>
      <c r="AD159" s="29" t="n">
        <f aca="false">Raw!N159</f>
        <v>2084.52</v>
      </c>
      <c r="AE159" s="29" t="n">
        <f aca="false">Raw!O159</f>
        <v>2520.3</v>
      </c>
      <c r="AF159" s="29" t="n">
        <f aca="false">Raw!P159</f>
        <v>697.15</v>
      </c>
      <c r="AG159" s="29" t="n">
        <f aca="false">AD159/J159</f>
        <v>1544.08888888889</v>
      </c>
    </row>
    <row r="160" customFormat="false" ht="15" hidden="false" customHeight="false" outlineLevel="0" collapsed="false">
      <c r="A160" s="0" t="str">
        <f aca="false">Raw!A160</f>
        <v>SHP0159</v>
      </c>
      <c r="B160" s="0" t="str">
        <f aca="false">Raw!B160</f>
        <v>Outbound</v>
      </c>
      <c r="C160" s="0" t="str">
        <f aca="false">Raw!C160</f>
        <v>Surat</v>
      </c>
      <c r="D160" s="0" t="str">
        <f aca="false">Raw!D160</f>
        <v>Gujarat</v>
      </c>
      <c r="E160" s="0" t="str">
        <f aca="false">IFERROR(INDEX(Location_Map!$B$2:$B$15,MATCH(C160,Location_Map!$A$2:$A$15,0)),"UNMAPPED")</f>
        <v>Gujarat</v>
      </c>
      <c r="F160" s="0" t="str">
        <f aca="false">IFERROR(INDEX(Location_Map!$C$2:$C$15,MATCH(C160,Location_Map!$A$2:$A$15,0)),"UNMAPPED")</f>
        <v>West</v>
      </c>
      <c r="G160" s="0" t="str">
        <f aca="false">IFERROR(INDEX(Location_Map!$B$2:$B$15,MATCH(D160,Location_Map!$A$2:$A$15,0)),"UNMAPPED")</f>
        <v>Gujarat</v>
      </c>
      <c r="H160" s="0" t="str">
        <f aca="false">IFERROR(INDEX(Location_Map!$C$2:$C$15,MATCH(D160,Location_Map!$A$2:$A$15,0)),"UNMAPPED")</f>
        <v>West</v>
      </c>
      <c r="I160" s="0" t="str">
        <f aca="false">Raw!E160</f>
        <v>Finished Yarn</v>
      </c>
      <c r="J160" s="28" t="n">
        <f aca="false">Raw!F160</f>
        <v>10.1</v>
      </c>
      <c r="K160" s="30" t="n">
        <f aca="false">DATE(LEFT(Raw!G160,4),MID(Raw!G160,6,2),MID(Raw!G160,9,2))</f>
        <v>45716</v>
      </c>
      <c r="L160" s="30" t="n">
        <f aca="false">DATE(LEFT(Raw!H160,4),MID(Raw!H160,6,2),MID(Raw!H160,9,2))</f>
        <v>45717</v>
      </c>
      <c r="M160" s="30" t="n">
        <f aca="false">DATE(LEFT(Raw!I160,4),MID(Raw!I160,6,2),MID(Raw!I160,9,2))</f>
        <v>45722</v>
      </c>
      <c r="N160" s="31" t="n">
        <f aca="false">DATE(LEFT(Raw!J160,4),MID(Raw!J160,6,2),MID(Raw!J160,9,2))+TIME(MID(Raw!J160,12,2),MID(Raw!J160,15,2),MID(Raw!J160,18,2))</f>
        <v>45717.2083333333</v>
      </c>
      <c r="O160" s="31" t="n">
        <f aca="false">DATE(LEFT(Raw!K160,4),MID(Raw!K160,6,2),MID(Raw!K160,9,2))+TIME(MID(Raw!K160,12,2),MID(Raw!K160,15,2),MID(Raw!K160,18,2))</f>
        <v>45721.4</v>
      </c>
      <c r="P160" s="32" t="n">
        <f aca="false">L160-K160</f>
        <v>1</v>
      </c>
      <c r="Q160" s="32" t="n">
        <f aca="false">M160-L160</f>
        <v>5</v>
      </c>
      <c r="R160" s="32" t="n">
        <f aca="false">O160-N160</f>
        <v>4.19166666666667</v>
      </c>
      <c r="S160" s="32" t="n">
        <f aca="false">Raw!L160</f>
        <v>-0.6</v>
      </c>
      <c r="T160" s="32" t="n">
        <f aca="false">O160-M160</f>
        <v>-0.6</v>
      </c>
      <c r="U160" s="0" t="str">
        <f aca="false">IF(ABS(T160-S160)&lt;0.01,"OK","MISMATCH")</f>
        <v>OK</v>
      </c>
      <c r="V160" s="33" t="n">
        <f aca="false">Raw!M160</f>
        <v>0</v>
      </c>
      <c r="W160" s="0" t="str">
        <f aca="false">IF((S160&gt;0)=(V160=1),"OK","MISMATCH")</f>
        <v>OK</v>
      </c>
      <c r="X160" s="0" t="str">
        <f aca="false">_xlfn.IFS(S160&lt;=0,"Early/On time",S160&lt;=2,"Minor (up to 2 days)",S160&lt;=5,"Moderate (2-5 days)",TRUE(),"Severe (over 5 days)")</f>
        <v>Early/On time</v>
      </c>
      <c r="Y160" s="0" t="str">
        <f aca="false">YEAR(K160)&amp;"-"&amp;TEXT(MONTH(K160),"00")</f>
        <v>2025-02</v>
      </c>
      <c r="Z160" s="0" t="str">
        <f aca="false">C160&amp;" → "&amp;D160</f>
        <v>Surat → Gujarat</v>
      </c>
      <c r="AA160" s="0" t="str">
        <f aca="false">Raw!Q160</f>
        <v>VRL Cargo</v>
      </c>
      <c r="AB160" s="0" t="str">
        <f aca="false">Raw!R160</f>
        <v>No</v>
      </c>
      <c r="AC160" s="0" t="str">
        <f aca="false">Raw!S160</f>
        <v>Expedited</v>
      </c>
      <c r="AD160" s="29" t="n">
        <f aca="false">Raw!N160</f>
        <v>6844.02</v>
      </c>
      <c r="AE160" s="29" t="n">
        <f aca="false">Raw!O160</f>
        <v>3323.73</v>
      </c>
      <c r="AF160" s="29" t="n">
        <f aca="false">Raw!P160</f>
        <v>589.63</v>
      </c>
      <c r="AG160" s="29" t="n">
        <f aca="false">AD160/J160</f>
        <v>677.625742574258</v>
      </c>
    </row>
    <row r="161" customFormat="false" ht="15" hidden="false" customHeight="false" outlineLevel="0" collapsed="false">
      <c r="A161" s="0" t="str">
        <f aca="false">Raw!A161</f>
        <v>SHP0160</v>
      </c>
      <c r="B161" s="0" t="str">
        <f aca="false">Raw!B161</f>
        <v>Outbound</v>
      </c>
      <c r="C161" s="0" t="str">
        <f aca="false">Raw!C161</f>
        <v>Surat</v>
      </c>
      <c r="D161" s="0" t="str">
        <f aca="false">Raw!D161</f>
        <v>Karnataka</v>
      </c>
      <c r="E161" s="0" t="str">
        <f aca="false">IFERROR(INDEX(Location_Map!$B$2:$B$15,MATCH(C161,Location_Map!$A$2:$A$15,0)),"UNMAPPED")</f>
        <v>Gujarat</v>
      </c>
      <c r="F161" s="0" t="str">
        <f aca="false">IFERROR(INDEX(Location_Map!$C$2:$C$15,MATCH(C161,Location_Map!$A$2:$A$15,0)),"UNMAPPED")</f>
        <v>West</v>
      </c>
      <c r="G161" s="0" t="str">
        <f aca="false">IFERROR(INDEX(Location_Map!$B$2:$B$15,MATCH(D161,Location_Map!$A$2:$A$15,0)),"UNMAPPED")</f>
        <v>Karnataka</v>
      </c>
      <c r="H161" s="0" t="str">
        <f aca="false">IFERROR(INDEX(Location_Map!$C$2:$C$15,MATCH(D161,Location_Map!$A$2:$A$15,0)),"UNMAPPED")</f>
        <v>South</v>
      </c>
      <c r="I161" s="0" t="str">
        <f aca="false">Raw!E161</f>
        <v>Raw Yarn</v>
      </c>
      <c r="J161" s="28" t="n">
        <f aca="false">Raw!F161</f>
        <v>14.64</v>
      </c>
      <c r="K161" s="30" t="n">
        <f aca="false">DATE(LEFT(Raw!G161,4),MID(Raw!G161,6,2),MID(Raw!G161,9,2))</f>
        <v>45777</v>
      </c>
      <c r="L161" s="30" t="n">
        <f aca="false">DATE(LEFT(Raw!H161,4),MID(Raw!H161,6,2),MID(Raw!H161,9,2))</f>
        <v>45781</v>
      </c>
      <c r="M161" s="30" t="n">
        <f aca="false">DATE(LEFT(Raw!I161,4),MID(Raw!I161,6,2),MID(Raw!I161,9,2))</f>
        <v>45784</v>
      </c>
      <c r="N161" s="31" t="n">
        <f aca="false">DATE(LEFT(Raw!J161,4),MID(Raw!J161,6,2),MID(Raw!J161,9,2))+TIME(MID(Raw!J161,12,2),MID(Raw!J161,15,2),MID(Raw!J161,18,2))</f>
        <v>45781.125</v>
      </c>
      <c r="O161" s="31" t="n">
        <f aca="false">DATE(LEFT(Raw!K161,4),MID(Raw!K161,6,2),MID(Raw!K161,9,2))+TIME(MID(Raw!K161,12,2),MID(Raw!K161,15,2),MID(Raw!K161,18,2))</f>
        <v>45783</v>
      </c>
      <c r="P161" s="32" t="n">
        <f aca="false">L161-K161</f>
        <v>4</v>
      </c>
      <c r="Q161" s="32" t="n">
        <f aca="false">M161-L161</f>
        <v>3</v>
      </c>
      <c r="R161" s="32" t="n">
        <f aca="false">O161-N161</f>
        <v>1.875</v>
      </c>
      <c r="S161" s="32" t="n">
        <f aca="false">Raw!L161</f>
        <v>-1</v>
      </c>
      <c r="T161" s="32" t="n">
        <f aca="false">O161-M161</f>
        <v>-1</v>
      </c>
      <c r="U161" s="0" t="str">
        <f aca="false">IF(ABS(T161-S161)&lt;0.01,"OK","MISMATCH")</f>
        <v>OK</v>
      </c>
      <c r="V161" s="33" t="n">
        <f aca="false">Raw!M161</f>
        <v>0</v>
      </c>
      <c r="W161" s="0" t="str">
        <f aca="false">IF((S161&gt;0)=(V161=1),"OK","MISMATCH")</f>
        <v>OK</v>
      </c>
      <c r="X161" s="0" t="str">
        <f aca="false">_xlfn.IFS(S161&lt;=0,"Early/On time",S161&lt;=2,"Minor (up to 2 days)",S161&lt;=5,"Moderate (2-5 days)",TRUE(),"Severe (over 5 days)")</f>
        <v>Early/On time</v>
      </c>
      <c r="Y161" s="0" t="str">
        <f aca="false">YEAR(K161)&amp;"-"&amp;TEXT(MONTH(K161),"00")</f>
        <v>2025-04</v>
      </c>
      <c r="Z161" s="0" t="str">
        <f aca="false">C161&amp;" → "&amp;D161</f>
        <v>Surat → Karnataka</v>
      </c>
      <c r="AA161" s="0" t="str">
        <f aca="false">Raw!Q161</f>
        <v>BlueDart</v>
      </c>
      <c r="AB161" s="0" t="str">
        <f aca="false">Raw!R161</f>
        <v>No</v>
      </c>
      <c r="AC161" s="0" t="str">
        <f aca="false">Raw!S161</f>
        <v>Damaged</v>
      </c>
      <c r="AD161" s="29" t="n">
        <f aca="false">Raw!N161</f>
        <v>5514.94</v>
      </c>
      <c r="AE161" s="29" t="n">
        <f aca="false">Raw!O161</f>
        <v>4437.66</v>
      </c>
      <c r="AF161" s="29" t="n">
        <f aca="false">Raw!P161</f>
        <v>1299.78</v>
      </c>
      <c r="AG161" s="29" t="n">
        <f aca="false">AD161/J161</f>
        <v>376.703551912568</v>
      </c>
    </row>
    <row r="162" customFormat="false" ht="15" hidden="false" customHeight="false" outlineLevel="0" collapsed="false">
      <c r="A162" s="0" t="str">
        <f aca="false">Raw!A162</f>
        <v>SHP0161</v>
      </c>
      <c r="B162" s="0" t="str">
        <f aca="false">Raw!B162</f>
        <v>Inbound</v>
      </c>
      <c r="C162" s="0" t="str">
        <f aca="false">Raw!C162</f>
        <v>Chennai</v>
      </c>
      <c r="D162" s="0" t="str">
        <f aca="false">Raw!D162</f>
        <v>Surat</v>
      </c>
      <c r="E162" s="0" t="str">
        <f aca="false">IFERROR(INDEX(Location_Map!$B$2:$B$15,MATCH(C162,Location_Map!$A$2:$A$15,0)),"UNMAPPED")</f>
        <v>Tamil Nadu</v>
      </c>
      <c r="F162" s="0" t="str">
        <f aca="false">IFERROR(INDEX(Location_Map!$C$2:$C$15,MATCH(C162,Location_Map!$A$2:$A$15,0)),"UNMAPPED")</f>
        <v>South</v>
      </c>
      <c r="G162" s="0" t="str">
        <f aca="false">IFERROR(INDEX(Location_Map!$B$2:$B$15,MATCH(D162,Location_Map!$A$2:$A$15,0)),"UNMAPPED")</f>
        <v>Gujarat</v>
      </c>
      <c r="H162" s="0" t="str">
        <f aca="false">IFERROR(INDEX(Location_Map!$C$2:$C$15,MATCH(D162,Location_Map!$A$2:$A$15,0)),"UNMAPPED")</f>
        <v>West</v>
      </c>
      <c r="I162" s="0" t="str">
        <f aca="false">Raw!E162</f>
        <v>Semi-Processed Yarn</v>
      </c>
      <c r="J162" s="28" t="n">
        <f aca="false">Raw!F162</f>
        <v>4.51</v>
      </c>
      <c r="K162" s="30" t="n">
        <f aca="false">DATE(LEFT(Raw!G162,4),MID(Raw!G162,6,2),MID(Raw!G162,9,2))</f>
        <v>45746</v>
      </c>
      <c r="L162" s="30" t="n">
        <f aca="false">DATE(LEFT(Raw!H162,4),MID(Raw!H162,6,2),MID(Raw!H162,9,2))</f>
        <v>45750</v>
      </c>
      <c r="M162" s="30" t="n">
        <f aca="false">DATE(LEFT(Raw!I162,4),MID(Raw!I162,6,2),MID(Raw!I162,9,2))</f>
        <v>45756</v>
      </c>
      <c r="N162" s="31" t="n">
        <f aca="false">DATE(LEFT(Raw!J162,4),MID(Raw!J162,6,2),MID(Raw!J162,9,2))+TIME(MID(Raw!J162,12,2),MID(Raw!J162,15,2),MID(Raw!J162,18,2))</f>
        <v>45749.7916666667</v>
      </c>
      <c r="O162" s="31" t="n">
        <f aca="false">DATE(LEFT(Raw!K162,4),MID(Raw!K162,6,2),MID(Raw!K162,9,2))+TIME(MID(Raw!K162,12,2),MID(Raw!K162,15,2),MID(Raw!K162,18,2))</f>
        <v>45762.2</v>
      </c>
      <c r="P162" s="32" t="n">
        <f aca="false">L162-K162</f>
        <v>4</v>
      </c>
      <c r="Q162" s="32" t="n">
        <f aca="false">M162-L162</f>
        <v>6</v>
      </c>
      <c r="R162" s="32" t="n">
        <f aca="false">O162-N162</f>
        <v>12.4083333333333</v>
      </c>
      <c r="S162" s="32" t="n">
        <f aca="false">Raw!L162</f>
        <v>6.2</v>
      </c>
      <c r="T162" s="32" t="n">
        <f aca="false">O162-M162</f>
        <v>6.2</v>
      </c>
      <c r="U162" s="0" t="str">
        <f aca="false">IF(ABS(T162-S162)&lt;0.01,"OK","MISMATCH")</f>
        <v>OK</v>
      </c>
      <c r="V162" s="33" t="n">
        <f aca="false">Raw!M162</f>
        <v>1</v>
      </c>
      <c r="W162" s="0" t="str">
        <f aca="false">IF((S162&gt;0)=(V162=1),"OK","MISMATCH")</f>
        <v>OK</v>
      </c>
      <c r="X162" s="0" t="str">
        <f aca="false">_xlfn.IFS(S162&lt;=0,"Early/On time",S162&lt;=2,"Minor (up to 2 days)",S162&lt;=5,"Moderate (2-5 days)",TRUE(),"Severe (over 5 days)")</f>
        <v>Severe (over 5 days)</v>
      </c>
      <c r="Y162" s="0" t="str">
        <f aca="false">YEAR(K162)&amp;"-"&amp;TEXT(MONTH(K162),"00")</f>
        <v>2025-03</v>
      </c>
      <c r="Z162" s="0" t="str">
        <f aca="false">C162&amp;" → "&amp;D162</f>
        <v>Chennai → Surat</v>
      </c>
      <c r="AA162" s="0" t="str">
        <f aca="false">Raw!Q162</f>
        <v>GATI Logistics</v>
      </c>
      <c r="AB162" s="0" t="str">
        <f aca="false">Raw!R162</f>
        <v>Yes</v>
      </c>
      <c r="AC162" s="0" t="str">
        <f aca="false">Raw!S162</f>
        <v>Returned</v>
      </c>
      <c r="AD162" s="29" t="n">
        <f aca="false">Raw!N162</f>
        <v>2813.12</v>
      </c>
      <c r="AE162" s="29" t="n">
        <f aca="false">Raw!O162</f>
        <v>1449.22</v>
      </c>
      <c r="AF162" s="29" t="n">
        <f aca="false">Raw!P162</f>
        <v>502.58</v>
      </c>
      <c r="AG162" s="29" t="n">
        <f aca="false">AD162/J162</f>
        <v>623.751662971175</v>
      </c>
    </row>
    <row r="163" customFormat="false" ht="15" hidden="false" customHeight="false" outlineLevel="0" collapsed="false">
      <c r="A163" s="0" t="str">
        <f aca="false">Raw!A163</f>
        <v>SHP0162</v>
      </c>
      <c r="B163" s="0" t="str">
        <f aca="false">Raw!B163</f>
        <v>Outbound</v>
      </c>
      <c r="C163" s="0" t="str">
        <f aca="false">Raw!C163</f>
        <v>Surat</v>
      </c>
      <c r="D163" s="0" t="str">
        <f aca="false">Raw!D163</f>
        <v>West Bengal</v>
      </c>
      <c r="E163" s="0" t="str">
        <f aca="false">IFERROR(INDEX(Location_Map!$B$2:$B$15,MATCH(C163,Location_Map!$A$2:$A$15,0)),"UNMAPPED")</f>
        <v>Gujarat</v>
      </c>
      <c r="F163" s="0" t="str">
        <f aca="false">IFERROR(INDEX(Location_Map!$C$2:$C$15,MATCH(C163,Location_Map!$A$2:$A$15,0)),"UNMAPPED")</f>
        <v>West</v>
      </c>
      <c r="G163" s="0" t="str">
        <f aca="false">IFERROR(INDEX(Location_Map!$B$2:$B$15,MATCH(D163,Location_Map!$A$2:$A$15,0)),"UNMAPPED")</f>
        <v>West Bengal</v>
      </c>
      <c r="H163" s="0" t="str">
        <f aca="false">IFERROR(INDEX(Location_Map!$C$2:$C$15,MATCH(D163,Location_Map!$A$2:$A$15,0)),"UNMAPPED")</f>
        <v>East</v>
      </c>
      <c r="I163" s="0" t="str">
        <f aca="false">Raw!E163</f>
        <v>Raw Yarn</v>
      </c>
      <c r="J163" s="28" t="n">
        <f aca="false">Raw!F163</f>
        <v>13.12</v>
      </c>
      <c r="K163" s="30" t="n">
        <f aca="false">DATE(LEFT(Raw!G163,4),MID(Raw!G163,6,2),MID(Raw!G163,9,2))</f>
        <v>45812</v>
      </c>
      <c r="L163" s="30" t="n">
        <f aca="false">DATE(LEFT(Raw!H163,4),MID(Raw!H163,6,2),MID(Raw!H163,9,2))</f>
        <v>45815</v>
      </c>
      <c r="M163" s="30" t="n">
        <f aca="false">DATE(LEFT(Raw!I163,4),MID(Raw!I163,6,2),MID(Raw!I163,9,2))</f>
        <v>45818</v>
      </c>
      <c r="N163" s="31" t="n">
        <f aca="false">DATE(LEFT(Raw!J163,4),MID(Raw!J163,6,2),MID(Raw!J163,9,2))+TIME(MID(Raw!J163,12,2),MID(Raw!J163,15,2),MID(Raw!J163,18,2))</f>
        <v>45815.125</v>
      </c>
      <c r="O163" s="31" t="n">
        <f aca="false">DATE(LEFT(Raw!K163,4),MID(Raw!K163,6,2),MID(Raw!K163,9,2))+TIME(MID(Raw!K163,12,2),MID(Raw!K163,15,2),MID(Raw!K163,18,2))</f>
        <v>45819.8</v>
      </c>
      <c r="P163" s="32" t="n">
        <f aca="false">L163-K163</f>
        <v>3</v>
      </c>
      <c r="Q163" s="32" t="n">
        <f aca="false">M163-L163</f>
        <v>3</v>
      </c>
      <c r="R163" s="32" t="n">
        <f aca="false">O163-N163</f>
        <v>4.675</v>
      </c>
      <c r="S163" s="32" t="n">
        <f aca="false">Raw!L163</f>
        <v>1.8</v>
      </c>
      <c r="T163" s="32" t="n">
        <f aca="false">O163-M163</f>
        <v>1.8</v>
      </c>
      <c r="U163" s="0" t="str">
        <f aca="false">IF(ABS(T163-S163)&lt;0.01,"OK","MISMATCH")</f>
        <v>OK</v>
      </c>
      <c r="V163" s="33" t="n">
        <f aca="false">Raw!M163</f>
        <v>1</v>
      </c>
      <c r="W163" s="0" t="str">
        <f aca="false">IF((S163&gt;0)=(V163=1),"OK","MISMATCH")</f>
        <v>OK</v>
      </c>
      <c r="X163" s="0" t="str">
        <f aca="false">_xlfn.IFS(S163&lt;=0,"Early/On time",S163&lt;=2,"Minor (up to 2 days)",S163&lt;=5,"Moderate (2-5 days)",TRUE(),"Severe (over 5 days)")</f>
        <v>Minor (up to 2 days)</v>
      </c>
      <c r="Y163" s="0" t="str">
        <f aca="false">YEAR(K163)&amp;"-"&amp;TEXT(MONTH(K163),"00")</f>
        <v>2025-06</v>
      </c>
      <c r="Z163" s="0" t="str">
        <f aca="false">C163&amp;" → "&amp;D163</f>
        <v>Surat → West Bengal</v>
      </c>
      <c r="AA163" s="0" t="str">
        <f aca="false">Raw!Q163</f>
        <v>TCI Express</v>
      </c>
      <c r="AB163" s="0" t="str">
        <f aca="false">Raw!R163</f>
        <v>Yes</v>
      </c>
      <c r="AC163" s="0" t="str">
        <f aca="false">Raw!S163</f>
        <v>Returned</v>
      </c>
      <c r="AD163" s="29" t="n">
        <f aca="false">Raw!N163</f>
        <v>5689.96</v>
      </c>
      <c r="AE163" s="29" t="n">
        <f aca="false">Raw!O163</f>
        <v>2443.09</v>
      </c>
      <c r="AF163" s="29" t="n">
        <f aca="false">Raw!P163</f>
        <v>1405.89</v>
      </c>
      <c r="AG163" s="29" t="n">
        <f aca="false">AD163/J163</f>
        <v>433.685975609756</v>
      </c>
    </row>
    <row r="164" customFormat="false" ht="15" hidden="false" customHeight="false" outlineLevel="0" collapsed="false">
      <c r="A164" s="0" t="str">
        <f aca="false">Raw!A164</f>
        <v>SHP0163</v>
      </c>
      <c r="B164" s="0" t="str">
        <f aca="false">Raw!B164</f>
        <v>Outbound</v>
      </c>
      <c r="C164" s="0" t="str">
        <f aca="false">Raw!C164</f>
        <v>Surat</v>
      </c>
      <c r="D164" s="0" t="str">
        <f aca="false">Raw!D164</f>
        <v>Mumbai</v>
      </c>
      <c r="E164" s="0" t="str">
        <f aca="false">IFERROR(INDEX(Location_Map!$B$2:$B$15,MATCH(C164,Location_Map!$A$2:$A$15,0)),"UNMAPPED")</f>
        <v>Gujarat</v>
      </c>
      <c r="F164" s="0" t="str">
        <f aca="false">IFERROR(INDEX(Location_Map!$C$2:$C$15,MATCH(C164,Location_Map!$A$2:$A$15,0)),"UNMAPPED")</f>
        <v>West</v>
      </c>
      <c r="G164" s="0" t="str">
        <f aca="false">IFERROR(INDEX(Location_Map!$B$2:$B$15,MATCH(D164,Location_Map!$A$2:$A$15,0)),"UNMAPPED")</f>
        <v>Maharashtra</v>
      </c>
      <c r="H164" s="0" t="str">
        <f aca="false">IFERROR(INDEX(Location_Map!$C$2:$C$15,MATCH(D164,Location_Map!$A$2:$A$15,0)),"UNMAPPED")</f>
        <v>West</v>
      </c>
      <c r="I164" s="0" t="str">
        <f aca="false">Raw!E164</f>
        <v>Finished Yarn</v>
      </c>
      <c r="J164" s="28" t="n">
        <f aca="false">Raw!F164</f>
        <v>15.63</v>
      </c>
      <c r="K164" s="30" t="n">
        <f aca="false">DATE(LEFT(Raw!G164,4),MID(Raw!G164,6,2),MID(Raw!G164,9,2))</f>
        <v>45824</v>
      </c>
      <c r="L164" s="30" t="n">
        <f aca="false">DATE(LEFT(Raw!H164,4),MID(Raw!H164,6,2),MID(Raw!H164,9,2))</f>
        <v>45826</v>
      </c>
      <c r="M164" s="30" t="n">
        <f aca="false">DATE(LEFT(Raw!I164,4),MID(Raw!I164,6,2),MID(Raw!I164,9,2))</f>
        <v>45831</v>
      </c>
      <c r="N164" s="31" t="n">
        <f aca="false">DATE(LEFT(Raw!J164,4),MID(Raw!J164,6,2),MID(Raw!J164,9,2))+TIME(MID(Raw!J164,12,2),MID(Raw!J164,15,2),MID(Raw!J164,18,2))</f>
        <v>45826.25</v>
      </c>
      <c r="O164" s="31" t="n">
        <f aca="false">DATE(LEFT(Raw!K164,4),MID(Raw!K164,6,2),MID(Raw!K164,9,2))+TIME(MID(Raw!K164,12,2),MID(Raw!K164,15,2),MID(Raw!K164,18,2))</f>
        <v>45835.4</v>
      </c>
      <c r="P164" s="32" t="n">
        <f aca="false">L164-K164</f>
        <v>2</v>
      </c>
      <c r="Q164" s="32" t="n">
        <f aca="false">M164-L164</f>
        <v>5</v>
      </c>
      <c r="R164" s="32" t="n">
        <f aca="false">O164-N164</f>
        <v>9.15</v>
      </c>
      <c r="S164" s="32" t="n">
        <f aca="false">Raw!L164</f>
        <v>4.4</v>
      </c>
      <c r="T164" s="32" t="n">
        <f aca="false">O164-M164</f>
        <v>4.4</v>
      </c>
      <c r="U164" s="0" t="str">
        <f aca="false">IF(ABS(T164-S164)&lt;0.01,"OK","MISMATCH")</f>
        <v>OK</v>
      </c>
      <c r="V164" s="33" t="n">
        <f aca="false">Raw!M164</f>
        <v>1</v>
      </c>
      <c r="W164" s="0" t="str">
        <f aca="false">IF((S164&gt;0)=(V164=1),"OK","MISMATCH")</f>
        <v>OK</v>
      </c>
      <c r="X164" s="0" t="str">
        <f aca="false">_xlfn.IFS(S164&lt;=0,"Early/On time",S164&lt;=2,"Minor (up to 2 days)",S164&lt;=5,"Moderate (2-5 days)",TRUE(),"Severe (over 5 days)")</f>
        <v>Moderate (2-5 days)</v>
      </c>
      <c r="Y164" s="0" t="str">
        <f aca="false">YEAR(K164)&amp;"-"&amp;TEXT(MONTH(K164),"00")</f>
        <v>2025-06</v>
      </c>
      <c r="Z164" s="0" t="str">
        <f aca="false">C164&amp;" → "&amp;D164</f>
        <v>Surat → Mumbai</v>
      </c>
      <c r="AA164" s="0" t="str">
        <f aca="false">Raw!Q164</f>
        <v>VRL Cargo</v>
      </c>
      <c r="AB164" s="0" t="str">
        <f aca="false">Raw!R164</f>
        <v>No</v>
      </c>
      <c r="AC164" s="0" t="str">
        <f aca="false">Raw!S164</f>
        <v>Expedited</v>
      </c>
      <c r="AD164" s="29" t="n">
        <f aca="false">Raw!N164</f>
        <v>9941.59</v>
      </c>
      <c r="AE164" s="29" t="n">
        <f aca="false">Raw!O164</f>
        <v>4066.62</v>
      </c>
      <c r="AF164" s="29" t="n">
        <f aca="false">Raw!P164</f>
        <v>649.7</v>
      </c>
      <c r="AG164" s="29" t="n">
        <f aca="false">AD164/J164</f>
        <v>636.058221369162</v>
      </c>
    </row>
    <row r="165" customFormat="false" ht="15" hidden="false" customHeight="false" outlineLevel="0" collapsed="false">
      <c r="A165" s="0" t="str">
        <f aca="false">Raw!A165</f>
        <v>SHP0164</v>
      </c>
      <c r="B165" s="0" t="str">
        <f aca="false">Raw!B165</f>
        <v>Inbound</v>
      </c>
      <c r="C165" s="0" t="str">
        <f aca="false">Raw!C165</f>
        <v>Punjab</v>
      </c>
      <c r="D165" s="0" t="str">
        <f aca="false">Raw!D165</f>
        <v>Surat</v>
      </c>
      <c r="E165" s="0" t="str">
        <f aca="false">IFERROR(INDEX(Location_Map!$B$2:$B$15,MATCH(C165,Location_Map!$A$2:$A$15,0)),"UNMAPPED")</f>
        <v>Punjab</v>
      </c>
      <c r="F165" s="0" t="str">
        <f aca="false">IFERROR(INDEX(Location_Map!$C$2:$C$15,MATCH(C165,Location_Map!$A$2:$A$15,0)),"UNMAPPED")</f>
        <v>North</v>
      </c>
      <c r="G165" s="0" t="str">
        <f aca="false">IFERROR(INDEX(Location_Map!$B$2:$B$15,MATCH(D165,Location_Map!$A$2:$A$15,0)),"UNMAPPED")</f>
        <v>Gujarat</v>
      </c>
      <c r="H165" s="0" t="str">
        <f aca="false">IFERROR(INDEX(Location_Map!$C$2:$C$15,MATCH(D165,Location_Map!$A$2:$A$15,0)),"UNMAPPED")</f>
        <v>West</v>
      </c>
      <c r="I165" s="0" t="str">
        <f aca="false">Raw!E165</f>
        <v>Semi-Processed Yarn</v>
      </c>
      <c r="J165" s="28" t="n">
        <f aca="false">Raw!F165</f>
        <v>9.05</v>
      </c>
      <c r="K165" s="30" t="n">
        <f aca="false">DATE(LEFT(Raw!G165,4),MID(Raw!G165,6,2),MID(Raw!G165,9,2))</f>
        <v>45703</v>
      </c>
      <c r="L165" s="30" t="n">
        <f aca="false">DATE(LEFT(Raw!H165,4),MID(Raw!H165,6,2),MID(Raw!H165,9,2))</f>
        <v>45704</v>
      </c>
      <c r="M165" s="30" t="n">
        <f aca="false">DATE(LEFT(Raw!I165,4),MID(Raw!I165,6,2),MID(Raw!I165,9,2))</f>
        <v>45709</v>
      </c>
      <c r="N165" s="31" t="n">
        <f aca="false">DATE(LEFT(Raw!J165,4),MID(Raw!J165,6,2),MID(Raw!J165,9,2))+TIME(MID(Raw!J165,12,2),MID(Raw!J165,15,2),MID(Raw!J165,18,2))</f>
        <v>45703.8333333333</v>
      </c>
      <c r="O165" s="31" t="n">
        <f aca="false">DATE(LEFT(Raw!K165,4),MID(Raw!K165,6,2),MID(Raw!K165,9,2))+TIME(MID(Raw!K165,12,2),MID(Raw!K165,15,2),MID(Raw!K165,18,2))</f>
        <v>45709.3</v>
      </c>
      <c r="P165" s="32" t="n">
        <f aca="false">L165-K165</f>
        <v>1</v>
      </c>
      <c r="Q165" s="32" t="n">
        <f aca="false">M165-L165</f>
        <v>5</v>
      </c>
      <c r="R165" s="32" t="n">
        <f aca="false">O165-N165</f>
        <v>5.46666666666667</v>
      </c>
      <c r="S165" s="32" t="n">
        <f aca="false">Raw!L165</f>
        <v>0.3</v>
      </c>
      <c r="T165" s="32" t="n">
        <f aca="false">O165-M165</f>
        <v>0.3</v>
      </c>
      <c r="U165" s="0" t="str">
        <f aca="false">IF(ABS(T165-S165)&lt;0.01,"OK","MISMATCH")</f>
        <v>OK</v>
      </c>
      <c r="V165" s="33" t="n">
        <f aca="false">Raw!M165</f>
        <v>1</v>
      </c>
      <c r="W165" s="0" t="str">
        <f aca="false">IF((S165&gt;0)=(V165=1),"OK","MISMATCH")</f>
        <v>OK</v>
      </c>
      <c r="X165" s="0" t="str">
        <f aca="false">_xlfn.IFS(S165&lt;=0,"Early/On time",S165&lt;=2,"Minor (up to 2 days)",S165&lt;=5,"Moderate (2-5 days)",TRUE(),"Severe (over 5 days)")</f>
        <v>Minor (up to 2 days)</v>
      </c>
      <c r="Y165" s="0" t="str">
        <f aca="false">YEAR(K165)&amp;"-"&amp;TEXT(MONTH(K165),"00")</f>
        <v>2025-02</v>
      </c>
      <c r="Z165" s="0" t="str">
        <f aca="false">C165&amp;" → "&amp;D165</f>
        <v>Punjab → Surat</v>
      </c>
      <c r="AA165" s="0" t="str">
        <f aca="false">Raw!Q165</f>
        <v>Delhivery</v>
      </c>
      <c r="AB165" s="0" t="str">
        <f aca="false">Raw!R165</f>
        <v>No</v>
      </c>
      <c r="AC165" s="0" t="str">
        <f aca="false">Raw!S165</f>
        <v>Normal</v>
      </c>
      <c r="AD165" s="29" t="n">
        <f aca="false">Raw!N165</f>
        <v>4809.31</v>
      </c>
      <c r="AE165" s="29" t="n">
        <f aca="false">Raw!O165</f>
        <v>1713.78</v>
      </c>
      <c r="AF165" s="29" t="n">
        <f aca="false">Raw!P165</f>
        <v>812.27</v>
      </c>
      <c r="AG165" s="29" t="n">
        <f aca="false">AD165/J165</f>
        <v>531.41546961326</v>
      </c>
    </row>
    <row r="166" customFormat="false" ht="15" hidden="false" customHeight="false" outlineLevel="0" collapsed="false">
      <c r="A166" s="0" t="str">
        <f aca="false">Raw!A166</f>
        <v>SHP0165</v>
      </c>
      <c r="B166" s="0" t="str">
        <f aca="false">Raw!B166</f>
        <v>Outbound</v>
      </c>
      <c r="C166" s="0" t="str">
        <f aca="false">Raw!C166</f>
        <v>Surat</v>
      </c>
      <c r="D166" s="0" t="str">
        <f aca="false">Raw!D166</f>
        <v>Uttarakhand</v>
      </c>
      <c r="E166" s="0" t="str">
        <f aca="false">IFERROR(INDEX(Location_Map!$B$2:$B$15,MATCH(C166,Location_Map!$A$2:$A$15,0)),"UNMAPPED")</f>
        <v>Gujarat</v>
      </c>
      <c r="F166" s="0" t="str">
        <f aca="false">IFERROR(INDEX(Location_Map!$C$2:$C$15,MATCH(C166,Location_Map!$A$2:$A$15,0)),"UNMAPPED")</f>
        <v>West</v>
      </c>
      <c r="G166" s="0" t="str">
        <f aca="false">IFERROR(INDEX(Location_Map!$B$2:$B$15,MATCH(D166,Location_Map!$A$2:$A$15,0)),"UNMAPPED")</f>
        <v>Uttarakhand</v>
      </c>
      <c r="H166" s="0" t="str">
        <f aca="false">IFERROR(INDEX(Location_Map!$C$2:$C$15,MATCH(D166,Location_Map!$A$2:$A$15,0)),"UNMAPPED")</f>
        <v>North</v>
      </c>
      <c r="I166" s="0" t="str">
        <f aca="false">Raw!E166</f>
        <v>Semi-Processed Yarn</v>
      </c>
      <c r="J166" s="28" t="n">
        <f aca="false">Raw!F166</f>
        <v>5.37</v>
      </c>
      <c r="K166" s="30" t="n">
        <f aca="false">DATE(LEFT(Raw!G166,4),MID(Raw!G166,6,2),MID(Raw!G166,9,2))</f>
        <v>45719</v>
      </c>
      <c r="L166" s="30" t="n">
        <f aca="false">DATE(LEFT(Raw!H166,4),MID(Raw!H166,6,2),MID(Raw!H166,9,2))</f>
        <v>45722</v>
      </c>
      <c r="M166" s="30" t="n">
        <f aca="false">DATE(LEFT(Raw!I166,4),MID(Raw!I166,6,2),MID(Raw!I166,9,2))</f>
        <v>45724</v>
      </c>
      <c r="N166" s="31" t="n">
        <f aca="false">DATE(LEFT(Raw!J166,4),MID(Raw!J166,6,2),MID(Raw!J166,9,2))+TIME(MID(Raw!J166,12,2),MID(Raw!J166,15,2),MID(Raw!J166,18,2))</f>
        <v>45722.3333333333</v>
      </c>
      <c r="O166" s="31" t="n">
        <f aca="false">DATE(LEFT(Raw!K166,4),MID(Raw!K166,6,2),MID(Raw!K166,9,2))+TIME(MID(Raw!K166,12,2),MID(Raw!K166,15,2),MID(Raw!K166,18,2))</f>
        <v>45730.4</v>
      </c>
      <c r="P166" s="32" t="n">
        <f aca="false">L166-K166</f>
        <v>3</v>
      </c>
      <c r="Q166" s="32" t="n">
        <f aca="false">M166-L166</f>
        <v>2</v>
      </c>
      <c r="R166" s="32" t="n">
        <f aca="false">O166-N166</f>
        <v>8.06666666666667</v>
      </c>
      <c r="S166" s="32" t="n">
        <f aca="false">Raw!L166</f>
        <v>6.4</v>
      </c>
      <c r="T166" s="32" t="n">
        <f aca="false">O166-M166</f>
        <v>6.4</v>
      </c>
      <c r="U166" s="0" t="str">
        <f aca="false">IF(ABS(T166-S166)&lt;0.01,"OK","MISMATCH")</f>
        <v>OK</v>
      </c>
      <c r="V166" s="33" t="n">
        <f aca="false">Raw!M166</f>
        <v>1</v>
      </c>
      <c r="W166" s="0" t="str">
        <f aca="false">IF((S166&gt;0)=(V166=1),"OK","MISMATCH")</f>
        <v>OK</v>
      </c>
      <c r="X166" s="0" t="str">
        <f aca="false">_xlfn.IFS(S166&lt;=0,"Early/On time",S166&lt;=2,"Minor (up to 2 days)",S166&lt;=5,"Moderate (2-5 days)",TRUE(),"Severe (over 5 days)")</f>
        <v>Severe (over 5 days)</v>
      </c>
      <c r="Y166" s="0" t="str">
        <f aca="false">YEAR(K166)&amp;"-"&amp;TEXT(MONTH(K166),"00")</f>
        <v>2025-03</v>
      </c>
      <c r="Z166" s="0" t="str">
        <f aca="false">C166&amp;" → "&amp;D166</f>
        <v>Surat → Uttarakhand</v>
      </c>
      <c r="AA166" s="0" t="str">
        <f aca="false">Raw!Q166</f>
        <v>BlueDart</v>
      </c>
      <c r="AB166" s="0" t="str">
        <f aca="false">Raw!R166</f>
        <v>No</v>
      </c>
      <c r="AC166" s="0" t="str">
        <f aca="false">Raw!S166</f>
        <v>Returned</v>
      </c>
      <c r="AD166" s="29" t="n">
        <f aca="false">Raw!N166</f>
        <v>2284.39</v>
      </c>
      <c r="AE166" s="29" t="n">
        <f aca="false">Raw!O166</f>
        <v>3388.19</v>
      </c>
      <c r="AF166" s="29" t="n">
        <f aca="false">Raw!P166</f>
        <v>1175.84</v>
      </c>
      <c r="AG166" s="29" t="n">
        <f aca="false">AD166/J166</f>
        <v>425.398510242086</v>
      </c>
    </row>
    <row r="167" customFormat="false" ht="15" hidden="false" customHeight="false" outlineLevel="0" collapsed="false">
      <c r="A167" s="0" t="str">
        <f aca="false">Raw!A167</f>
        <v>SHP0166</v>
      </c>
      <c r="B167" s="0" t="str">
        <f aca="false">Raw!B167</f>
        <v>Inbound</v>
      </c>
      <c r="C167" s="0" t="str">
        <f aca="false">Raw!C167</f>
        <v>Gujarat</v>
      </c>
      <c r="D167" s="0" t="str">
        <f aca="false">Raw!D167</f>
        <v>Surat</v>
      </c>
      <c r="E167" s="0" t="str">
        <f aca="false">IFERROR(INDEX(Location_Map!$B$2:$B$15,MATCH(C167,Location_Map!$A$2:$A$15,0)),"UNMAPPED")</f>
        <v>Gujarat</v>
      </c>
      <c r="F167" s="0" t="str">
        <f aca="false">IFERROR(INDEX(Location_Map!$C$2:$C$15,MATCH(C167,Location_Map!$A$2:$A$15,0)),"UNMAPPED")</f>
        <v>West</v>
      </c>
      <c r="G167" s="0" t="str">
        <f aca="false">IFERROR(INDEX(Location_Map!$B$2:$B$15,MATCH(D167,Location_Map!$A$2:$A$15,0)),"UNMAPPED")</f>
        <v>Gujarat</v>
      </c>
      <c r="H167" s="0" t="str">
        <f aca="false">IFERROR(INDEX(Location_Map!$C$2:$C$15,MATCH(D167,Location_Map!$A$2:$A$15,0)),"UNMAPPED")</f>
        <v>West</v>
      </c>
      <c r="I167" s="0" t="str">
        <f aca="false">Raw!E167</f>
        <v>Raw Yarn</v>
      </c>
      <c r="J167" s="28" t="n">
        <f aca="false">Raw!F167</f>
        <v>9.41</v>
      </c>
      <c r="K167" s="30" t="n">
        <f aca="false">DATE(LEFT(Raw!G167,4),MID(Raw!G167,6,2),MID(Raw!G167,9,2))</f>
        <v>45791</v>
      </c>
      <c r="L167" s="30" t="n">
        <f aca="false">DATE(LEFT(Raw!H167,4),MID(Raw!H167,6,2),MID(Raw!H167,9,2))</f>
        <v>45794</v>
      </c>
      <c r="M167" s="30" t="n">
        <f aca="false">DATE(LEFT(Raw!I167,4),MID(Raw!I167,6,2),MID(Raw!I167,9,2))</f>
        <v>45798</v>
      </c>
      <c r="N167" s="31" t="n">
        <f aca="false">DATE(LEFT(Raw!J167,4),MID(Raw!J167,6,2),MID(Raw!J167,9,2))+TIME(MID(Raw!J167,12,2),MID(Raw!J167,15,2),MID(Raw!J167,18,2))</f>
        <v>45794.0416666667</v>
      </c>
      <c r="O167" s="31" t="n">
        <f aca="false">DATE(LEFT(Raw!K167,4),MID(Raw!K167,6,2),MID(Raw!K167,9,2))+TIME(MID(Raw!K167,12,2),MID(Raw!K167,15,2),MID(Raw!K167,18,2))</f>
        <v>45797</v>
      </c>
      <c r="P167" s="32" t="n">
        <f aca="false">L167-K167</f>
        <v>3</v>
      </c>
      <c r="Q167" s="32" t="n">
        <f aca="false">M167-L167</f>
        <v>4</v>
      </c>
      <c r="R167" s="32" t="n">
        <f aca="false">O167-N167</f>
        <v>2.95833333333333</v>
      </c>
      <c r="S167" s="32" t="n">
        <f aca="false">Raw!L167</f>
        <v>-1</v>
      </c>
      <c r="T167" s="32" t="n">
        <f aca="false">O167-M167</f>
        <v>-1</v>
      </c>
      <c r="U167" s="0" t="str">
        <f aca="false">IF(ABS(T167-S167)&lt;0.01,"OK","MISMATCH")</f>
        <v>OK</v>
      </c>
      <c r="V167" s="33" t="n">
        <f aca="false">Raw!M167</f>
        <v>0</v>
      </c>
      <c r="W167" s="0" t="str">
        <f aca="false">IF((S167&gt;0)=(V167=1),"OK","MISMATCH")</f>
        <v>OK</v>
      </c>
      <c r="X167" s="0" t="str">
        <f aca="false">_xlfn.IFS(S167&lt;=0,"Early/On time",S167&lt;=2,"Minor (up to 2 days)",S167&lt;=5,"Moderate (2-5 days)",TRUE(),"Severe (over 5 days)")</f>
        <v>Early/On time</v>
      </c>
      <c r="Y167" s="0" t="str">
        <f aca="false">YEAR(K167)&amp;"-"&amp;TEXT(MONTH(K167),"00")</f>
        <v>2025-05</v>
      </c>
      <c r="Z167" s="0" t="str">
        <f aca="false">C167&amp;" → "&amp;D167</f>
        <v>Gujarat → Surat</v>
      </c>
      <c r="AA167" s="0" t="str">
        <f aca="false">Raw!Q167</f>
        <v>BlueDart</v>
      </c>
      <c r="AB167" s="0" t="str">
        <f aca="false">Raw!R167</f>
        <v>Yes</v>
      </c>
      <c r="AC167" s="0" t="str">
        <f aca="false">Raw!S167</f>
        <v>Normal</v>
      </c>
      <c r="AD167" s="29" t="n">
        <f aca="false">Raw!N167</f>
        <v>5279.41</v>
      </c>
      <c r="AE167" s="29" t="n">
        <f aca="false">Raw!O167</f>
        <v>3412.88</v>
      </c>
      <c r="AF167" s="29" t="n">
        <f aca="false">Raw!P167</f>
        <v>837.23</v>
      </c>
      <c r="AG167" s="29" t="n">
        <f aca="false">AD167/J167</f>
        <v>561.042507970244</v>
      </c>
    </row>
    <row r="168" customFormat="false" ht="15" hidden="false" customHeight="false" outlineLevel="0" collapsed="false">
      <c r="A168" s="0" t="str">
        <f aca="false">Raw!A168</f>
        <v>SHP0167</v>
      </c>
      <c r="B168" s="0" t="str">
        <f aca="false">Raw!B168</f>
        <v>Inbound</v>
      </c>
      <c r="C168" s="0" t="str">
        <f aca="false">Raw!C168</f>
        <v>Gujarat</v>
      </c>
      <c r="D168" s="0" t="str">
        <f aca="false">Raw!D168</f>
        <v>Surat</v>
      </c>
      <c r="E168" s="0" t="str">
        <f aca="false">IFERROR(INDEX(Location_Map!$B$2:$B$15,MATCH(C168,Location_Map!$A$2:$A$15,0)),"UNMAPPED")</f>
        <v>Gujarat</v>
      </c>
      <c r="F168" s="0" t="str">
        <f aca="false">IFERROR(INDEX(Location_Map!$C$2:$C$15,MATCH(C168,Location_Map!$A$2:$A$15,0)),"UNMAPPED")</f>
        <v>West</v>
      </c>
      <c r="G168" s="0" t="str">
        <f aca="false">IFERROR(INDEX(Location_Map!$B$2:$B$15,MATCH(D168,Location_Map!$A$2:$A$15,0)),"UNMAPPED")</f>
        <v>Gujarat</v>
      </c>
      <c r="H168" s="0" t="str">
        <f aca="false">IFERROR(INDEX(Location_Map!$C$2:$C$15,MATCH(D168,Location_Map!$A$2:$A$15,0)),"UNMAPPED")</f>
        <v>West</v>
      </c>
      <c r="I168" s="0" t="str">
        <f aca="false">Raw!E168</f>
        <v>Finished Yarn</v>
      </c>
      <c r="J168" s="28" t="n">
        <f aca="false">Raw!F168</f>
        <v>18.2</v>
      </c>
      <c r="K168" s="30" t="n">
        <f aca="false">DATE(LEFT(Raw!G168,4),MID(Raw!G168,6,2),MID(Raw!G168,9,2))</f>
        <v>45889</v>
      </c>
      <c r="L168" s="30" t="n">
        <f aca="false">DATE(LEFT(Raw!H168,4),MID(Raw!H168,6,2),MID(Raw!H168,9,2))</f>
        <v>45891</v>
      </c>
      <c r="M168" s="30" t="n">
        <f aca="false">DATE(LEFT(Raw!I168,4),MID(Raw!I168,6,2),MID(Raw!I168,9,2))</f>
        <v>45897</v>
      </c>
      <c r="N168" s="31" t="n">
        <f aca="false">DATE(LEFT(Raw!J168,4),MID(Raw!J168,6,2),MID(Raw!J168,9,2))+TIME(MID(Raw!J168,12,2),MID(Raw!J168,15,2),MID(Raw!J168,18,2))</f>
        <v>45891.125</v>
      </c>
      <c r="O168" s="31" t="n">
        <f aca="false">DATE(LEFT(Raw!K168,4),MID(Raw!K168,6,2),MID(Raw!K168,9,2))+TIME(MID(Raw!K168,12,2),MID(Raw!K168,15,2),MID(Raw!K168,18,2))</f>
        <v>45896</v>
      </c>
      <c r="P168" s="32" t="n">
        <f aca="false">L168-K168</f>
        <v>2</v>
      </c>
      <c r="Q168" s="32" t="n">
        <f aca="false">M168-L168</f>
        <v>6</v>
      </c>
      <c r="R168" s="32" t="n">
        <f aca="false">O168-N168</f>
        <v>4.875</v>
      </c>
      <c r="S168" s="32" t="n">
        <f aca="false">Raw!L168</f>
        <v>-1</v>
      </c>
      <c r="T168" s="32" t="n">
        <f aca="false">O168-M168</f>
        <v>-1</v>
      </c>
      <c r="U168" s="0" t="str">
        <f aca="false">IF(ABS(T168-S168)&lt;0.01,"OK","MISMATCH")</f>
        <v>OK</v>
      </c>
      <c r="V168" s="33" t="n">
        <f aca="false">Raw!M168</f>
        <v>0</v>
      </c>
      <c r="W168" s="0" t="str">
        <f aca="false">IF((S168&gt;0)=(V168=1),"OK","MISMATCH")</f>
        <v>OK</v>
      </c>
      <c r="X168" s="0" t="str">
        <f aca="false">_xlfn.IFS(S168&lt;=0,"Early/On time",S168&lt;=2,"Minor (up to 2 days)",S168&lt;=5,"Moderate (2-5 days)",TRUE(),"Severe (over 5 days)")</f>
        <v>Early/On time</v>
      </c>
      <c r="Y168" s="0" t="str">
        <f aca="false">YEAR(K168)&amp;"-"&amp;TEXT(MONTH(K168),"00")</f>
        <v>2025-08</v>
      </c>
      <c r="Z168" s="0" t="str">
        <f aca="false">C168&amp;" → "&amp;D168</f>
        <v>Gujarat → Surat</v>
      </c>
      <c r="AA168" s="0" t="str">
        <f aca="false">Raw!Q168</f>
        <v>GATI Logistics</v>
      </c>
      <c r="AB168" s="0" t="str">
        <f aca="false">Raw!R168</f>
        <v>No</v>
      </c>
      <c r="AC168" s="0" t="str">
        <f aca="false">Raw!S168</f>
        <v>Expedited</v>
      </c>
      <c r="AD168" s="29" t="n">
        <f aca="false">Raw!N168</f>
        <v>8888.23</v>
      </c>
      <c r="AE168" s="29" t="n">
        <f aca="false">Raw!O168</f>
        <v>4327.45</v>
      </c>
      <c r="AF168" s="29" t="n">
        <f aca="false">Raw!P168</f>
        <v>1169.6</v>
      </c>
      <c r="AG168" s="29" t="n">
        <f aca="false">AD168/J168</f>
        <v>488.364285714286</v>
      </c>
    </row>
    <row r="169" customFormat="false" ht="15" hidden="false" customHeight="false" outlineLevel="0" collapsed="false">
      <c r="A169" s="0" t="str">
        <f aca="false">Raw!A169</f>
        <v>SHP0168</v>
      </c>
      <c r="B169" s="0" t="str">
        <f aca="false">Raw!B169</f>
        <v>Outbound</v>
      </c>
      <c r="C169" s="0" t="str">
        <f aca="false">Raw!C169</f>
        <v>Surat</v>
      </c>
      <c r="D169" s="0" t="str">
        <f aca="false">Raw!D169</f>
        <v>Mumbai</v>
      </c>
      <c r="E169" s="0" t="str">
        <f aca="false">IFERROR(INDEX(Location_Map!$B$2:$B$15,MATCH(C169,Location_Map!$A$2:$A$15,0)),"UNMAPPED")</f>
        <v>Gujarat</v>
      </c>
      <c r="F169" s="0" t="str">
        <f aca="false">IFERROR(INDEX(Location_Map!$C$2:$C$15,MATCH(C169,Location_Map!$A$2:$A$15,0)),"UNMAPPED")</f>
        <v>West</v>
      </c>
      <c r="G169" s="0" t="str">
        <f aca="false">IFERROR(INDEX(Location_Map!$B$2:$B$15,MATCH(D169,Location_Map!$A$2:$A$15,0)),"UNMAPPED")</f>
        <v>Maharashtra</v>
      </c>
      <c r="H169" s="0" t="str">
        <f aca="false">IFERROR(INDEX(Location_Map!$C$2:$C$15,MATCH(D169,Location_Map!$A$2:$A$15,0)),"UNMAPPED")</f>
        <v>West</v>
      </c>
      <c r="I169" s="0" t="str">
        <f aca="false">Raw!E169</f>
        <v>Raw Yarn</v>
      </c>
      <c r="J169" s="28" t="n">
        <f aca="false">Raw!F169</f>
        <v>2.33</v>
      </c>
      <c r="K169" s="30" t="n">
        <f aca="false">DATE(LEFT(Raw!G169,4),MID(Raw!G169,6,2),MID(Raw!G169,9,2))</f>
        <v>45850</v>
      </c>
      <c r="L169" s="30" t="n">
        <f aca="false">DATE(LEFT(Raw!H169,4),MID(Raw!H169,6,2),MID(Raw!H169,9,2))</f>
        <v>45852</v>
      </c>
      <c r="M169" s="30" t="n">
        <f aca="false">DATE(LEFT(Raw!I169,4),MID(Raw!I169,6,2),MID(Raw!I169,9,2))</f>
        <v>45855</v>
      </c>
      <c r="N169" s="31" t="n">
        <f aca="false">DATE(LEFT(Raw!J169,4),MID(Raw!J169,6,2),MID(Raw!J169,9,2))+TIME(MID(Raw!J169,12,2),MID(Raw!J169,15,2),MID(Raw!J169,18,2))</f>
        <v>45851.875</v>
      </c>
      <c r="O169" s="31" t="n">
        <f aca="false">DATE(LEFT(Raw!K169,4),MID(Raw!K169,6,2),MID(Raw!K169,9,2))+TIME(MID(Raw!K169,12,2),MID(Raw!K169,15,2),MID(Raw!K169,18,2))</f>
        <v>45854.9</v>
      </c>
      <c r="P169" s="32" t="n">
        <f aca="false">L169-K169</f>
        <v>2</v>
      </c>
      <c r="Q169" s="32" t="n">
        <f aca="false">M169-L169</f>
        <v>3</v>
      </c>
      <c r="R169" s="32" t="n">
        <f aca="false">O169-N169</f>
        <v>3.025</v>
      </c>
      <c r="S169" s="32" t="n">
        <f aca="false">Raw!L169</f>
        <v>-0.1</v>
      </c>
      <c r="T169" s="32" t="n">
        <f aca="false">O169-M169</f>
        <v>-0.1</v>
      </c>
      <c r="U169" s="0" t="str">
        <f aca="false">IF(ABS(T169-S169)&lt;0.01,"OK","MISMATCH")</f>
        <v>OK</v>
      </c>
      <c r="V169" s="33" t="n">
        <f aca="false">Raw!M169</f>
        <v>0</v>
      </c>
      <c r="W169" s="0" t="str">
        <f aca="false">IF((S169&gt;0)=(V169=1),"OK","MISMATCH")</f>
        <v>OK</v>
      </c>
      <c r="X169" s="0" t="str">
        <f aca="false">_xlfn.IFS(S169&lt;=0,"Early/On time",S169&lt;=2,"Minor (up to 2 days)",S169&lt;=5,"Moderate (2-5 days)",TRUE(),"Severe (over 5 days)")</f>
        <v>Early/On time</v>
      </c>
      <c r="Y169" s="0" t="str">
        <f aca="false">YEAR(K169)&amp;"-"&amp;TEXT(MONTH(K169),"00")</f>
        <v>2025-07</v>
      </c>
      <c r="Z169" s="0" t="str">
        <f aca="false">C169&amp;" → "&amp;D169</f>
        <v>Surat → Mumbai</v>
      </c>
      <c r="AA169" s="0" t="str">
        <f aca="false">Raw!Q169</f>
        <v>BlueDart</v>
      </c>
      <c r="AB169" s="0" t="str">
        <f aca="false">Raw!R169</f>
        <v>Yes</v>
      </c>
      <c r="AC169" s="0" t="str">
        <f aca="false">Raw!S169</f>
        <v>Held at warehouse</v>
      </c>
      <c r="AD169" s="29" t="n">
        <f aca="false">Raw!N169</f>
        <v>1888.24</v>
      </c>
      <c r="AE169" s="29" t="n">
        <f aca="false">Raw!O169</f>
        <v>2332.01</v>
      </c>
      <c r="AF169" s="29" t="n">
        <f aca="false">Raw!P169</f>
        <v>1169.49</v>
      </c>
      <c r="AG169" s="29" t="n">
        <f aca="false">AD169/J169</f>
        <v>810.403433476395</v>
      </c>
    </row>
    <row r="170" customFormat="false" ht="15" hidden="false" customHeight="false" outlineLevel="0" collapsed="false">
      <c r="A170" s="0" t="str">
        <f aca="false">Raw!A170</f>
        <v>SHP0169</v>
      </c>
      <c r="B170" s="0" t="str">
        <f aca="false">Raw!B170</f>
        <v>Inbound</v>
      </c>
      <c r="C170" s="0" t="str">
        <f aca="false">Raw!C170</f>
        <v>Rajasthan</v>
      </c>
      <c r="D170" s="0" t="str">
        <f aca="false">Raw!D170</f>
        <v>Surat</v>
      </c>
      <c r="E170" s="0" t="str">
        <f aca="false">IFERROR(INDEX(Location_Map!$B$2:$B$15,MATCH(C170,Location_Map!$A$2:$A$15,0)),"UNMAPPED")</f>
        <v>Rajasthan</v>
      </c>
      <c r="F170" s="0" t="str">
        <f aca="false">IFERROR(INDEX(Location_Map!$C$2:$C$15,MATCH(C170,Location_Map!$A$2:$A$15,0)),"UNMAPPED")</f>
        <v>North</v>
      </c>
      <c r="G170" s="0" t="str">
        <f aca="false">IFERROR(INDEX(Location_Map!$B$2:$B$15,MATCH(D170,Location_Map!$A$2:$A$15,0)),"UNMAPPED")</f>
        <v>Gujarat</v>
      </c>
      <c r="H170" s="0" t="str">
        <f aca="false">IFERROR(INDEX(Location_Map!$C$2:$C$15,MATCH(D170,Location_Map!$A$2:$A$15,0)),"UNMAPPED")</f>
        <v>West</v>
      </c>
      <c r="I170" s="0" t="str">
        <f aca="false">Raw!E170</f>
        <v>Raw Yarn</v>
      </c>
      <c r="J170" s="28" t="n">
        <f aca="false">Raw!F170</f>
        <v>19.89</v>
      </c>
      <c r="K170" s="30" t="n">
        <f aca="false">DATE(LEFT(Raw!G170,4),MID(Raw!G170,6,2),MID(Raw!G170,9,2))</f>
        <v>45856</v>
      </c>
      <c r="L170" s="30" t="n">
        <f aca="false">DATE(LEFT(Raw!H170,4),MID(Raw!H170,6,2),MID(Raw!H170,9,2))</f>
        <v>45859</v>
      </c>
      <c r="M170" s="30" t="n">
        <f aca="false">DATE(LEFT(Raw!I170,4),MID(Raw!I170,6,2),MID(Raw!I170,9,2))</f>
        <v>45862</v>
      </c>
      <c r="N170" s="31" t="n">
        <f aca="false">DATE(LEFT(Raw!J170,4),MID(Raw!J170,6,2),MID(Raw!J170,9,2))+TIME(MID(Raw!J170,12,2),MID(Raw!J170,15,2),MID(Raw!J170,18,2))</f>
        <v>45859</v>
      </c>
      <c r="O170" s="31" t="n">
        <f aca="false">DATE(LEFT(Raw!K170,4),MID(Raw!K170,6,2),MID(Raw!K170,9,2))+TIME(MID(Raw!K170,12,2),MID(Raw!K170,15,2),MID(Raw!K170,18,2))</f>
        <v>45861</v>
      </c>
      <c r="P170" s="32" t="n">
        <f aca="false">L170-K170</f>
        <v>3</v>
      </c>
      <c r="Q170" s="32" t="n">
        <f aca="false">M170-L170</f>
        <v>3</v>
      </c>
      <c r="R170" s="32" t="n">
        <f aca="false">O170-N170</f>
        <v>2</v>
      </c>
      <c r="S170" s="32" t="n">
        <f aca="false">Raw!L170</f>
        <v>-1</v>
      </c>
      <c r="T170" s="32" t="n">
        <f aca="false">O170-M170</f>
        <v>-1</v>
      </c>
      <c r="U170" s="0" t="str">
        <f aca="false">IF(ABS(T170-S170)&lt;0.01,"OK","MISMATCH")</f>
        <v>OK</v>
      </c>
      <c r="V170" s="33" t="n">
        <f aca="false">Raw!M170</f>
        <v>0</v>
      </c>
      <c r="W170" s="0" t="str">
        <f aca="false">IF((S170&gt;0)=(V170=1),"OK","MISMATCH")</f>
        <v>OK</v>
      </c>
      <c r="X170" s="0" t="str">
        <f aca="false">_xlfn.IFS(S170&lt;=0,"Early/On time",S170&lt;=2,"Minor (up to 2 days)",S170&lt;=5,"Moderate (2-5 days)",TRUE(),"Severe (over 5 days)")</f>
        <v>Early/On time</v>
      </c>
      <c r="Y170" s="0" t="str">
        <f aca="false">YEAR(K170)&amp;"-"&amp;TEXT(MONTH(K170),"00")</f>
        <v>2025-07</v>
      </c>
      <c r="Z170" s="0" t="str">
        <f aca="false">C170&amp;" → "&amp;D170</f>
        <v>Rajasthan → Surat</v>
      </c>
      <c r="AA170" s="0" t="str">
        <f aca="false">Raw!Q170</f>
        <v>VRL Cargo</v>
      </c>
      <c r="AB170" s="0" t="str">
        <f aca="false">Raw!R170</f>
        <v>No</v>
      </c>
      <c r="AC170" s="0" t="str">
        <f aca="false">Raw!S170</f>
        <v>Returned</v>
      </c>
      <c r="AD170" s="29" t="n">
        <f aca="false">Raw!N170</f>
        <v>12252.66</v>
      </c>
      <c r="AE170" s="29" t="n">
        <f aca="false">Raw!O170</f>
        <v>1701.21</v>
      </c>
      <c r="AF170" s="29" t="n">
        <f aca="false">Raw!P170</f>
        <v>1190</v>
      </c>
      <c r="AG170" s="29" t="n">
        <f aca="false">AD170/J170</f>
        <v>616.021116138763</v>
      </c>
    </row>
    <row r="171" customFormat="false" ht="15" hidden="false" customHeight="false" outlineLevel="0" collapsed="false">
      <c r="A171" s="0" t="str">
        <f aca="false">Raw!A171</f>
        <v>SHP0170</v>
      </c>
      <c r="B171" s="0" t="str">
        <f aca="false">Raw!B171</f>
        <v>Outbound</v>
      </c>
      <c r="C171" s="0" t="str">
        <f aca="false">Raw!C171</f>
        <v>Surat</v>
      </c>
      <c r="D171" s="0" t="str">
        <f aca="false">Raw!D171</f>
        <v>Assam</v>
      </c>
      <c r="E171" s="0" t="str">
        <f aca="false">IFERROR(INDEX(Location_Map!$B$2:$B$15,MATCH(C171,Location_Map!$A$2:$A$15,0)),"UNMAPPED")</f>
        <v>Gujarat</v>
      </c>
      <c r="F171" s="0" t="str">
        <f aca="false">IFERROR(INDEX(Location_Map!$C$2:$C$15,MATCH(C171,Location_Map!$A$2:$A$15,0)),"UNMAPPED")</f>
        <v>West</v>
      </c>
      <c r="G171" s="0" t="str">
        <f aca="false">IFERROR(INDEX(Location_Map!$B$2:$B$15,MATCH(D171,Location_Map!$A$2:$A$15,0)),"UNMAPPED")</f>
        <v>Assam</v>
      </c>
      <c r="H171" s="0" t="str">
        <f aca="false">IFERROR(INDEX(Location_Map!$C$2:$C$15,MATCH(D171,Location_Map!$A$2:$A$15,0)),"UNMAPPED")</f>
        <v>North-East</v>
      </c>
      <c r="I171" s="0" t="str">
        <f aca="false">Raw!E171</f>
        <v>Raw Yarn</v>
      </c>
      <c r="J171" s="28" t="n">
        <f aca="false">Raw!F171</f>
        <v>4.82</v>
      </c>
      <c r="K171" s="30" t="n">
        <f aca="false">DATE(LEFT(Raw!G171,4),MID(Raw!G171,6,2),MID(Raw!G171,9,2))</f>
        <v>45818</v>
      </c>
      <c r="L171" s="30" t="n">
        <f aca="false">DATE(LEFT(Raw!H171,4),MID(Raw!H171,6,2),MID(Raw!H171,9,2))</f>
        <v>45819</v>
      </c>
      <c r="M171" s="30" t="n">
        <f aca="false">DATE(LEFT(Raw!I171,4),MID(Raw!I171,6,2),MID(Raw!I171,9,2))</f>
        <v>45821</v>
      </c>
      <c r="N171" s="31" t="n">
        <f aca="false">DATE(LEFT(Raw!J171,4),MID(Raw!J171,6,2),MID(Raw!J171,9,2))+TIME(MID(Raw!J171,12,2),MID(Raw!J171,15,2),MID(Raw!J171,18,2))</f>
        <v>45819.0416666667</v>
      </c>
      <c r="O171" s="31" t="n">
        <f aca="false">DATE(LEFT(Raw!K171,4),MID(Raw!K171,6,2),MID(Raw!K171,9,2))+TIME(MID(Raw!K171,12,2),MID(Raw!K171,15,2),MID(Raw!K171,18,2))</f>
        <v>45821.1</v>
      </c>
      <c r="P171" s="32" t="n">
        <f aca="false">L171-K171</f>
        <v>1</v>
      </c>
      <c r="Q171" s="32" t="n">
        <f aca="false">M171-L171</f>
        <v>2</v>
      </c>
      <c r="R171" s="32" t="n">
        <f aca="false">O171-N171</f>
        <v>2.05833333333333</v>
      </c>
      <c r="S171" s="32" t="n">
        <f aca="false">Raw!L171</f>
        <v>0.1</v>
      </c>
      <c r="T171" s="32" t="n">
        <f aca="false">O171-M171</f>
        <v>0.1</v>
      </c>
      <c r="U171" s="0" t="str">
        <f aca="false">IF(ABS(T171-S171)&lt;0.01,"OK","MISMATCH")</f>
        <v>OK</v>
      </c>
      <c r="V171" s="33" t="n">
        <f aca="false">Raw!M171</f>
        <v>1</v>
      </c>
      <c r="W171" s="0" t="str">
        <f aca="false">IF((S171&gt;0)=(V171=1),"OK","MISMATCH")</f>
        <v>OK</v>
      </c>
      <c r="X171" s="0" t="str">
        <f aca="false">_xlfn.IFS(S171&lt;=0,"Early/On time",S171&lt;=2,"Minor (up to 2 days)",S171&lt;=5,"Moderate (2-5 days)",TRUE(),"Severe (over 5 days)")</f>
        <v>Minor (up to 2 days)</v>
      </c>
      <c r="Y171" s="0" t="str">
        <f aca="false">YEAR(K171)&amp;"-"&amp;TEXT(MONTH(K171),"00")</f>
        <v>2025-06</v>
      </c>
      <c r="Z171" s="0" t="str">
        <f aca="false">C171&amp;" → "&amp;D171</f>
        <v>Surat → Assam</v>
      </c>
      <c r="AA171" s="0" t="str">
        <f aca="false">Raw!Q171</f>
        <v>VRL Cargo</v>
      </c>
      <c r="AB171" s="0" t="str">
        <f aca="false">Raw!R171</f>
        <v>Yes</v>
      </c>
      <c r="AC171" s="0" t="str">
        <f aca="false">Raw!S171</f>
        <v>Returned</v>
      </c>
      <c r="AD171" s="29" t="n">
        <f aca="false">Raw!N171</f>
        <v>3189.8</v>
      </c>
      <c r="AE171" s="29" t="n">
        <f aca="false">Raw!O171</f>
        <v>3659.65</v>
      </c>
      <c r="AF171" s="29" t="n">
        <f aca="false">Raw!P171</f>
        <v>1295.45</v>
      </c>
      <c r="AG171" s="29" t="n">
        <f aca="false">AD171/J171</f>
        <v>661.784232365145</v>
      </c>
    </row>
    <row r="172" customFormat="false" ht="15" hidden="false" customHeight="false" outlineLevel="0" collapsed="false">
      <c r="A172" s="0" t="str">
        <f aca="false">Raw!A172</f>
        <v>SHP0171</v>
      </c>
      <c r="B172" s="0" t="str">
        <f aca="false">Raw!B172</f>
        <v>Outbound</v>
      </c>
      <c r="C172" s="0" t="str">
        <f aca="false">Raw!C172</f>
        <v>Surat</v>
      </c>
      <c r="D172" s="0" t="str">
        <f aca="false">Raw!D172</f>
        <v>Gujarat</v>
      </c>
      <c r="E172" s="0" t="str">
        <f aca="false">IFERROR(INDEX(Location_Map!$B$2:$B$15,MATCH(C172,Location_Map!$A$2:$A$15,0)),"UNMAPPED")</f>
        <v>Gujarat</v>
      </c>
      <c r="F172" s="0" t="str">
        <f aca="false">IFERROR(INDEX(Location_Map!$C$2:$C$15,MATCH(C172,Location_Map!$A$2:$A$15,0)),"UNMAPPED")</f>
        <v>West</v>
      </c>
      <c r="G172" s="0" t="str">
        <f aca="false">IFERROR(INDEX(Location_Map!$B$2:$B$15,MATCH(D172,Location_Map!$A$2:$A$15,0)),"UNMAPPED")</f>
        <v>Gujarat</v>
      </c>
      <c r="H172" s="0" t="str">
        <f aca="false">IFERROR(INDEX(Location_Map!$C$2:$C$15,MATCH(D172,Location_Map!$A$2:$A$15,0)),"UNMAPPED")</f>
        <v>West</v>
      </c>
      <c r="I172" s="0" t="str">
        <f aca="false">Raw!E172</f>
        <v>Semi-Processed Yarn</v>
      </c>
      <c r="J172" s="28" t="n">
        <f aca="false">Raw!F172</f>
        <v>18.62</v>
      </c>
      <c r="K172" s="30" t="n">
        <f aca="false">DATE(LEFT(Raw!G172,4),MID(Raw!G172,6,2),MID(Raw!G172,9,2))</f>
        <v>45728</v>
      </c>
      <c r="L172" s="30" t="n">
        <f aca="false">DATE(LEFT(Raw!H172,4),MID(Raw!H172,6,2),MID(Raw!H172,9,2))</f>
        <v>45730</v>
      </c>
      <c r="M172" s="30" t="n">
        <f aca="false">DATE(LEFT(Raw!I172,4),MID(Raw!I172,6,2),MID(Raw!I172,9,2))</f>
        <v>45736</v>
      </c>
      <c r="N172" s="31" t="n">
        <f aca="false">DATE(LEFT(Raw!J172,4),MID(Raw!J172,6,2),MID(Raw!J172,9,2))+TIME(MID(Raw!J172,12,2),MID(Raw!J172,15,2),MID(Raw!J172,18,2))</f>
        <v>45729.7916666667</v>
      </c>
      <c r="O172" s="31" t="n">
        <f aca="false">DATE(LEFT(Raw!K172,4),MID(Raw!K172,6,2),MID(Raw!K172,9,2))+TIME(MID(Raw!K172,12,2),MID(Raw!K172,15,2),MID(Raw!K172,18,2))</f>
        <v>45740.6</v>
      </c>
      <c r="P172" s="32" t="n">
        <f aca="false">L172-K172</f>
        <v>2</v>
      </c>
      <c r="Q172" s="32" t="n">
        <f aca="false">M172-L172</f>
        <v>6</v>
      </c>
      <c r="R172" s="32" t="n">
        <f aca="false">O172-N172</f>
        <v>10.8083333333333</v>
      </c>
      <c r="S172" s="32" t="n">
        <f aca="false">Raw!L172</f>
        <v>4.6</v>
      </c>
      <c r="T172" s="32" t="n">
        <f aca="false">O172-M172</f>
        <v>4.6</v>
      </c>
      <c r="U172" s="0" t="str">
        <f aca="false">IF(ABS(T172-S172)&lt;0.01,"OK","MISMATCH")</f>
        <v>OK</v>
      </c>
      <c r="V172" s="33" t="n">
        <f aca="false">Raw!M172</f>
        <v>1</v>
      </c>
      <c r="W172" s="0" t="str">
        <f aca="false">IF((S172&gt;0)=(V172=1),"OK","MISMATCH")</f>
        <v>OK</v>
      </c>
      <c r="X172" s="0" t="str">
        <f aca="false">_xlfn.IFS(S172&lt;=0,"Early/On time",S172&lt;=2,"Minor (up to 2 days)",S172&lt;=5,"Moderate (2-5 days)",TRUE(),"Severe (over 5 days)")</f>
        <v>Moderate (2-5 days)</v>
      </c>
      <c r="Y172" s="0" t="str">
        <f aca="false">YEAR(K172)&amp;"-"&amp;TEXT(MONTH(K172),"00")</f>
        <v>2025-03</v>
      </c>
      <c r="Z172" s="0" t="str">
        <f aca="false">C172&amp;" → "&amp;D172</f>
        <v>Surat → Gujarat</v>
      </c>
      <c r="AA172" s="0" t="str">
        <f aca="false">Raw!Q172</f>
        <v>Delhivery</v>
      </c>
      <c r="AB172" s="0" t="str">
        <f aca="false">Raw!R172</f>
        <v>Yes</v>
      </c>
      <c r="AC172" s="0" t="str">
        <f aca="false">Raw!S172</f>
        <v>Expedited</v>
      </c>
      <c r="AD172" s="29" t="n">
        <f aca="false">Raw!N172</f>
        <v>10980.05</v>
      </c>
      <c r="AE172" s="29" t="n">
        <f aca="false">Raw!O172</f>
        <v>3494.34</v>
      </c>
      <c r="AF172" s="29" t="n">
        <f aca="false">Raw!P172</f>
        <v>589.12</v>
      </c>
      <c r="AG172" s="29" t="n">
        <f aca="false">AD172/J172</f>
        <v>589.69119226638</v>
      </c>
    </row>
    <row r="173" customFormat="false" ht="15" hidden="false" customHeight="false" outlineLevel="0" collapsed="false">
      <c r="A173" s="0" t="str">
        <f aca="false">Raw!A173</f>
        <v>SHP0172</v>
      </c>
      <c r="B173" s="0" t="str">
        <f aca="false">Raw!B173</f>
        <v>Inbound</v>
      </c>
      <c r="C173" s="0" t="str">
        <f aca="false">Raw!C173</f>
        <v>Punjab</v>
      </c>
      <c r="D173" s="0" t="str">
        <f aca="false">Raw!D173</f>
        <v>Surat</v>
      </c>
      <c r="E173" s="0" t="str">
        <f aca="false">IFERROR(INDEX(Location_Map!$B$2:$B$15,MATCH(C173,Location_Map!$A$2:$A$15,0)),"UNMAPPED")</f>
        <v>Punjab</v>
      </c>
      <c r="F173" s="0" t="str">
        <f aca="false">IFERROR(INDEX(Location_Map!$C$2:$C$15,MATCH(C173,Location_Map!$A$2:$A$15,0)),"UNMAPPED")</f>
        <v>North</v>
      </c>
      <c r="G173" s="0" t="str">
        <f aca="false">IFERROR(INDEX(Location_Map!$B$2:$B$15,MATCH(D173,Location_Map!$A$2:$A$15,0)),"UNMAPPED")</f>
        <v>Gujarat</v>
      </c>
      <c r="H173" s="0" t="str">
        <f aca="false">IFERROR(INDEX(Location_Map!$C$2:$C$15,MATCH(D173,Location_Map!$A$2:$A$15,0)),"UNMAPPED")</f>
        <v>West</v>
      </c>
      <c r="I173" s="0" t="str">
        <f aca="false">Raw!E173</f>
        <v>Semi-Processed Yarn</v>
      </c>
      <c r="J173" s="28" t="n">
        <f aca="false">Raw!F173</f>
        <v>15.35</v>
      </c>
      <c r="K173" s="30" t="n">
        <f aca="false">DATE(LEFT(Raw!G173,4),MID(Raw!G173,6,2),MID(Raw!G173,9,2))</f>
        <v>45696</v>
      </c>
      <c r="L173" s="30" t="n">
        <f aca="false">DATE(LEFT(Raw!H173,4),MID(Raw!H173,6,2),MID(Raw!H173,9,2))</f>
        <v>45700</v>
      </c>
      <c r="M173" s="30" t="n">
        <f aca="false">DATE(LEFT(Raw!I173,4),MID(Raw!I173,6,2),MID(Raw!I173,9,2))</f>
        <v>45705</v>
      </c>
      <c r="N173" s="31" t="n">
        <f aca="false">DATE(LEFT(Raw!J173,4),MID(Raw!J173,6,2),MID(Raw!J173,9,2))+TIME(MID(Raw!J173,12,2),MID(Raw!J173,15,2),MID(Raw!J173,18,2))</f>
        <v>45699.8333333333</v>
      </c>
      <c r="O173" s="31" t="n">
        <f aca="false">DATE(LEFT(Raw!K173,4),MID(Raw!K173,6,2),MID(Raw!K173,9,2))+TIME(MID(Raw!K173,12,2),MID(Raw!K173,15,2),MID(Raw!K173,18,2))</f>
        <v>45709.3</v>
      </c>
      <c r="P173" s="32" t="n">
        <f aca="false">L173-K173</f>
        <v>4</v>
      </c>
      <c r="Q173" s="32" t="n">
        <f aca="false">M173-L173</f>
        <v>5</v>
      </c>
      <c r="R173" s="32" t="n">
        <f aca="false">O173-N173</f>
        <v>9.46666666666667</v>
      </c>
      <c r="S173" s="32" t="n">
        <f aca="false">Raw!L173</f>
        <v>4.3</v>
      </c>
      <c r="T173" s="32" t="n">
        <f aca="false">O173-M173</f>
        <v>4.3</v>
      </c>
      <c r="U173" s="0" t="str">
        <f aca="false">IF(ABS(T173-S173)&lt;0.01,"OK","MISMATCH")</f>
        <v>OK</v>
      </c>
      <c r="V173" s="33" t="n">
        <f aca="false">Raw!M173</f>
        <v>1</v>
      </c>
      <c r="W173" s="0" t="str">
        <f aca="false">IF((S173&gt;0)=(V173=1),"OK","MISMATCH")</f>
        <v>OK</v>
      </c>
      <c r="X173" s="0" t="str">
        <f aca="false">_xlfn.IFS(S173&lt;=0,"Early/On time",S173&lt;=2,"Minor (up to 2 days)",S173&lt;=5,"Moderate (2-5 days)",TRUE(),"Severe (over 5 days)")</f>
        <v>Moderate (2-5 days)</v>
      </c>
      <c r="Y173" s="0" t="str">
        <f aca="false">YEAR(K173)&amp;"-"&amp;TEXT(MONTH(K173),"00")</f>
        <v>2025-02</v>
      </c>
      <c r="Z173" s="0" t="str">
        <f aca="false">C173&amp;" → "&amp;D173</f>
        <v>Punjab → Surat</v>
      </c>
      <c r="AA173" s="0" t="str">
        <f aca="false">Raw!Q173</f>
        <v>BlueDart</v>
      </c>
      <c r="AB173" s="0" t="str">
        <f aca="false">Raw!R173</f>
        <v>Yes</v>
      </c>
      <c r="AC173" s="0" t="str">
        <f aca="false">Raw!S173</f>
        <v>Damaged</v>
      </c>
      <c r="AD173" s="29" t="n">
        <f aca="false">Raw!N173</f>
        <v>3847.61</v>
      </c>
      <c r="AE173" s="29" t="n">
        <f aca="false">Raw!O173</f>
        <v>1909.43</v>
      </c>
      <c r="AF173" s="29" t="n">
        <f aca="false">Raw!P173</f>
        <v>841.67</v>
      </c>
      <c r="AG173" s="29" t="n">
        <f aca="false">AD173/J173</f>
        <v>250.658631921824</v>
      </c>
    </row>
    <row r="174" customFormat="false" ht="15" hidden="false" customHeight="false" outlineLevel="0" collapsed="false">
      <c r="A174" s="0" t="str">
        <f aca="false">Raw!A174</f>
        <v>SHP0173</v>
      </c>
      <c r="B174" s="0" t="str">
        <f aca="false">Raw!B174</f>
        <v>Outbound</v>
      </c>
      <c r="C174" s="0" t="str">
        <f aca="false">Raw!C174</f>
        <v>Surat</v>
      </c>
      <c r="D174" s="0" t="str">
        <f aca="false">Raw!D174</f>
        <v>Uttarakhand</v>
      </c>
      <c r="E174" s="0" t="str">
        <f aca="false">IFERROR(INDEX(Location_Map!$B$2:$B$15,MATCH(C174,Location_Map!$A$2:$A$15,0)),"UNMAPPED")</f>
        <v>Gujarat</v>
      </c>
      <c r="F174" s="0" t="str">
        <f aca="false">IFERROR(INDEX(Location_Map!$C$2:$C$15,MATCH(C174,Location_Map!$A$2:$A$15,0)),"UNMAPPED")</f>
        <v>West</v>
      </c>
      <c r="G174" s="0" t="str">
        <f aca="false">IFERROR(INDEX(Location_Map!$B$2:$B$15,MATCH(D174,Location_Map!$A$2:$A$15,0)),"UNMAPPED")</f>
        <v>Uttarakhand</v>
      </c>
      <c r="H174" s="0" t="str">
        <f aca="false">IFERROR(INDEX(Location_Map!$C$2:$C$15,MATCH(D174,Location_Map!$A$2:$A$15,0)),"UNMAPPED")</f>
        <v>North</v>
      </c>
      <c r="I174" s="0" t="str">
        <f aca="false">Raw!E174</f>
        <v>Raw Yarn</v>
      </c>
      <c r="J174" s="28" t="n">
        <f aca="false">Raw!F174</f>
        <v>8.24</v>
      </c>
      <c r="K174" s="30" t="n">
        <f aca="false">DATE(LEFT(Raw!G174,4),MID(Raw!G174,6,2),MID(Raw!G174,9,2))</f>
        <v>45761</v>
      </c>
      <c r="L174" s="30" t="n">
        <f aca="false">DATE(LEFT(Raw!H174,4),MID(Raw!H174,6,2),MID(Raw!H174,9,2))</f>
        <v>45762</v>
      </c>
      <c r="M174" s="30" t="n">
        <f aca="false">DATE(LEFT(Raw!I174,4),MID(Raw!I174,6,2),MID(Raw!I174,9,2))</f>
        <v>45764</v>
      </c>
      <c r="N174" s="31" t="n">
        <f aca="false">DATE(LEFT(Raw!J174,4),MID(Raw!J174,6,2),MID(Raw!J174,9,2))+TIME(MID(Raw!J174,12,2),MID(Raw!J174,15,2),MID(Raw!J174,18,2))</f>
        <v>45762.0416666667</v>
      </c>
      <c r="O174" s="31" t="n">
        <f aca="false">DATE(LEFT(Raw!K174,4),MID(Raw!K174,6,2),MID(Raw!K174,9,2))+TIME(MID(Raw!K174,12,2),MID(Raw!K174,15,2),MID(Raw!K174,18,2))</f>
        <v>45763.5</v>
      </c>
      <c r="P174" s="32" t="n">
        <f aca="false">L174-K174</f>
        <v>1</v>
      </c>
      <c r="Q174" s="32" t="n">
        <f aca="false">M174-L174</f>
        <v>2</v>
      </c>
      <c r="R174" s="32" t="n">
        <f aca="false">O174-N174</f>
        <v>1.45833333333333</v>
      </c>
      <c r="S174" s="32" t="n">
        <f aca="false">Raw!L174</f>
        <v>-0.5</v>
      </c>
      <c r="T174" s="32" t="n">
        <f aca="false">O174-M174</f>
        <v>-0.5</v>
      </c>
      <c r="U174" s="0" t="str">
        <f aca="false">IF(ABS(T174-S174)&lt;0.01,"OK","MISMATCH")</f>
        <v>OK</v>
      </c>
      <c r="V174" s="33" t="n">
        <f aca="false">Raw!M174</f>
        <v>0</v>
      </c>
      <c r="W174" s="0" t="str">
        <f aca="false">IF((S174&gt;0)=(V174=1),"OK","MISMATCH")</f>
        <v>OK</v>
      </c>
      <c r="X174" s="0" t="str">
        <f aca="false">_xlfn.IFS(S174&lt;=0,"Early/On time",S174&lt;=2,"Minor (up to 2 days)",S174&lt;=5,"Moderate (2-5 days)",TRUE(),"Severe (over 5 days)")</f>
        <v>Early/On time</v>
      </c>
      <c r="Y174" s="0" t="str">
        <f aca="false">YEAR(K174)&amp;"-"&amp;TEXT(MONTH(K174),"00")</f>
        <v>2025-04</v>
      </c>
      <c r="Z174" s="0" t="str">
        <f aca="false">C174&amp;" → "&amp;D174</f>
        <v>Surat → Uttarakhand</v>
      </c>
      <c r="AA174" s="0" t="str">
        <f aca="false">Raw!Q174</f>
        <v>GATI Logistics</v>
      </c>
      <c r="AB174" s="0" t="str">
        <f aca="false">Raw!R174</f>
        <v>No</v>
      </c>
      <c r="AC174" s="0" t="str">
        <f aca="false">Raw!S174</f>
        <v>Held at warehouse</v>
      </c>
      <c r="AD174" s="29" t="n">
        <f aca="false">Raw!N174</f>
        <v>7025.04</v>
      </c>
      <c r="AE174" s="29" t="n">
        <f aca="false">Raw!O174</f>
        <v>1647.06</v>
      </c>
      <c r="AF174" s="29" t="n">
        <f aca="false">Raw!P174</f>
        <v>1286.28</v>
      </c>
      <c r="AG174" s="29" t="n">
        <f aca="false">AD174/J174</f>
        <v>852.553398058252</v>
      </c>
    </row>
    <row r="175" customFormat="false" ht="15" hidden="false" customHeight="false" outlineLevel="0" collapsed="false">
      <c r="A175" s="0" t="str">
        <f aca="false">Raw!A175</f>
        <v>SHP0174</v>
      </c>
      <c r="B175" s="0" t="str">
        <f aca="false">Raw!B175</f>
        <v>Outbound</v>
      </c>
      <c r="C175" s="0" t="str">
        <f aca="false">Raw!C175</f>
        <v>Surat</v>
      </c>
      <c r="D175" s="0" t="str">
        <f aca="false">Raw!D175</f>
        <v>Kerala</v>
      </c>
      <c r="E175" s="0" t="str">
        <f aca="false">IFERROR(INDEX(Location_Map!$B$2:$B$15,MATCH(C175,Location_Map!$A$2:$A$15,0)),"UNMAPPED")</f>
        <v>Gujarat</v>
      </c>
      <c r="F175" s="0" t="str">
        <f aca="false">IFERROR(INDEX(Location_Map!$C$2:$C$15,MATCH(C175,Location_Map!$A$2:$A$15,0)),"UNMAPPED")</f>
        <v>West</v>
      </c>
      <c r="G175" s="0" t="str">
        <f aca="false">IFERROR(INDEX(Location_Map!$B$2:$B$15,MATCH(D175,Location_Map!$A$2:$A$15,0)),"UNMAPPED")</f>
        <v>Kerala</v>
      </c>
      <c r="H175" s="0" t="str">
        <f aca="false">IFERROR(INDEX(Location_Map!$C$2:$C$15,MATCH(D175,Location_Map!$A$2:$A$15,0)),"UNMAPPED")</f>
        <v>South</v>
      </c>
      <c r="I175" s="0" t="str">
        <f aca="false">Raw!E175</f>
        <v>Finished Yarn</v>
      </c>
      <c r="J175" s="28" t="n">
        <f aca="false">Raw!F175</f>
        <v>11.92</v>
      </c>
      <c r="K175" s="30" t="n">
        <f aca="false">DATE(LEFT(Raw!G175,4),MID(Raw!G175,6,2),MID(Raw!G175,9,2))</f>
        <v>45827</v>
      </c>
      <c r="L175" s="30" t="n">
        <f aca="false">DATE(LEFT(Raw!H175,4),MID(Raw!H175,6,2),MID(Raw!H175,9,2))</f>
        <v>45829</v>
      </c>
      <c r="M175" s="30" t="n">
        <f aca="false">DATE(LEFT(Raw!I175,4),MID(Raw!I175,6,2),MID(Raw!I175,9,2))</f>
        <v>45834</v>
      </c>
      <c r="N175" s="31" t="n">
        <f aca="false">DATE(LEFT(Raw!J175,4),MID(Raw!J175,6,2),MID(Raw!J175,9,2))+TIME(MID(Raw!J175,12,2),MID(Raw!J175,15,2),MID(Raw!J175,18,2))</f>
        <v>45829.375</v>
      </c>
      <c r="O175" s="31" t="n">
        <f aca="false">DATE(LEFT(Raw!K175,4),MID(Raw!K175,6,2),MID(Raw!K175,9,2))+TIME(MID(Raw!K175,12,2),MID(Raw!K175,15,2),MID(Raw!K175,18,2))</f>
        <v>45833</v>
      </c>
      <c r="P175" s="32" t="n">
        <f aca="false">L175-K175</f>
        <v>2</v>
      </c>
      <c r="Q175" s="32" t="n">
        <f aca="false">M175-L175</f>
        <v>5</v>
      </c>
      <c r="R175" s="32" t="n">
        <f aca="false">O175-N175</f>
        <v>3.625</v>
      </c>
      <c r="S175" s="32" t="n">
        <f aca="false">Raw!L175</f>
        <v>-1</v>
      </c>
      <c r="T175" s="32" t="n">
        <f aca="false">O175-M175</f>
        <v>-1</v>
      </c>
      <c r="U175" s="0" t="str">
        <f aca="false">IF(ABS(T175-S175)&lt;0.01,"OK","MISMATCH")</f>
        <v>OK</v>
      </c>
      <c r="V175" s="33" t="n">
        <f aca="false">Raw!M175</f>
        <v>0</v>
      </c>
      <c r="W175" s="0" t="str">
        <f aca="false">IF((S175&gt;0)=(V175=1),"OK","MISMATCH")</f>
        <v>OK</v>
      </c>
      <c r="X175" s="0" t="str">
        <f aca="false">_xlfn.IFS(S175&lt;=0,"Early/On time",S175&lt;=2,"Minor (up to 2 days)",S175&lt;=5,"Moderate (2-5 days)",TRUE(),"Severe (over 5 days)")</f>
        <v>Early/On time</v>
      </c>
      <c r="Y175" s="0" t="str">
        <f aca="false">YEAR(K175)&amp;"-"&amp;TEXT(MONTH(K175),"00")</f>
        <v>2025-06</v>
      </c>
      <c r="Z175" s="0" t="str">
        <f aca="false">C175&amp;" → "&amp;D175</f>
        <v>Surat → Kerala</v>
      </c>
      <c r="AA175" s="0" t="str">
        <f aca="false">Raw!Q175</f>
        <v>TCI Express</v>
      </c>
      <c r="AB175" s="0" t="str">
        <f aca="false">Raw!R175</f>
        <v>No</v>
      </c>
      <c r="AC175" s="0" t="str">
        <f aca="false">Raw!S175</f>
        <v>Damaged</v>
      </c>
      <c r="AD175" s="29" t="n">
        <f aca="false">Raw!N175</f>
        <v>5658.58</v>
      </c>
      <c r="AE175" s="29" t="n">
        <f aca="false">Raw!O175</f>
        <v>3511.8</v>
      </c>
      <c r="AF175" s="29" t="n">
        <f aca="false">Raw!P175</f>
        <v>1174.3</v>
      </c>
      <c r="AG175" s="29" t="n">
        <f aca="false">AD175/J175</f>
        <v>474.713087248322</v>
      </c>
    </row>
    <row r="176" customFormat="false" ht="15" hidden="false" customHeight="false" outlineLevel="0" collapsed="false">
      <c r="A176" s="0" t="str">
        <f aca="false">Raw!A176</f>
        <v>SHP0175</v>
      </c>
      <c r="B176" s="0" t="str">
        <f aca="false">Raw!B176</f>
        <v>Outbound</v>
      </c>
      <c r="C176" s="0" t="str">
        <f aca="false">Raw!C176</f>
        <v>Surat</v>
      </c>
      <c r="D176" s="0" t="str">
        <f aca="false">Raw!D176</f>
        <v>Gujarat</v>
      </c>
      <c r="E176" s="0" t="str">
        <f aca="false">IFERROR(INDEX(Location_Map!$B$2:$B$15,MATCH(C176,Location_Map!$A$2:$A$15,0)),"UNMAPPED")</f>
        <v>Gujarat</v>
      </c>
      <c r="F176" s="0" t="str">
        <f aca="false">IFERROR(INDEX(Location_Map!$C$2:$C$15,MATCH(C176,Location_Map!$A$2:$A$15,0)),"UNMAPPED")</f>
        <v>West</v>
      </c>
      <c r="G176" s="0" t="str">
        <f aca="false">IFERROR(INDEX(Location_Map!$B$2:$B$15,MATCH(D176,Location_Map!$A$2:$A$15,0)),"UNMAPPED")</f>
        <v>Gujarat</v>
      </c>
      <c r="H176" s="0" t="str">
        <f aca="false">IFERROR(INDEX(Location_Map!$C$2:$C$15,MATCH(D176,Location_Map!$A$2:$A$15,0)),"UNMAPPED")</f>
        <v>West</v>
      </c>
      <c r="I176" s="0" t="str">
        <f aca="false">Raw!E176</f>
        <v>Semi-Processed Yarn</v>
      </c>
      <c r="J176" s="28" t="n">
        <f aca="false">Raw!F176</f>
        <v>11.12</v>
      </c>
      <c r="K176" s="30" t="n">
        <f aca="false">DATE(LEFT(Raw!G176,4),MID(Raw!G176,6,2),MID(Raw!G176,9,2))</f>
        <v>45874</v>
      </c>
      <c r="L176" s="30" t="n">
        <f aca="false">DATE(LEFT(Raw!H176,4),MID(Raw!H176,6,2),MID(Raw!H176,9,2))</f>
        <v>45875</v>
      </c>
      <c r="M176" s="30" t="n">
        <f aca="false">DATE(LEFT(Raw!I176,4),MID(Raw!I176,6,2),MID(Raw!I176,9,2))</f>
        <v>45880</v>
      </c>
      <c r="N176" s="31" t="n">
        <f aca="false">DATE(LEFT(Raw!J176,4),MID(Raw!J176,6,2),MID(Raw!J176,9,2))+TIME(MID(Raw!J176,12,2),MID(Raw!J176,15,2),MID(Raw!J176,18,2))</f>
        <v>45874.875</v>
      </c>
      <c r="O176" s="31" t="n">
        <f aca="false">DATE(LEFT(Raw!K176,4),MID(Raw!K176,6,2),MID(Raw!K176,9,2))+TIME(MID(Raw!K176,12,2),MID(Raw!K176,15,2),MID(Raw!K176,18,2))</f>
        <v>45880.4</v>
      </c>
      <c r="P176" s="32" t="n">
        <f aca="false">L176-K176</f>
        <v>1</v>
      </c>
      <c r="Q176" s="32" t="n">
        <f aca="false">M176-L176</f>
        <v>5</v>
      </c>
      <c r="R176" s="32" t="n">
        <f aca="false">O176-N176</f>
        <v>5.525</v>
      </c>
      <c r="S176" s="32" t="n">
        <f aca="false">Raw!L176</f>
        <v>0.4</v>
      </c>
      <c r="T176" s="32" t="n">
        <f aca="false">O176-M176</f>
        <v>0.4</v>
      </c>
      <c r="U176" s="0" t="str">
        <f aca="false">IF(ABS(T176-S176)&lt;0.01,"OK","MISMATCH")</f>
        <v>OK</v>
      </c>
      <c r="V176" s="33" t="n">
        <f aca="false">Raw!M176</f>
        <v>1</v>
      </c>
      <c r="W176" s="0" t="str">
        <f aca="false">IF((S176&gt;0)=(V176=1),"OK","MISMATCH")</f>
        <v>OK</v>
      </c>
      <c r="X176" s="0" t="str">
        <f aca="false">_xlfn.IFS(S176&lt;=0,"Early/On time",S176&lt;=2,"Minor (up to 2 days)",S176&lt;=5,"Moderate (2-5 days)",TRUE(),"Severe (over 5 days)")</f>
        <v>Minor (up to 2 days)</v>
      </c>
      <c r="Y176" s="0" t="str">
        <f aca="false">YEAR(K176)&amp;"-"&amp;TEXT(MONTH(K176),"00")</f>
        <v>2025-08</v>
      </c>
      <c r="Z176" s="0" t="str">
        <f aca="false">C176&amp;" → "&amp;D176</f>
        <v>Surat → Gujarat</v>
      </c>
      <c r="AA176" s="0" t="str">
        <f aca="false">Raw!Q176</f>
        <v>TCI Express</v>
      </c>
      <c r="AB176" s="0" t="str">
        <f aca="false">Raw!R176</f>
        <v>Yes</v>
      </c>
      <c r="AC176" s="0" t="str">
        <f aca="false">Raw!S176</f>
        <v>Expedited</v>
      </c>
      <c r="AD176" s="29" t="n">
        <f aca="false">Raw!N176</f>
        <v>4892.27</v>
      </c>
      <c r="AE176" s="29" t="n">
        <f aca="false">Raw!O176</f>
        <v>2384.4</v>
      </c>
      <c r="AF176" s="29" t="n">
        <f aca="false">Raw!P176</f>
        <v>1475.61</v>
      </c>
      <c r="AG176" s="29" t="n">
        <f aca="false">AD176/J176</f>
        <v>439.952338129496</v>
      </c>
    </row>
    <row r="177" customFormat="false" ht="15" hidden="false" customHeight="false" outlineLevel="0" collapsed="false">
      <c r="A177" s="0" t="str">
        <f aca="false">Raw!A177</f>
        <v>SHP0176</v>
      </c>
      <c r="B177" s="0" t="str">
        <f aca="false">Raw!B177</f>
        <v>Inbound</v>
      </c>
      <c r="C177" s="0" t="str">
        <f aca="false">Raw!C177</f>
        <v>Punjab</v>
      </c>
      <c r="D177" s="0" t="str">
        <f aca="false">Raw!D177</f>
        <v>Surat</v>
      </c>
      <c r="E177" s="0" t="str">
        <f aca="false">IFERROR(INDEX(Location_Map!$B$2:$B$15,MATCH(C177,Location_Map!$A$2:$A$15,0)),"UNMAPPED")</f>
        <v>Punjab</v>
      </c>
      <c r="F177" s="0" t="str">
        <f aca="false">IFERROR(INDEX(Location_Map!$C$2:$C$15,MATCH(C177,Location_Map!$A$2:$A$15,0)),"UNMAPPED")</f>
        <v>North</v>
      </c>
      <c r="G177" s="0" t="str">
        <f aca="false">IFERROR(INDEX(Location_Map!$B$2:$B$15,MATCH(D177,Location_Map!$A$2:$A$15,0)),"UNMAPPED")</f>
        <v>Gujarat</v>
      </c>
      <c r="H177" s="0" t="str">
        <f aca="false">IFERROR(INDEX(Location_Map!$C$2:$C$15,MATCH(D177,Location_Map!$A$2:$A$15,0)),"UNMAPPED")</f>
        <v>West</v>
      </c>
      <c r="I177" s="0" t="str">
        <f aca="false">Raw!E177</f>
        <v>Finished Yarn</v>
      </c>
      <c r="J177" s="28" t="n">
        <f aca="false">Raw!F177</f>
        <v>13.18</v>
      </c>
      <c r="K177" s="30" t="n">
        <f aca="false">DATE(LEFT(Raw!G177,4),MID(Raw!G177,6,2),MID(Raw!G177,9,2))</f>
        <v>45904</v>
      </c>
      <c r="L177" s="30" t="n">
        <f aca="false">DATE(LEFT(Raw!H177,4),MID(Raw!H177,6,2),MID(Raw!H177,9,2))</f>
        <v>45905</v>
      </c>
      <c r="M177" s="30" t="n">
        <f aca="false">DATE(LEFT(Raw!I177,4),MID(Raw!I177,6,2),MID(Raw!I177,9,2))</f>
        <v>45907</v>
      </c>
      <c r="N177" s="31" t="n">
        <f aca="false">DATE(LEFT(Raw!J177,4),MID(Raw!J177,6,2),MID(Raw!J177,9,2))+TIME(MID(Raw!J177,12,2),MID(Raw!J177,15,2),MID(Raw!J177,18,2))</f>
        <v>45904.9166666667</v>
      </c>
      <c r="O177" s="31" t="n">
        <f aca="false">DATE(LEFT(Raw!K177,4),MID(Raw!K177,6,2),MID(Raw!K177,9,2))+TIME(MID(Raw!K177,12,2),MID(Raw!K177,15,2),MID(Raw!K177,18,2))</f>
        <v>45911.9</v>
      </c>
      <c r="P177" s="32" t="n">
        <f aca="false">L177-K177</f>
        <v>1</v>
      </c>
      <c r="Q177" s="32" t="n">
        <f aca="false">M177-L177</f>
        <v>2</v>
      </c>
      <c r="R177" s="32" t="n">
        <f aca="false">O177-N177</f>
        <v>6.98333333333333</v>
      </c>
      <c r="S177" s="32" t="n">
        <f aca="false">Raw!L177</f>
        <v>4.9</v>
      </c>
      <c r="T177" s="32" t="n">
        <f aca="false">O177-M177</f>
        <v>4.9</v>
      </c>
      <c r="U177" s="0" t="str">
        <f aca="false">IF(ABS(T177-S177)&lt;0.01,"OK","MISMATCH")</f>
        <v>OK</v>
      </c>
      <c r="V177" s="33" t="n">
        <f aca="false">Raw!M177</f>
        <v>1</v>
      </c>
      <c r="W177" s="0" t="str">
        <f aca="false">IF((S177&gt;0)=(V177=1),"OK","MISMATCH")</f>
        <v>OK</v>
      </c>
      <c r="X177" s="0" t="str">
        <f aca="false">_xlfn.IFS(S177&lt;=0,"Early/On time",S177&lt;=2,"Minor (up to 2 days)",S177&lt;=5,"Moderate (2-5 days)",TRUE(),"Severe (over 5 days)")</f>
        <v>Moderate (2-5 days)</v>
      </c>
      <c r="Y177" s="0" t="str">
        <f aca="false">YEAR(K177)&amp;"-"&amp;TEXT(MONTH(K177),"00")</f>
        <v>2025-09</v>
      </c>
      <c r="Z177" s="0" t="str">
        <f aca="false">C177&amp;" → "&amp;D177</f>
        <v>Punjab → Surat</v>
      </c>
      <c r="AA177" s="0" t="str">
        <f aca="false">Raw!Q177</f>
        <v>BlueDart</v>
      </c>
      <c r="AB177" s="0" t="str">
        <f aca="false">Raw!R177</f>
        <v>No</v>
      </c>
      <c r="AC177" s="0" t="str">
        <f aca="false">Raw!S177</f>
        <v>Normal</v>
      </c>
      <c r="AD177" s="29" t="n">
        <f aca="false">Raw!N177</f>
        <v>5414.78</v>
      </c>
      <c r="AE177" s="29" t="n">
        <f aca="false">Raw!O177</f>
        <v>4593.05</v>
      </c>
      <c r="AF177" s="29" t="n">
        <f aca="false">Raw!P177</f>
        <v>1329.33</v>
      </c>
      <c r="AG177" s="29" t="n">
        <f aca="false">AD177/J177</f>
        <v>410.833080424886</v>
      </c>
    </row>
    <row r="178" customFormat="false" ht="15" hidden="false" customHeight="false" outlineLevel="0" collapsed="false">
      <c r="A178" s="0" t="str">
        <f aca="false">Raw!A178</f>
        <v>SHP0177</v>
      </c>
      <c r="B178" s="0" t="str">
        <f aca="false">Raw!B178</f>
        <v>Outbound</v>
      </c>
      <c r="C178" s="0" t="str">
        <f aca="false">Raw!C178</f>
        <v>Surat</v>
      </c>
      <c r="D178" s="0" t="str">
        <f aca="false">Raw!D178</f>
        <v>Karnataka</v>
      </c>
      <c r="E178" s="0" t="str">
        <f aca="false">IFERROR(INDEX(Location_Map!$B$2:$B$15,MATCH(C178,Location_Map!$A$2:$A$15,0)),"UNMAPPED")</f>
        <v>Gujarat</v>
      </c>
      <c r="F178" s="0" t="str">
        <f aca="false">IFERROR(INDEX(Location_Map!$C$2:$C$15,MATCH(C178,Location_Map!$A$2:$A$15,0)),"UNMAPPED")</f>
        <v>West</v>
      </c>
      <c r="G178" s="0" t="str">
        <f aca="false">IFERROR(INDEX(Location_Map!$B$2:$B$15,MATCH(D178,Location_Map!$A$2:$A$15,0)),"UNMAPPED")</f>
        <v>Karnataka</v>
      </c>
      <c r="H178" s="0" t="str">
        <f aca="false">IFERROR(INDEX(Location_Map!$C$2:$C$15,MATCH(D178,Location_Map!$A$2:$A$15,0)),"UNMAPPED")</f>
        <v>South</v>
      </c>
      <c r="I178" s="0" t="str">
        <f aca="false">Raw!E178</f>
        <v>Semi-Processed Yarn</v>
      </c>
      <c r="J178" s="28" t="n">
        <f aca="false">Raw!F178</f>
        <v>7.03</v>
      </c>
      <c r="K178" s="30" t="n">
        <f aca="false">DATE(LEFT(Raw!G178,4),MID(Raw!G178,6,2),MID(Raw!G178,9,2))</f>
        <v>45943</v>
      </c>
      <c r="L178" s="30" t="n">
        <f aca="false">DATE(LEFT(Raw!H178,4),MID(Raw!H178,6,2),MID(Raw!H178,9,2))</f>
        <v>45947</v>
      </c>
      <c r="M178" s="30" t="n">
        <f aca="false">DATE(LEFT(Raw!I178,4),MID(Raw!I178,6,2),MID(Raw!I178,9,2))</f>
        <v>45953</v>
      </c>
      <c r="N178" s="31" t="n">
        <f aca="false">DATE(LEFT(Raw!J178,4),MID(Raw!J178,6,2),MID(Raw!J178,9,2))+TIME(MID(Raw!J178,12,2),MID(Raw!J178,15,2),MID(Raw!J178,18,2))</f>
        <v>45946.8333333333</v>
      </c>
      <c r="O178" s="31" t="n">
        <f aca="false">DATE(LEFT(Raw!K178,4),MID(Raw!K178,6,2),MID(Raw!K178,9,2))+TIME(MID(Raw!K178,12,2),MID(Raw!K178,15,2),MID(Raw!K178,18,2))</f>
        <v>45953.2</v>
      </c>
      <c r="P178" s="32" t="n">
        <f aca="false">L178-K178</f>
        <v>4</v>
      </c>
      <c r="Q178" s="32" t="n">
        <f aca="false">M178-L178</f>
        <v>6</v>
      </c>
      <c r="R178" s="32" t="n">
        <f aca="false">O178-N178</f>
        <v>6.36666666666667</v>
      </c>
      <c r="S178" s="32" t="n">
        <f aca="false">Raw!L178</f>
        <v>0.2</v>
      </c>
      <c r="T178" s="32" t="n">
        <f aca="false">O178-M178</f>
        <v>0.2</v>
      </c>
      <c r="U178" s="0" t="str">
        <f aca="false">IF(ABS(T178-S178)&lt;0.01,"OK","MISMATCH")</f>
        <v>OK</v>
      </c>
      <c r="V178" s="33" t="n">
        <f aca="false">Raw!M178</f>
        <v>1</v>
      </c>
      <c r="W178" s="0" t="str">
        <f aca="false">IF((S178&gt;0)=(V178=1),"OK","MISMATCH")</f>
        <v>OK</v>
      </c>
      <c r="X178" s="0" t="str">
        <f aca="false">_xlfn.IFS(S178&lt;=0,"Early/On time",S178&lt;=2,"Minor (up to 2 days)",S178&lt;=5,"Moderate (2-5 days)",TRUE(),"Severe (over 5 days)")</f>
        <v>Minor (up to 2 days)</v>
      </c>
      <c r="Y178" s="0" t="str">
        <f aca="false">YEAR(K178)&amp;"-"&amp;TEXT(MONTH(K178),"00")</f>
        <v>2025-10</v>
      </c>
      <c r="Z178" s="0" t="str">
        <f aca="false">C178&amp;" → "&amp;D178</f>
        <v>Surat → Karnataka</v>
      </c>
      <c r="AA178" s="0" t="str">
        <f aca="false">Raw!Q178</f>
        <v>GATI Logistics</v>
      </c>
      <c r="AB178" s="0" t="str">
        <f aca="false">Raw!R178</f>
        <v>Yes</v>
      </c>
      <c r="AC178" s="0" t="str">
        <f aca="false">Raw!S178</f>
        <v>Returned</v>
      </c>
      <c r="AD178" s="29" t="n">
        <f aca="false">Raw!N178</f>
        <v>3344.12</v>
      </c>
      <c r="AE178" s="29" t="n">
        <f aca="false">Raw!O178</f>
        <v>1319.86</v>
      </c>
      <c r="AF178" s="29" t="n">
        <f aca="false">Raw!P178</f>
        <v>1276.72</v>
      </c>
      <c r="AG178" s="29" t="n">
        <f aca="false">AD178/J178</f>
        <v>475.692745376956</v>
      </c>
    </row>
    <row r="179" customFormat="false" ht="15" hidden="false" customHeight="false" outlineLevel="0" collapsed="false">
      <c r="A179" s="0" t="str">
        <f aca="false">Raw!A179</f>
        <v>SHP0178</v>
      </c>
      <c r="B179" s="0" t="str">
        <f aca="false">Raw!B179</f>
        <v>Outbound</v>
      </c>
      <c r="C179" s="0" t="str">
        <f aca="false">Raw!C179</f>
        <v>Surat</v>
      </c>
      <c r="D179" s="0" t="str">
        <f aca="false">Raw!D179</f>
        <v>Kerala</v>
      </c>
      <c r="E179" s="0" t="str">
        <f aca="false">IFERROR(INDEX(Location_Map!$B$2:$B$15,MATCH(C179,Location_Map!$A$2:$A$15,0)),"UNMAPPED")</f>
        <v>Gujarat</v>
      </c>
      <c r="F179" s="0" t="str">
        <f aca="false">IFERROR(INDEX(Location_Map!$C$2:$C$15,MATCH(C179,Location_Map!$A$2:$A$15,0)),"UNMAPPED")</f>
        <v>West</v>
      </c>
      <c r="G179" s="0" t="str">
        <f aca="false">IFERROR(INDEX(Location_Map!$B$2:$B$15,MATCH(D179,Location_Map!$A$2:$A$15,0)),"UNMAPPED")</f>
        <v>Kerala</v>
      </c>
      <c r="H179" s="0" t="str">
        <f aca="false">IFERROR(INDEX(Location_Map!$C$2:$C$15,MATCH(D179,Location_Map!$A$2:$A$15,0)),"UNMAPPED")</f>
        <v>South</v>
      </c>
      <c r="I179" s="0" t="str">
        <f aca="false">Raw!E179</f>
        <v>Raw Yarn</v>
      </c>
      <c r="J179" s="28" t="n">
        <f aca="false">Raw!F179</f>
        <v>3.32</v>
      </c>
      <c r="K179" s="30" t="n">
        <f aca="false">DATE(LEFT(Raw!G179,4),MID(Raw!G179,6,2),MID(Raw!G179,9,2))</f>
        <v>45836</v>
      </c>
      <c r="L179" s="30" t="n">
        <f aca="false">DATE(LEFT(Raw!H179,4),MID(Raw!H179,6,2),MID(Raw!H179,9,2))</f>
        <v>45840</v>
      </c>
      <c r="M179" s="30" t="n">
        <f aca="false">DATE(LEFT(Raw!I179,4),MID(Raw!I179,6,2),MID(Raw!I179,9,2))</f>
        <v>45845</v>
      </c>
      <c r="N179" s="31" t="n">
        <f aca="false">DATE(LEFT(Raw!J179,4),MID(Raw!J179,6,2),MID(Raw!J179,9,2))+TIME(MID(Raw!J179,12,2),MID(Raw!J179,15,2),MID(Raw!J179,18,2))</f>
        <v>45839.8333333333</v>
      </c>
      <c r="O179" s="31" t="n">
        <f aca="false">DATE(LEFT(Raw!K179,4),MID(Raw!K179,6,2),MID(Raw!K179,9,2))+TIME(MID(Raw!K179,12,2),MID(Raw!K179,15,2),MID(Raw!K179,18,2))</f>
        <v>45846.4</v>
      </c>
      <c r="P179" s="32" t="n">
        <f aca="false">L179-K179</f>
        <v>4</v>
      </c>
      <c r="Q179" s="32" t="n">
        <f aca="false">M179-L179</f>
        <v>5</v>
      </c>
      <c r="R179" s="32" t="n">
        <f aca="false">O179-N179</f>
        <v>6.56666666666667</v>
      </c>
      <c r="S179" s="32" t="n">
        <f aca="false">Raw!L179</f>
        <v>1.4</v>
      </c>
      <c r="T179" s="32" t="n">
        <f aca="false">O179-M179</f>
        <v>1.4</v>
      </c>
      <c r="U179" s="0" t="str">
        <f aca="false">IF(ABS(T179-S179)&lt;0.01,"OK","MISMATCH")</f>
        <v>OK</v>
      </c>
      <c r="V179" s="33" t="n">
        <f aca="false">Raw!M179</f>
        <v>1</v>
      </c>
      <c r="W179" s="0" t="str">
        <f aca="false">IF((S179&gt;0)=(V179=1),"OK","MISMATCH")</f>
        <v>OK</v>
      </c>
      <c r="X179" s="0" t="str">
        <f aca="false">_xlfn.IFS(S179&lt;=0,"Early/On time",S179&lt;=2,"Minor (up to 2 days)",S179&lt;=5,"Moderate (2-5 days)",TRUE(),"Severe (over 5 days)")</f>
        <v>Minor (up to 2 days)</v>
      </c>
      <c r="Y179" s="0" t="str">
        <f aca="false">YEAR(K179)&amp;"-"&amp;TEXT(MONTH(K179),"00")</f>
        <v>2025-06</v>
      </c>
      <c r="Z179" s="0" t="str">
        <f aca="false">C179&amp;" → "&amp;D179</f>
        <v>Surat → Kerala</v>
      </c>
      <c r="AA179" s="0" t="str">
        <f aca="false">Raw!Q179</f>
        <v>Delhivery</v>
      </c>
      <c r="AB179" s="0" t="str">
        <f aca="false">Raw!R179</f>
        <v>No</v>
      </c>
      <c r="AC179" s="0" t="str">
        <f aca="false">Raw!S179</f>
        <v>Expedited</v>
      </c>
      <c r="AD179" s="29" t="n">
        <f aca="false">Raw!N179</f>
        <v>2709.16</v>
      </c>
      <c r="AE179" s="29" t="n">
        <f aca="false">Raw!O179</f>
        <v>1001.33</v>
      </c>
      <c r="AF179" s="29" t="n">
        <f aca="false">Raw!P179</f>
        <v>517.69</v>
      </c>
      <c r="AG179" s="29" t="n">
        <f aca="false">AD179/J179</f>
        <v>816.012048192771</v>
      </c>
    </row>
    <row r="180" customFormat="false" ht="15" hidden="false" customHeight="false" outlineLevel="0" collapsed="false">
      <c r="A180" s="0" t="str">
        <f aca="false">Raw!A180</f>
        <v>SHP0179</v>
      </c>
      <c r="B180" s="0" t="str">
        <f aca="false">Raw!B180</f>
        <v>Outbound</v>
      </c>
      <c r="C180" s="0" t="str">
        <f aca="false">Raw!C180</f>
        <v>Surat</v>
      </c>
      <c r="D180" s="0" t="str">
        <f aca="false">Raw!D180</f>
        <v>Kerala</v>
      </c>
      <c r="E180" s="0" t="str">
        <f aca="false">IFERROR(INDEX(Location_Map!$B$2:$B$15,MATCH(C180,Location_Map!$A$2:$A$15,0)),"UNMAPPED")</f>
        <v>Gujarat</v>
      </c>
      <c r="F180" s="0" t="str">
        <f aca="false">IFERROR(INDEX(Location_Map!$C$2:$C$15,MATCH(C180,Location_Map!$A$2:$A$15,0)),"UNMAPPED")</f>
        <v>West</v>
      </c>
      <c r="G180" s="0" t="str">
        <f aca="false">IFERROR(INDEX(Location_Map!$B$2:$B$15,MATCH(D180,Location_Map!$A$2:$A$15,0)),"UNMAPPED")</f>
        <v>Kerala</v>
      </c>
      <c r="H180" s="0" t="str">
        <f aca="false">IFERROR(INDEX(Location_Map!$C$2:$C$15,MATCH(D180,Location_Map!$A$2:$A$15,0)),"UNMAPPED")</f>
        <v>South</v>
      </c>
      <c r="I180" s="0" t="str">
        <f aca="false">Raw!E180</f>
        <v>Finished Yarn</v>
      </c>
      <c r="J180" s="28" t="n">
        <f aca="false">Raw!F180</f>
        <v>12.45</v>
      </c>
      <c r="K180" s="30" t="n">
        <f aca="false">DATE(LEFT(Raw!G180,4),MID(Raw!G180,6,2),MID(Raw!G180,9,2))</f>
        <v>45767</v>
      </c>
      <c r="L180" s="30" t="n">
        <f aca="false">DATE(LEFT(Raw!H180,4),MID(Raw!H180,6,2),MID(Raw!H180,9,2))</f>
        <v>45769</v>
      </c>
      <c r="M180" s="30" t="n">
        <f aca="false">DATE(LEFT(Raw!I180,4),MID(Raw!I180,6,2),MID(Raw!I180,9,2))</f>
        <v>45775</v>
      </c>
      <c r="N180" s="31" t="n">
        <f aca="false">DATE(LEFT(Raw!J180,4),MID(Raw!J180,6,2),MID(Raw!J180,9,2))+TIME(MID(Raw!J180,12,2),MID(Raw!J180,15,2),MID(Raw!J180,18,2))</f>
        <v>45768.8333333333</v>
      </c>
      <c r="O180" s="31" t="n">
        <f aca="false">DATE(LEFT(Raw!K180,4),MID(Raw!K180,6,2),MID(Raw!K180,9,2))+TIME(MID(Raw!K180,12,2),MID(Raw!K180,15,2),MID(Raw!K180,18,2))</f>
        <v>45776.4</v>
      </c>
      <c r="P180" s="32" t="n">
        <f aca="false">L180-K180</f>
        <v>2</v>
      </c>
      <c r="Q180" s="32" t="n">
        <f aca="false">M180-L180</f>
        <v>6</v>
      </c>
      <c r="R180" s="32" t="n">
        <f aca="false">O180-N180</f>
        <v>7.56666666666667</v>
      </c>
      <c r="S180" s="32" t="n">
        <f aca="false">Raw!L180</f>
        <v>1.4</v>
      </c>
      <c r="T180" s="32" t="n">
        <f aca="false">O180-M180</f>
        <v>1.4</v>
      </c>
      <c r="U180" s="0" t="str">
        <f aca="false">IF(ABS(T180-S180)&lt;0.01,"OK","MISMATCH")</f>
        <v>OK</v>
      </c>
      <c r="V180" s="33" t="n">
        <f aca="false">Raw!M180</f>
        <v>1</v>
      </c>
      <c r="W180" s="0" t="str">
        <f aca="false">IF((S180&gt;0)=(V180=1),"OK","MISMATCH")</f>
        <v>OK</v>
      </c>
      <c r="X180" s="0" t="str">
        <f aca="false">_xlfn.IFS(S180&lt;=0,"Early/On time",S180&lt;=2,"Minor (up to 2 days)",S180&lt;=5,"Moderate (2-5 days)",TRUE(),"Severe (over 5 days)")</f>
        <v>Minor (up to 2 days)</v>
      </c>
      <c r="Y180" s="0" t="str">
        <f aca="false">YEAR(K180)&amp;"-"&amp;TEXT(MONTH(K180),"00")</f>
        <v>2025-04</v>
      </c>
      <c r="Z180" s="0" t="str">
        <f aca="false">C180&amp;" → "&amp;D180</f>
        <v>Surat → Kerala</v>
      </c>
      <c r="AA180" s="0" t="str">
        <f aca="false">Raw!Q180</f>
        <v>VRL Cargo</v>
      </c>
      <c r="AB180" s="0" t="str">
        <f aca="false">Raw!R180</f>
        <v>Yes</v>
      </c>
      <c r="AC180" s="0" t="str">
        <f aca="false">Raw!S180</f>
        <v>Normal</v>
      </c>
      <c r="AD180" s="29" t="n">
        <f aca="false">Raw!N180</f>
        <v>7038.26</v>
      </c>
      <c r="AE180" s="29" t="n">
        <f aca="false">Raw!O180</f>
        <v>3477.99</v>
      </c>
      <c r="AF180" s="29" t="n">
        <f aca="false">Raw!P180</f>
        <v>797.36</v>
      </c>
      <c r="AG180" s="29" t="n">
        <f aca="false">AD180/J180</f>
        <v>565.322088353414</v>
      </c>
    </row>
    <row r="181" customFormat="false" ht="15" hidden="false" customHeight="false" outlineLevel="0" collapsed="false">
      <c r="A181" s="0" t="str">
        <f aca="false">Raw!A181</f>
        <v>SHP0180</v>
      </c>
      <c r="B181" s="0" t="str">
        <f aca="false">Raw!B181</f>
        <v>Inbound</v>
      </c>
      <c r="C181" s="0" t="str">
        <f aca="false">Raw!C181</f>
        <v>Rajasthan</v>
      </c>
      <c r="D181" s="0" t="str">
        <f aca="false">Raw!D181</f>
        <v>Surat</v>
      </c>
      <c r="E181" s="0" t="str">
        <f aca="false">IFERROR(INDEX(Location_Map!$B$2:$B$15,MATCH(C181,Location_Map!$A$2:$A$15,0)),"UNMAPPED")</f>
        <v>Rajasthan</v>
      </c>
      <c r="F181" s="0" t="str">
        <f aca="false">IFERROR(INDEX(Location_Map!$C$2:$C$15,MATCH(C181,Location_Map!$A$2:$A$15,0)),"UNMAPPED")</f>
        <v>North</v>
      </c>
      <c r="G181" s="0" t="str">
        <f aca="false">IFERROR(INDEX(Location_Map!$B$2:$B$15,MATCH(D181,Location_Map!$A$2:$A$15,0)),"UNMAPPED")</f>
        <v>Gujarat</v>
      </c>
      <c r="H181" s="0" t="str">
        <f aca="false">IFERROR(INDEX(Location_Map!$C$2:$C$15,MATCH(D181,Location_Map!$A$2:$A$15,0)),"UNMAPPED")</f>
        <v>West</v>
      </c>
      <c r="I181" s="0" t="str">
        <f aca="false">Raw!E181</f>
        <v>Raw Yarn</v>
      </c>
      <c r="J181" s="28" t="n">
        <f aca="false">Raw!F181</f>
        <v>9.18</v>
      </c>
      <c r="K181" s="30" t="n">
        <f aca="false">DATE(LEFT(Raw!G181,4),MID(Raw!G181,6,2),MID(Raw!G181,9,2))</f>
        <v>45709</v>
      </c>
      <c r="L181" s="30" t="n">
        <f aca="false">DATE(LEFT(Raw!H181,4),MID(Raw!H181,6,2),MID(Raw!H181,9,2))</f>
        <v>45710</v>
      </c>
      <c r="M181" s="30" t="n">
        <f aca="false">DATE(LEFT(Raw!I181,4),MID(Raw!I181,6,2),MID(Raw!I181,9,2))</f>
        <v>45715</v>
      </c>
      <c r="N181" s="31" t="n">
        <f aca="false">DATE(LEFT(Raw!J181,4),MID(Raw!J181,6,2),MID(Raw!J181,9,2))+TIME(MID(Raw!J181,12,2),MID(Raw!J181,15,2),MID(Raw!J181,18,2))</f>
        <v>45710.3333333333</v>
      </c>
      <c r="O181" s="31" t="n">
        <f aca="false">DATE(LEFT(Raw!K181,4),MID(Raw!K181,6,2),MID(Raw!K181,9,2))+TIME(MID(Raw!K181,12,2),MID(Raw!K181,15,2),MID(Raw!K181,18,2))</f>
        <v>45721.5</v>
      </c>
      <c r="P181" s="32" t="n">
        <f aca="false">L181-K181</f>
        <v>1</v>
      </c>
      <c r="Q181" s="32" t="n">
        <f aca="false">M181-L181</f>
        <v>5</v>
      </c>
      <c r="R181" s="32" t="n">
        <f aca="false">O181-N181</f>
        <v>11.1666666666667</v>
      </c>
      <c r="S181" s="32" t="n">
        <f aca="false">Raw!L181</f>
        <v>6.5</v>
      </c>
      <c r="T181" s="32" t="n">
        <f aca="false">O181-M181</f>
        <v>6.5</v>
      </c>
      <c r="U181" s="0" t="str">
        <f aca="false">IF(ABS(T181-S181)&lt;0.01,"OK","MISMATCH")</f>
        <v>OK</v>
      </c>
      <c r="V181" s="33" t="n">
        <f aca="false">Raw!M181</f>
        <v>1</v>
      </c>
      <c r="W181" s="0" t="str">
        <f aca="false">IF((S181&gt;0)=(V181=1),"OK","MISMATCH")</f>
        <v>OK</v>
      </c>
      <c r="X181" s="0" t="str">
        <f aca="false">_xlfn.IFS(S181&lt;=0,"Early/On time",S181&lt;=2,"Minor (up to 2 days)",S181&lt;=5,"Moderate (2-5 days)",TRUE(),"Severe (over 5 days)")</f>
        <v>Severe (over 5 days)</v>
      </c>
      <c r="Y181" s="0" t="str">
        <f aca="false">YEAR(K181)&amp;"-"&amp;TEXT(MONTH(K181),"00")</f>
        <v>2025-02</v>
      </c>
      <c r="Z181" s="0" t="str">
        <f aca="false">C181&amp;" → "&amp;D181</f>
        <v>Rajasthan → Surat</v>
      </c>
      <c r="AA181" s="0" t="str">
        <f aca="false">Raw!Q181</f>
        <v>Delhivery</v>
      </c>
      <c r="AB181" s="0" t="str">
        <f aca="false">Raw!R181</f>
        <v>No</v>
      </c>
      <c r="AC181" s="0" t="str">
        <f aca="false">Raw!S181</f>
        <v>Expedited</v>
      </c>
      <c r="AD181" s="29" t="n">
        <f aca="false">Raw!N181</f>
        <v>3297.35</v>
      </c>
      <c r="AE181" s="29" t="n">
        <f aca="false">Raw!O181</f>
        <v>3766.47</v>
      </c>
      <c r="AF181" s="29" t="n">
        <f aca="false">Raw!P181</f>
        <v>1118.05</v>
      </c>
      <c r="AG181" s="29" t="n">
        <f aca="false">AD181/J181</f>
        <v>359.188453159041</v>
      </c>
    </row>
    <row r="182" customFormat="false" ht="15" hidden="false" customHeight="false" outlineLevel="0" collapsed="false">
      <c r="A182" s="0" t="str">
        <f aca="false">Raw!A182</f>
        <v>SHP0181</v>
      </c>
      <c r="B182" s="0" t="str">
        <f aca="false">Raw!B182</f>
        <v>Inbound</v>
      </c>
      <c r="C182" s="0" t="str">
        <f aca="false">Raw!C182</f>
        <v>Punjab</v>
      </c>
      <c r="D182" s="0" t="str">
        <f aca="false">Raw!D182</f>
        <v>Surat</v>
      </c>
      <c r="E182" s="0" t="str">
        <f aca="false">IFERROR(INDEX(Location_Map!$B$2:$B$15,MATCH(C182,Location_Map!$A$2:$A$15,0)),"UNMAPPED")</f>
        <v>Punjab</v>
      </c>
      <c r="F182" s="0" t="str">
        <f aca="false">IFERROR(INDEX(Location_Map!$C$2:$C$15,MATCH(C182,Location_Map!$A$2:$A$15,0)),"UNMAPPED")</f>
        <v>North</v>
      </c>
      <c r="G182" s="0" t="str">
        <f aca="false">IFERROR(INDEX(Location_Map!$B$2:$B$15,MATCH(D182,Location_Map!$A$2:$A$15,0)),"UNMAPPED")</f>
        <v>Gujarat</v>
      </c>
      <c r="H182" s="0" t="str">
        <f aca="false">IFERROR(INDEX(Location_Map!$C$2:$C$15,MATCH(D182,Location_Map!$A$2:$A$15,0)),"UNMAPPED")</f>
        <v>West</v>
      </c>
      <c r="I182" s="0" t="str">
        <f aca="false">Raw!E182</f>
        <v>Semi-Processed Yarn</v>
      </c>
      <c r="J182" s="28" t="n">
        <f aca="false">Raw!F182</f>
        <v>13.03</v>
      </c>
      <c r="K182" s="30" t="n">
        <f aca="false">DATE(LEFT(Raw!G182,4),MID(Raw!G182,6,2),MID(Raw!G182,9,2))</f>
        <v>45726</v>
      </c>
      <c r="L182" s="30" t="n">
        <f aca="false">DATE(LEFT(Raw!H182,4),MID(Raw!H182,6,2),MID(Raw!H182,9,2))</f>
        <v>45727</v>
      </c>
      <c r="M182" s="30" t="n">
        <f aca="false">DATE(LEFT(Raw!I182,4),MID(Raw!I182,6,2),MID(Raw!I182,9,2))</f>
        <v>45732</v>
      </c>
      <c r="N182" s="31" t="n">
        <f aca="false">DATE(LEFT(Raw!J182,4),MID(Raw!J182,6,2),MID(Raw!J182,9,2))+TIME(MID(Raw!J182,12,2),MID(Raw!J182,15,2),MID(Raw!J182,18,2))</f>
        <v>45727.25</v>
      </c>
      <c r="O182" s="31" t="n">
        <f aca="false">DATE(LEFT(Raw!K182,4),MID(Raw!K182,6,2),MID(Raw!K182,9,2))+TIME(MID(Raw!K182,12,2),MID(Raw!K182,15,2),MID(Raw!K182,18,2))</f>
        <v>45736.8</v>
      </c>
      <c r="P182" s="32" t="n">
        <f aca="false">L182-K182</f>
        <v>1</v>
      </c>
      <c r="Q182" s="32" t="n">
        <f aca="false">M182-L182</f>
        <v>5</v>
      </c>
      <c r="R182" s="32" t="n">
        <f aca="false">O182-N182</f>
        <v>9.55</v>
      </c>
      <c r="S182" s="32" t="n">
        <f aca="false">Raw!L182</f>
        <v>4.8</v>
      </c>
      <c r="T182" s="32" t="n">
        <f aca="false">O182-M182</f>
        <v>4.8</v>
      </c>
      <c r="U182" s="0" t="str">
        <f aca="false">IF(ABS(T182-S182)&lt;0.01,"OK","MISMATCH")</f>
        <v>OK</v>
      </c>
      <c r="V182" s="33" t="n">
        <f aca="false">Raw!M182</f>
        <v>1</v>
      </c>
      <c r="W182" s="0" t="str">
        <f aca="false">IF((S182&gt;0)=(V182=1),"OK","MISMATCH")</f>
        <v>OK</v>
      </c>
      <c r="X182" s="0" t="str">
        <f aca="false">_xlfn.IFS(S182&lt;=0,"Early/On time",S182&lt;=2,"Minor (up to 2 days)",S182&lt;=5,"Moderate (2-5 days)",TRUE(),"Severe (over 5 days)")</f>
        <v>Moderate (2-5 days)</v>
      </c>
      <c r="Y182" s="0" t="str">
        <f aca="false">YEAR(K182)&amp;"-"&amp;TEXT(MONTH(K182),"00")</f>
        <v>2025-03</v>
      </c>
      <c r="Z182" s="0" t="str">
        <f aca="false">C182&amp;" → "&amp;D182</f>
        <v>Punjab → Surat</v>
      </c>
      <c r="AA182" s="0" t="str">
        <f aca="false">Raw!Q182</f>
        <v>TCI Express</v>
      </c>
      <c r="AB182" s="0" t="str">
        <f aca="false">Raw!R182</f>
        <v>Yes</v>
      </c>
      <c r="AC182" s="0" t="str">
        <f aca="false">Raw!S182</f>
        <v>Expedited</v>
      </c>
      <c r="AD182" s="29" t="n">
        <f aca="false">Raw!N182</f>
        <v>9045.76</v>
      </c>
      <c r="AE182" s="29" t="n">
        <f aca="false">Raw!O182</f>
        <v>4168.37</v>
      </c>
      <c r="AF182" s="29" t="n">
        <f aca="false">Raw!P182</f>
        <v>904.8</v>
      </c>
      <c r="AG182" s="29" t="n">
        <f aca="false">AD182/J182</f>
        <v>694.225633154259</v>
      </c>
    </row>
    <row r="183" customFormat="false" ht="15" hidden="false" customHeight="false" outlineLevel="0" collapsed="false">
      <c r="A183" s="0" t="str">
        <f aca="false">Raw!A183</f>
        <v>SHP0182</v>
      </c>
      <c r="B183" s="0" t="str">
        <f aca="false">Raw!B183</f>
        <v>Inbound</v>
      </c>
      <c r="C183" s="0" t="str">
        <f aca="false">Raw!C183</f>
        <v>Uttar Pradesh</v>
      </c>
      <c r="D183" s="0" t="str">
        <f aca="false">Raw!D183</f>
        <v>Surat</v>
      </c>
      <c r="E183" s="0" t="str">
        <f aca="false">IFERROR(INDEX(Location_Map!$B$2:$B$15,MATCH(C183,Location_Map!$A$2:$A$15,0)),"UNMAPPED")</f>
        <v>Uttar Pradesh</v>
      </c>
      <c r="F183" s="0" t="str">
        <f aca="false">IFERROR(INDEX(Location_Map!$C$2:$C$15,MATCH(C183,Location_Map!$A$2:$A$15,0)),"UNMAPPED")</f>
        <v>North</v>
      </c>
      <c r="G183" s="0" t="str">
        <f aca="false">IFERROR(INDEX(Location_Map!$B$2:$B$15,MATCH(D183,Location_Map!$A$2:$A$15,0)),"UNMAPPED")</f>
        <v>Gujarat</v>
      </c>
      <c r="H183" s="0" t="str">
        <f aca="false">IFERROR(INDEX(Location_Map!$C$2:$C$15,MATCH(D183,Location_Map!$A$2:$A$15,0)),"UNMAPPED")</f>
        <v>West</v>
      </c>
      <c r="I183" s="0" t="str">
        <f aca="false">Raw!E183</f>
        <v>Semi-Processed Yarn</v>
      </c>
      <c r="J183" s="28" t="n">
        <f aca="false">Raw!F183</f>
        <v>13.43</v>
      </c>
      <c r="K183" s="30" t="n">
        <f aca="false">DATE(LEFT(Raw!G183,4),MID(Raw!G183,6,2),MID(Raw!G183,9,2))</f>
        <v>45764</v>
      </c>
      <c r="L183" s="30" t="n">
        <f aca="false">DATE(LEFT(Raw!H183,4),MID(Raw!H183,6,2),MID(Raw!H183,9,2))</f>
        <v>45767</v>
      </c>
      <c r="M183" s="30" t="n">
        <f aca="false">DATE(LEFT(Raw!I183,4),MID(Raw!I183,6,2),MID(Raw!I183,9,2))</f>
        <v>45773</v>
      </c>
      <c r="N183" s="31" t="n">
        <f aca="false">DATE(LEFT(Raw!J183,4),MID(Raw!J183,6,2),MID(Raw!J183,9,2))+TIME(MID(Raw!J183,12,2),MID(Raw!J183,15,2),MID(Raw!J183,18,2))</f>
        <v>45767.2916666667</v>
      </c>
      <c r="O183" s="31" t="n">
        <f aca="false">DATE(LEFT(Raw!K183,4),MID(Raw!K183,6,2),MID(Raw!K183,9,2))+TIME(MID(Raw!K183,12,2),MID(Raw!K183,15,2),MID(Raw!K183,18,2))</f>
        <v>45772</v>
      </c>
      <c r="P183" s="32" t="n">
        <f aca="false">L183-K183</f>
        <v>3</v>
      </c>
      <c r="Q183" s="32" t="n">
        <f aca="false">M183-L183</f>
        <v>6</v>
      </c>
      <c r="R183" s="32" t="n">
        <f aca="false">O183-N183</f>
        <v>4.70833333333333</v>
      </c>
      <c r="S183" s="32" t="n">
        <f aca="false">Raw!L183</f>
        <v>-1</v>
      </c>
      <c r="T183" s="32" t="n">
        <f aca="false">O183-M183</f>
        <v>-1</v>
      </c>
      <c r="U183" s="0" t="str">
        <f aca="false">IF(ABS(T183-S183)&lt;0.01,"OK","MISMATCH")</f>
        <v>OK</v>
      </c>
      <c r="V183" s="33" t="n">
        <f aca="false">Raw!M183</f>
        <v>0</v>
      </c>
      <c r="W183" s="0" t="str">
        <f aca="false">IF((S183&gt;0)=(V183=1),"OK","MISMATCH")</f>
        <v>OK</v>
      </c>
      <c r="X183" s="0" t="str">
        <f aca="false">_xlfn.IFS(S183&lt;=0,"Early/On time",S183&lt;=2,"Minor (up to 2 days)",S183&lt;=5,"Moderate (2-5 days)",TRUE(),"Severe (over 5 days)")</f>
        <v>Early/On time</v>
      </c>
      <c r="Y183" s="0" t="str">
        <f aca="false">YEAR(K183)&amp;"-"&amp;TEXT(MONTH(K183),"00")</f>
        <v>2025-04</v>
      </c>
      <c r="Z183" s="0" t="str">
        <f aca="false">C183&amp;" → "&amp;D183</f>
        <v>Uttar Pradesh → Surat</v>
      </c>
      <c r="AA183" s="0" t="str">
        <f aca="false">Raw!Q183</f>
        <v>Delhivery</v>
      </c>
      <c r="AB183" s="0" t="str">
        <f aca="false">Raw!R183</f>
        <v>No</v>
      </c>
      <c r="AC183" s="0" t="str">
        <f aca="false">Raw!S183</f>
        <v>Expedited</v>
      </c>
      <c r="AD183" s="29" t="n">
        <f aca="false">Raw!N183</f>
        <v>5480.82</v>
      </c>
      <c r="AE183" s="29" t="n">
        <f aca="false">Raw!O183</f>
        <v>2664.62</v>
      </c>
      <c r="AF183" s="29" t="n">
        <f aca="false">Raw!P183</f>
        <v>981.34</v>
      </c>
      <c r="AG183" s="29" t="n">
        <f aca="false">AD183/J183</f>
        <v>408.102755026061</v>
      </c>
    </row>
    <row r="184" customFormat="false" ht="15" hidden="false" customHeight="false" outlineLevel="0" collapsed="false">
      <c r="A184" s="0" t="str">
        <f aca="false">Raw!A184</f>
        <v>SHP0183</v>
      </c>
      <c r="B184" s="0" t="str">
        <f aca="false">Raw!B184</f>
        <v>Inbound</v>
      </c>
      <c r="C184" s="0" t="str">
        <f aca="false">Raw!C184</f>
        <v>Rajasthan</v>
      </c>
      <c r="D184" s="0" t="str">
        <f aca="false">Raw!D184</f>
        <v>Surat</v>
      </c>
      <c r="E184" s="0" t="str">
        <f aca="false">IFERROR(INDEX(Location_Map!$B$2:$B$15,MATCH(C184,Location_Map!$A$2:$A$15,0)),"UNMAPPED")</f>
        <v>Rajasthan</v>
      </c>
      <c r="F184" s="0" t="str">
        <f aca="false">IFERROR(INDEX(Location_Map!$C$2:$C$15,MATCH(C184,Location_Map!$A$2:$A$15,0)),"UNMAPPED")</f>
        <v>North</v>
      </c>
      <c r="G184" s="0" t="str">
        <f aca="false">IFERROR(INDEX(Location_Map!$B$2:$B$15,MATCH(D184,Location_Map!$A$2:$A$15,0)),"UNMAPPED")</f>
        <v>Gujarat</v>
      </c>
      <c r="H184" s="0" t="str">
        <f aca="false">IFERROR(INDEX(Location_Map!$C$2:$C$15,MATCH(D184,Location_Map!$A$2:$A$15,0)),"UNMAPPED")</f>
        <v>West</v>
      </c>
      <c r="I184" s="0" t="str">
        <f aca="false">Raw!E184</f>
        <v>Semi-Processed Yarn</v>
      </c>
      <c r="J184" s="28" t="n">
        <f aca="false">Raw!F184</f>
        <v>1.36</v>
      </c>
      <c r="K184" s="30" t="n">
        <f aca="false">DATE(LEFT(Raw!G184,4),MID(Raw!G184,6,2),MID(Raw!G184,9,2))</f>
        <v>45735</v>
      </c>
      <c r="L184" s="30" t="n">
        <f aca="false">DATE(LEFT(Raw!H184,4),MID(Raw!H184,6,2),MID(Raw!H184,9,2))</f>
        <v>45739</v>
      </c>
      <c r="M184" s="30" t="n">
        <f aca="false">DATE(LEFT(Raw!I184,4),MID(Raw!I184,6,2),MID(Raw!I184,9,2))</f>
        <v>45742</v>
      </c>
      <c r="N184" s="31" t="n">
        <f aca="false">DATE(LEFT(Raw!J184,4),MID(Raw!J184,6,2),MID(Raw!J184,9,2))+TIME(MID(Raw!J184,12,2),MID(Raw!J184,15,2),MID(Raw!J184,18,2))</f>
        <v>45739.2916666667</v>
      </c>
      <c r="O184" s="31" t="n">
        <f aca="false">DATE(LEFT(Raw!K184,4),MID(Raw!K184,6,2),MID(Raw!K184,9,2))+TIME(MID(Raw!K184,12,2),MID(Raw!K184,15,2),MID(Raw!K184,18,2))</f>
        <v>45745.4</v>
      </c>
      <c r="P184" s="32" t="n">
        <f aca="false">L184-K184</f>
        <v>4</v>
      </c>
      <c r="Q184" s="32" t="n">
        <f aca="false">M184-L184</f>
        <v>3</v>
      </c>
      <c r="R184" s="32" t="n">
        <f aca="false">O184-N184</f>
        <v>6.10833333333333</v>
      </c>
      <c r="S184" s="32" t="n">
        <f aca="false">Raw!L184</f>
        <v>3.4</v>
      </c>
      <c r="T184" s="32" t="n">
        <f aca="false">O184-M184</f>
        <v>3.4</v>
      </c>
      <c r="U184" s="0" t="str">
        <f aca="false">IF(ABS(T184-S184)&lt;0.01,"OK","MISMATCH")</f>
        <v>OK</v>
      </c>
      <c r="V184" s="33" t="n">
        <f aca="false">Raw!M184</f>
        <v>1</v>
      </c>
      <c r="W184" s="0" t="str">
        <f aca="false">IF((S184&gt;0)=(V184=1),"OK","MISMATCH")</f>
        <v>OK</v>
      </c>
      <c r="X184" s="0" t="str">
        <f aca="false">_xlfn.IFS(S184&lt;=0,"Early/On time",S184&lt;=2,"Minor (up to 2 days)",S184&lt;=5,"Moderate (2-5 days)",TRUE(),"Severe (over 5 days)")</f>
        <v>Moderate (2-5 days)</v>
      </c>
      <c r="Y184" s="0" t="str">
        <f aca="false">YEAR(K184)&amp;"-"&amp;TEXT(MONTH(K184),"00")</f>
        <v>2025-03</v>
      </c>
      <c r="Z184" s="0" t="str">
        <f aca="false">C184&amp;" → "&amp;D184</f>
        <v>Rajasthan → Surat</v>
      </c>
      <c r="AA184" s="0" t="str">
        <f aca="false">Raw!Q184</f>
        <v>BlueDart</v>
      </c>
      <c r="AB184" s="0" t="str">
        <f aca="false">Raw!R184</f>
        <v>Yes</v>
      </c>
      <c r="AC184" s="0" t="str">
        <f aca="false">Raw!S184</f>
        <v>Damaged</v>
      </c>
      <c r="AD184" s="29" t="n">
        <f aca="false">Raw!N184</f>
        <v>1237.16</v>
      </c>
      <c r="AE184" s="29" t="n">
        <f aca="false">Raw!O184</f>
        <v>4903.5</v>
      </c>
      <c r="AF184" s="29" t="n">
        <f aca="false">Raw!P184</f>
        <v>1301.54</v>
      </c>
      <c r="AG184" s="29" t="n">
        <f aca="false">AD184/J184</f>
        <v>909.676470588235</v>
      </c>
    </row>
    <row r="185" customFormat="false" ht="15" hidden="false" customHeight="false" outlineLevel="0" collapsed="false">
      <c r="A185" s="0" t="str">
        <f aca="false">Raw!A185</f>
        <v>SHP0184</v>
      </c>
      <c r="B185" s="0" t="str">
        <f aca="false">Raw!B185</f>
        <v>Outbound</v>
      </c>
      <c r="C185" s="0" t="str">
        <f aca="false">Raw!C185</f>
        <v>Surat</v>
      </c>
      <c r="D185" s="0" t="str">
        <f aca="false">Raw!D185</f>
        <v>Assam</v>
      </c>
      <c r="E185" s="0" t="str">
        <f aca="false">IFERROR(INDEX(Location_Map!$B$2:$B$15,MATCH(C185,Location_Map!$A$2:$A$15,0)),"UNMAPPED")</f>
        <v>Gujarat</v>
      </c>
      <c r="F185" s="0" t="str">
        <f aca="false">IFERROR(INDEX(Location_Map!$C$2:$C$15,MATCH(C185,Location_Map!$A$2:$A$15,0)),"UNMAPPED")</f>
        <v>West</v>
      </c>
      <c r="G185" s="0" t="str">
        <f aca="false">IFERROR(INDEX(Location_Map!$B$2:$B$15,MATCH(D185,Location_Map!$A$2:$A$15,0)),"UNMAPPED")</f>
        <v>Assam</v>
      </c>
      <c r="H185" s="0" t="str">
        <f aca="false">IFERROR(INDEX(Location_Map!$C$2:$C$15,MATCH(D185,Location_Map!$A$2:$A$15,0)),"UNMAPPED")</f>
        <v>North-East</v>
      </c>
      <c r="I185" s="0" t="str">
        <f aca="false">Raw!E185</f>
        <v>Raw Yarn</v>
      </c>
      <c r="J185" s="28" t="n">
        <f aca="false">Raw!F185</f>
        <v>19.23</v>
      </c>
      <c r="K185" s="30" t="n">
        <f aca="false">DATE(LEFT(Raw!G185,4),MID(Raw!G185,6,2),MID(Raw!G185,9,2))</f>
        <v>45804</v>
      </c>
      <c r="L185" s="30" t="n">
        <f aca="false">DATE(LEFT(Raw!H185,4),MID(Raw!H185,6,2),MID(Raw!H185,9,2))</f>
        <v>45805</v>
      </c>
      <c r="M185" s="30" t="n">
        <f aca="false">DATE(LEFT(Raw!I185,4),MID(Raw!I185,6,2),MID(Raw!I185,9,2))</f>
        <v>45810</v>
      </c>
      <c r="N185" s="31" t="n">
        <f aca="false">DATE(LEFT(Raw!J185,4),MID(Raw!J185,6,2),MID(Raw!J185,9,2))+TIME(MID(Raw!J185,12,2),MID(Raw!J185,15,2),MID(Raw!J185,18,2))</f>
        <v>45805.2083333333</v>
      </c>
      <c r="O185" s="31" t="n">
        <f aca="false">DATE(LEFT(Raw!K185,4),MID(Raw!K185,6,2),MID(Raw!K185,9,2))+TIME(MID(Raw!K185,12,2),MID(Raw!K185,15,2),MID(Raw!K185,18,2))</f>
        <v>45809</v>
      </c>
      <c r="P185" s="32" t="n">
        <f aca="false">L185-K185</f>
        <v>1</v>
      </c>
      <c r="Q185" s="32" t="n">
        <f aca="false">M185-L185</f>
        <v>5</v>
      </c>
      <c r="R185" s="32" t="n">
        <f aca="false">O185-N185</f>
        <v>3.79166666666667</v>
      </c>
      <c r="S185" s="32" t="n">
        <f aca="false">Raw!L185</f>
        <v>-1</v>
      </c>
      <c r="T185" s="32" t="n">
        <f aca="false">O185-M185</f>
        <v>-1</v>
      </c>
      <c r="U185" s="0" t="str">
        <f aca="false">IF(ABS(T185-S185)&lt;0.01,"OK","MISMATCH")</f>
        <v>OK</v>
      </c>
      <c r="V185" s="33" t="n">
        <f aca="false">Raw!M185</f>
        <v>0</v>
      </c>
      <c r="W185" s="0" t="str">
        <f aca="false">IF((S185&gt;0)=(V185=1),"OK","MISMATCH")</f>
        <v>OK</v>
      </c>
      <c r="X185" s="0" t="str">
        <f aca="false">_xlfn.IFS(S185&lt;=0,"Early/On time",S185&lt;=2,"Minor (up to 2 days)",S185&lt;=5,"Moderate (2-5 days)",TRUE(),"Severe (over 5 days)")</f>
        <v>Early/On time</v>
      </c>
      <c r="Y185" s="0" t="str">
        <f aca="false">YEAR(K185)&amp;"-"&amp;TEXT(MONTH(K185),"00")</f>
        <v>2025-05</v>
      </c>
      <c r="Z185" s="0" t="str">
        <f aca="false">C185&amp;" → "&amp;D185</f>
        <v>Surat → Assam</v>
      </c>
      <c r="AA185" s="0" t="str">
        <f aca="false">Raw!Q185</f>
        <v>TCI Express</v>
      </c>
      <c r="AB185" s="0" t="str">
        <f aca="false">Raw!R185</f>
        <v>No</v>
      </c>
      <c r="AC185" s="0" t="str">
        <f aca="false">Raw!S185</f>
        <v>Normal</v>
      </c>
      <c r="AD185" s="29" t="n">
        <f aca="false">Raw!N185</f>
        <v>10387.39</v>
      </c>
      <c r="AE185" s="29" t="n">
        <f aca="false">Raw!O185</f>
        <v>1392.33</v>
      </c>
      <c r="AF185" s="29" t="n">
        <f aca="false">Raw!P185</f>
        <v>988.24</v>
      </c>
      <c r="AG185" s="29" t="n">
        <f aca="false">AD185/J185</f>
        <v>540.165886635465</v>
      </c>
    </row>
    <row r="186" customFormat="false" ht="15" hidden="false" customHeight="false" outlineLevel="0" collapsed="false">
      <c r="A186" s="0" t="str">
        <f aca="false">Raw!A186</f>
        <v>SHP0185</v>
      </c>
      <c r="B186" s="0" t="str">
        <f aca="false">Raw!B186</f>
        <v>Outbound</v>
      </c>
      <c r="C186" s="0" t="str">
        <f aca="false">Raw!C186</f>
        <v>Surat</v>
      </c>
      <c r="D186" s="0" t="str">
        <f aca="false">Raw!D186</f>
        <v>Mumbai</v>
      </c>
      <c r="E186" s="0" t="str">
        <f aca="false">IFERROR(INDEX(Location_Map!$B$2:$B$15,MATCH(C186,Location_Map!$A$2:$A$15,0)),"UNMAPPED")</f>
        <v>Gujarat</v>
      </c>
      <c r="F186" s="0" t="str">
        <f aca="false">IFERROR(INDEX(Location_Map!$C$2:$C$15,MATCH(C186,Location_Map!$A$2:$A$15,0)),"UNMAPPED")</f>
        <v>West</v>
      </c>
      <c r="G186" s="0" t="str">
        <f aca="false">IFERROR(INDEX(Location_Map!$B$2:$B$15,MATCH(D186,Location_Map!$A$2:$A$15,0)),"UNMAPPED")</f>
        <v>Maharashtra</v>
      </c>
      <c r="H186" s="0" t="str">
        <f aca="false">IFERROR(INDEX(Location_Map!$C$2:$C$15,MATCH(D186,Location_Map!$A$2:$A$15,0)),"UNMAPPED")</f>
        <v>West</v>
      </c>
      <c r="I186" s="0" t="str">
        <f aca="false">Raw!E186</f>
        <v>Semi-Processed Yarn</v>
      </c>
      <c r="J186" s="28" t="n">
        <f aca="false">Raw!F186</f>
        <v>3.85</v>
      </c>
      <c r="K186" s="30" t="n">
        <f aca="false">DATE(LEFT(Raw!G186,4),MID(Raw!G186,6,2),MID(Raw!G186,9,2))</f>
        <v>45755</v>
      </c>
      <c r="L186" s="30" t="n">
        <f aca="false">DATE(LEFT(Raw!H186,4),MID(Raw!H186,6,2),MID(Raw!H186,9,2))</f>
        <v>45758</v>
      </c>
      <c r="M186" s="30" t="n">
        <f aca="false">DATE(LEFT(Raw!I186,4),MID(Raw!I186,6,2),MID(Raw!I186,9,2))</f>
        <v>45762</v>
      </c>
      <c r="N186" s="31" t="n">
        <f aca="false">DATE(LEFT(Raw!J186,4),MID(Raw!J186,6,2),MID(Raw!J186,9,2))+TIME(MID(Raw!J186,12,2),MID(Raw!J186,15,2),MID(Raw!J186,18,2))</f>
        <v>45758</v>
      </c>
      <c r="O186" s="31" t="n">
        <f aca="false">DATE(LEFT(Raw!K186,4),MID(Raw!K186,6,2),MID(Raw!K186,9,2))+TIME(MID(Raw!K186,12,2),MID(Raw!K186,15,2),MID(Raw!K186,18,2))</f>
        <v>45761</v>
      </c>
      <c r="P186" s="32" t="n">
        <f aca="false">L186-K186</f>
        <v>3</v>
      </c>
      <c r="Q186" s="32" t="n">
        <f aca="false">M186-L186</f>
        <v>4</v>
      </c>
      <c r="R186" s="32" t="n">
        <f aca="false">O186-N186</f>
        <v>3</v>
      </c>
      <c r="S186" s="32" t="n">
        <f aca="false">Raw!L186</f>
        <v>-1</v>
      </c>
      <c r="T186" s="32" t="n">
        <f aca="false">O186-M186</f>
        <v>-1</v>
      </c>
      <c r="U186" s="0" t="str">
        <f aca="false">IF(ABS(T186-S186)&lt;0.01,"OK","MISMATCH")</f>
        <v>OK</v>
      </c>
      <c r="V186" s="33" t="n">
        <f aca="false">Raw!M186</f>
        <v>0</v>
      </c>
      <c r="W186" s="0" t="str">
        <f aca="false">IF((S186&gt;0)=(V186=1),"OK","MISMATCH")</f>
        <v>OK</v>
      </c>
      <c r="X186" s="0" t="str">
        <f aca="false">_xlfn.IFS(S186&lt;=0,"Early/On time",S186&lt;=2,"Minor (up to 2 days)",S186&lt;=5,"Moderate (2-5 days)",TRUE(),"Severe (over 5 days)")</f>
        <v>Early/On time</v>
      </c>
      <c r="Y186" s="0" t="str">
        <f aca="false">YEAR(K186)&amp;"-"&amp;TEXT(MONTH(K186),"00")</f>
        <v>2025-04</v>
      </c>
      <c r="Z186" s="0" t="str">
        <f aca="false">C186&amp;" → "&amp;D186</f>
        <v>Surat → Mumbai</v>
      </c>
      <c r="AA186" s="0" t="str">
        <f aca="false">Raw!Q186</f>
        <v>Delhivery</v>
      </c>
      <c r="AB186" s="0" t="str">
        <f aca="false">Raw!R186</f>
        <v>Yes</v>
      </c>
      <c r="AC186" s="0" t="str">
        <f aca="false">Raw!S186</f>
        <v>Damaged</v>
      </c>
      <c r="AD186" s="29" t="n">
        <f aca="false">Raw!N186</f>
        <v>3266.69</v>
      </c>
      <c r="AE186" s="29" t="n">
        <f aca="false">Raw!O186</f>
        <v>1532.58</v>
      </c>
      <c r="AF186" s="29" t="n">
        <f aca="false">Raw!P186</f>
        <v>602.15</v>
      </c>
      <c r="AG186" s="29" t="n">
        <f aca="false">AD186/J186</f>
        <v>848.490909090909</v>
      </c>
    </row>
    <row r="187" customFormat="false" ht="15" hidden="false" customHeight="false" outlineLevel="0" collapsed="false">
      <c r="A187" s="0" t="str">
        <f aca="false">Raw!A187</f>
        <v>SHP0186</v>
      </c>
      <c r="B187" s="0" t="str">
        <f aca="false">Raw!B187</f>
        <v>Inbound</v>
      </c>
      <c r="C187" s="0" t="str">
        <f aca="false">Raw!C187</f>
        <v>Punjab</v>
      </c>
      <c r="D187" s="0" t="str">
        <f aca="false">Raw!D187</f>
        <v>Surat</v>
      </c>
      <c r="E187" s="0" t="str">
        <f aca="false">IFERROR(INDEX(Location_Map!$B$2:$B$15,MATCH(C187,Location_Map!$A$2:$A$15,0)),"UNMAPPED")</f>
        <v>Punjab</v>
      </c>
      <c r="F187" s="0" t="str">
        <f aca="false">IFERROR(INDEX(Location_Map!$C$2:$C$15,MATCH(C187,Location_Map!$A$2:$A$15,0)),"UNMAPPED")</f>
        <v>North</v>
      </c>
      <c r="G187" s="0" t="str">
        <f aca="false">IFERROR(INDEX(Location_Map!$B$2:$B$15,MATCH(D187,Location_Map!$A$2:$A$15,0)),"UNMAPPED")</f>
        <v>Gujarat</v>
      </c>
      <c r="H187" s="0" t="str">
        <f aca="false">IFERROR(INDEX(Location_Map!$C$2:$C$15,MATCH(D187,Location_Map!$A$2:$A$15,0)),"UNMAPPED")</f>
        <v>West</v>
      </c>
      <c r="I187" s="0" t="str">
        <f aca="false">Raw!E187</f>
        <v>Finished Yarn</v>
      </c>
      <c r="J187" s="28" t="n">
        <f aca="false">Raw!F187</f>
        <v>13.52</v>
      </c>
      <c r="K187" s="30" t="n">
        <f aca="false">DATE(LEFT(Raw!G187,4),MID(Raw!G187,6,2),MID(Raw!G187,9,2))</f>
        <v>45940</v>
      </c>
      <c r="L187" s="30" t="n">
        <f aca="false">DATE(LEFT(Raw!H187,4),MID(Raw!H187,6,2),MID(Raw!H187,9,2))</f>
        <v>45944</v>
      </c>
      <c r="M187" s="30" t="n">
        <f aca="false">DATE(LEFT(Raw!I187,4),MID(Raw!I187,6,2),MID(Raw!I187,9,2))</f>
        <v>45950</v>
      </c>
      <c r="N187" s="31" t="n">
        <f aca="false">DATE(LEFT(Raw!J187,4),MID(Raw!J187,6,2),MID(Raw!J187,9,2))+TIME(MID(Raw!J187,12,2),MID(Raw!J187,15,2),MID(Raw!J187,18,2))</f>
        <v>45943.7916666667</v>
      </c>
      <c r="O187" s="31" t="n">
        <f aca="false">DATE(LEFT(Raw!K187,4),MID(Raw!K187,6,2),MID(Raw!K187,9,2))+TIME(MID(Raw!K187,12,2),MID(Raw!K187,15,2),MID(Raw!K187,18,2))</f>
        <v>45949</v>
      </c>
      <c r="P187" s="32" t="n">
        <f aca="false">L187-K187</f>
        <v>4</v>
      </c>
      <c r="Q187" s="32" t="n">
        <f aca="false">M187-L187</f>
        <v>6</v>
      </c>
      <c r="R187" s="32" t="n">
        <f aca="false">O187-N187</f>
        <v>5.20833333333333</v>
      </c>
      <c r="S187" s="32" t="n">
        <f aca="false">Raw!L187</f>
        <v>-1</v>
      </c>
      <c r="T187" s="32" t="n">
        <f aca="false">O187-M187</f>
        <v>-1</v>
      </c>
      <c r="U187" s="0" t="str">
        <f aca="false">IF(ABS(T187-S187)&lt;0.01,"OK","MISMATCH")</f>
        <v>OK</v>
      </c>
      <c r="V187" s="33" t="n">
        <f aca="false">Raw!M187</f>
        <v>0</v>
      </c>
      <c r="W187" s="0" t="str">
        <f aca="false">IF((S187&gt;0)=(V187=1),"OK","MISMATCH")</f>
        <v>OK</v>
      </c>
      <c r="X187" s="0" t="str">
        <f aca="false">_xlfn.IFS(S187&lt;=0,"Early/On time",S187&lt;=2,"Minor (up to 2 days)",S187&lt;=5,"Moderate (2-5 days)",TRUE(),"Severe (over 5 days)")</f>
        <v>Early/On time</v>
      </c>
      <c r="Y187" s="0" t="str">
        <f aca="false">YEAR(K187)&amp;"-"&amp;TEXT(MONTH(K187),"00")</f>
        <v>2025-10</v>
      </c>
      <c r="Z187" s="0" t="str">
        <f aca="false">C187&amp;" → "&amp;D187</f>
        <v>Punjab → Surat</v>
      </c>
      <c r="AA187" s="0" t="str">
        <f aca="false">Raw!Q187</f>
        <v>TCI Express</v>
      </c>
      <c r="AB187" s="0" t="str">
        <f aca="false">Raw!R187</f>
        <v>No</v>
      </c>
      <c r="AC187" s="0" t="str">
        <f aca="false">Raw!S187</f>
        <v>Normal</v>
      </c>
      <c r="AD187" s="29" t="n">
        <f aca="false">Raw!N187</f>
        <v>5883.03</v>
      </c>
      <c r="AE187" s="29" t="n">
        <f aca="false">Raw!O187</f>
        <v>4607.05</v>
      </c>
      <c r="AF187" s="29" t="n">
        <f aca="false">Raw!P187</f>
        <v>961.48</v>
      </c>
      <c r="AG187" s="29" t="n">
        <f aca="false">AD187/J187</f>
        <v>435.135355029586</v>
      </c>
    </row>
    <row r="188" customFormat="false" ht="15" hidden="false" customHeight="false" outlineLevel="0" collapsed="false">
      <c r="A188" s="0" t="str">
        <f aca="false">Raw!A188</f>
        <v>SHP0187</v>
      </c>
      <c r="B188" s="0" t="str">
        <f aca="false">Raw!B188</f>
        <v>Outbound</v>
      </c>
      <c r="C188" s="0" t="str">
        <f aca="false">Raw!C188</f>
        <v>Surat</v>
      </c>
      <c r="D188" s="0" t="str">
        <f aca="false">Raw!D188</f>
        <v>Jaipur</v>
      </c>
      <c r="E188" s="0" t="str">
        <f aca="false">IFERROR(INDEX(Location_Map!$B$2:$B$15,MATCH(C188,Location_Map!$A$2:$A$15,0)),"UNMAPPED")</f>
        <v>Gujarat</v>
      </c>
      <c r="F188" s="0" t="str">
        <f aca="false">IFERROR(INDEX(Location_Map!$C$2:$C$15,MATCH(C188,Location_Map!$A$2:$A$15,0)),"UNMAPPED")</f>
        <v>West</v>
      </c>
      <c r="G188" s="0" t="str">
        <f aca="false">IFERROR(INDEX(Location_Map!$B$2:$B$15,MATCH(D188,Location_Map!$A$2:$A$15,0)),"UNMAPPED")</f>
        <v>Rajasthan</v>
      </c>
      <c r="H188" s="0" t="str">
        <f aca="false">IFERROR(INDEX(Location_Map!$C$2:$C$15,MATCH(D188,Location_Map!$A$2:$A$15,0)),"UNMAPPED")</f>
        <v>North</v>
      </c>
      <c r="I188" s="0" t="str">
        <f aca="false">Raw!E188</f>
        <v>Raw Yarn</v>
      </c>
      <c r="J188" s="28" t="n">
        <f aca="false">Raw!F188</f>
        <v>13.11</v>
      </c>
      <c r="K188" s="30" t="n">
        <f aca="false">DATE(LEFT(Raw!G188,4),MID(Raw!G188,6,2),MID(Raw!G188,9,2))</f>
        <v>45855</v>
      </c>
      <c r="L188" s="30" t="n">
        <f aca="false">DATE(LEFT(Raw!H188,4),MID(Raw!H188,6,2),MID(Raw!H188,9,2))</f>
        <v>45859</v>
      </c>
      <c r="M188" s="30" t="n">
        <f aca="false">DATE(LEFT(Raw!I188,4),MID(Raw!I188,6,2),MID(Raw!I188,9,2))</f>
        <v>45861</v>
      </c>
      <c r="N188" s="31" t="n">
        <f aca="false">DATE(LEFT(Raw!J188,4),MID(Raw!J188,6,2),MID(Raw!J188,9,2))+TIME(MID(Raw!J188,12,2),MID(Raw!J188,15,2),MID(Raw!J188,18,2))</f>
        <v>45859.0833333333</v>
      </c>
      <c r="O188" s="31" t="n">
        <f aca="false">DATE(LEFT(Raw!K188,4),MID(Raw!K188,6,2),MID(Raw!K188,9,2))+TIME(MID(Raw!K188,12,2),MID(Raw!K188,15,2),MID(Raw!K188,18,2))</f>
        <v>45861.1</v>
      </c>
      <c r="P188" s="32" t="n">
        <f aca="false">L188-K188</f>
        <v>4</v>
      </c>
      <c r="Q188" s="32" t="n">
        <f aca="false">M188-L188</f>
        <v>2</v>
      </c>
      <c r="R188" s="32" t="n">
        <f aca="false">O188-N188</f>
        <v>2.01666666666667</v>
      </c>
      <c r="S188" s="32" t="n">
        <f aca="false">Raw!L188</f>
        <v>0.1</v>
      </c>
      <c r="T188" s="32" t="n">
        <f aca="false">O188-M188</f>
        <v>0.1</v>
      </c>
      <c r="U188" s="0" t="str">
        <f aca="false">IF(ABS(T188-S188)&lt;0.01,"OK","MISMATCH")</f>
        <v>OK</v>
      </c>
      <c r="V188" s="33" t="n">
        <f aca="false">Raw!M188</f>
        <v>1</v>
      </c>
      <c r="W188" s="0" t="str">
        <f aca="false">IF((S188&gt;0)=(V188=1),"OK","MISMATCH")</f>
        <v>OK</v>
      </c>
      <c r="X188" s="0" t="str">
        <f aca="false">_xlfn.IFS(S188&lt;=0,"Early/On time",S188&lt;=2,"Minor (up to 2 days)",S188&lt;=5,"Moderate (2-5 days)",TRUE(),"Severe (over 5 days)")</f>
        <v>Minor (up to 2 days)</v>
      </c>
      <c r="Y188" s="0" t="str">
        <f aca="false">YEAR(K188)&amp;"-"&amp;TEXT(MONTH(K188),"00")</f>
        <v>2025-07</v>
      </c>
      <c r="Z188" s="0" t="str">
        <f aca="false">C188&amp;" → "&amp;D188</f>
        <v>Surat → Jaipur</v>
      </c>
      <c r="AA188" s="0" t="str">
        <f aca="false">Raw!Q188</f>
        <v>Delhivery</v>
      </c>
      <c r="AB188" s="0" t="str">
        <f aca="false">Raw!R188</f>
        <v>No</v>
      </c>
      <c r="AC188" s="0" t="str">
        <f aca="false">Raw!S188</f>
        <v>Returned</v>
      </c>
      <c r="AD188" s="29" t="n">
        <f aca="false">Raw!N188</f>
        <v>6198.93</v>
      </c>
      <c r="AE188" s="29" t="n">
        <f aca="false">Raw!O188</f>
        <v>4953.1</v>
      </c>
      <c r="AF188" s="29" t="n">
        <f aca="false">Raw!P188</f>
        <v>943.27</v>
      </c>
      <c r="AG188" s="29" t="n">
        <f aca="false">AD188/J188</f>
        <v>472.839816933639</v>
      </c>
    </row>
    <row r="189" customFormat="false" ht="15" hidden="false" customHeight="false" outlineLevel="0" collapsed="false">
      <c r="A189" s="0" t="str">
        <f aca="false">Raw!A189</f>
        <v>SHP0188</v>
      </c>
      <c r="B189" s="0" t="str">
        <f aca="false">Raw!B189</f>
        <v>Inbound</v>
      </c>
      <c r="C189" s="0" t="str">
        <f aca="false">Raw!C189</f>
        <v>Gujarat</v>
      </c>
      <c r="D189" s="0" t="str">
        <f aca="false">Raw!D189</f>
        <v>Surat</v>
      </c>
      <c r="E189" s="0" t="str">
        <f aca="false">IFERROR(INDEX(Location_Map!$B$2:$B$15,MATCH(C189,Location_Map!$A$2:$A$15,0)),"UNMAPPED")</f>
        <v>Gujarat</v>
      </c>
      <c r="F189" s="0" t="str">
        <f aca="false">IFERROR(INDEX(Location_Map!$C$2:$C$15,MATCH(C189,Location_Map!$A$2:$A$15,0)),"UNMAPPED")</f>
        <v>West</v>
      </c>
      <c r="G189" s="0" t="str">
        <f aca="false">IFERROR(INDEX(Location_Map!$B$2:$B$15,MATCH(D189,Location_Map!$A$2:$A$15,0)),"UNMAPPED")</f>
        <v>Gujarat</v>
      </c>
      <c r="H189" s="0" t="str">
        <f aca="false">IFERROR(INDEX(Location_Map!$C$2:$C$15,MATCH(D189,Location_Map!$A$2:$A$15,0)),"UNMAPPED")</f>
        <v>West</v>
      </c>
      <c r="I189" s="0" t="str">
        <f aca="false">Raw!E189</f>
        <v>Finished Yarn</v>
      </c>
      <c r="J189" s="28" t="n">
        <f aca="false">Raw!F189</f>
        <v>1.91</v>
      </c>
      <c r="K189" s="30" t="n">
        <f aca="false">DATE(LEFT(Raw!G189,4),MID(Raw!G189,6,2),MID(Raw!G189,9,2))</f>
        <v>45669</v>
      </c>
      <c r="L189" s="30" t="n">
        <f aca="false">DATE(LEFT(Raw!H189,4),MID(Raw!H189,6,2),MID(Raw!H189,9,2))</f>
        <v>45672</v>
      </c>
      <c r="M189" s="30" t="n">
        <f aca="false">DATE(LEFT(Raw!I189,4),MID(Raw!I189,6,2),MID(Raw!I189,9,2))</f>
        <v>45674</v>
      </c>
      <c r="N189" s="31" t="n">
        <f aca="false">DATE(LEFT(Raw!J189,4),MID(Raw!J189,6,2),MID(Raw!J189,9,2))+TIME(MID(Raw!J189,12,2),MID(Raw!J189,15,2),MID(Raw!J189,18,2))</f>
        <v>45672.2916666667</v>
      </c>
      <c r="O189" s="31" t="n">
        <f aca="false">DATE(LEFT(Raw!K189,4),MID(Raw!K189,6,2),MID(Raw!K189,9,2))+TIME(MID(Raw!K189,12,2),MID(Raw!K189,15,2),MID(Raw!K189,18,2))</f>
        <v>45676.5</v>
      </c>
      <c r="P189" s="32" t="n">
        <f aca="false">L189-K189</f>
        <v>3</v>
      </c>
      <c r="Q189" s="32" t="n">
        <f aca="false">M189-L189</f>
        <v>2</v>
      </c>
      <c r="R189" s="32" t="n">
        <f aca="false">O189-N189</f>
        <v>4.20833333333333</v>
      </c>
      <c r="S189" s="32" t="n">
        <f aca="false">Raw!L189</f>
        <v>2.5</v>
      </c>
      <c r="T189" s="32" t="n">
        <f aca="false">O189-M189</f>
        <v>2.5</v>
      </c>
      <c r="U189" s="0" t="str">
        <f aca="false">IF(ABS(T189-S189)&lt;0.01,"OK","MISMATCH")</f>
        <v>OK</v>
      </c>
      <c r="V189" s="33" t="n">
        <f aca="false">Raw!M189</f>
        <v>1</v>
      </c>
      <c r="W189" s="0" t="str">
        <f aca="false">IF((S189&gt;0)=(V189=1),"OK","MISMATCH")</f>
        <v>OK</v>
      </c>
      <c r="X189" s="0" t="str">
        <f aca="false">_xlfn.IFS(S189&lt;=0,"Early/On time",S189&lt;=2,"Minor (up to 2 days)",S189&lt;=5,"Moderate (2-5 days)",TRUE(),"Severe (over 5 days)")</f>
        <v>Moderate (2-5 days)</v>
      </c>
      <c r="Y189" s="0" t="str">
        <f aca="false">YEAR(K189)&amp;"-"&amp;TEXT(MONTH(K189),"00")</f>
        <v>2025-01</v>
      </c>
      <c r="Z189" s="0" t="str">
        <f aca="false">C189&amp;" → "&amp;D189</f>
        <v>Gujarat → Surat</v>
      </c>
      <c r="AA189" s="0" t="str">
        <f aca="false">Raw!Q189</f>
        <v>TCI Express</v>
      </c>
      <c r="AB189" s="0" t="str">
        <f aca="false">Raw!R189</f>
        <v>No</v>
      </c>
      <c r="AC189" s="0" t="str">
        <f aca="false">Raw!S189</f>
        <v>Damaged</v>
      </c>
      <c r="AD189" s="29" t="n">
        <f aca="false">Raw!N189</f>
        <v>1609.13</v>
      </c>
      <c r="AE189" s="29" t="n">
        <f aca="false">Raw!O189</f>
        <v>1142.28</v>
      </c>
      <c r="AF189" s="29" t="n">
        <f aca="false">Raw!P189</f>
        <v>1008.58</v>
      </c>
      <c r="AG189" s="29" t="n">
        <f aca="false">AD189/J189</f>
        <v>842.476439790576</v>
      </c>
    </row>
    <row r="190" customFormat="false" ht="15" hidden="false" customHeight="false" outlineLevel="0" collapsed="false">
      <c r="A190" s="0" t="str">
        <f aca="false">Raw!A190</f>
        <v>SHP0189</v>
      </c>
      <c r="B190" s="0" t="str">
        <f aca="false">Raw!B190</f>
        <v>Inbound</v>
      </c>
      <c r="C190" s="0" t="str">
        <f aca="false">Raw!C190</f>
        <v>Gujarat</v>
      </c>
      <c r="D190" s="0" t="str">
        <f aca="false">Raw!D190</f>
        <v>Surat</v>
      </c>
      <c r="E190" s="0" t="str">
        <f aca="false">IFERROR(INDEX(Location_Map!$B$2:$B$15,MATCH(C190,Location_Map!$A$2:$A$15,0)),"UNMAPPED")</f>
        <v>Gujarat</v>
      </c>
      <c r="F190" s="0" t="str">
        <f aca="false">IFERROR(INDEX(Location_Map!$C$2:$C$15,MATCH(C190,Location_Map!$A$2:$A$15,0)),"UNMAPPED")</f>
        <v>West</v>
      </c>
      <c r="G190" s="0" t="str">
        <f aca="false">IFERROR(INDEX(Location_Map!$B$2:$B$15,MATCH(D190,Location_Map!$A$2:$A$15,0)),"UNMAPPED")</f>
        <v>Gujarat</v>
      </c>
      <c r="H190" s="0" t="str">
        <f aca="false">IFERROR(INDEX(Location_Map!$C$2:$C$15,MATCH(D190,Location_Map!$A$2:$A$15,0)),"UNMAPPED")</f>
        <v>West</v>
      </c>
      <c r="I190" s="0" t="str">
        <f aca="false">Raw!E190</f>
        <v>Raw Yarn</v>
      </c>
      <c r="J190" s="28" t="n">
        <f aca="false">Raw!F190</f>
        <v>8.36</v>
      </c>
      <c r="K190" s="30" t="n">
        <f aca="false">DATE(LEFT(Raw!G190,4),MID(Raw!G190,6,2),MID(Raw!G190,9,2))</f>
        <v>45796</v>
      </c>
      <c r="L190" s="30" t="n">
        <f aca="false">DATE(LEFT(Raw!H190,4),MID(Raw!H190,6,2),MID(Raw!H190,9,2))</f>
        <v>45800</v>
      </c>
      <c r="M190" s="30" t="n">
        <f aca="false">DATE(LEFT(Raw!I190,4),MID(Raw!I190,6,2),MID(Raw!I190,9,2))</f>
        <v>45805</v>
      </c>
      <c r="N190" s="31" t="n">
        <f aca="false">DATE(LEFT(Raw!J190,4),MID(Raw!J190,6,2),MID(Raw!J190,9,2))+TIME(MID(Raw!J190,12,2),MID(Raw!J190,15,2),MID(Raw!J190,18,2))</f>
        <v>45800.25</v>
      </c>
      <c r="O190" s="31" t="n">
        <f aca="false">DATE(LEFT(Raw!K190,4),MID(Raw!K190,6,2),MID(Raw!K190,9,2))+TIME(MID(Raw!K190,12,2),MID(Raw!K190,15,2),MID(Raw!K190,18,2))</f>
        <v>45809</v>
      </c>
      <c r="P190" s="32" t="n">
        <f aca="false">L190-K190</f>
        <v>4</v>
      </c>
      <c r="Q190" s="32" t="n">
        <f aca="false">M190-L190</f>
        <v>5</v>
      </c>
      <c r="R190" s="32" t="n">
        <f aca="false">O190-N190</f>
        <v>8.75</v>
      </c>
      <c r="S190" s="32" t="n">
        <f aca="false">Raw!L190</f>
        <v>4</v>
      </c>
      <c r="T190" s="32" t="n">
        <f aca="false">O190-M190</f>
        <v>4</v>
      </c>
      <c r="U190" s="0" t="str">
        <f aca="false">IF(ABS(T190-S190)&lt;0.01,"OK","MISMATCH")</f>
        <v>OK</v>
      </c>
      <c r="V190" s="33" t="n">
        <f aca="false">Raw!M190</f>
        <v>1</v>
      </c>
      <c r="W190" s="0" t="str">
        <f aca="false">IF((S190&gt;0)=(V190=1),"OK","MISMATCH")</f>
        <v>OK</v>
      </c>
      <c r="X190" s="0" t="str">
        <f aca="false">_xlfn.IFS(S190&lt;=0,"Early/On time",S190&lt;=2,"Minor (up to 2 days)",S190&lt;=5,"Moderate (2-5 days)",TRUE(),"Severe (over 5 days)")</f>
        <v>Moderate (2-5 days)</v>
      </c>
      <c r="Y190" s="0" t="str">
        <f aca="false">YEAR(K190)&amp;"-"&amp;TEXT(MONTH(K190),"00")</f>
        <v>2025-05</v>
      </c>
      <c r="Z190" s="0" t="str">
        <f aca="false">C190&amp;" → "&amp;D190</f>
        <v>Gujarat → Surat</v>
      </c>
      <c r="AA190" s="0" t="str">
        <f aca="false">Raw!Q190</f>
        <v>BlueDart</v>
      </c>
      <c r="AB190" s="0" t="str">
        <f aca="false">Raw!R190</f>
        <v>No</v>
      </c>
      <c r="AC190" s="0" t="str">
        <f aca="false">Raw!S190</f>
        <v>Normal</v>
      </c>
      <c r="AD190" s="29" t="n">
        <f aca="false">Raw!N190</f>
        <v>3877.14</v>
      </c>
      <c r="AE190" s="29" t="n">
        <f aca="false">Raw!O190</f>
        <v>3198.46</v>
      </c>
      <c r="AF190" s="29" t="n">
        <f aca="false">Raw!P190</f>
        <v>1330.53</v>
      </c>
      <c r="AG190" s="29" t="n">
        <f aca="false">AD190/J190</f>
        <v>463.772727272727</v>
      </c>
    </row>
    <row r="191" customFormat="false" ht="15" hidden="false" customHeight="false" outlineLevel="0" collapsed="false">
      <c r="A191" s="0" t="str">
        <f aca="false">Raw!A191</f>
        <v>SHP0190</v>
      </c>
      <c r="B191" s="0" t="str">
        <f aca="false">Raw!B191</f>
        <v>Inbound</v>
      </c>
      <c r="C191" s="0" t="str">
        <f aca="false">Raw!C191</f>
        <v>Uttar Pradesh</v>
      </c>
      <c r="D191" s="0" t="str">
        <f aca="false">Raw!D191</f>
        <v>Surat</v>
      </c>
      <c r="E191" s="0" t="str">
        <f aca="false">IFERROR(INDEX(Location_Map!$B$2:$B$15,MATCH(C191,Location_Map!$A$2:$A$15,0)),"UNMAPPED")</f>
        <v>Uttar Pradesh</v>
      </c>
      <c r="F191" s="0" t="str">
        <f aca="false">IFERROR(INDEX(Location_Map!$C$2:$C$15,MATCH(C191,Location_Map!$A$2:$A$15,0)),"UNMAPPED")</f>
        <v>North</v>
      </c>
      <c r="G191" s="0" t="str">
        <f aca="false">IFERROR(INDEX(Location_Map!$B$2:$B$15,MATCH(D191,Location_Map!$A$2:$A$15,0)),"UNMAPPED")</f>
        <v>Gujarat</v>
      </c>
      <c r="H191" s="0" t="str">
        <f aca="false">IFERROR(INDEX(Location_Map!$C$2:$C$15,MATCH(D191,Location_Map!$A$2:$A$15,0)),"UNMAPPED")</f>
        <v>West</v>
      </c>
      <c r="I191" s="0" t="str">
        <f aca="false">Raw!E191</f>
        <v>Raw Yarn</v>
      </c>
      <c r="J191" s="28" t="n">
        <f aca="false">Raw!F191</f>
        <v>2.31</v>
      </c>
      <c r="K191" s="30" t="n">
        <f aca="false">DATE(LEFT(Raw!G191,4),MID(Raw!G191,6,2),MID(Raw!G191,9,2))</f>
        <v>45785</v>
      </c>
      <c r="L191" s="30" t="n">
        <f aca="false">DATE(LEFT(Raw!H191,4),MID(Raw!H191,6,2),MID(Raw!H191,9,2))</f>
        <v>45786</v>
      </c>
      <c r="M191" s="30" t="n">
        <f aca="false">DATE(LEFT(Raw!I191,4),MID(Raw!I191,6,2),MID(Raw!I191,9,2))</f>
        <v>45791</v>
      </c>
      <c r="N191" s="31" t="n">
        <f aca="false">DATE(LEFT(Raw!J191,4),MID(Raw!J191,6,2),MID(Raw!J191,9,2))+TIME(MID(Raw!J191,12,2),MID(Raw!J191,15,2),MID(Raw!J191,18,2))</f>
        <v>45785.7916666667</v>
      </c>
      <c r="O191" s="31" t="n">
        <f aca="false">DATE(LEFT(Raw!K191,4),MID(Raw!K191,6,2),MID(Raw!K191,9,2))+TIME(MID(Raw!K191,12,2),MID(Raw!K191,15,2),MID(Raw!K191,18,2))</f>
        <v>45796.5</v>
      </c>
      <c r="P191" s="32" t="n">
        <f aca="false">L191-K191</f>
        <v>1</v>
      </c>
      <c r="Q191" s="32" t="n">
        <f aca="false">M191-L191</f>
        <v>5</v>
      </c>
      <c r="R191" s="32" t="n">
        <f aca="false">O191-N191</f>
        <v>10.7083333333333</v>
      </c>
      <c r="S191" s="32" t="n">
        <f aca="false">Raw!L191</f>
        <v>5.5</v>
      </c>
      <c r="T191" s="32" t="n">
        <f aca="false">O191-M191</f>
        <v>5.5</v>
      </c>
      <c r="U191" s="0" t="str">
        <f aca="false">IF(ABS(T191-S191)&lt;0.01,"OK","MISMATCH")</f>
        <v>OK</v>
      </c>
      <c r="V191" s="33" t="n">
        <f aca="false">Raw!M191</f>
        <v>1</v>
      </c>
      <c r="W191" s="0" t="str">
        <f aca="false">IF((S191&gt;0)=(V191=1),"OK","MISMATCH")</f>
        <v>OK</v>
      </c>
      <c r="X191" s="0" t="str">
        <f aca="false">_xlfn.IFS(S191&lt;=0,"Early/On time",S191&lt;=2,"Minor (up to 2 days)",S191&lt;=5,"Moderate (2-5 days)",TRUE(),"Severe (over 5 days)")</f>
        <v>Severe (over 5 days)</v>
      </c>
      <c r="Y191" s="0" t="str">
        <f aca="false">YEAR(K191)&amp;"-"&amp;TEXT(MONTH(K191),"00")</f>
        <v>2025-05</v>
      </c>
      <c r="Z191" s="0" t="str">
        <f aca="false">C191&amp;" → "&amp;D191</f>
        <v>Uttar Pradesh → Surat</v>
      </c>
      <c r="AA191" s="0" t="str">
        <f aca="false">Raw!Q191</f>
        <v>TCI Express</v>
      </c>
      <c r="AB191" s="0" t="str">
        <f aca="false">Raw!R191</f>
        <v>No</v>
      </c>
      <c r="AC191" s="0" t="str">
        <f aca="false">Raw!S191</f>
        <v>Held at warehouse</v>
      </c>
      <c r="AD191" s="29" t="n">
        <f aca="false">Raw!N191</f>
        <v>2230.86</v>
      </c>
      <c r="AE191" s="29" t="n">
        <f aca="false">Raw!O191</f>
        <v>3498.65</v>
      </c>
      <c r="AF191" s="29" t="n">
        <f aca="false">Raw!P191</f>
        <v>881.94</v>
      </c>
      <c r="AG191" s="29" t="n">
        <f aca="false">AD191/J191</f>
        <v>965.74025974026</v>
      </c>
    </row>
    <row r="192" customFormat="false" ht="15" hidden="false" customHeight="false" outlineLevel="0" collapsed="false">
      <c r="A192" s="0" t="str">
        <f aca="false">Raw!A192</f>
        <v>SHP0191</v>
      </c>
      <c r="B192" s="0" t="str">
        <f aca="false">Raw!B192</f>
        <v>Outbound</v>
      </c>
      <c r="C192" s="0" t="str">
        <f aca="false">Raw!C192</f>
        <v>Surat</v>
      </c>
      <c r="D192" s="0" t="str">
        <f aca="false">Raw!D192</f>
        <v>Uttarakhand</v>
      </c>
      <c r="E192" s="0" t="str">
        <f aca="false">IFERROR(INDEX(Location_Map!$B$2:$B$15,MATCH(C192,Location_Map!$A$2:$A$15,0)),"UNMAPPED")</f>
        <v>Gujarat</v>
      </c>
      <c r="F192" s="0" t="str">
        <f aca="false">IFERROR(INDEX(Location_Map!$C$2:$C$15,MATCH(C192,Location_Map!$A$2:$A$15,0)),"UNMAPPED")</f>
        <v>West</v>
      </c>
      <c r="G192" s="0" t="str">
        <f aca="false">IFERROR(INDEX(Location_Map!$B$2:$B$15,MATCH(D192,Location_Map!$A$2:$A$15,0)),"UNMAPPED")</f>
        <v>Uttarakhand</v>
      </c>
      <c r="H192" s="0" t="str">
        <f aca="false">IFERROR(INDEX(Location_Map!$C$2:$C$15,MATCH(D192,Location_Map!$A$2:$A$15,0)),"UNMAPPED")</f>
        <v>North</v>
      </c>
      <c r="I192" s="0" t="str">
        <f aca="false">Raw!E192</f>
        <v>Semi-Processed Yarn</v>
      </c>
      <c r="J192" s="28" t="n">
        <f aca="false">Raw!F192</f>
        <v>4.91</v>
      </c>
      <c r="K192" s="30" t="n">
        <f aca="false">DATE(LEFT(Raw!G192,4),MID(Raw!G192,6,2),MID(Raw!G192,9,2))</f>
        <v>45694</v>
      </c>
      <c r="L192" s="30" t="n">
        <f aca="false">DATE(LEFT(Raw!H192,4),MID(Raw!H192,6,2),MID(Raw!H192,9,2))</f>
        <v>45697</v>
      </c>
      <c r="M192" s="30" t="n">
        <f aca="false">DATE(LEFT(Raw!I192,4),MID(Raw!I192,6,2),MID(Raw!I192,9,2))</f>
        <v>45699</v>
      </c>
      <c r="N192" s="31" t="n">
        <f aca="false">DATE(LEFT(Raw!J192,4),MID(Raw!J192,6,2),MID(Raw!J192,9,2))+TIME(MID(Raw!J192,12,2),MID(Raw!J192,15,2),MID(Raw!J192,18,2))</f>
        <v>45697.3333333333</v>
      </c>
      <c r="O192" s="31" t="n">
        <f aca="false">DATE(LEFT(Raw!K192,4),MID(Raw!K192,6,2),MID(Raw!K192,9,2))+TIME(MID(Raw!K192,12,2),MID(Raw!K192,15,2),MID(Raw!K192,18,2))</f>
        <v>45702.4</v>
      </c>
      <c r="P192" s="32" t="n">
        <f aca="false">L192-K192</f>
        <v>3</v>
      </c>
      <c r="Q192" s="32" t="n">
        <f aca="false">M192-L192</f>
        <v>2</v>
      </c>
      <c r="R192" s="32" t="n">
        <f aca="false">O192-N192</f>
        <v>5.06666666666667</v>
      </c>
      <c r="S192" s="32" t="n">
        <f aca="false">Raw!L192</f>
        <v>3.4</v>
      </c>
      <c r="T192" s="32" t="n">
        <f aca="false">O192-M192</f>
        <v>3.4</v>
      </c>
      <c r="U192" s="0" t="str">
        <f aca="false">IF(ABS(T192-S192)&lt;0.01,"OK","MISMATCH")</f>
        <v>OK</v>
      </c>
      <c r="V192" s="33" t="n">
        <f aca="false">Raw!M192</f>
        <v>1</v>
      </c>
      <c r="W192" s="0" t="str">
        <f aca="false">IF((S192&gt;0)=(V192=1),"OK","MISMATCH")</f>
        <v>OK</v>
      </c>
      <c r="X192" s="0" t="str">
        <f aca="false">_xlfn.IFS(S192&lt;=0,"Early/On time",S192&lt;=2,"Minor (up to 2 days)",S192&lt;=5,"Moderate (2-5 days)",TRUE(),"Severe (over 5 days)")</f>
        <v>Moderate (2-5 days)</v>
      </c>
      <c r="Y192" s="0" t="str">
        <f aca="false">YEAR(K192)&amp;"-"&amp;TEXT(MONTH(K192),"00")</f>
        <v>2025-02</v>
      </c>
      <c r="Z192" s="0" t="str">
        <f aca="false">C192&amp;" → "&amp;D192</f>
        <v>Surat → Uttarakhand</v>
      </c>
      <c r="AA192" s="0" t="str">
        <f aca="false">Raw!Q192</f>
        <v>Delhivery</v>
      </c>
      <c r="AB192" s="0" t="str">
        <f aca="false">Raw!R192</f>
        <v>Yes</v>
      </c>
      <c r="AC192" s="0" t="str">
        <f aca="false">Raw!S192</f>
        <v>Damaged</v>
      </c>
      <c r="AD192" s="29" t="n">
        <f aca="false">Raw!N192</f>
        <v>3385.89</v>
      </c>
      <c r="AE192" s="29" t="n">
        <f aca="false">Raw!O192</f>
        <v>1500.93</v>
      </c>
      <c r="AF192" s="29" t="n">
        <f aca="false">Raw!P192</f>
        <v>974.34</v>
      </c>
      <c r="AG192" s="29" t="n">
        <f aca="false">AD192/J192</f>
        <v>689.590631364562</v>
      </c>
    </row>
    <row r="193" customFormat="false" ht="15" hidden="false" customHeight="false" outlineLevel="0" collapsed="false">
      <c r="A193" s="0" t="str">
        <f aca="false">Raw!A193</f>
        <v>SHP0192</v>
      </c>
      <c r="B193" s="0" t="str">
        <f aca="false">Raw!B193</f>
        <v>Outbound</v>
      </c>
      <c r="C193" s="0" t="str">
        <f aca="false">Raw!C193</f>
        <v>Surat</v>
      </c>
      <c r="D193" s="0" t="str">
        <f aca="false">Raw!D193</f>
        <v>Jaipur</v>
      </c>
      <c r="E193" s="0" t="str">
        <f aca="false">IFERROR(INDEX(Location_Map!$B$2:$B$15,MATCH(C193,Location_Map!$A$2:$A$15,0)),"UNMAPPED")</f>
        <v>Gujarat</v>
      </c>
      <c r="F193" s="0" t="str">
        <f aca="false">IFERROR(INDEX(Location_Map!$C$2:$C$15,MATCH(C193,Location_Map!$A$2:$A$15,0)),"UNMAPPED")</f>
        <v>West</v>
      </c>
      <c r="G193" s="0" t="str">
        <f aca="false">IFERROR(INDEX(Location_Map!$B$2:$B$15,MATCH(D193,Location_Map!$A$2:$A$15,0)),"UNMAPPED")</f>
        <v>Rajasthan</v>
      </c>
      <c r="H193" s="0" t="str">
        <f aca="false">IFERROR(INDEX(Location_Map!$C$2:$C$15,MATCH(D193,Location_Map!$A$2:$A$15,0)),"UNMAPPED")</f>
        <v>North</v>
      </c>
      <c r="I193" s="0" t="str">
        <f aca="false">Raw!E193</f>
        <v>Finished Yarn</v>
      </c>
      <c r="J193" s="28" t="n">
        <f aca="false">Raw!F193</f>
        <v>3.17</v>
      </c>
      <c r="K193" s="30" t="n">
        <f aca="false">DATE(LEFT(Raw!G193,4),MID(Raw!G193,6,2),MID(Raw!G193,9,2))</f>
        <v>45803</v>
      </c>
      <c r="L193" s="30" t="n">
        <f aca="false">DATE(LEFT(Raw!H193,4),MID(Raw!H193,6,2),MID(Raw!H193,9,2))</f>
        <v>45807</v>
      </c>
      <c r="M193" s="30" t="n">
        <f aca="false">DATE(LEFT(Raw!I193,4),MID(Raw!I193,6,2),MID(Raw!I193,9,2))</f>
        <v>45812</v>
      </c>
      <c r="N193" s="31" t="n">
        <f aca="false">DATE(LEFT(Raw!J193,4),MID(Raw!J193,6,2),MID(Raw!J193,9,2))+TIME(MID(Raw!J193,12,2),MID(Raw!J193,15,2),MID(Raw!J193,18,2))</f>
        <v>45806.8333333333</v>
      </c>
      <c r="O193" s="31" t="n">
        <f aca="false">DATE(LEFT(Raw!K193,4),MID(Raw!K193,6,2),MID(Raw!K193,9,2))+TIME(MID(Raw!K193,12,2),MID(Raw!K193,15,2),MID(Raw!K193,18,2))</f>
        <v>45820.5</v>
      </c>
      <c r="P193" s="32" t="n">
        <f aca="false">L193-K193</f>
        <v>4</v>
      </c>
      <c r="Q193" s="32" t="n">
        <f aca="false">M193-L193</f>
        <v>5</v>
      </c>
      <c r="R193" s="32" t="n">
        <f aca="false">O193-N193</f>
        <v>13.6666666666667</v>
      </c>
      <c r="S193" s="32" t="n">
        <f aca="false">Raw!L193</f>
        <v>8.5</v>
      </c>
      <c r="T193" s="32" t="n">
        <f aca="false">O193-M193</f>
        <v>8.5</v>
      </c>
      <c r="U193" s="0" t="str">
        <f aca="false">IF(ABS(T193-S193)&lt;0.01,"OK","MISMATCH")</f>
        <v>OK</v>
      </c>
      <c r="V193" s="33" t="n">
        <f aca="false">Raw!M193</f>
        <v>1</v>
      </c>
      <c r="W193" s="0" t="str">
        <f aca="false">IF((S193&gt;0)=(V193=1),"OK","MISMATCH")</f>
        <v>OK</v>
      </c>
      <c r="X193" s="0" t="str">
        <f aca="false">_xlfn.IFS(S193&lt;=0,"Early/On time",S193&lt;=2,"Minor (up to 2 days)",S193&lt;=5,"Moderate (2-5 days)",TRUE(),"Severe (over 5 days)")</f>
        <v>Severe (over 5 days)</v>
      </c>
      <c r="Y193" s="0" t="str">
        <f aca="false">YEAR(K193)&amp;"-"&amp;TEXT(MONTH(K193),"00")</f>
        <v>2025-05</v>
      </c>
      <c r="Z193" s="0" t="str">
        <f aca="false">C193&amp;" → "&amp;D193</f>
        <v>Surat → Jaipur</v>
      </c>
      <c r="AA193" s="0" t="str">
        <f aca="false">Raw!Q193</f>
        <v>TCI Express</v>
      </c>
      <c r="AB193" s="0" t="str">
        <f aca="false">Raw!R193</f>
        <v>No</v>
      </c>
      <c r="AC193" s="0" t="str">
        <f aca="false">Raw!S193</f>
        <v>Normal</v>
      </c>
      <c r="AD193" s="29" t="n">
        <f aca="false">Raw!N193</f>
        <v>1820.41</v>
      </c>
      <c r="AE193" s="29" t="n">
        <f aca="false">Raw!O193</f>
        <v>4712.33</v>
      </c>
      <c r="AF193" s="29" t="n">
        <f aca="false">Raw!P193</f>
        <v>724.62</v>
      </c>
      <c r="AG193" s="29" t="n">
        <f aca="false">AD193/J193</f>
        <v>574.261829652997</v>
      </c>
    </row>
    <row r="194" customFormat="false" ht="15" hidden="false" customHeight="false" outlineLevel="0" collapsed="false">
      <c r="A194" s="0" t="str">
        <f aca="false">Raw!A194</f>
        <v>SHP0193</v>
      </c>
      <c r="B194" s="0" t="str">
        <f aca="false">Raw!B194</f>
        <v>Outbound</v>
      </c>
      <c r="C194" s="0" t="str">
        <f aca="false">Raw!C194</f>
        <v>Surat</v>
      </c>
      <c r="D194" s="0" t="str">
        <f aca="false">Raw!D194</f>
        <v>Gujarat</v>
      </c>
      <c r="E194" s="0" t="str">
        <f aca="false">IFERROR(INDEX(Location_Map!$B$2:$B$15,MATCH(C194,Location_Map!$A$2:$A$15,0)),"UNMAPPED")</f>
        <v>Gujarat</v>
      </c>
      <c r="F194" s="0" t="str">
        <f aca="false">IFERROR(INDEX(Location_Map!$C$2:$C$15,MATCH(C194,Location_Map!$A$2:$A$15,0)),"UNMAPPED")</f>
        <v>West</v>
      </c>
      <c r="G194" s="0" t="str">
        <f aca="false">IFERROR(INDEX(Location_Map!$B$2:$B$15,MATCH(D194,Location_Map!$A$2:$A$15,0)),"UNMAPPED")</f>
        <v>Gujarat</v>
      </c>
      <c r="H194" s="0" t="str">
        <f aca="false">IFERROR(INDEX(Location_Map!$C$2:$C$15,MATCH(D194,Location_Map!$A$2:$A$15,0)),"UNMAPPED")</f>
        <v>West</v>
      </c>
      <c r="I194" s="0" t="str">
        <f aca="false">Raw!E194</f>
        <v>Semi-Processed Yarn</v>
      </c>
      <c r="J194" s="28" t="n">
        <f aca="false">Raw!F194</f>
        <v>8.07</v>
      </c>
      <c r="K194" s="30" t="n">
        <f aca="false">DATE(LEFT(Raw!G194,4),MID(Raw!G194,6,2),MID(Raw!G194,9,2))</f>
        <v>45787</v>
      </c>
      <c r="L194" s="30" t="n">
        <f aca="false">DATE(LEFT(Raw!H194,4),MID(Raw!H194,6,2),MID(Raw!H194,9,2))</f>
        <v>45789</v>
      </c>
      <c r="M194" s="30" t="n">
        <f aca="false">DATE(LEFT(Raw!I194,4),MID(Raw!I194,6,2),MID(Raw!I194,9,2))</f>
        <v>45791</v>
      </c>
      <c r="N194" s="31" t="n">
        <f aca="false">DATE(LEFT(Raw!J194,4),MID(Raw!J194,6,2),MID(Raw!J194,9,2))+TIME(MID(Raw!J194,12,2),MID(Raw!J194,15,2),MID(Raw!J194,18,2))</f>
        <v>45788.9166666667</v>
      </c>
      <c r="O194" s="31" t="n">
        <f aca="false">DATE(LEFT(Raw!K194,4),MID(Raw!K194,6,2),MID(Raw!K194,9,2))+TIME(MID(Raw!K194,12,2),MID(Raw!K194,15,2),MID(Raw!K194,18,2))</f>
        <v>45791.5</v>
      </c>
      <c r="P194" s="32" t="n">
        <f aca="false">L194-K194</f>
        <v>2</v>
      </c>
      <c r="Q194" s="32" t="n">
        <f aca="false">M194-L194</f>
        <v>2</v>
      </c>
      <c r="R194" s="32" t="n">
        <f aca="false">O194-N194</f>
        <v>2.58333333333333</v>
      </c>
      <c r="S194" s="32" t="n">
        <f aca="false">Raw!L194</f>
        <v>0.5</v>
      </c>
      <c r="T194" s="32" t="n">
        <f aca="false">O194-M194</f>
        <v>0.5</v>
      </c>
      <c r="U194" s="0" t="str">
        <f aca="false">IF(ABS(T194-S194)&lt;0.01,"OK","MISMATCH")</f>
        <v>OK</v>
      </c>
      <c r="V194" s="33" t="n">
        <f aca="false">Raw!M194</f>
        <v>1</v>
      </c>
      <c r="W194" s="0" t="str">
        <f aca="false">IF((S194&gt;0)=(V194=1),"OK","MISMATCH")</f>
        <v>OK</v>
      </c>
      <c r="X194" s="0" t="str">
        <f aca="false">_xlfn.IFS(S194&lt;=0,"Early/On time",S194&lt;=2,"Minor (up to 2 days)",S194&lt;=5,"Moderate (2-5 days)",TRUE(),"Severe (over 5 days)")</f>
        <v>Minor (up to 2 days)</v>
      </c>
      <c r="Y194" s="0" t="str">
        <f aca="false">YEAR(K194)&amp;"-"&amp;TEXT(MONTH(K194),"00")</f>
        <v>2025-05</v>
      </c>
      <c r="Z194" s="0" t="str">
        <f aca="false">C194&amp;" → "&amp;D194</f>
        <v>Surat → Gujarat</v>
      </c>
      <c r="AA194" s="0" t="str">
        <f aca="false">Raw!Q194</f>
        <v>TCI Express</v>
      </c>
      <c r="AB194" s="0" t="str">
        <f aca="false">Raw!R194</f>
        <v>Yes</v>
      </c>
      <c r="AC194" s="0" t="str">
        <f aca="false">Raw!S194</f>
        <v>Held at warehouse</v>
      </c>
      <c r="AD194" s="29" t="n">
        <f aca="false">Raw!N194</f>
        <v>2728.52</v>
      </c>
      <c r="AE194" s="29" t="n">
        <f aca="false">Raw!O194</f>
        <v>4547.7</v>
      </c>
      <c r="AF194" s="29" t="n">
        <f aca="false">Raw!P194</f>
        <v>1145.81</v>
      </c>
      <c r="AG194" s="29" t="n">
        <f aca="false">AD194/J194</f>
        <v>338.106567534077</v>
      </c>
    </row>
    <row r="195" customFormat="false" ht="15" hidden="false" customHeight="false" outlineLevel="0" collapsed="false">
      <c r="A195" s="0" t="str">
        <f aca="false">Raw!A195</f>
        <v>SHP0194</v>
      </c>
      <c r="B195" s="0" t="str">
        <f aca="false">Raw!B195</f>
        <v>Inbound</v>
      </c>
      <c r="C195" s="0" t="str">
        <f aca="false">Raw!C195</f>
        <v>Punjab</v>
      </c>
      <c r="D195" s="0" t="str">
        <f aca="false">Raw!D195</f>
        <v>Surat</v>
      </c>
      <c r="E195" s="0" t="str">
        <f aca="false">IFERROR(INDEX(Location_Map!$B$2:$B$15,MATCH(C195,Location_Map!$A$2:$A$15,0)),"UNMAPPED")</f>
        <v>Punjab</v>
      </c>
      <c r="F195" s="0" t="str">
        <f aca="false">IFERROR(INDEX(Location_Map!$C$2:$C$15,MATCH(C195,Location_Map!$A$2:$A$15,0)),"UNMAPPED")</f>
        <v>North</v>
      </c>
      <c r="G195" s="0" t="str">
        <f aca="false">IFERROR(INDEX(Location_Map!$B$2:$B$15,MATCH(D195,Location_Map!$A$2:$A$15,0)),"UNMAPPED")</f>
        <v>Gujarat</v>
      </c>
      <c r="H195" s="0" t="str">
        <f aca="false">IFERROR(INDEX(Location_Map!$C$2:$C$15,MATCH(D195,Location_Map!$A$2:$A$15,0)),"UNMAPPED")</f>
        <v>West</v>
      </c>
      <c r="I195" s="0" t="str">
        <f aca="false">Raw!E195</f>
        <v>Finished Yarn</v>
      </c>
      <c r="J195" s="28" t="n">
        <f aca="false">Raw!F195</f>
        <v>6.43</v>
      </c>
      <c r="K195" s="30" t="n">
        <f aca="false">DATE(LEFT(Raw!G195,4),MID(Raw!G195,6,2),MID(Raw!G195,9,2))</f>
        <v>45902</v>
      </c>
      <c r="L195" s="30" t="n">
        <f aca="false">DATE(LEFT(Raw!H195,4),MID(Raw!H195,6,2),MID(Raw!H195,9,2))</f>
        <v>45906</v>
      </c>
      <c r="M195" s="30" t="n">
        <f aca="false">DATE(LEFT(Raw!I195,4),MID(Raw!I195,6,2),MID(Raw!I195,9,2))</f>
        <v>45908</v>
      </c>
      <c r="N195" s="31" t="n">
        <f aca="false">DATE(LEFT(Raw!J195,4),MID(Raw!J195,6,2),MID(Raw!J195,9,2))+TIME(MID(Raw!J195,12,2),MID(Raw!J195,15,2),MID(Raw!J195,18,2))</f>
        <v>45906.25</v>
      </c>
      <c r="O195" s="31" t="n">
        <f aca="false">DATE(LEFT(Raw!K195,4),MID(Raw!K195,6,2),MID(Raw!K195,9,2))+TIME(MID(Raw!K195,12,2),MID(Raw!K195,15,2),MID(Raw!K195,18,2))</f>
        <v>45907.7</v>
      </c>
      <c r="P195" s="32" t="n">
        <f aca="false">L195-K195</f>
        <v>4</v>
      </c>
      <c r="Q195" s="32" t="n">
        <f aca="false">M195-L195</f>
        <v>2</v>
      </c>
      <c r="R195" s="32" t="n">
        <f aca="false">O195-N195</f>
        <v>1.45</v>
      </c>
      <c r="S195" s="32" t="n">
        <f aca="false">Raw!L195</f>
        <v>-0.3</v>
      </c>
      <c r="T195" s="32" t="n">
        <f aca="false">O195-M195</f>
        <v>-0.300000000005833</v>
      </c>
      <c r="U195" s="0" t="str">
        <f aca="false">IF(ABS(T195-S195)&lt;0.01,"OK","MISMATCH")</f>
        <v>OK</v>
      </c>
      <c r="V195" s="33" t="n">
        <f aca="false">Raw!M195</f>
        <v>0</v>
      </c>
      <c r="W195" s="0" t="str">
        <f aca="false">IF((S195&gt;0)=(V195=1),"OK","MISMATCH")</f>
        <v>OK</v>
      </c>
      <c r="X195" s="0" t="str">
        <f aca="false">_xlfn.IFS(S195&lt;=0,"Early/On time",S195&lt;=2,"Minor (up to 2 days)",S195&lt;=5,"Moderate (2-5 days)",TRUE(),"Severe (over 5 days)")</f>
        <v>Early/On time</v>
      </c>
      <c r="Y195" s="0" t="str">
        <f aca="false">YEAR(K195)&amp;"-"&amp;TEXT(MONTH(K195),"00")</f>
        <v>2025-09</v>
      </c>
      <c r="Z195" s="0" t="str">
        <f aca="false">C195&amp;" → "&amp;D195</f>
        <v>Punjab → Surat</v>
      </c>
      <c r="AA195" s="0" t="str">
        <f aca="false">Raw!Q195</f>
        <v>BlueDart</v>
      </c>
      <c r="AB195" s="0" t="str">
        <f aca="false">Raw!R195</f>
        <v>Yes</v>
      </c>
      <c r="AC195" s="0" t="str">
        <f aca="false">Raw!S195</f>
        <v>Damaged</v>
      </c>
      <c r="AD195" s="29" t="n">
        <f aca="false">Raw!N195</f>
        <v>3963.51</v>
      </c>
      <c r="AE195" s="29" t="n">
        <f aca="false">Raw!O195</f>
        <v>4020.17</v>
      </c>
      <c r="AF195" s="29" t="n">
        <f aca="false">Raw!P195</f>
        <v>960.54</v>
      </c>
      <c r="AG195" s="29" t="n">
        <f aca="false">AD195/J195</f>
        <v>616.409020217729</v>
      </c>
    </row>
    <row r="196" customFormat="false" ht="15" hidden="false" customHeight="false" outlineLevel="0" collapsed="false">
      <c r="A196" s="0" t="str">
        <f aca="false">Raw!A196</f>
        <v>SHP0195</v>
      </c>
      <c r="B196" s="0" t="str">
        <f aca="false">Raw!B196</f>
        <v>Inbound</v>
      </c>
      <c r="C196" s="0" t="str">
        <f aca="false">Raw!C196</f>
        <v>Gujarat</v>
      </c>
      <c r="D196" s="0" t="str">
        <f aca="false">Raw!D196</f>
        <v>Surat</v>
      </c>
      <c r="E196" s="0" t="str">
        <f aca="false">IFERROR(INDEX(Location_Map!$B$2:$B$15,MATCH(C196,Location_Map!$A$2:$A$15,0)),"UNMAPPED")</f>
        <v>Gujarat</v>
      </c>
      <c r="F196" s="0" t="str">
        <f aca="false">IFERROR(INDEX(Location_Map!$C$2:$C$15,MATCH(C196,Location_Map!$A$2:$A$15,0)),"UNMAPPED")</f>
        <v>West</v>
      </c>
      <c r="G196" s="0" t="str">
        <f aca="false">IFERROR(INDEX(Location_Map!$B$2:$B$15,MATCH(D196,Location_Map!$A$2:$A$15,0)),"UNMAPPED")</f>
        <v>Gujarat</v>
      </c>
      <c r="H196" s="0" t="str">
        <f aca="false">IFERROR(INDEX(Location_Map!$C$2:$C$15,MATCH(D196,Location_Map!$A$2:$A$15,0)),"UNMAPPED")</f>
        <v>West</v>
      </c>
      <c r="I196" s="0" t="str">
        <f aca="false">Raw!E196</f>
        <v>Semi-Processed Yarn</v>
      </c>
      <c r="J196" s="28" t="n">
        <f aca="false">Raw!F196</f>
        <v>17</v>
      </c>
      <c r="K196" s="30" t="n">
        <f aca="false">DATE(LEFT(Raw!G196,4),MID(Raw!G196,6,2),MID(Raw!G196,9,2))</f>
        <v>45876</v>
      </c>
      <c r="L196" s="30" t="n">
        <f aca="false">DATE(LEFT(Raw!H196,4),MID(Raw!H196,6,2),MID(Raw!H196,9,2))</f>
        <v>45880</v>
      </c>
      <c r="M196" s="30" t="n">
        <f aca="false">DATE(LEFT(Raw!I196,4),MID(Raw!I196,6,2),MID(Raw!I196,9,2))</f>
        <v>45885</v>
      </c>
      <c r="N196" s="31" t="n">
        <f aca="false">DATE(LEFT(Raw!J196,4),MID(Raw!J196,6,2),MID(Raw!J196,9,2))+TIME(MID(Raw!J196,12,2),MID(Raw!J196,15,2),MID(Raw!J196,18,2))</f>
        <v>45880</v>
      </c>
      <c r="O196" s="31" t="n">
        <f aca="false">DATE(LEFT(Raw!K196,4),MID(Raw!K196,6,2),MID(Raw!K196,9,2))+TIME(MID(Raw!K196,12,2),MID(Raw!K196,15,2),MID(Raw!K196,18,2))</f>
        <v>45886.6</v>
      </c>
      <c r="P196" s="32" t="n">
        <f aca="false">L196-K196</f>
        <v>4</v>
      </c>
      <c r="Q196" s="32" t="n">
        <f aca="false">M196-L196</f>
        <v>5</v>
      </c>
      <c r="R196" s="32" t="n">
        <f aca="false">O196-N196</f>
        <v>6.6</v>
      </c>
      <c r="S196" s="32" t="n">
        <f aca="false">Raw!L196</f>
        <v>1.6</v>
      </c>
      <c r="T196" s="32" t="n">
        <f aca="false">O196-M196</f>
        <v>1.6</v>
      </c>
      <c r="U196" s="0" t="str">
        <f aca="false">IF(ABS(T196-S196)&lt;0.01,"OK","MISMATCH")</f>
        <v>OK</v>
      </c>
      <c r="V196" s="33" t="n">
        <f aca="false">Raw!M196</f>
        <v>1</v>
      </c>
      <c r="W196" s="0" t="str">
        <f aca="false">IF((S196&gt;0)=(V196=1),"OK","MISMATCH")</f>
        <v>OK</v>
      </c>
      <c r="X196" s="0" t="str">
        <f aca="false">_xlfn.IFS(S196&lt;=0,"Early/On time",S196&lt;=2,"Minor (up to 2 days)",S196&lt;=5,"Moderate (2-5 days)",TRUE(),"Severe (over 5 days)")</f>
        <v>Minor (up to 2 days)</v>
      </c>
      <c r="Y196" s="0" t="str">
        <f aca="false">YEAR(K196)&amp;"-"&amp;TEXT(MONTH(K196),"00")</f>
        <v>2025-08</v>
      </c>
      <c r="Z196" s="0" t="str">
        <f aca="false">C196&amp;" → "&amp;D196</f>
        <v>Gujarat → Surat</v>
      </c>
      <c r="AA196" s="0" t="str">
        <f aca="false">Raw!Q196</f>
        <v>GATI Logistics</v>
      </c>
      <c r="AB196" s="0" t="str">
        <f aca="false">Raw!R196</f>
        <v>Yes</v>
      </c>
      <c r="AC196" s="0" t="str">
        <f aca="false">Raw!S196</f>
        <v>Returned</v>
      </c>
      <c r="AD196" s="29" t="n">
        <f aca="false">Raw!N196</f>
        <v>13719.78</v>
      </c>
      <c r="AE196" s="29" t="n">
        <f aca="false">Raw!O196</f>
        <v>1172.69</v>
      </c>
      <c r="AF196" s="29" t="n">
        <f aca="false">Raw!P196</f>
        <v>664.81</v>
      </c>
      <c r="AG196" s="29" t="n">
        <f aca="false">AD196/J196</f>
        <v>807.045882352941</v>
      </c>
    </row>
    <row r="197" customFormat="false" ht="15" hidden="false" customHeight="false" outlineLevel="0" collapsed="false">
      <c r="A197" s="0" t="str">
        <f aca="false">Raw!A197</f>
        <v>SHP0196</v>
      </c>
      <c r="B197" s="0" t="str">
        <f aca="false">Raw!B197</f>
        <v>Outbound</v>
      </c>
      <c r="C197" s="0" t="str">
        <f aca="false">Raw!C197</f>
        <v>Surat</v>
      </c>
      <c r="D197" s="0" t="str">
        <f aca="false">Raw!D197</f>
        <v>Mumbai</v>
      </c>
      <c r="E197" s="0" t="str">
        <f aca="false">IFERROR(INDEX(Location_Map!$B$2:$B$15,MATCH(C197,Location_Map!$A$2:$A$15,0)),"UNMAPPED")</f>
        <v>Gujarat</v>
      </c>
      <c r="F197" s="0" t="str">
        <f aca="false">IFERROR(INDEX(Location_Map!$C$2:$C$15,MATCH(C197,Location_Map!$A$2:$A$15,0)),"UNMAPPED")</f>
        <v>West</v>
      </c>
      <c r="G197" s="0" t="str">
        <f aca="false">IFERROR(INDEX(Location_Map!$B$2:$B$15,MATCH(D197,Location_Map!$A$2:$A$15,0)),"UNMAPPED")</f>
        <v>Maharashtra</v>
      </c>
      <c r="H197" s="0" t="str">
        <f aca="false">IFERROR(INDEX(Location_Map!$C$2:$C$15,MATCH(D197,Location_Map!$A$2:$A$15,0)),"UNMAPPED")</f>
        <v>West</v>
      </c>
      <c r="I197" s="0" t="str">
        <f aca="false">Raw!E197</f>
        <v>Semi-Processed Yarn</v>
      </c>
      <c r="J197" s="28" t="n">
        <f aca="false">Raw!F197</f>
        <v>3.5</v>
      </c>
      <c r="K197" s="30" t="n">
        <f aca="false">DATE(LEFT(Raw!G197,4),MID(Raw!G197,6,2),MID(Raw!G197,9,2))</f>
        <v>45875</v>
      </c>
      <c r="L197" s="30" t="n">
        <f aca="false">DATE(LEFT(Raw!H197,4),MID(Raw!H197,6,2),MID(Raw!H197,9,2))</f>
        <v>45879</v>
      </c>
      <c r="M197" s="30" t="n">
        <f aca="false">DATE(LEFT(Raw!I197,4),MID(Raw!I197,6,2),MID(Raw!I197,9,2))</f>
        <v>45883</v>
      </c>
      <c r="N197" s="31" t="n">
        <f aca="false">DATE(LEFT(Raw!J197,4),MID(Raw!J197,6,2),MID(Raw!J197,9,2))+TIME(MID(Raw!J197,12,2),MID(Raw!J197,15,2),MID(Raw!J197,18,2))</f>
        <v>45879.0416666667</v>
      </c>
      <c r="O197" s="31" t="n">
        <f aca="false">DATE(LEFT(Raw!K197,4),MID(Raw!K197,6,2),MID(Raw!K197,9,2))+TIME(MID(Raw!K197,12,2),MID(Raw!K197,15,2),MID(Raw!K197,18,2))</f>
        <v>45883.9</v>
      </c>
      <c r="P197" s="32" t="n">
        <f aca="false">L197-K197</f>
        <v>4</v>
      </c>
      <c r="Q197" s="32" t="n">
        <f aca="false">M197-L197</f>
        <v>4</v>
      </c>
      <c r="R197" s="32" t="n">
        <f aca="false">O197-N197</f>
        <v>4.85833333333333</v>
      </c>
      <c r="S197" s="32" t="n">
        <f aca="false">Raw!L197</f>
        <v>0.9</v>
      </c>
      <c r="T197" s="32" t="n">
        <f aca="false">O197-M197</f>
        <v>0.9</v>
      </c>
      <c r="U197" s="0" t="str">
        <f aca="false">IF(ABS(T197-S197)&lt;0.01,"OK","MISMATCH")</f>
        <v>OK</v>
      </c>
      <c r="V197" s="33" t="n">
        <f aca="false">Raw!M197</f>
        <v>1</v>
      </c>
      <c r="W197" s="0" t="str">
        <f aca="false">IF((S197&gt;0)=(V197=1),"OK","MISMATCH")</f>
        <v>OK</v>
      </c>
      <c r="X197" s="0" t="str">
        <f aca="false">_xlfn.IFS(S197&lt;=0,"Early/On time",S197&lt;=2,"Minor (up to 2 days)",S197&lt;=5,"Moderate (2-5 days)",TRUE(),"Severe (over 5 days)")</f>
        <v>Minor (up to 2 days)</v>
      </c>
      <c r="Y197" s="0" t="str">
        <f aca="false">YEAR(K197)&amp;"-"&amp;TEXT(MONTH(K197),"00")</f>
        <v>2025-08</v>
      </c>
      <c r="Z197" s="0" t="str">
        <f aca="false">C197&amp;" → "&amp;D197</f>
        <v>Surat → Mumbai</v>
      </c>
      <c r="AA197" s="0" t="str">
        <f aca="false">Raw!Q197</f>
        <v>VRL Cargo</v>
      </c>
      <c r="AB197" s="0" t="str">
        <f aca="false">Raw!R197</f>
        <v>Yes</v>
      </c>
      <c r="AC197" s="0" t="str">
        <f aca="false">Raw!S197</f>
        <v>Returned</v>
      </c>
      <c r="AD197" s="29" t="n">
        <f aca="false">Raw!N197</f>
        <v>3391.03</v>
      </c>
      <c r="AE197" s="29" t="n">
        <f aca="false">Raw!O197</f>
        <v>3168.95</v>
      </c>
      <c r="AF197" s="29" t="n">
        <f aca="false">Raw!P197</f>
        <v>1090.35</v>
      </c>
      <c r="AG197" s="29" t="n">
        <f aca="false">AD197/J197</f>
        <v>968.865714285714</v>
      </c>
    </row>
    <row r="198" customFormat="false" ht="15" hidden="false" customHeight="false" outlineLevel="0" collapsed="false">
      <c r="A198" s="0" t="str">
        <f aca="false">Raw!A198</f>
        <v>SHP0197</v>
      </c>
      <c r="B198" s="0" t="str">
        <f aca="false">Raw!B198</f>
        <v>Inbound</v>
      </c>
      <c r="C198" s="0" t="str">
        <f aca="false">Raw!C198</f>
        <v>Uttar Pradesh</v>
      </c>
      <c r="D198" s="0" t="str">
        <f aca="false">Raw!D198</f>
        <v>Surat</v>
      </c>
      <c r="E198" s="0" t="str">
        <f aca="false">IFERROR(INDEX(Location_Map!$B$2:$B$15,MATCH(C198,Location_Map!$A$2:$A$15,0)),"UNMAPPED")</f>
        <v>Uttar Pradesh</v>
      </c>
      <c r="F198" s="0" t="str">
        <f aca="false">IFERROR(INDEX(Location_Map!$C$2:$C$15,MATCH(C198,Location_Map!$A$2:$A$15,0)),"UNMAPPED")</f>
        <v>North</v>
      </c>
      <c r="G198" s="0" t="str">
        <f aca="false">IFERROR(INDEX(Location_Map!$B$2:$B$15,MATCH(D198,Location_Map!$A$2:$A$15,0)),"UNMAPPED")</f>
        <v>Gujarat</v>
      </c>
      <c r="H198" s="0" t="str">
        <f aca="false">IFERROR(INDEX(Location_Map!$C$2:$C$15,MATCH(D198,Location_Map!$A$2:$A$15,0)),"UNMAPPED")</f>
        <v>West</v>
      </c>
      <c r="I198" s="0" t="str">
        <f aca="false">Raw!E198</f>
        <v>Raw Yarn</v>
      </c>
      <c r="J198" s="28" t="n">
        <f aca="false">Raw!F198</f>
        <v>10.66</v>
      </c>
      <c r="K198" s="30" t="n">
        <f aca="false">DATE(LEFT(Raw!G198,4),MID(Raw!G198,6,2),MID(Raw!G198,9,2))</f>
        <v>45747</v>
      </c>
      <c r="L198" s="30" t="n">
        <f aca="false">DATE(LEFT(Raw!H198,4),MID(Raw!H198,6,2),MID(Raw!H198,9,2))</f>
        <v>45750</v>
      </c>
      <c r="M198" s="30" t="n">
        <f aca="false">DATE(LEFT(Raw!I198,4),MID(Raw!I198,6,2),MID(Raw!I198,9,2))</f>
        <v>45756</v>
      </c>
      <c r="N198" s="31" t="n">
        <f aca="false">DATE(LEFT(Raw!J198,4),MID(Raw!J198,6,2),MID(Raw!J198,9,2))+TIME(MID(Raw!J198,12,2),MID(Raw!J198,15,2),MID(Raw!J198,18,2))</f>
        <v>45750.125</v>
      </c>
      <c r="O198" s="31" t="n">
        <f aca="false">DATE(LEFT(Raw!K198,4),MID(Raw!K198,6,2),MID(Raw!K198,9,2))+TIME(MID(Raw!K198,12,2),MID(Raw!K198,15,2),MID(Raw!K198,18,2))</f>
        <v>45758.5</v>
      </c>
      <c r="P198" s="32" t="n">
        <f aca="false">L198-K198</f>
        <v>3</v>
      </c>
      <c r="Q198" s="32" t="n">
        <f aca="false">M198-L198</f>
        <v>6</v>
      </c>
      <c r="R198" s="32" t="n">
        <f aca="false">O198-N198</f>
        <v>8.375</v>
      </c>
      <c r="S198" s="32" t="n">
        <f aca="false">Raw!L198</f>
        <v>2.5</v>
      </c>
      <c r="T198" s="32" t="n">
        <f aca="false">O198-M198</f>
        <v>2.5</v>
      </c>
      <c r="U198" s="0" t="str">
        <f aca="false">IF(ABS(T198-S198)&lt;0.01,"OK","MISMATCH")</f>
        <v>OK</v>
      </c>
      <c r="V198" s="33" t="n">
        <f aca="false">Raw!M198</f>
        <v>1</v>
      </c>
      <c r="W198" s="0" t="str">
        <f aca="false">IF((S198&gt;0)=(V198=1),"OK","MISMATCH")</f>
        <v>OK</v>
      </c>
      <c r="X198" s="0" t="str">
        <f aca="false">_xlfn.IFS(S198&lt;=0,"Early/On time",S198&lt;=2,"Minor (up to 2 days)",S198&lt;=5,"Moderate (2-5 days)",TRUE(),"Severe (over 5 days)")</f>
        <v>Moderate (2-5 days)</v>
      </c>
      <c r="Y198" s="0" t="str">
        <f aca="false">YEAR(K198)&amp;"-"&amp;TEXT(MONTH(K198),"00")</f>
        <v>2025-03</v>
      </c>
      <c r="Z198" s="0" t="str">
        <f aca="false">C198&amp;" → "&amp;D198</f>
        <v>Uttar Pradesh → Surat</v>
      </c>
      <c r="AA198" s="0" t="str">
        <f aca="false">Raw!Q198</f>
        <v>Delhivery</v>
      </c>
      <c r="AB198" s="0" t="str">
        <f aca="false">Raw!R198</f>
        <v>Yes</v>
      </c>
      <c r="AC198" s="0" t="str">
        <f aca="false">Raw!S198</f>
        <v>Expedited</v>
      </c>
      <c r="AD198" s="29" t="n">
        <f aca="false">Raw!N198</f>
        <v>5076.53</v>
      </c>
      <c r="AE198" s="29" t="n">
        <f aca="false">Raw!O198</f>
        <v>2846.23</v>
      </c>
      <c r="AF198" s="29" t="n">
        <f aca="false">Raw!P198</f>
        <v>509.33</v>
      </c>
      <c r="AG198" s="29" t="n">
        <f aca="false">AD198/J198</f>
        <v>476.222326454034</v>
      </c>
    </row>
    <row r="199" customFormat="false" ht="15" hidden="false" customHeight="false" outlineLevel="0" collapsed="false">
      <c r="A199" s="0" t="str">
        <f aca="false">Raw!A199</f>
        <v>SHP0198</v>
      </c>
      <c r="B199" s="0" t="str">
        <f aca="false">Raw!B199</f>
        <v>Inbound</v>
      </c>
      <c r="C199" s="0" t="str">
        <f aca="false">Raw!C199</f>
        <v>Chennai</v>
      </c>
      <c r="D199" s="0" t="str">
        <f aca="false">Raw!D199</f>
        <v>Surat</v>
      </c>
      <c r="E199" s="0" t="str">
        <f aca="false">IFERROR(INDEX(Location_Map!$B$2:$B$15,MATCH(C199,Location_Map!$A$2:$A$15,0)),"UNMAPPED")</f>
        <v>Tamil Nadu</v>
      </c>
      <c r="F199" s="0" t="str">
        <f aca="false">IFERROR(INDEX(Location_Map!$C$2:$C$15,MATCH(C199,Location_Map!$A$2:$A$15,0)),"UNMAPPED")</f>
        <v>South</v>
      </c>
      <c r="G199" s="0" t="str">
        <f aca="false">IFERROR(INDEX(Location_Map!$B$2:$B$15,MATCH(D199,Location_Map!$A$2:$A$15,0)),"UNMAPPED")</f>
        <v>Gujarat</v>
      </c>
      <c r="H199" s="0" t="str">
        <f aca="false">IFERROR(INDEX(Location_Map!$C$2:$C$15,MATCH(D199,Location_Map!$A$2:$A$15,0)),"UNMAPPED")</f>
        <v>West</v>
      </c>
      <c r="I199" s="0" t="str">
        <f aca="false">Raw!E199</f>
        <v>Finished Yarn</v>
      </c>
      <c r="J199" s="28" t="n">
        <f aca="false">Raw!F199</f>
        <v>5.69</v>
      </c>
      <c r="K199" s="30" t="n">
        <f aca="false">DATE(LEFT(Raw!G199,4),MID(Raw!G199,6,2),MID(Raw!G199,9,2))</f>
        <v>45875</v>
      </c>
      <c r="L199" s="30" t="n">
        <f aca="false">DATE(LEFT(Raw!H199,4),MID(Raw!H199,6,2),MID(Raw!H199,9,2))</f>
        <v>45879</v>
      </c>
      <c r="M199" s="30" t="n">
        <f aca="false">DATE(LEFT(Raw!I199,4),MID(Raw!I199,6,2),MID(Raw!I199,9,2))</f>
        <v>45883</v>
      </c>
      <c r="N199" s="31" t="n">
        <f aca="false">DATE(LEFT(Raw!J199,4),MID(Raw!J199,6,2),MID(Raw!J199,9,2))+TIME(MID(Raw!J199,12,2),MID(Raw!J199,15,2),MID(Raw!J199,18,2))</f>
        <v>45879.1666666667</v>
      </c>
      <c r="O199" s="31" t="n">
        <f aca="false">DATE(LEFT(Raw!K199,4),MID(Raw!K199,6,2),MID(Raw!K199,9,2))+TIME(MID(Raw!K199,12,2),MID(Raw!K199,15,2),MID(Raw!K199,18,2))</f>
        <v>45882.4</v>
      </c>
      <c r="P199" s="32" t="n">
        <f aca="false">L199-K199</f>
        <v>4</v>
      </c>
      <c r="Q199" s="32" t="n">
        <f aca="false">M199-L199</f>
        <v>4</v>
      </c>
      <c r="R199" s="32" t="n">
        <f aca="false">O199-N199</f>
        <v>3.23333333333333</v>
      </c>
      <c r="S199" s="32" t="n">
        <f aca="false">Raw!L199</f>
        <v>-0.6</v>
      </c>
      <c r="T199" s="32" t="n">
        <f aca="false">O199-M199</f>
        <v>-0.6</v>
      </c>
      <c r="U199" s="0" t="str">
        <f aca="false">IF(ABS(T199-S199)&lt;0.01,"OK","MISMATCH")</f>
        <v>OK</v>
      </c>
      <c r="V199" s="33" t="n">
        <f aca="false">Raw!M199</f>
        <v>0</v>
      </c>
      <c r="W199" s="0" t="str">
        <f aca="false">IF((S199&gt;0)=(V199=1),"OK","MISMATCH")</f>
        <v>OK</v>
      </c>
      <c r="X199" s="0" t="str">
        <f aca="false">_xlfn.IFS(S199&lt;=0,"Early/On time",S199&lt;=2,"Minor (up to 2 days)",S199&lt;=5,"Moderate (2-5 days)",TRUE(),"Severe (over 5 days)")</f>
        <v>Early/On time</v>
      </c>
      <c r="Y199" s="0" t="str">
        <f aca="false">YEAR(K199)&amp;"-"&amp;TEXT(MONTH(K199),"00")</f>
        <v>2025-08</v>
      </c>
      <c r="Z199" s="0" t="str">
        <f aca="false">C199&amp;" → "&amp;D199</f>
        <v>Chennai → Surat</v>
      </c>
      <c r="AA199" s="0" t="str">
        <f aca="false">Raw!Q199</f>
        <v>GATI Logistics</v>
      </c>
      <c r="AB199" s="0" t="str">
        <f aca="false">Raw!R199</f>
        <v>No</v>
      </c>
      <c r="AC199" s="0" t="str">
        <f aca="false">Raw!S199</f>
        <v>Expedited</v>
      </c>
      <c r="AD199" s="29" t="n">
        <f aca="false">Raw!N199</f>
        <v>3318</v>
      </c>
      <c r="AE199" s="29" t="n">
        <f aca="false">Raw!O199</f>
        <v>3969.39</v>
      </c>
      <c r="AF199" s="29" t="n">
        <f aca="false">Raw!P199</f>
        <v>1315.12</v>
      </c>
      <c r="AG199" s="29" t="n">
        <f aca="false">AD199/J199</f>
        <v>583.128295254833</v>
      </c>
    </row>
    <row r="200" customFormat="false" ht="15" hidden="false" customHeight="false" outlineLevel="0" collapsed="false">
      <c r="A200" s="0" t="str">
        <f aca="false">Raw!A200</f>
        <v>SHP0199</v>
      </c>
      <c r="B200" s="0" t="str">
        <f aca="false">Raw!B200</f>
        <v>Outbound</v>
      </c>
      <c r="C200" s="0" t="str">
        <f aca="false">Raw!C200</f>
        <v>Surat</v>
      </c>
      <c r="D200" s="0" t="str">
        <f aca="false">Raw!D200</f>
        <v>Uttarakhand</v>
      </c>
      <c r="E200" s="0" t="str">
        <f aca="false">IFERROR(INDEX(Location_Map!$B$2:$B$15,MATCH(C200,Location_Map!$A$2:$A$15,0)),"UNMAPPED")</f>
        <v>Gujarat</v>
      </c>
      <c r="F200" s="0" t="str">
        <f aca="false">IFERROR(INDEX(Location_Map!$C$2:$C$15,MATCH(C200,Location_Map!$A$2:$A$15,0)),"UNMAPPED")</f>
        <v>West</v>
      </c>
      <c r="G200" s="0" t="str">
        <f aca="false">IFERROR(INDEX(Location_Map!$B$2:$B$15,MATCH(D200,Location_Map!$A$2:$A$15,0)),"UNMAPPED")</f>
        <v>Uttarakhand</v>
      </c>
      <c r="H200" s="0" t="str">
        <f aca="false">IFERROR(INDEX(Location_Map!$C$2:$C$15,MATCH(D200,Location_Map!$A$2:$A$15,0)),"UNMAPPED")</f>
        <v>North</v>
      </c>
      <c r="I200" s="0" t="str">
        <f aca="false">Raw!E200</f>
        <v>Semi-Processed Yarn</v>
      </c>
      <c r="J200" s="28" t="n">
        <f aca="false">Raw!F200</f>
        <v>12.68</v>
      </c>
      <c r="K200" s="30" t="n">
        <f aca="false">DATE(LEFT(Raw!G200,4),MID(Raw!G200,6,2),MID(Raw!G200,9,2))</f>
        <v>45864</v>
      </c>
      <c r="L200" s="30" t="n">
        <f aca="false">DATE(LEFT(Raw!H200,4),MID(Raw!H200,6,2),MID(Raw!H200,9,2))</f>
        <v>45866</v>
      </c>
      <c r="M200" s="30" t="n">
        <f aca="false">DATE(LEFT(Raw!I200,4),MID(Raw!I200,6,2),MID(Raw!I200,9,2))</f>
        <v>45868</v>
      </c>
      <c r="N200" s="31" t="n">
        <f aca="false">DATE(LEFT(Raw!J200,4),MID(Raw!J200,6,2),MID(Raw!J200,9,2))+TIME(MID(Raw!J200,12,2),MID(Raw!J200,15,2),MID(Raw!J200,18,2))</f>
        <v>45866.1666666667</v>
      </c>
      <c r="O200" s="31" t="n">
        <f aca="false">DATE(LEFT(Raw!K200,4),MID(Raw!K200,6,2),MID(Raw!K200,9,2))+TIME(MID(Raw!K200,12,2),MID(Raw!K200,15,2),MID(Raw!K200,18,2))</f>
        <v>45869.6</v>
      </c>
      <c r="P200" s="32" t="n">
        <f aca="false">L200-K200</f>
        <v>2</v>
      </c>
      <c r="Q200" s="32" t="n">
        <f aca="false">M200-L200</f>
        <v>2</v>
      </c>
      <c r="R200" s="32" t="n">
        <f aca="false">O200-N200</f>
        <v>3.43333333333333</v>
      </c>
      <c r="S200" s="32" t="n">
        <f aca="false">Raw!L200</f>
        <v>1.6</v>
      </c>
      <c r="T200" s="32" t="n">
        <f aca="false">O200-M200</f>
        <v>1.6</v>
      </c>
      <c r="U200" s="0" t="str">
        <f aca="false">IF(ABS(T200-S200)&lt;0.01,"OK","MISMATCH")</f>
        <v>OK</v>
      </c>
      <c r="V200" s="33" t="n">
        <f aca="false">Raw!M200</f>
        <v>1</v>
      </c>
      <c r="W200" s="0" t="str">
        <f aca="false">IF((S200&gt;0)=(V200=1),"OK","MISMATCH")</f>
        <v>OK</v>
      </c>
      <c r="X200" s="0" t="str">
        <f aca="false">_xlfn.IFS(S200&lt;=0,"Early/On time",S200&lt;=2,"Minor (up to 2 days)",S200&lt;=5,"Moderate (2-5 days)",TRUE(),"Severe (over 5 days)")</f>
        <v>Minor (up to 2 days)</v>
      </c>
      <c r="Y200" s="0" t="str">
        <f aca="false">YEAR(K200)&amp;"-"&amp;TEXT(MONTH(K200),"00")</f>
        <v>2025-07</v>
      </c>
      <c r="Z200" s="0" t="str">
        <f aca="false">C200&amp;" → "&amp;D200</f>
        <v>Surat → Uttarakhand</v>
      </c>
      <c r="AA200" s="0" t="str">
        <f aca="false">Raw!Q200</f>
        <v>VRL Cargo</v>
      </c>
      <c r="AB200" s="0" t="str">
        <f aca="false">Raw!R200</f>
        <v>Yes</v>
      </c>
      <c r="AC200" s="0" t="str">
        <f aca="false">Raw!S200</f>
        <v>Normal</v>
      </c>
      <c r="AD200" s="29" t="n">
        <f aca="false">Raw!N200</f>
        <v>9308.45</v>
      </c>
      <c r="AE200" s="29" t="n">
        <f aca="false">Raw!O200</f>
        <v>1044.13</v>
      </c>
      <c r="AF200" s="29" t="n">
        <f aca="false">Raw!P200</f>
        <v>1249.55</v>
      </c>
      <c r="AG200" s="29" t="n">
        <f aca="false">AD200/J200</f>
        <v>734.104889589905</v>
      </c>
    </row>
    <row r="201" customFormat="false" ht="15" hidden="false" customHeight="false" outlineLevel="0" collapsed="false">
      <c r="A201" s="0" t="str">
        <f aca="false">Raw!A201</f>
        <v>SHP0200</v>
      </c>
      <c r="B201" s="0" t="str">
        <f aca="false">Raw!B201</f>
        <v>Inbound</v>
      </c>
      <c r="C201" s="0" t="str">
        <f aca="false">Raw!C201</f>
        <v>Punjab</v>
      </c>
      <c r="D201" s="0" t="str">
        <f aca="false">Raw!D201</f>
        <v>Surat</v>
      </c>
      <c r="E201" s="0" t="str">
        <f aca="false">IFERROR(INDEX(Location_Map!$B$2:$B$15,MATCH(C201,Location_Map!$A$2:$A$15,0)),"UNMAPPED")</f>
        <v>Punjab</v>
      </c>
      <c r="F201" s="0" t="str">
        <f aca="false">IFERROR(INDEX(Location_Map!$C$2:$C$15,MATCH(C201,Location_Map!$A$2:$A$15,0)),"UNMAPPED")</f>
        <v>North</v>
      </c>
      <c r="G201" s="0" t="str">
        <f aca="false">IFERROR(INDEX(Location_Map!$B$2:$B$15,MATCH(D201,Location_Map!$A$2:$A$15,0)),"UNMAPPED")</f>
        <v>Gujarat</v>
      </c>
      <c r="H201" s="0" t="str">
        <f aca="false">IFERROR(INDEX(Location_Map!$C$2:$C$15,MATCH(D201,Location_Map!$A$2:$A$15,0)),"UNMAPPED")</f>
        <v>West</v>
      </c>
      <c r="I201" s="0" t="str">
        <f aca="false">Raw!E201</f>
        <v>Raw Yarn</v>
      </c>
      <c r="J201" s="28" t="n">
        <f aca="false">Raw!F201</f>
        <v>15.41</v>
      </c>
      <c r="K201" s="30" t="n">
        <f aca="false">DATE(LEFT(Raw!G201,4),MID(Raw!G201,6,2),MID(Raw!G201,9,2))</f>
        <v>45861</v>
      </c>
      <c r="L201" s="30" t="n">
        <f aca="false">DATE(LEFT(Raw!H201,4),MID(Raw!H201,6,2),MID(Raw!H201,9,2))</f>
        <v>45865</v>
      </c>
      <c r="M201" s="30" t="n">
        <f aca="false">DATE(LEFT(Raw!I201,4),MID(Raw!I201,6,2),MID(Raw!I201,9,2))</f>
        <v>45869</v>
      </c>
      <c r="N201" s="31" t="n">
        <f aca="false">DATE(LEFT(Raw!J201,4),MID(Raw!J201,6,2),MID(Raw!J201,9,2))+TIME(MID(Raw!J201,12,2),MID(Raw!J201,15,2),MID(Raw!J201,18,2))</f>
        <v>45864.9583333333</v>
      </c>
      <c r="O201" s="31" t="n">
        <f aca="false">DATE(LEFT(Raw!K201,4),MID(Raw!K201,6,2),MID(Raw!K201,9,2))+TIME(MID(Raw!K201,12,2),MID(Raw!K201,15,2),MID(Raw!K201,18,2))</f>
        <v>45871</v>
      </c>
      <c r="P201" s="32" t="n">
        <f aca="false">L201-K201</f>
        <v>4</v>
      </c>
      <c r="Q201" s="32" t="n">
        <f aca="false">M201-L201</f>
        <v>4</v>
      </c>
      <c r="R201" s="32" t="n">
        <f aca="false">O201-N201</f>
        <v>6.04166666666667</v>
      </c>
      <c r="S201" s="32" t="n">
        <f aca="false">Raw!L201</f>
        <v>2</v>
      </c>
      <c r="T201" s="32" t="n">
        <f aca="false">O201-M201</f>
        <v>2</v>
      </c>
      <c r="U201" s="0" t="str">
        <f aca="false">IF(ABS(T201-S201)&lt;0.01,"OK","MISMATCH")</f>
        <v>OK</v>
      </c>
      <c r="V201" s="33" t="n">
        <f aca="false">Raw!M201</f>
        <v>1</v>
      </c>
      <c r="W201" s="0" t="str">
        <f aca="false">IF((S201&gt;0)=(V201=1),"OK","MISMATCH")</f>
        <v>OK</v>
      </c>
      <c r="X201" s="0" t="str">
        <f aca="false">_xlfn.IFS(S201&lt;=0,"Early/On time",S201&lt;=2,"Minor (up to 2 days)",S201&lt;=5,"Moderate (2-5 days)",TRUE(),"Severe (over 5 days)")</f>
        <v>Minor (up to 2 days)</v>
      </c>
      <c r="Y201" s="0" t="str">
        <f aca="false">YEAR(K201)&amp;"-"&amp;TEXT(MONTH(K201),"00")</f>
        <v>2025-07</v>
      </c>
      <c r="Z201" s="0" t="str">
        <f aca="false">C201&amp;" → "&amp;D201</f>
        <v>Punjab → Surat</v>
      </c>
      <c r="AA201" s="0" t="str">
        <f aca="false">Raw!Q201</f>
        <v>Delhivery</v>
      </c>
      <c r="AB201" s="0" t="str">
        <f aca="false">Raw!R201</f>
        <v>No</v>
      </c>
      <c r="AC201" s="0" t="str">
        <f aca="false">Raw!S201</f>
        <v>Normal</v>
      </c>
      <c r="AD201" s="29" t="n">
        <f aca="false">Raw!N201</f>
        <v>4983.55</v>
      </c>
      <c r="AE201" s="29" t="n">
        <f aca="false">Raw!O201</f>
        <v>3573.46</v>
      </c>
      <c r="AF201" s="29" t="n">
        <f aca="false">Raw!P201</f>
        <v>1280.4</v>
      </c>
      <c r="AG201" s="29" t="n">
        <f aca="false">AD201/J201</f>
        <v>323.397144711227</v>
      </c>
    </row>
    <row r="202" customFormat="false" ht="15" hidden="false" customHeight="false" outlineLevel="0" collapsed="false">
      <c r="A202" s="0" t="str">
        <f aca="false">Raw!A202</f>
        <v>SHP0201</v>
      </c>
      <c r="B202" s="0" t="str">
        <f aca="false">Raw!B202</f>
        <v>Inbound</v>
      </c>
      <c r="C202" s="0" t="str">
        <f aca="false">Raw!C202</f>
        <v>Gujarat</v>
      </c>
      <c r="D202" s="0" t="str">
        <f aca="false">Raw!D202</f>
        <v>Surat</v>
      </c>
      <c r="E202" s="0" t="str">
        <f aca="false">IFERROR(INDEX(Location_Map!$B$2:$B$15,MATCH(C202,Location_Map!$A$2:$A$15,0)),"UNMAPPED")</f>
        <v>Gujarat</v>
      </c>
      <c r="F202" s="0" t="str">
        <f aca="false">IFERROR(INDEX(Location_Map!$C$2:$C$15,MATCH(C202,Location_Map!$A$2:$A$15,0)),"UNMAPPED")</f>
        <v>West</v>
      </c>
      <c r="G202" s="0" t="str">
        <f aca="false">IFERROR(INDEX(Location_Map!$B$2:$B$15,MATCH(D202,Location_Map!$A$2:$A$15,0)),"UNMAPPED")</f>
        <v>Gujarat</v>
      </c>
      <c r="H202" s="0" t="str">
        <f aca="false">IFERROR(INDEX(Location_Map!$C$2:$C$15,MATCH(D202,Location_Map!$A$2:$A$15,0)),"UNMAPPED")</f>
        <v>West</v>
      </c>
      <c r="I202" s="0" t="str">
        <f aca="false">Raw!E202</f>
        <v>Raw Yarn</v>
      </c>
      <c r="J202" s="28" t="n">
        <f aca="false">Raw!F202</f>
        <v>5.13</v>
      </c>
      <c r="K202" s="30" t="n">
        <f aca="false">DATE(LEFT(Raw!G202,4),MID(Raw!G202,6,2),MID(Raw!G202,9,2))</f>
        <v>45699</v>
      </c>
      <c r="L202" s="30" t="n">
        <f aca="false">DATE(LEFT(Raw!H202,4),MID(Raw!H202,6,2),MID(Raw!H202,9,2))</f>
        <v>45702</v>
      </c>
      <c r="M202" s="30" t="n">
        <f aca="false">DATE(LEFT(Raw!I202,4),MID(Raw!I202,6,2),MID(Raw!I202,9,2))</f>
        <v>45708</v>
      </c>
      <c r="N202" s="31" t="n">
        <f aca="false">DATE(LEFT(Raw!J202,4),MID(Raw!J202,6,2),MID(Raw!J202,9,2))+TIME(MID(Raw!J202,12,2),MID(Raw!J202,15,2),MID(Raw!J202,18,2))</f>
        <v>45701.7916666667</v>
      </c>
      <c r="O202" s="31" t="n">
        <f aca="false">DATE(LEFT(Raw!K202,4),MID(Raw!K202,6,2),MID(Raw!K202,9,2))+TIME(MID(Raw!K202,12,2),MID(Raw!K202,15,2),MID(Raw!K202,18,2))</f>
        <v>45708.8</v>
      </c>
      <c r="P202" s="32" t="n">
        <f aca="false">L202-K202</f>
        <v>3</v>
      </c>
      <c r="Q202" s="32" t="n">
        <f aca="false">M202-L202</f>
        <v>6</v>
      </c>
      <c r="R202" s="32" t="n">
        <f aca="false">O202-N202</f>
        <v>7.00833333333333</v>
      </c>
      <c r="S202" s="32" t="n">
        <f aca="false">Raw!L202</f>
        <v>0.8</v>
      </c>
      <c r="T202" s="32" t="n">
        <f aca="false">O202-M202</f>
        <v>0.8</v>
      </c>
      <c r="U202" s="0" t="str">
        <f aca="false">IF(ABS(T202-S202)&lt;0.01,"OK","MISMATCH")</f>
        <v>OK</v>
      </c>
      <c r="V202" s="33" t="n">
        <f aca="false">Raw!M202</f>
        <v>1</v>
      </c>
      <c r="W202" s="0" t="str">
        <f aca="false">IF((S202&gt;0)=(V202=1),"OK","MISMATCH")</f>
        <v>OK</v>
      </c>
      <c r="X202" s="0" t="str">
        <f aca="false">_xlfn.IFS(S202&lt;=0,"Early/On time",S202&lt;=2,"Minor (up to 2 days)",S202&lt;=5,"Moderate (2-5 days)",TRUE(),"Severe (over 5 days)")</f>
        <v>Minor (up to 2 days)</v>
      </c>
      <c r="Y202" s="0" t="str">
        <f aca="false">YEAR(K202)&amp;"-"&amp;TEXT(MONTH(K202),"00")</f>
        <v>2025-02</v>
      </c>
      <c r="Z202" s="0" t="str">
        <f aca="false">C202&amp;" → "&amp;D202</f>
        <v>Gujarat → Surat</v>
      </c>
      <c r="AA202" s="0" t="str">
        <f aca="false">Raw!Q202</f>
        <v>TCI Express</v>
      </c>
      <c r="AB202" s="0" t="str">
        <f aca="false">Raw!R202</f>
        <v>Yes</v>
      </c>
      <c r="AC202" s="0" t="str">
        <f aca="false">Raw!S202</f>
        <v>Normal</v>
      </c>
      <c r="AD202" s="29" t="n">
        <f aca="false">Raw!N202</f>
        <v>3331.89</v>
      </c>
      <c r="AE202" s="29" t="n">
        <f aca="false">Raw!O202</f>
        <v>3569.3</v>
      </c>
      <c r="AF202" s="29" t="n">
        <f aca="false">Raw!P202</f>
        <v>564.85</v>
      </c>
      <c r="AG202" s="29" t="n">
        <f aca="false">AD202/J202</f>
        <v>649.491228070176</v>
      </c>
    </row>
    <row r="203" customFormat="false" ht="15" hidden="false" customHeight="false" outlineLevel="0" collapsed="false">
      <c r="A203" s="0" t="str">
        <f aca="false">Raw!A203</f>
        <v>SHP0202</v>
      </c>
      <c r="B203" s="0" t="str">
        <f aca="false">Raw!B203</f>
        <v>Inbound</v>
      </c>
      <c r="C203" s="0" t="str">
        <f aca="false">Raw!C203</f>
        <v>Punjab</v>
      </c>
      <c r="D203" s="0" t="str">
        <f aca="false">Raw!D203</f>
        <v>Surat</v>
      </c>
      <c r="E203" s="0" t="str">
        <f aca="false">IFERROR(INDEX(Location_Map!$B$2:$B$15,MATCH(C203,Location_Map!$A$2:$A$15,0)),"UNMAPPED")</f>
        <v>Punjab</v>
      </c>
      <c r="F203" s="0" t="str">
        <f aca="false">IFERROR(INDEX(Location_Map!$C$2:$C$15,MATCH(C203,Location_Map!$A$2:$A$15,0)),"UNMAPPED")</f>
        <v>North</v>
      </c>
      <c r="G203" s="0" t="str">
        <f aca="false">IFERROR(INDEX(Location_Map!$B$2:$B$15,MATCH(D203,Location_Map!$A$2:$A$15,0)),"UNMAPPED")</f>
        <v>Gujarat</v>
      </c>
      <c r="H203" s="0" t="str">
        <f aca="false">IFERROR(INDEX(Location_Map!$C$2:$C$15,MATCH(D203,Location_Map!$A$2:$A$15,0)),"UNMAPPED")</f>
        <v>West</v>
      </c>
      <c r="I203" s="0" t="str">
        <f aca="false">Raw!E203</f>
        <v>Finished Yarn</v>
      </c>
      <c r="J203" s="28" t="n">
        <f aca="false">Raw!F203</f>
        <v>12.02</v>
      </c>
      <c r="K203" s="30" t="n">
        <f aca="false">DATE(LEFT(Raw!G203,4),MID(Raw!G203,6,2),MID(Raw!G203,9,2))</f>
        <v>45826</v>
      </c>
      <c r="L203" s="30" t="n">
        <f aca="false">DATE(LEFT(Raw!H203,4),MID(Raw!H203,6,2),MID(Raw!H203,9,2))</f>
        <v>45829</v>
      </c>
      <c r="M203" s="30" t="n">
        <f aca="false">DATE(LEFT(Raw!I203,4),MID(Raw!I203,6,2),MID(Raw!I203,9,2))</f>
        <v>45832</v>
      </c>
      <c r="N203" s="31" t="n">
        <f aca="false">DATE(LEFT(Raw!J203,4),MID(Raw!J203,6,2),MID(Raw!J203,9,2))+TIME(MID(Raw!J203,12,2),MID(Raw!J203,15,2),MID(Raw!J203,18,2))</f>
        <v>45829.3333333333</v>
      </c>
      <c r="O203" s="31" t="n">
        <f aca="false">DATE(LEFT(Raw!K203,4),MID(Raw!K203,6,2),MID(Raw!K203,9,2))+TIME(MID(Raw!K203,12,2),MID(Raw!K203,15,2),MID(Raw!K203,18,2))</f>
        <v>45831</v>
      </c>
      <c r="P203" s="32" t="n">
        <f aca="false">L203-K203</f>
        <v>3</v>
      </c>
      <c r="Q203" s="32" t="n">
        <f aca="false">M203-L203</f>
        <v>3</v>
      </c>
      <c r="R203" s="32" t="n">
        <f aca="false">O203-N203</f>
        <v>1.66666666666667</v>
      </c>
      <c r="S203" s="32" t="n">
        <f aca="false">Raw!L203</f>
        <v>-1</v>
      </c>
      <c r="T203" s="32" t="n">
        <f aca="false">O203-M203</f>
        <v>-1</v>
      </c>
      <c r="U203" s="0" t="str">
        <f aca="false">IF(ABS(T203-S203)&lt;0.01,"OK","MISMATCH")</f>
        <v>OK</v>
      </c>
      <c r="V203" s="33" t="n">
        <f aca="false">Raw!M203</f>
        <v>0</v>
      </c>
      <c r="W203" s="0" t="str">
        <f aca="false">IF((S203&gt;0)=(V203=1),"OK","MISMATCH")</f>
        <v>OK</v>
      </c>
      <c r="X203" s="0" t="str">
        <f aca="false">_xlfn.IFS(S203&lt;=0,"Early/On time",S203&lt;=2,"Minor (up to 2 days)",S203&lt;=5,"Moderate (2-5 days)",TRUE(),"Severe (over 5 days)")</f>
        <v>Early/On time</v>
      </c>
      <c r="Y203" s="0" t="str">
        <f aca="false">YEAR(K203)&amp;"-"&amp;TEXT(MONTH(K203),"00")</f>
        <v>2025-06</v>
      </c>
      <c r="Z203" s="0" t="str">
        <f aca="false">C203&amp;" → "&amp;D203</f>
        <v>Punjab → Surat</v>
      </c>
      <c r="AA203" s="0" t="str">
        <f aca="false">Raw!Q203</f>
        <v>Delhivery</v>
      </c>
      <c r="AB203" s="0" t="str">
        <f aca="false">Raw!R203</f>
        <v>Yes</v>
      </c>
      <c r="AC203" s="0" t="str">
        <f aca="false">Raw!S203</f>
        <v>Damaged</v>
      </c>
      <c r="AD203" s="29" t="n">
        <f aca="false">Raw!N203</f>
        <v>6236.62</v>
      </c>
      <c r="AE203" s="29" t="n">
        <f aca="false">Raw!O203</f>
        <v>4300.2</v>
      </c>
      <c r="AF203" s="29" t="n">
        <f aca="false">Raw!P203</f>
        <v>998.26</v>
      </c>
      <c r="AG203" s="29" t="n">
        <f aca="false">AD203/J203</f>
        <v>518.853577371048</v>
      </c>
    </row>
    <row r="204" customFormat="false" ht="15" hidden="false" customHeight="false" outlineLevel="0" collapsed="false">
      <c r="A204" s="0" t="str">
        <f aca="false">Raw!A204</f>
        <v>SHP0203</v>
      </c>
      <c r="B204" s="0" t="str">
        <f aca="false">Raw!B204</f>
        <v>Inbound</v>
      </c>
      <c r="C204" s="0" t="str">
        <f aca="false">Raw!C204</f>
        <v>Uttar Pradesh</v>
      </c>
      <c r="D204" s="0" t="str">
        <f aca="false">Raw!D204</f>
        <v>Surat</v>
      </c>
      <c r="E204" s="0" t="str">
        <f aca="false">IFERROR(INDEX(Location_Map!$B$2:$B$15,MATCH(C204,Location_Map!$A$2:$A$15,0)),"UNMAPPED")</f>
        <v>Uttar Pradesh</v>
      </c>
      <c r="F204" s="0" t="str">
        <f aca="false">IFERROR(INDEX(Location_Map!$C$2:$C$15,MATCH(C204,Location_Map!$A$2:$A$15,0)),"UNMAPPED")</f>
        <v>North</v>
      </c>
      <c r="G204" s="0" t="str">
        <f aca="false">IFERROR(INDEX(Location_Map!$B$2:$B$15,MATCH(D204,Location_Map!$A$2:$A$15,0)),"UNMAPPED")</f>
        <v>Gujarat</v>
      </c>
      <c r="H204" s="0" t="str">
        <f aca="false">IFERROR(INDEX(Location_Map!$C$2:$C$15,MATCH(D204,Location_Map!$A$2:$A$15,0)),"UNMAPPED")</f>
        <v>West</v>
      </c>
      <c r="I204" s="0" t="str">
        <f aca="false">Raw!E204</f>
        <v>Raw Yarn</v>
      </c>
      <c r="J204" s="28" t="n">
        <f aca="false">Raw!F204</f>
        <v>2.46</v>
      </c>
      <c r="K204" s="30" t="n">
        <f aca="false">DATE(LEFT(Raw!G204,4),MID(Raw!G204,6,2),MID(Raw!G204,9,2))</f>
        <v>45675</v>
      </c>
      <c r="L204" s="30" t="n">
        <f aca="false">DATE(LEFT(Raw!H204,4),MID(Raw!H204,6,2),MID(Raw!H204,9,2))</f>
        <v>45677</v>
      </c>
      <c r="M204" s="30" t="n">
        <f aca="false">DATE(LEFT(Raw!I204,4),MID(Raw!I204,6,2),MID(Raw!I204,9,2))</f>
        <v>45680</v>
      </c>
      <c r="N204" s="31" t="n">
        <f aca="false">DATE(LEFT(Raw!J204,4),MID(Raw!J204,6,2),MID(Raw!J204,9,2))+TIME(MID(Raw!J204,12,2),MID(Raw!J204,15,2),MID(Raw!J204,18,2))</f>
        <v>45676.875</v>
      </c>
      <c r="O204" s="31" t="n">
        <f aca="false">DATE(LEFT(Raw!K204,4),MID(Raw!K204,6,2),MID(Raw!K204,9,2))+TIME(MID(Raw!K204,12,2),MID(Raw!K204,15,2),MID(Raw!K204,18,2))</f>
        <v>45684.8</v>
      </c>
      <c r="P204" s="32" t="n">
        <f aca="false">L204-K204</f>
        <v>2</v>
      </c>
      <c r="Q204" s="32" t="n">
        <f aca="false">M204-L204</f>
        <v>3</v>
      </c>
      <c r="R204" s="32" t="n">
        <f aca="false">O204-N204</f>
        <v>7.925</v>
      </c>
      <c r="S204" s="32" t="n">
        <f aca="false">Raw!L204</f>
        <v>4.8</v>
      </c>
      <c r="T204" s="32" t="n">
        <f aca="false">O204-M204</f>
        <v>4.8</v>
      </c>
      <c r="U204" s="0" t="str">
        <f aca="false">IF(ABS(T204-S204)&lt;0.01,"OK","MISMATCH")</f>
        <v>OK</v>
      </c>
      <c r="V204" s="33" t="n">
        <f aca="false">Raw!M204</f>
        <v>1</v>
      </c>
      <c r="W204" s="0" t="str">
        <f aca="false">IF((S204&gt;0)=(V204=1),"OK","MISMATCH")</f>
        <v>OK</v>
      </c>
      <c r="X204" s="0" t="str">
        <f aca="false">_xlfn.IFS(S204&lt;=0,"Early/On time",S204&lt;=2,"Minor (up to 2 days)",S204&lt;=5,"Moderate (2-5 days)",TRUE(),"Severe (over 5 days)")</f>
        <v>Moderate (2-5 days)</v>
      </c>
      <c r="Y204" s="0" t="str">
        <f aca="false">YEAR(K204)&amp;"-"&amp;TEXT(MONTH(K204),"00")</f>
        <v>2025-01</v>
      </c>
      <c r="Z204" s="0" t="str">
        <f aca="false">C204&amp;" → "&amp;D204</f>
        <v>Uttar Pradesh → Surat</v>
      </c>
      <c r="AA204" s="0" t="str">
        <f aca="false">Raw!Q204</f>
        <v>Delhivery</v>
      </c>
      <c r="AB204" s="0" t="str">
        <f aca="false">Raw!R204</f>
        <v>No</v>
      </c>
      <c r="AC204" s="0" t="str">
        <f aca="false">Raw!S204</f>
        <v>Damaged</v>
      </c>
      <c r="AD204" s="29" t="n">
        <f aca="false">Raw!N204</f>
        <v>1641.02</v>
      </c>
      <c r="AE204" s="29" t="n">
        <f aca="false">Raw!O204</f>
        <v>2312.77</v>
      </c>
      <c r="AF204" s="29" t="n">
        <f aca="false">Raw!P204</f>
        <v>934.02</v>
      </c>
      <c r="AG204" s="29" t="n">
        <f aca="false">AD204/J204</f>
        <v>667.081300813008</v>
      </c>
    </row>
    <row r="205" customFormat="false" ht="15" hidden="false" customHeight="false" outlineLevel="0" collapsed="false">
      <c r="A205" s="0" t="str">
        <f aca="false">Raw!A205</f>
        <v>SHP0204</v>
      </c>
      <c r="B205" s="0" t="str">
        <f aca="false">Raw!B205</f>
        <v>Outbound</v>
      </c>
      <c r="C205" s="0" t="str">
        <f aca="false">Raw!C205</f>
        <v>Surat</v>
      </c>
      <c r="D205" s="0" t="str">
        <f aca="false">Raw!D205</f>
        <v>Mumbai</v>
      </c>
      <c r="E205" s="0" t="str">
        <f aca="false">IFERROR(INDEX(Location_Map!$B$2:$B$15,MATCH(C205,Location_Map!$A$2:$A$15,0)),"UNMAPPED")</f>
        <v>Gujarat</v>
      </c>
      <c r="F205" s="0" t="str">
        <f aca="false">IFERROR(INDEX(Location_Map!$C$2:$C$15,MATCH(C205,Location_Map!$A$2:$A$15,0)),"UNMAPPED")</f>
        <v>West</v>
      </c>
      <c r="G205" s="0" t="str">
        <f aca="false">IFERROR(INDEX(Location_Map!$B$2:$B$15,MATCH(D205,Location_Map!$A$2:$A$15,0)),"UNMAPPED")</f>
        <v>Maharashtra</v>
      </c>
      <c r="H205" s="0" t="str">
        <f aca="false">IFERROR(INDEX(Location_Map!$C$2:$C$15,MATCH(D205,Location_Map!$A$2:$A$15,0)),"UNMAPPED")</f>
        <v>West</v>
      </c>
      <c r="I205" s="0" t="str">
        <f aca="false">Raw!E205</f>
        <v>Raw Yarn</v>
      </c>
      <c r="J205" s="28" t="n">
        <f aca="false">Raw!F205</f>
        <v>2.68</v>
      </c>
      <c r="K205" s="30" t="n">
        <f aca="false">DATE(LEFT(Raw!G205,4),MID(Raw!G205,6,2),MID(Raw!G205,9,2))</f>
        <v>45724</v>
      </c>
      <c r="L205" s="30" t="n">
        <f aca="false">DATE(LEFT(Raw!H205,4),MID(Raw!H205,6,2),MID(Raw!H205,9,2))</f>
        <v>45727</v>
      </c>
      <c r="M205" s="30" t="n">
        <f aca="false">DATE(LEFT(Raw!I205,4),MID(Raw!I205,6,2),MID(Raw!I205,9,2))</f>
        <v>45731</v>
      </c>
      <c r="N205" s="31" t="n">
        <f aca="false">DATE(LEFT(Raw!J205,4),MID(Raw!J205,6,2),MID(Raw!J205,9,2))+TIME(MID(Raw!J205,12,2),MID(Raw!J205,15,2),MID(Raw!J205,18,2))</f>
        <v>45727.375</v>
      </c>
      <c r="O205" s="31" t="n">
        <f aca="false">DATE(LEFT(Raw!K205,4),MID(Raw!K205,6,2),MID(Raw!K205,9,2))+TIME(MID(Raw!K205,12,2),MID(Raw!K205,15,2),MID(Raw!K205,18,2))</f>
        <v>45735</v>
      </c>
      <c r="P205" s="32" t="n">
        <f aca="false">L205-K205</f>
        <v>3</v>
      </c>
      <c r="Q205" s="32" t="n">
        <f aca="false">M205-L205</f>
        <v>4</v>
      </c>
      <c r="R205" s="32" t="n">
        <f aca="false">O205-N205</f>
        <v>7.625</v>
      </c>
      <c r="S205" s="32" t="n">
        <f aca="false">Raw!L205</f>
        <v>4</v>
      </c>
      <c r="T205" s="32" t="n">
        <f aca="false">O205-M205</f>
        <v>4</v>
      </c>
      <c r="U205" s="0" t="str">
        <f aca="false">IF(ABS(T205-S205)&lt;0.01,"OK","MISMATCH")</f>
        <v>OK</v>
      </c>
      <c r="V205" s="33" t="n">
        <f aca="false">Raw!M205</f>
        <v>1</v>
      </c>
      <c r="W205" s="0" t="str">
        <f aca="false">IF((S205&gt;0)=(V205=1),"OK","MISMATCH")</f>
        <v>OK</v>
      </c>
      <c r="X205" s="0" t="str">
        <f aca="false">_xlfn.IFS(S205&lt;=0,"Early/On time",S205&lt;=2,"Minor (up to 2 days)",S205&lt;=5,"Moderate (2-5 days)",TRUE(),"Severe (over 5 days)")</f>
        <v>Moderate (2-5 days)</v>
      </c>
      <c r="Y205" s="0" t="str">
        <f aca="false">YEAR(K205)&amp;"-"&amp;TEXT(MONTH(K205),"00")</f>
        <v>2025-03</v>
      </c>
      <c r="Z205" s="0" t="str">
        <f aca="false">C205&amp;" → "&amp;D205</f>
        <v>Surat → Mumbai</v>
      </c>
      <c r="AA205" s="0" t="str">
        <f aca="false">Raw!Q205</f>
        <v>TCI Express</v>
      </c>
      <c r="AB205" s="0" t="str">
        <f aca="false">Raw!R205</f>
        <v>No</v>
      </c>
      <c r="AC205" s="0" t="str">
        <f aca="false">Raw!S205</f>
        <v>Damaged</v>
      </c>
      <c r="AD205" s="29" t="n">
        <f aca="false">Raw!N205</f>
        <v>3398.51</v>
      </c>
      <c r="AE205" s="29" t="n">
        <f aca="false">Raw!O205</f>
        <v>3570.26</v>
      </c>
      <c r="AF205" s="29" t="n">
        <f aca="false">Raw!P205</f>
        <v>921.25</v>
      </c>
      <c r="AG205" s="29" t="n">
        <f aca="false">AD205/J205</f>
        <v>1268.10074626866</v>
      </c>
    </row>
    <row r="206" customFormat="false" ht="15" hidden="false" customHeight="false" outlineLevel="0" collapsed="false">
      <c r="A206" s="0" t="str">
        <f aca="false">Raw!A206</f>
        <v>SHP0205</v>
      </c>
      <c r="B206" s="0" t="str">
        <f aca="false">Raw!B206</f>
        <v>Outbound</v>
      </c>
      <c r="C206" s="0" t="str">
        <f aca="false">Raw!C206</f>
        <v>Surat</v>
      </c>
      <c r="D206" s="0" t="str">
        <f aca="false">Raw!D206</f>
        <v>Jaipur</v>
      </c>
      <c r="E206" s="0" t="str">
        <f aca="false">IFERROR(INDEX(Location_Map!$B$2:$B$15,MATCH(C206,Location_Map!$A$2:$A$15,0)),"UNMAPPED")</f>
        <v>Gujarat</v>
      </c>
      <c r="F206" s="0" t="str">
        <f aca="false">IFERROR(INDEX(Location_Map!$C$2:$C$15,MATCH(C206,Location_Map!$A$2:$A$15,0)),"UNMAPPED")</f>
        <v>West</v>
      </c>
      <c r="G206" s="0" t="str">
        <f aca="false">IFERROR(INDEX(Location_Map!$B$2:$B$15,MATCH(D206,Location_Map!$A$2:$A$15,0)),"UNMAPPED")</f>
        <v>Rajasthan</v>
      </c>
      <c r="H206" s="0" t="str">
        <f aca="false">IFERROR(INDEX(Location_Map!$C$2:$C$15,MATCH(D206,Location_Map!$A$2:$A$15,0)),"UNMAPPED")</f>
        <v>North</v>
      </c>
      <c r="I206" s="0" t="str">
        <f aca="false">Raw!E206</f>
        <v>Finished Yarn</v>
      </c>
      <c r="J206" s="28" t="n">
        <f aca="false">Raw!F206</f>
        <v>13.09</v>
      </c>
      <c r="K206" s="30" t="n">
        <f aca="false">DATE(LEFT(Raw!G206,4),MID(Raw!G206,6,2),MID(Raw!G206,9,2))</f>
        <v>45893</v>
      </c>
      <c r="L206" s="30" t="n">
        <f aca="false">DATE(LEFT(Raw!H206,4),MID(Raw!H206,6,2),MID(Raw!H206,9,2))</f>
        <v>45894</v>
      </c>
      <c r="M206" s="30" t="n">
        <f aca="false">DATE(LEFT(Raw!I206,4),MID(Raw!I206,6,2),MID(Raw!I206,9,2))</f>
        <v>45899</v>
      </c>
      <c r="N206" s="31" t="n">
        <f aca="false">DATE(LEFT(Raw!J206,4),MID(Raw!J206,6,2),MID(Raw!J206,9,2))+TIME(MID(Raw!J206,12,2),MID(Raw!J206,15,2),MID(Raw!J206,18,2))</f>
        <v>45893.9583333333</v>
      </c>
      <c r="O206" s="31" t="n">
        <f aca="false">DATE(LEFT(Raw!K206,4),MID(Raw!K206,6,2),MID(Raw!K206,9,2))+TIME(MID(Raw!K206,12,2),MID(Raw!K206,15,2),MID(Raw!K206,18,2))</f>
        <v>45904.6</v>
      </c>
      <c r="P206" s="32" t="n">
        <f aca="false">L206-K206</f>
        <v>1</v>
      </c>
      <c r="Q206" s="32" t="n">
        <f aca="false">M206-L206</f>
        <v>5</v>
      </c>
      <c r="R206" s="32" t="n">
        <f aca="false">O206-N206</f>
        <v>10.6416666666667</v>
      </c>
      <c r="S206" s="32" t="n">
        <f aca="false">Raw!L206</f>
        <v>5.6</v>
      </c>
      <c r="T206" s="32" t="n">
        <f aca="false">O206-M206</f>
        <v>5.6</v>
      </c>
      <c r="U206" s="0" t="str">
        <f aca="false">IF(ABS(T206-S206)&lt;0.01,"OK","MISMATCH")</f>
        <v>OK</v>
      </c>
      <c r="V206" s="33" t="n">
        <f aca="false">Raw!M206</f>
        <v>1</v>
      </c>
      <c r="W206" s="0" t="str">
        <f aca="false">IF((S206&gt;0)=(V206=1),"OK","MISMATCH")</f>
        <v>OK</v>
      </c>
      <c r="X206" s="0" t="str">
        <f aca="false">_xlfn.IFS(S206&lt;=0,"Early/On time",S206&lt;=2,"Minor (up to 2 days)",S206&lt;=5,"Moderate (2-5 days)",TRUE(),"Severe (over 5 days)")</f>
        <v>Severe (over 5 days)</v>
      </c>
      <c r="Y206" s="0" t="str">
        <f aca="false">YEAR(K206)&amp;"-"&amp;TEXT(MONTH(K206),"00")</f>
        <v>2025-08</v>
      </c>
      <c r="Z206" s="0" t="str">
        <f aca="false">C206&amp;" → "&amp;D206</f>
        <v>Surat → Jaipur</v>
      </c>
      <c r="AA206" s="0" t="str">
        <f aca="false">Raw!Q206</f>
        <v>TCI Express</v>
      </c>
      <c r="AB206" s="0" t="str">
        <f aca="false">Raw!R206</f>
        <v>Yes</v>
      </c>
      <c r="AC206" s="0" t="str">
        <f aca="false">Raw!S206</f>
        <v>Normal</v>
      </c>
      <c r="AD206" s="29" t="n">
        <f aca="false">Raw!N206</f>
        <v>4575.04</v>
      </c>
      <c r="AE206" s="29" t="n">
        <f aca="false">Raw!O206</f>
        <v>2338.05</v>
      </c>
      <c r="AF206" s="29" t="n">
        <f aca="false">Raw!P206</f>
        <v>526.2</v>
      </c>
      <c r="AG206" s="29" t="n">
        <f aca="false">AD206/J206</f>
        <v>349.506493506494</v>
      </c>
    </row>
    <row r="207" customFormat="false" ht="15" hidden="false" customHeight="false" outlineLevel="0" collapsed="false">
      <c r="A207" s="0" t="str">
        <f aca="false">Raw!A207</f>
        <v>SHP0206</v>
      </c>
      <c r="B207" s="0" t="str">
        <f aca="false">Raw!B207</f>
        <v>Inbound</v>
      </c>
      <c r="C207" s="0" t="str">
        <f aca="false">Raw!C207</f>
        <v>Chennai</v>
      </c>
      <c r="D207" s="0" t="str">
        <f aca="false">Raw!D207</f>
        <v>Surat</v>
      </c>
      <c r="E207" s="0" t="str">
        <f aca="false">IFERROR(INDEX(Location_Map!$B$2:$B$15,MATCH(C207,Location_Map!$A$2:$A$15,0)),"UNMAPPED")</f>
        <v>Tamil Nadu</v>
      </c>
      <c r="F207" s="0" t="str">
        <f aca="false">IFERROR(INDEX(Location_Map!$C$2:$C$15,MATCH(C207,Location_Map!$A$2:$A$15,0)),"UNMAPPED")</f>
        <v>South</v>
      </c>
      <c r="G207" s="0" t="str">
        <f aca="false">IFERROR(INDEX(Location_Map!$B$2:$B$15,MATCH(D207,Location_Map!$A$2:$A$15,0)),"UNMAPPED")</f>
        <v>Gujarat</v>
      </c>
      <c r="H207" s="0" t="str">
        <f aca="false">IFERROR(INDEX(Location_Map!$C$2:$C$15,MATCH(D207,Location_Map!$A$2:$A$15,0)),"UNMAPPED")</f>
        <v>West</v>
      </c>
      <c r="I207" s="0" t="str">
        <f aca="false">Raw!E207</f>
        <v>Raw Yarn</v>
      </c>
      <c r="J207" s="28" t="n">
        <f aca="false">Raw!F207</f>
        <v>1.46</v>
      </c>
      <c r="K207" s="30" t="n">
        <f aca="false">DATE(LEFT(Raw!G207,4),MID(Raw!G207,6,2),MID(Raw!G207,9,2))</f>
        <v>45907</v>
      </c>
      <c r="L207" s="30" t="n">
        <f aca="false">DATE(LEFT(Raw!H207,4),MID(Raw!H207,6,2),MID(Raw!H207,9,2))</f>
        <v>45909</v>
      </c>
      <c r="M207" s="30" t="n">
        <f aca="false">DATE(LEFT(Raw!I207,4),MID(Raw!I207,6,2),MID(Raw!I207,9,2))</f>
        <v>45911</v>
      </c>
      <c r="N207" s="31" t="n">
        <f aca="false">DATE(LEFT(Raw!J207,4),MID(Raw!J207,6,2),MID(Raw!J207,9,2))+TIME(MID(Raw!J207,12,2),MID(Raw!J207,15,2),MID(Raw!J207,18,2))</f>
        <v>45909.2083333333</v>
      </c>
      <c r="O207" s="31" t="n">
        <f aca="false">DATE(LEFT(Raw!K207,4),MID(Raw!K207,6,2),MID(Raw!K207,9,2))+TIME(MID(Raw!K207,12,2),MID(Raw!K207,15,2),MID(Raw!K207,18,2))</f>
        <v>45910</v>
      </c>
      <c r="P207" s="32" t="n">
        <f aca="false">L207-K207</f>
        <v>2</v>
      </c>
      <c r="Q207" s="32" t="n">
        <f aca="false">M207-L207</f>
        <v>2</v>
      </c>
      <c r="R207" s="32" t="n">
        <f aca="false">O207-N207</f>
        <v>0.791666666666667</v>
      </c>
      <c r="S207" s="32" t="n">
        <f aca="false">Raw!L207</f>
        <v>-1</v>
      </c>
      <c r="T207" s="32" t="n">
        <f aca="false">O207-M207</f>
        <v>-1</v>
      </c>
      <c r="U207" s="0" t="str">
        <f aca="false">IF(ABS(T207-S207)&lt;0.01,"OK","MISMATCH")</f>
        <v>OK</v>
      </c>
      <c r="V207" s="33" t="n">
        <f aca="false">Raw!M207</f>
        <v>0</v>
      </c>
      <c r="W207" s="0" t="str">
        <f aca="false">IF((S207&gt;0)=(V207=1),"OK","MISMATCH")</f>
        <v>OK</v>
      </c>
      <c r="X207" s="0" t="str">
        <f aca="false">_xlfn.IFS(S207&lt;=0,"Early/On time",S207&lt;=2,"Minor (up to 2 days)",S207&lt;=5,"Moderate (2-5 days)",TRUE(),"Severe (over 5 days)")</f>
        <v>Early/On time</v>
      </c>
      <c r="Y207" s="0" t="str">
        <f aca="false">YEAR(K207)&amp;"-"&amp;TEXT(MONTH(K207),"00")</f>
        <v>2025-09</v>
      </c>
      <c r="Z207" s="0" t="str">
        <f aca="false">C207&amp;" → "&amp;D207</f>
        <v>Chennai → Surat</v>
      </c>
      <c r="AA207" s="0" t="str">
        <f aca="false">Raw!Q207</f>
        <v>VRL Cargo</v>
      </c>
      <c r="AB207" s="0" t="str">
        <f aca="false">Raw!R207</f>
        <v>No</v>
      </c>
      <c r="AC207" s="0" t="str">
        <f aca="false">Raw!S207</f>
        <v>Returned</v>
      </c>
      <c r="AD207" s="29" t="n">
        <f aca="false">Raw!N207</f>
        <v>2075.18</v>
      </c>
      <c r="AE207" s="29" t="n">
        <f aca="false">Raw!O207</f>
        <v>2037.19</v>
      </c>
      <c r="AF207" s="29" t="n">
        <f aca="false">Raw!P207</f>
        <v>929.66</v>
      </c>
      <c r="AG207" s="29" t="n">
        <f aca="false">AD207/J207</f>
        <v>1421.35616438356</v>
      </c>
    </row>
    <row r="208" customFormat="false" ht="15" hidden="false" customHeight="false" outlineLevel="0" collapsed="false">
      <c r="A208" s="0" t="str">
        <f aca="false">Raw!A208</f>
        <v>SHP0207</v>
      </c>
      <c r="B208" s="0" t="str">
        <f aca="false">Raw!B208</f>
        <v>Outbound</v>
      </c>
      <c r="C208" s="0" t="str">
        <f aca="false">Raw!C208</f>
        <v>Surat</v>
      </c>
      <c r="D208" s="0" t="str">
        <f aca="false">Raw!D208</f>
        <v>Uttarakhand</v>
      </c>
      <c r="E208" s="0" t="str">
        <f aca="false">IFERROR(INDEX(Location_Map!$B$2:$B$15,MATCH(C208,Location_Map!$A$2:$A$15,0)),"UNMAPPED")</f>
        <v>Gujarat</v>
      </c>
      <c r="F208" s="0" t="str">
        <f aca="false">IFERROR(INDEX(Location_Map!$C$2:$C$15,MATCH(C208,Location_Map!$A$2:$A$15,0)),"UNMAPPED")</f>
        <v>West</v>
      </c>
      <c r="G208" s="0" t="str">
        <f aca="false">IFERROR(INDEX(Location_Map!$B$2:$B$15,MATCH(D208,Location_Map!$A$2:$A$15,0)),"UNMAPPED")</f>
        <v>Uttarakhand</v>
      </c>
      <c r="H208" s="0" t="str">
        <f aca="false">IFERROR(INDEX(Location_Map!$C$2:$C$15,MATCH(D208,Location_Map!$A$2:$A$15,0)),"UNMAPPED")</f>
        <v>North</v>
      </c>
      <c r="I208" s="0" t="str">
        <f aca="false">Raw!E208</f>
        <v>Finished Yarn</v>
      </c>
      <c r="J208" s="28" t="n">
        <f aca="false">Raw!F208</f>
        <v>17.58</v>
      </c>
      <c r="K208" s="30" t="n">
        <f aca="false">DATE(LEFT(Raw!G208,4),MID(Raw!G208,6,2),MID(Raw!G208,9,2))</f>
        <v>45910</v>
      </c>
      <c r="L208" s="30" t="n">
        <f aca="false">DATE(LEFT(Raw!H208,4),MID(Raw!H208,6,2),MID(Raw!H208,9,2))</f>
        <v>45911</v>
      </c>
      <c r="M208" s="30" t="n">
        <f aca="false">DATE(LEFT(Raw!I208,4),MID(Raw!I208,6,2),MID(Raw!I208,9,2))</f>
        <v>45913</v>
      </c>
      <c r="N208" s="31" t="n">
        <f aca="false">DATE(LEFT(Raw!J208,4),MID(Raw!J208,6,2),MID(Raw!J208,9,2))+TIME(MID(Raw!J208,12,2),MID(Raw!J208,15,2),MID(Raw!J208,18,2))</f>
        <v>45910.9166666667</v>
      </c>
      <c r="O208" s="31" t="n">
        <f aca="false">DATE(LEFT(Raw!K208,4),MID(Raw!K208,6,2),MID(Raw!K208,9,2))+TIME(MID(Raw!K208,12,2),MID(Raw!K208,15,2),MID(Raw!K208,18,2))</f>
        <v>45917.1</v>
      </c>
      <c r="P208" s="32" t="n">
        <f aca="false">L208-K208</f>
        <v>1</v>
      </c>
      <c r="Q208" s="32" t="n">
        <f aca="false">M208-L208</f>
        <v>2</v>
      </c>
      <c r="R208" s="32" t="n">
        <f aca="false">O208-N208</f>
        <v>6.18333333333333</v>
      </c>
      <c r="S208" s="32" t="n">
        <f aca="false">Raw!L208</f>
        <v>4.1</v>
      </c>
      <c r="T208" s="32" t="n">
        <f aca="false">O208-M208</f>
        <v>4.1</v>
      </c>
      <c r="U208" s="0" t="str">
        <f aca="false">IF(ABS(T208-S208)&lt;0.01,"OK","MISMATCH")</f>
        <v>OK</v>
      </c>
      <c r="V208" s="33" t="n">
        <f aca="false">Raw!M208</f>
        <v>1</v>
      </c>
      <c r="W208" s="0" t="str">
        <f aca="false">IF((S208&gt;0)=(V208=1),"OK","MISMATCH")</f>
        <v>OK</v>
      </c>
      <c r="X208" s="0" t="str">
        <f aca="false">_xlfn.IFS(S208&lt;=0,"Early/On time",S208&lt;=2,"Minor (up to 2 days)",S208&lt;=5,"Moderate (2-5 days)",TRUE(),"Severe (over 5 days)")</f>
        <v>Moderate (2-5 days)</v>
      </c>
      <c r="Y208" s="0" t="str">
        <f aca="false">YEAR(K208)&amp;"-"&amp;TEXT(MONTH(K208),"00")</f>
        <v>2025-09</v>
      </c>
      <c r="Z208" s="0" t="str">
        <f aca="false">C208&amp;" → "&amp;D208</f>
        <v>Surat → Uttarakhand</v>
      </c>
      <c r="AA208" s="0" t="str">
        <f aca="false">Raw!Q208</f>
        <v>BlueDart</v>
      </c>
      <c r="AB208" s="0" t="str">
        <f aca="false">Raw!R208</f>
        <v>No</v>
      </c>
      <c r="AC208" s="0" t="str">
        <f aca="false">Raw!S208</f>
        <v>Returned</v>
      </c>
      <c r="AD208" s="29" t="n">
        <f aca="false">Raw!N208</f>
        <v>4470.5</v>
      </c>
      <c r="AE208" s="29" t="n">
        <f aca="false">Raw!O208</f>
        <v>3911.76</v>
      </c>
      <c r="AF208" s="29" t="n">
        <f aca="false">Raw!P208</f>
        <v>996.46</v>
      </c>
      <c r="AG208" s="29" t="n">
        <f aca="false">AD208/J208</f>
        <v>254.29465301479</v>
      </c>
    </row>
    <row r="209" customFormat="false" ht="15" hidden="false" customHeight="false" outlineLevel="0" collapsed="false">
      <c r="A209" s="0" t="str">
        <f aca="false">Raw!A209</f>
        <v>SHP0208</v>
      </c>
      <c r="B209" s="0" t="str">
        <f aca="false">Raw!B209</f>
        <v>Inbound</v>
      </c>
      <c r="C209" s="0" t="str">
        <f aca="false">Raw!C209</f>
        <v>Rajasthan</v>
      </c>
      <c r="D209" s="0" t="str">
        <f aca="false">Raw!D209</f>
        <v>Surat</v>
      </c>
      <c r="E209" s="0" t="str">
        <f aca="false">IFERROR(INDEX(Location_Map!$B$2:$B$15,MATCH(C209,Location_Map!$A$2:$A$15,0)),"UNMAPPED")</f>
        <v>Rajasthan</v>
      </c>
      <c r="F209" s="0" t="str">
        <f aca="false">IFERROR(INDEX(Location_Map!$C$2:$C$15,MATCH(C209,Location_Map!$A$2:$A$15,0)),"UNMAPPED")</f>
        <v>North</v>
      </c>
      <c r="G209" s="0" t="str">
        <f aca="false">IFERROR(INDEX(Location_Map!$B$2:$B$15,MATCH(D209,Location_Map!$A$2:$A$15,0)),"UNMAPPED")</f>
        <v>Gujarat</v>
      </c>
      <c r="H209" s="0" t="str">
        <f aca="false">IFERROR(INDEX(Location_Map!$C$2:$C$15,MATCH(D209,Location_Map!$A$2:$A$15,0)),"UNMAPPED")</f>
        <v>West</v>
      </c>
      <c r="I209" s="0" t="str">
        <f aca="false">Raw!E209</f>
        <v>Finished Yarn</v>
      </c>
      <c r="J209" s="28" t="n">
        <f aca="false">Raw!F209</f>
        <v>9.3</v>
      </c>
      <c r="K209" s="30" t="n">
        <f aca="false">DATE(LEFT(Raw!G209,4),MID(Raw!G209,6,2),MID(Raw!G209,9,2))</f>
        <v>45876</v>
      </c>
      <c r="L209" s="30" t="n">
        <f aca="false">DATE(LEFT(Raw!H209,4),MID(Raw!H209,6,2),MID(Raw!H209,9,2))</f>
        <v>45880</v>
      </c>
      <c r="M209" s="30" t="n">
        <f aca="false">DATE(LEFT(Raw!I209,4),MID(Raw!I209,6,2),MID(Raw!I209,9,2))</f>
        <v>45885</v>
      </c>
      <c r="N209" s="31" t="n">
        <f aca="false">DATE(LEFT(Raw!J209,4),MID(Raw!J209,6,2),MID(Raw!J209,9,2))+TIME(MID(Raw!J209,12,2),MID(Raw!J209,15,2),MID(Raw!J209,18,2))</f>
        <v>45880.25</v>
      </c>
      <c r="O209" s="31" t="n">
        <f aca="false">DATE(LEFT(Raw!K209,4),MID(Raw!K209,6,2),MID(Raw!K209,9,2))+TIME(MID(Raw!K209,12,2),MID(Raw!K209,15,2),MID(Raw!K209,18,2))</f>
        <v>45886.7</v>
      </c>
      <c r="P209" s="32" t="n">
        <f aca="false">L209-K209</f>
        <v>4</v>
      </c>
      <c r="Q209" s="32" t="n">
        <f aca="false">M209-L209</f>
        <v>5</v>
      </c>
      <c r="R209" s="32" t="n">
        <f aca="false">O209-N209</f>
        <v>6.45</v>
      </c>
      <c r="S209" s="32" t="n">
        <f aca="false">Raw!L209</f>
        <v>1.7</v>
      </c>
      <c r="T209" s="32" t="n">
        <f aca="false">O209-M209</f>
        <v>1.7</v>
      </c>
      <c r="U209" s="0" t="str">
        <f aca="false">IF(ABS(T209-S209)&lt;0.01,"OK","MISMATCH")</f>
        <v>OK</v>
      </c>
      <c r="V209" s="33" t="n">
        <f aca="false">Raw!M209</f>
        <v>1</v>
      </c>
      <c r="W209" s="0" t="str">
        <f aca="false">IF((S209&gt;0)=(V209=1),"OK","MISMATCH")</f>
        <v>OK</v>
      </c>
      <c r="X209" s="0" t="str">
        <f aca="false">_xlfn.IFS(S209&lt;=0,"Early/On time",S209&lt;=2,"Minor (up to 2 days)",S209&lt;=5,"Moderate (2-5 days)",TRUE(),"Severe (over 5 days)")</f>
        <v>Minor (up to 2 days)</v>
      </c>
      <c r="Y209" s="0" t="str">
        <f aca="false">YEAR(K209)&amp;"-"&amp;TEXT(MONTH(K209),"00")</f>
        <v>2025-08</v>
      </c>
      <c r="Z209" s="0" t="str">
        <f aca="false">C209&amp;" → "&amp;D209</f>
        <v>Rajasthan → Surat</v>
      </c>
      <c r="AA209" s="0" t="str">
        <f aca="false">Raw!Q209</f>
        <v>Delhivery</v>
      </c>
      <c r="AB209" s="0" t="str">
        <f aca="false">Raw!R209</f>
        <v>No</v>
      </c>
      <c r="AC209" s="0" t="str">
        <f aca="false">Raw!S209</f>
        <v>Normal</v>
      </c>
      <c r="AD209" s="29" t="n">
        <f aca="false">Raw!N209</f>
        <v>4292.99</v>
      </c>
      <c r="AE209" s="29" t="n">
        <f aca="false">Raw!O209</f>
        <v>3627.82</v>
      </c>
      <c r="AF209" s="29" t="n">
        <f aca="false">Raw!P209</f>
        <v>1456.61</v>
      </c>
      <c r="AG209" s="29" t="n">
        <f aca="false">AD209/J209</f>
        <v>461.611827956989</v>
      </c>
    </row>
    <row r="210" customFormat="false" ht="15" hidden="false" customHeight="false" outlineLevel="0" collapsed="false">
      <c r="A210" s="0" t="str">
        <f aca="false">Raw!A210</f>
        <v>SHP0209</v>
      </c>
      <c r="B210" s="0" t="str">
        <f aca="false">Raw!B210</f>
        <v>Outbound</v>
      </c>
      <c r="C210" s="0" t="str">
        <f aca="false">Raw!C210</f>
        <v>Surat</v>
      </c>
      <c r="D210" s="0" t="str">
        <f aca="false">Raw!D210</f>
        <v>Madhya Pradesh</v>
      </c>
      <c r="E210" s="0" t="str">
        <f aca="false">IFERROR(INDEX(Location_Map!$B$2:$B$15,MATCH(C210,Location_Map!$A$2:$A$15,0)),"UNMAPPED")</f>
        <v>Gujarat</v>
      </c>
      <c r="F210" s="0" t="str">
        <f aca="false">IFERROR(INDEX(Location_Map!$C$2:$C$15,MATCH(C210,Location_Map!$A$2:$A$15,0)),"UNMAPPED")</f>
        <v>West</v>
      </c>
      <c r="G210" s="0" t="str">
        <f aca="false">IFERROR(INDEX(Location_Map!$B$2:$B$15,MATCH(D210,Location_Map!$A$2:$A$15,0)),"UNMAPPED")</f>
        <v>Madhya Pradesh</v>
      </c>
      <c r="H210" s="0" t="str">
        <f aca="false">IFERROR(INDEX(Location_Map!$C$2:$C$15,MATCH(D210,Location_Map!$A$2:$A$15,0)),"UNMAPPED")</f>
        <v>Central</v>
      </c>
      <c r="I210" s="0" t="str">
        <f aca="false">Raw!E210</f>
        <v>Finished Yarn</v>
      </c>
      <c r="J210" s="28" t="n">
        <f aca="false">Raw!F210</f>
        <v>2.31</v>
      </c>
      <c r="K210" s="30" t="n">
        <f aca="false">DATE(LEFT(Raw!G210,4),MID(Raw!G210,6,2),MID(Raw!G210,9,2))</f>
        <v>45675</v>
      </c>
      <c r="L210" s="30" t="n">
        <f aca="false">DATE(LEFT(Raw!H210,4),MID(Raw!H210,6,2),MID(Raw!H210,9,2))</f>
        <v>45677</v>
      </c>
      <c r="M210" s="30" t="n">
        <f aca="false">DATE(LEFT(Raw!I210,4),MID(Raw!I210,6,2),MID(Raw!I210,9,2))</f>
        <v>45682</v>
      </c>
      <c r="N210" s="31" t="n">
        <f aca="false">DATE(LEFT(Raw!J210,4),MID(Raw!J210,6,2),MID(Raw!J210,9,2))+TIME(MID(Raw!J210,12,2),MID(Raw!J210,15,2),MID(Raw!J210,18,2))</f>
        <v>45677.3333333333</v>
      </c>
      <c r="O210" s="31" t="n">
        <f aca="false">DATE(LEFT(Raw!K210,4),MID(Raw!K210,6,2),MID(Raw!K210,9,2))+TIME(MID(Raw!K210,12,2),MID(Raw!K210,15,2),MID(Raw!K210,18,2))</f>
        <v>45681.1</v>
      </c>
      <c r="P210" s="32" t="n">
        <f aca="false">L210-K210</f>
        <v>2</v>
      </c>
      <c r="Q210" s="32" t="n">
        <f aca="false">M210-L210</f>
        <v>5</v>
      </c>
      <c r="R210" s="32" t="n">
        <f aca="false">O210-N210</f>
        <v>3.76666666666667</v>
      </c>
      <c r="S210" s="32" t="n">
        <f aca="false">Raw!L210</f>
        <v>-0.9</v>
      </c>
      <c r="T210" s="32" t="n">
        <f aca="false">O210-M210</f>
        <v>-0.900000000002917</v>
      </c>
      <c r="U210" s="0" t="str">
        <f aca="false">IF(ABS(T210-S210)&lt;0.01,"OK","MISMATCH")</f>
        <v>OK</v>
      </c>
      <c r="V210" s="33" t="n">
        <f aca="false">Raw!M210</f>
        <v>0</v>
      </c>
      <c r="W210" s="0" t="str">
        <f aca="false">IF((S210&gt;0)=(V210=1),"OK","MISMATCH")</f>
        <v>OK</v>
      </c>
      <c r="X210" s="0" t="str">
        <f aca="false">_xlfn.IFS(S210&lt;=0,"Early/On time",S210&lt;=2,"Minor (up to 2 days)",S210&lt;=5,"Moderate (2-5 days)",TRUE(),"Severe (over 5 days)")</f>
        <v>Early/On time</v>
      </c>
      <c r="Y210" s="0" t="str">
        <f aca="false">YEAR(K210)&amp;"-"&amp;TEXT(MONTH(K210),"00")</f>
        <v>2025-01</v>
      </c>
      <c r="Z210" s="0" t="str">
        <f aca="false">C210&amp;" → "&amp;D210</f>
        <v>Surat → Madhya Pradesh</v>
      </c>
      <c r="AA210" s="0" t="str">
        <f aca="false">Raw!Q210</f>
        <v>Delhivery</v>
      </c>
      <c r="AB210" s="0" t="str">
        <f aca="false">Raw!R210</f>
        <v>Yes</v>
      </c>
      <c r="AC210" s="0" t="str">
        <f aca="false">Raw!S210</f>
        <v>Damaged</v>
      </c>
      <c r="AD210" s="29" t="n">
        <f aca="false">Raw!N210</f>
        <v>1619.18</v>
      </c>
      <c r="AE210" s="29" t="n">
        <f aca="false">Raw!O210</f>
        <v>4037.59</v>
      </c>
      <c r="AF210" s="29" t="n">
        <f aca="false">Raw!P210</f>
        <v>949.74</v>
      </c>
      <c r="AG210" s="29" t="n">
        <f aca="false">AD210/J210</f>
        <v>700.943722943723</v>
      </c>
    </row>
    <row r="211" customFormat="false" ht="15" hidden="false" customHeight="false" outlineLevel="0" collapsed="false">
      <c r="A211" s="0" t="str">
        <f aca="false">Raw!A211</f>
        <v>SHP0210</v>
      </c>
      <c r="B211" s="0" t="str">
        <f aca="false">Raw!B211</f>
        <v>Inbound</v>
      </c>
      <c r="C211" s="0" t="str">
        <f aca="false">Raw!C211</f>
        <v>Chennai</v>
      </c>
      <c r="D211" s="0" t="str">
        <f aca="false">Raw!D211</f>
        <v>Surat</v>
      </c>
      <c r="E211" s="0" t="str">
        <f aca="false">IFERROR(INDEX(Location_Map!$B$2:$B$15,MATCH(C211,Location_Map!$A$2:$A$15,0)),"UNMAPPED")</f>
        <v>Tamil Nadu</v>
      </c>
      <c r="F211" s="0" t="str">
        <f aca="false">IFERROR(INDEX(Location_Map!$C$2:$C$15,MATCH(C211,Location_Map!$A$2:$A$15,0)),"UNMAPPED")</f>
        <v>South</v>
      </c>
      <c r="G211" s="0" t="str">
        <f aca="false">IFERROR(INDEX(Location_Map!$B$2:$B$15,MATCH(D211,Location_Map!$A$2:$A$15,0)),"UNMAPPED")</f>
        <v>Gujarat</v>
      </c>
      <c r="H211" s="0" t="str">
        <f aca="false">IFERROR(INDEX(Location_Map!$C$2:$C$15,MATCH(D211,Location_Map!$A$2:$A$15,0)),"UNMAPPED")</f>
        <v>West</v>
      </c>
      <c r="I211" s="0" t="str">
        <f aca="false">Raw!E211</f>
        <v>Semi-Processed Yarn</v>
      </c>
      <c r="J211" s="28" t="n">
        <f aca="false">Raw!F211</f>
        <v>15.76</v>
      </c>
      <c r="K211" s="30" t="n">
        <f aca="false">DATE(LEFT(Raw!G211,4),MID(Raw!G211,6,2),MID(Raw!G211,9,2))</f>
        <v>45677</v>
      </c>
      <c r="L211" s="30" t="n">
        <f aca="false">DATE(LEFT(Raw!H211,4),MID(Raw!H211,6,2),MID(Raw!H211,9,2))</f>
        <v>45679</v>
      </c>
      <c r="M211" s="30" t="n">
        <f aca="false">DATE(LEFT(Raw!I211,4),MID(Raw!I211,6,2),MID(Raw!I211,9,2))</f>
        <v>45683</v>
      </c>
      <c r="N211" s="31" t="n">
        <f aca="false">DATE(LEFT(Raw!J211,4),MID(Raw!J211,6,2),MID(Raw!J211,9,2))+TIME(MID(Raw!J211,12,2),MID(Raw!J211,15,2),MID(Raw!J211,18,2))</f>
        <v>45678.9166666667</v>
      </c>
      <c r="O211" s="31" t="n">
        <f aca="false">DATE(LEFT(Raw!K211,4),MID(Raw!K211,6,2),MID(Raw!K211,9,2))+TIME(MID(Raw!K211,12,2),MID(Raw!K211,15,2),MID(Raw!K211,18,2))</f>
        <v>45682.1</v>
      </c>
      <c r="P211" s="32" t="n">
        <f aca="false">L211-K211</f>
        <v>2</v>
      </c>
      <c r="Q211" s="32" t="n">
        <f aca="false">M211-L211</f>
        <v>4</v>
      </c>
      <c r="R211" s="32" t="n">
        <f aca="false">O211-N211</f>
        <v>3.18333333333333</v>
      </c>
      <c r="S211" s="32" t="n">
        <f aca="false">Raw!L211</f>
        <v>-0.9</v>
      </c>
      <c r="T211" s="32" t="n">
        <f aca="false">O211-M211</f>
        <v>-0.900000000002917</v>
      </c>
      <c r="U211" s="0" t="str">
        <f aca="false">IF(ABS(T211-S211)&lt;0.01,"OK","MISMATCH")</f>
        <v>OK</v>
      </c>
      <c r="V211" s="33" t="n">
        <f aca="false">Raw!M211</f>
        <v>0</v>
      </c>
      <c r="W211" s="0" t="str">
        <f aca="false">IF((S211&gt;0)=(V211=1),"OK","MISMATCH")</f>
        <v>OK</v>
      </c>
      <c r="X211" s="0" t="str">
        <f aca="false">_xlfn.IFS(S211&lt;=0,"Early/On time",S211&lt;=2,"Minor (up to 2 days)",S211&lt;=5,"Moderate (2-5 days)",TRUE(),"Severe (over 5 days)")</f>
        <v>Early/On time</v>
      </c>
      <c r="Y211" s="0" t="str">
        <f aca="false">YEAR(K211)&amp;"-"&amp;TEXT(MONTH(K211),"00")</f>
        <v>2025-01</v>
      </c>
      <c r="Z211" s="0" t="str">
        <f aca="false">C211&amp;" → "&amp;D211</f>
        <v>Chennai → Surat</v>
      </c>
      <c r="AA211" s="0" t="str">
        <f aca="false">Raw!Q211</f>
        <v>BlueDart</v>
      </c>
      <c r="AB211" s="0" t="str">
        <f aca="false">Raw!R211</f>
        <v>No</v>
      </c>
      <c r="AC211" s="0" t="str">
        <f aca="false">Raw!S211</f>
        <v>Damaged</v>
      </c>
      <c r="AD211" s="29" t="n">
        <f aca="false">Raw!N211</f>
        <v>8451.55</v>
      </c>
      <c r="AE211" s="29" t="n">
        <f aca="false">Raw!O211</f>
        <v>2383.68</v>
      </c>
      <c r="AF211" s="29" t="n">
        <f aca="false">Raw!P211</f>
        <v>815.19</v>
      </c>
      <c r="AG211" s="29" t="n">
        <f aca="false">AD211/J211</f>
        <v>536.265862944162</v>
      </c>
    </row>
    <row r="212" customFormat="false" ht="15" hidden="false" customHeight="false" outlineLevel="0" collapsed="false">
      <c r="A212" s="0" t="str">
        <f aca="false">Raw!A212</f>
        <v>SHP0211</v>
      </c>
      <c r="B212" s="0" t="str">
        <f aca="false">Raw!B212</f>
        <v>Inbound</v>
      </c>
      <c r="C212" s="0" t="str">
        <f aca="false">Raw!C212</f>
        <v>Gujarat</v>
      </c>
      <c r="D212" s="0" t="str">
        <f aca="false">Raw!D212</f>
        <v>Surat</v>
      </c>
      <c r="E212" s="0" t="str">
        <f aca="false">IFERROR(INDEX(Location_Map!$B$2:$B$15,MATCH(C212,Location_Map!$A$2:$A$15,0)),"UNMAPPED")</f>
        <v>Gujarat</v>
      </c>
      <c r="F212" s="0" t="str">
        <f aca="false">IFERROR(INDEX(Location_Map!$C$2:$C$15,MATCH(C212,Location_Map!$A$2:$A$15,0)),"UNMAPPED")</f>
        <v>West</v>
      </c>
      <c r="G212" s="0" t="str">
        <f aca="false">IFERROR(INDEX(Location_Map!$B$2:$B$15,MATCH(D212,Location_Map!$A$2:$A$15,0)),"UNMAPPED")</f>
        <v>Gujarat</v>
      </c>
      <c r="H212" s="0" t="str">
        <f aca="false">IFERROR(INDEX(Location_Map!$C$2:$C$15,MATCH(D212,Location_Map!$A$2:$A$15,0)),"UNMAPPED")</f>
        <v>West</v>
      </c>
      <c r="I212" s="0" t="str">
        <f aca="false">Raw!E212</f>
        <v>Semi-Processed Yarn</v>
      </c>
      <c r="J212" s="28" t="n">
        <f aca="false">Raw!F212</f>
        <v>15.67</v>
      </c>
      <c r="K212" s="30" t="n">
        <f aca="false">DATE(LEFT(Raw!G212,4),MID(Raw!G212,6,2),MID(Raw!G212,9,2))</f>
        <v>45683</v>
      </c>
      <c r="L212" s="30" t="n">
        <f aca="false">DATE(LEFT(Raw!H212,4),MID(Raw!H212,6,2),MID(Raw!H212,9,2))</f>
        <v>45684</v>
      </c>
      <c r="M212" s="30" t="n">
        <f aca="false">DATE(LEFT(Raw!I212,4),MID(Raw!I212,6,2),MID(Raw!I212,9,2))</f>
        <v>45688</v>
      </c>
      <c r="N212" s="31" t="n">
        <f aca="false">DATE(LEFT(Raw!J212,4),MID(Raw!J212,6,2),MID(Raw!J212,9,2))+TIME(MID(Raw!J212,12,2),MID(Raw!J212,15,2),MID(Raw!J212,18,2))</f>
        <v>45684.0416666667</v>
      </c>
      <c r="O212" s="31" t="n">
        <f aca="false">DATE(LEFT(Raw!K212,4),MID(Raw!K212,6,2),MID(Raw!K212,9,2))+TIME(MID(Raw!K212,12,2),MID(Raw!K212,15,2),MID(Raw!K212,18,2))</f>
        <v>45690.2</v>
      </c>
      <c r="P212" s="32" t="n">
        <f aca="false">L212-K212</f>
        <v>1</v>
      </c>
      <c r="Q212" s="32" t="n">
        <f aca="false">M212-L212</f>
        <v>4</v>
      </c>
      <c r="R212" s="32" t="n">
        <f aca="false">O212-N212</f>
        <v>6.15833333333333</v>
      </c>
      <c r="S212" s="32" t="n">
        <f aca="false">Raw!L212</f>
        <v>2.2</v>
      </c>
      <c r="T212" s="32" t="n">
        <f aca="false">O212-M212</f>
        <v>2.2</v>
      </c>
      <c r="U212" s="0" t="str">
        <f aca="false">IF(ABS(T212-S212)&lt;0.01,"OK","MISMATCH")</f>
        <v>OK</v>
      </c>
      <c r="V212" s="33" t="n">
        <f aca="false">Raw!M212</f>
        <v>1</v>
      </c>
      <c r="W212" s="0" t="str">
        <f aca="false">IF((S212&gt;0)=(V212=1),"OK","MISMATCH")</f>
        <v>OK</v>
      </c>
      <c r="X212" s="0" t="str">
        <f aca="false">_xlfn.IFS(S212&lt;=0,"Early/On time",S212&lt;=2,"Minor (up to 2 days)",S212&lt;=5,"Moderate (2-5 days)",TRUE(),"Severe (over 5 days)")</f>
        <v>Moderate (2-5 days)</v>
      </c>
      <c r="Y212" s="0" t="str">
        <f aca="false">YEAR(K212)&amp;"-"&amp;TEXT(MONTH(K212),"00")</f>
        <v>2025-01</v>
      </c>
      <c r="Z212" s="0" t="str">
        <f aca="false">C212&amp;" → "&amp;D212</f>
        <v>Gujarat → Surat</v>
      </c>
      <c r="AA212" s="0" t="str">
        <f aca="false">Raw!Q212</f>
        <v>TCI Express</v>
      </c>
      <c r="AB212" s="0" t="str">
        <f aca="false">Raw!R212</f>
        <v>No</v>
      </c>
      <c r="AC212" s="0" t="str">
        <f aca="false">Raw!S212</f>
        <v>Held at warehouse</v>
      </c>
      <c r="AD212" s="29" t="n">
        <f aca="false">Raw!N212</f>
        <v>8254.42</v>
      </c>
      <c r="AE212" s="29" t="n">
        <f aca="false">Raw!O212</f>
        <v>4150.85</v>
      </c>
      <c r="AF212" s="29" t="n">
        <f aca="false">Raw!P212</f>
        <v>1124.43</v>
      </c>
      <c r="AG212" s="29" t="n">
        <f aca="false">AD212/J212</f>
        <v>526.765794511806</v>
      </c>
    </row>
    <row r="213" customFormat="false" ht="15" hidden="false" customHeight="false" outlineLevel="0" collapsed="false">
      <c r="A213" s="0" t="str">
        <f aca="false">Raw!A213</f>
        <v>SHP0212</v>
      </c>
      <c r="B213" s="0" t="str">
        <f aca="false">Raw!B213</f>
        <v>Inbound</v>
      </c>
      <c r="C213" s="0" t="str">
        <f aca="false">Raw!C213</f>
        <v>Chennai</v>
      </c>
      <c r="D213" s="0" t="str">
        <f aca="false">Raw!D213</f>
        <v>Surat</v>
      </c>
      <c r="E213" s="0" t="str">
        <f aca="false">IFERROR(INDEX(Location_Map!$B$2:$B$15,MATCH(C213,Location_Map!$A$2:$A$15,0)),"UNMAPPED")</f>
        <v>Tamil Nadu</v>
      </c>
      <c r="F213" s="0" t="str">
        <f aca="false">IFERROR(INDEX(Location_Map!$C$2:$C$15,MATCH(C213,Location_Map!$A$2:$A$15,0)),"UNMAPPED")</f>
        <v>South</v>
      </c>
      <c r="G213" s="0" t="str">
        <f aca="false">IFERROR(INDEX(Location_Map!$B$2:$B$15,MATCH(D213,Location_Map!$A$2:$A$15,0)),"UNMAPPED")</f>
        <v>Gujarat</v>
      </c>
      <c r="H213" s="0" t="str">
        <f aca="false">IFERROR(INDEX(Location_Map!$C$2:$C$15,MATCH(D213,Location_Map!$A$2:$A$15,0)),"UNMAPPED")</f>
        <v>West</v>
      </c>
      <c r="I213" s="0" t="str">
        <f aca="false">Raw!E213</f>
        <v>Finished Yarn</v>
      </c>
      <c r="J213" s="28" t="n">
        <f aca="false">Raw!F213</f>
        <v>10.4</v>
      </c>
      <c r="K213" s="30" t="n">
        <f aca="false">DATE(LEFT(Raw!G213,4),MID(Raw!G213,6,2),MID(Raw!G213,9,2))</f>
        <v>45951</v>
      </c>
      <c r="L213" s="30" t="n">
        <f aca="false">DATE(LEFT(Raw!H213,4),MID(Raw!H213,6,2),MID(Raw!H213,9,2))</f>
        <v>45952</v>
      </c>
      <c r="M213" s="30" t="n">
        <f aca="false">DATE(LEFT(Raw!I213,4),MID(Raw!I213,6,2),MID(Raw!I213,9,2))</f>
        <v>45955</v>
      </c>
      <c r="N213" s="31" t="n">
        <f aca="false">DATE(LEFT(Raw!J213,4),MID(Raw!J213,6,2),MID(Raw!J213,9,2))+TIME(MID(Raw!J213,12,2),MID(Raw!J213,15,2),MID(Raw!J213,18,2))</f>
        <v>45951.9583333333</v>
      </c>
      <c r="O213" s="31" t="n">
        <f aca="false">DATE(LEFT(Raw!K213,4),MID(Raw!K213,6,2),MID(Raw!K213,9,2))+TIME(MID(Raw!K213,12,2),MID(Raw!K213,15,2),MID(Raw!K213,18,2))</f>
        <v>45958.5</v>
      </c>
      <c r="P213" s="32" t="n">
        <f aca="false">L213-K213</f>
        <v>1</v>
      </c>
      <c r="Q213" s="32" t="n">
        <f aca="false">M213-L213</f>
        <v>3</v>
      </c>
      <c r="R213" s="32" t="n">
        <f aca="false">O213-N213</f>
        <v>6.54166666666667</v>
      </c>
      <c r="S213" s="32" t="n">
        <f aca="false">Raw!L213</f>
        <v>3.5</v>
      </c>
      <c r="T213" s="32" t="n">
        <f aca="false">O213-M213</f>
        <v>3.5</v>
      </c>
      <c r="U213" s="0" t="str">
        <f aca="false">IF(ABS(T213-S213)&lt;0.01,"OK","MISMATCH")</f>
        <v>OK</v>
      </c>
      <c r="V213" s="33" t="n">
        <f aca="false">Raw!M213</f>
        <v>1</v>
      </c>
      <c r="W213" s="0" t="str">
        <f aca="false">IF((S213&gt;0)=(V213=1),"OK","MISMATCH")</f>
        <v>OK</v>
      </c>
      <c r="X213" s="0" t="str">
        <f aca="false">_xlfn.IFS(S213&lt;=0,"Early/On time",S213&lt;=2,"Minor (up to 2 days)",S213&lt;=5,"Moderate (2-5 days)",TRUE(),"Severe (over 5 days)")</f>
        <v>Moderate (2-5 days)</v>
      </c>
      <c r="Y213" s="0" t="str">
        <f aca="false">YEAR(K213)&amp;"-"&amp;TEXT(MONTH(K213),"00")</f>
        <v>2025-10</v>
      </c>
      <c r="Z213" s="0" t="str">
        <f aca="false">C213&amp;" → "&amp;D213</f>
        <v>Chennai → Surat</v>
      </c>
      <c r="AA213" s="0" t="str">
        <f aca="false">Raw!Q213</f>
        <v>TCI Express</v>
      </c>
      <c r="AB213" s="0" t="str">
        <f aca="false">Raw!R213</f>
        <v>Yes</v>
      </c>
      <c r="AC213" s="0" t="str">
        <f aca="false">Raw!S213</f>
        <v>Normal</v>
      </c>
      <c r="AD213" s="29" t="n">
        <f aca="false">Raw!N213</f>
        <v>5448.11</v>
      </c>
      <c r="AE213" s="29" t="n">
        <f aca="false">Raw!O213</f>
        <v>4888.02</v>
      </c>
      <c r="AF213" s="29" t="n">
        <f aca="false">Raw!P213</f>
        <v>1108.53</v>
      </c>
      <c r="AG213" s="29" t="n">
        <f aca="false">AD213/J213</f>
        <v>523.856730769231</v>
      </c>
    </row>
    <row r="214" customFormat="false" ht="15" hidden="false" customHeight="false" outlineLevel="0" collapsed="false">
      <c r="A214" s="0" t="str">
        <f aca="false">Raw!A214</f>
        <v>SHP0213</v>
      </c>
      <c r="B214" s="0" t="str">
        <f aca="false">Raw!B214</f>
        <v>Outbound</v>
      </c>
      <c r="C214" s="0" t="str">
        <f aca="false">Raw!C214</f>
        <v>Surat</v>
      </c>
      <c r="D214" s="0" t="str">
        <f aca="false">Raw!D214</f>
        <v>Madhya Pradesh</v>
      </c>
      <c r="E214" s="0" t="str">
        <f aca="false">IFERROR(INDEX(Location_Map!$B$2:$B$15,MATCH(C214,Location_Map!$A$2:$A$15,0)),"UNMAPPED")</f>
        <v>Gujarat</v>
      </c>
      <c r="F214" s="0" t="str">
        <f aca="false">IFERROR(INDEX(Location_Map!$C$2:$C$15,MATCH(C214,Location_Map!$A$2:$A$15,0)),"UNMAPPED")</f>
        <v>West</v>
      </c>
      <c r="G214" s="0" t="str">
        <f aca="false">IFERROR(INDEX(Location_Map!$B$2:$B$15,MATCH(D214,Location_Map!$A$2:$A$15,0)),"UNMAPPED")</f>
        <v>Madhya Pradesh</v>
      </c>
      <c r="H214" s="0" t="str">
        <f aca="false">IFERROR(INDEX(Location_Map!$C$2:$C$15,MATCH(D214,Location_Map!$A$2:$A$15,0)),"UNMAPPED")</f>
        <v>Central</v>
      </c>
      <c r="I214" s="0" t="str">
        <f aca="false">Raw!E214</f>
        <v>Semi-Processed Yarn</v>
      </c>
      <c r="J214" s="28" t="n">
        <f aca="false">Raw!F214</f>
        <v>7.64</v>
      </c>
      <c r="K214" s="30" t="n">
        <f aca="false">DATE(LEFT(Raw!G214,4),MID(Raw!G214,6,2),MID(Raw!G214,9,2))</f>
        <v>45692</v>
      </c>
      <c r="L214" s="30" t="n">
        <f aca="false">DATE(LEFT(Raw!H214,4),MID(Raw!H214,6,2),MID(Raw!H214,9,2))</f>
        <v>45693</v>
      </c>
      <c r="M214" s="30" t="n">
        <f aca="false">DATE(LEFT(Raw!I214,4),MID(Raw!I214,6,2),MID(Raw!I214,9,2))</f>
        <v>45698</v>
      </c>
      <c r="N214" s="31" t="n">
        <f aca="false">DATE(LEFT(Raw!J214,4),MID(Raw!J214,6,2),MID(Raw!J214,9,2))+TIME(MID(Raw!J214,12,2),MID(Raw!J214,15,2),MID(Raw!J214,18,2))</f>
        <v>45693</v>
      </c>
      <c r="O214" s="31" t="n">
        <f aca="false">DATE(LEFT(Raw!K214,4),MID(Raw!K214,6,2),MID(Raw!K214,9,2))+TIME(MID(Raw!K214,12,2),MID(Raw!K214,15,2),MID(Raw!K214,18,2))</f>
        <v>45697.5</v>
      </c>
      <c r="P214" s="32" t="n">
        <f aca="false">L214-K214</f>
        <v>1</v>
      </c>
      <c r="Q214" s="32" t="n">
        <f aca="false">M214-L214</f>
        <v>5</v>
      </c>
      <c r="R214" s="32" t="n">
        <f aca="false">O214-N214</f>
        <v>4.5</v>
      </c>
      <c r="S214" s="32" t="n">
        <f aca="false">Raw!L214</f>
        <v>-0.5</v>
      </c>
      <c r="T214" s="32" t="n">
        <f aca="false">O214-M214</f>
        <v>-0.5</v>
      </c>
      <c r="U214" s="0" t="str">
        <f aca="false">IF(ABS(T214-S214)&lt;0.01,"OK","MISMATCH")</f>
        <v>OK</v>
      </c>
      <c r="V214" s="33" t="n">
        <f aca="false">Raw!M214</f>
        <v>0</v>
      </c>
      <c r="W214" s="0" t="str">
        <f aca="false">IF((S214&gt;0)=(V214=1),"OK","MISMATCH")</f>
        <v>OK</v>
      </c>
      <c r="X214" s="0" t="str">
        <f aca="false">_xlfn.IFS(S214&lt;=0,"Early/On time",S214&lt;=2,"Minor (up to 2 days)",S214&lt;=5,"Moderate (2-5 days)",TRUE(),"Severe (over 5 days)")</f>
        <v>Early/On time</v>
      </c>
      <c r="Y214" s="0" t="str">
        <f aca="false">YEAR(K214)&amp;"-"&amp;TEXT(MONTH(K214),"00")</f>
        <v>2025-02</v>
      </c>
      <c r="Z214" s="0" t="str">
        <f aca="false">C214&amp;" → "&amp;D214</f>
        <v>Surat → Madhya Pradesh</v>
      </c>
      <c r="AA214" s="0" t="str">
        <f aca="false">Raw!Q214</f>
        <v>GATI Logistics</v>
      </c>
      <c r="AB214" s="0" t="str">
        <f aca="false">Raw!R214</f>
        <v>No</v>
      </c>
      <c r="AC214" s="0" t="str">
        <f aca="false">Raw!S214</f>
        <v>Expedited</v>
      </c>
      <c r="AD214" s="29" t="n">
        <f aca="false">Raw!N214</f>
        <v>4448.93</v>
      </c>
      <c r="AE214" s="29" t="n">
        <f aca="false">Raw!O214</f>
        <v>1459.08</v>
      </c>
      <c r="AF214" s="29" t="n">
        <f aca="false">Raw!P214</f>
        <v>1360.14</v>
      </c>
      <c r="AG214" s="29" t="n">
        <f aca="false">AD214/J214</f>
        <v>582.320680628272</v>
      </c>
    </row>
    <row r="215" customFormat="false" ht="15" hidden="false" customHeight="false" outlineLevel="0" collapsed="false">
      <c r="A215" s="0" t="str">
        <f aca="false">Raw!A215</f>
        <v>SHP0214</v>
      </c>
      <c r="B215" s="0" t="str">
        <f aca="false">Raw!B215</f>
        <v>Inbound</v>
      </c>
      <c r="C215" s="0" t="str">
        <f aca="false">Raw!C215</f>
        <v>Uttar Pradesh</v>
      </c>
      <c r="D215" s="0" t="str">
        <f aca="false">Raw!D215</f>
        <v>Surat</v>
      </c>
      <c r="E215" s="0" t="str">
        <f aca="false">IFERROR(INDEX(Location_Map!$B$2:$B$15,MATCH(C215,Location_Map!$A$2:$A$15,0)),"UNMAPPED")</f>
        <v>Uttar Pradesh</v>
      </c>
      <c r="F215" s="0" t="str">
        <f aca="false">IFERROR(INDEX(Location_Map!$C$2:$C$15,MATCH(C215,Location_Map!$A$2:$A$15,0)),"UNMAPPED")</f>
        <v>North</v>
      </c>
      <c r="G215" s="0" t="str">
        <f aca="false">IFERROR(INDEX(Location_Map!$B$2:$B$15,MATCH(D215,Location_Map!$A$2:$A$15,0)),"UNMAPPED")</f>
        <v>Gujarat</v>
      </c>
      <c r="H215" s="0" t="str">
        <f aca="false">IFERROR(INDEX(Location_Map!$C$2:$C$15,MATCH(D215,Location_Map!$A$2:$A$15,0)),"UNMAPPED")</f>
        <v>West</v>
      </c>
      <c r="I215" s="0" t="str">
        <f aca="false">Raw!E215</f>
        <v>Finished Yarn</v>
      </c>
      <c r="J215" s="28" t="n">
        <f aca="false">Raw!F215</f>
        <v>14.73</v>
      </c>
      <c r="K215" s="30" t="n">
        <f aca="false">DATE(LEFT(Raw!G215,4),MID(Raw!G215,6,2),MID(Raw!G215,9,2))</f>
        <v>45678</v>
      </c>
      <c r="L215" s="30" t="n">
        <f aca="false">DATE(LEFT(Raw!H215,4),MID(Raw!H215,6,2),MID(Raw!H215,9,2))</f>
        <v>45681</v>
      </c>
      <c r="M215" s="30" t="n">
        <f aca="false">DATE(LEFT(Raw!I215,4),MID(Raw!I215,6,2),MID(Raw!I215,9,2))</f>
        <v>45683</v>
      </c>
      <c r="N215" s="31" t="n">
        <f aca="false">DATE(LEFT(Raw!J215,4),MID(Raw!J215,6,2),MID(Raw!J215,9,2))+TIME(MID(Raw!J215,12,2),MID(Raw!J215,15,2),MID(Raw!J215,18,2))</f>
        <v>45680.8333333333</v>
      </c>
      <c r="O215" s="31" t="n">
        <f aca="false">DATE(LEFT(Raw!K215,4),MID(Raw!K215,6,2),MID(Raw!K215,9,2))+TIME(MID(Raw!K215,12,2),MID(Raw!K215,15,2),MID(Raw!K215,18,2))</f>
        <v>45684.5</v>
      </c>
      <c r="P215" s="32" t="n">
        <f aca="false">L215-K215</f>
        <v>3</v>
      </c>
      <c r="Q215" s="32" t="n">
        <f aca="false">M215-L215</f>
        <v>2</v>
      </c>
      <c r="R215" s="32" t="n">
        <f aca="false">O215-N215</f>
        <v>3.66666666666667</v>
      </c>
      <c r="S215" s="32" t="n">
        <f aca="false">Raw!L215</f>
        <v>1.5</v>
      </c>
      <c r="T215" s="32" t="n">
        <f aca="false">O215-M215</f>
        <v>1.5</v>
      </c>
      <c r="U215" s="0" t="str">
        <f aca="false">IF(ABS(T215-S215)&lt;0.01,"OK","MISMATCH")</f>
        <v>OK</v>
      </c>
      <c r="V215" s="33" t="n">
        <f aca="false">Raw!M215</f>
        <v>1</v>
      </c>
      <c r="W215" s="0" t="str">
        <f aca="false">IF((S215&gt;0)=(V215=1),"OK","MISMATCH")</f>
        <v>OK</v>
      </c>
      <c r="X215" s="0" t="str">
        <f aca="false">_xlfn.IFS(S215&lt;=0,"Early/On time",S215&lt;=2,"Minor (up to 2 days)",S215&lt;=5,"Moderate (2-5 days)",TRUE(),"Severe (over 5 days)")</f>
        <v>Minor (up to 2 days)</v>
      </c>
      <c r="Y215" s="0" t="str">
        <f aca="false">YEAR(K215)&amp;"-"&amp;TEXT(MONTH(K215),"00")</f>
        <v>2025-01</v>
      </c>
      <c r="Z215" s="0" t="str">
        <f aca="false">C215&amp;" → "&amp;D215</f>
        <v>Uttar Pradesh → Surat</v>
      </c>
      <c r="AA215" s="0" t="str">
        <f aca="false">Raw!Q215</f>
        <v>Delhivery</v>
      </c>
      <c r="AB215" s="0" t="str">
        <f aca="false">Raw!R215</f>
        <v>No</v>
      </c>
      <c r="AC215" s="0" t="str">
        <f aca="false">Raw!S215</f>
        <v>Normal</v>
      </c>
      <c r="AD215" s="29" t="n">
        <f aca="false">Raw!N215</f>
        <v>4827.49</v>
      </c>
      <c r="AE215" s="29" t="n">
        <f aca="false">Raw!O215</f>
        <v>2938.79</v>
      </c>
      <c r="AF215" s="29" t="n">
        <f aca="false">Raw!P215</f>
        <v>665.77</v>
      </c>
      <c r="AG215" s="29" t="n">
        <f aca="false">AD215/J215</f>
        <v>327.731839782756</v>
      </c>
    </row>
    <row r="216" customFormat="false" ht="15" hidden="false" customHeight="false" outlineLevel="0" collapsed="false">
      <c r="A216" s="0" t="str">
        <f aca="false">Raw!A216</f>
        <v>SHP0215</v>
      </c>
      <c r="B216" s="0" t="str">
        <f aca="false">Raw!B216</f>
        <v>Inbound</v>
      </c>
      <c r="C216" s="0" t="str">
        <f aca="false">Raw!C216</f>
        <v>Rajasthan</v>
      </c>
      <c r="D216" s="0" t="str">
        <f aca="false">Raw!D216</f>
        <v>Surat</v>
      </c>
      <c r="E216" s="0" t="str">
        <f aca="false">IFERROR(INDEX(Location_Map!$B$2:$B$15,MATCH(C216,Location_Map!$A$2:$A$15,0)),"UNMAPPED")</f>
        <v>Rajasthan</v>
      </c>
      <c r="F216" s="0" t="str">
        <f aca="false">IFERROR(INDEX(Location_Map!$C$2:$C$15,MATCH(C216,Location_Map!$A$2:$A$15,0)),"UNMAPPED")</f>
        <v>North</v>
      </c>
      <c r="G216" s="0" t="str">
        <f aca="false">IFERROR(INDEX(Location_Map!$B$2:$B$15,MATCH(D216,Location_Map!$A$2:$A$15,0)),"UNMAPPED")</f>
        <v>Gujarat</v>
      </c>
      <c r="H216" s="0" t="str">
        <f aca="false">IFERROR(INDEX(Location_Map!$C$2:$C$15,MATCH(D216,Location_Map!$A$2:$A$15,0)),"UNMAPPED")</f>
        <v>West</v>
      </c>
      <c r="I216" s="0" t="str">
        <f aca="false">Raw!E216</f>
        <v>Finished Yarn</v>
      </c>
      <c r="J216" s="28" t="n">
        <f aca="false">Raw!F216</f>
        <v>18.97</v>
      </c>
      <c r="K216" s="30" t="n">
        <f aca="false">DATE(LEFT(Raw!G216,4),MID(Raw!G216,6,2),MID(Raw!G216,9,2))</f>
        <v>45912</v>
      </c>
      <c r="L216" s="30" t="n">
        <f aca="false">DATE(LEFT(Raw!H216,4),MID(Raw!H216,6,2),MID(Raw!H216,9,2))</f>
        <v>45915</v>
      </c>
      <c r="M216" s="30" t="n">
        <f aca="false">DATE(LEFT(Raw!I216,4),MID(Raw!I216,6,2),MID(Raw!I216,9,2))</f>
        <v>45918</v>
      </c>
      <c r="N216" s="31" t="n">
        <f aca="false">DATE(LEFT(Raw!J216,4),MID(Raw!J216,6,2),MID(Raw!J216,9,2))+TIME(MID(Raw!J216,12,2),MID(Raw!J216,15,2),MID(Raw!J216,18,2))</f>
        <v>45915.0416666667</v>
      </c>
      <c r="O216" s="31" t="n">
        <f aca="false">DATE(LEFT(Raw!K216,4),MID(Raw!K216,6,2),MID(Raw!K216,9,2))+TIME(MID(Raw!K216,12,2),MID(Raw!K216,15,2),MID(Raw!K216,18,2))</f>
        <v>45919.6</v>
      </c>
      <c r="P216" s="32" t="n">
        <f aca="false">L216-K216</f>
        <v>3</v>
      </c>
      <c r="Q216" s="32" t="n">
        <f aca="false">M216-L216</f>
        <v>3</v>
      </c>
      <c r="R216" s="32" t="n">
        <f aca="false">O216-N216</f>
        <v>4.55833333333333</v>
      </c>
      <c r="S216" s="32" t="n">
        <f aca="false">Raw!L216</f>
        <v>1.6</v>
      </c>
      <c r="T216" s="32" t="n">
        <f aca="false">O216-M216</f>
        <v>1.6</v>
      </c>
      <c r="U216" s="0" t="str">
        <f aca="false">IF(ABS(T216-S216)&lt;0.01,"OK","MISMATCH")</f>
        <v>OK</v>
      </c>
      <c r="V216" s="33" t="n">
        <f aca="false">Raw!M216</f>
        <v>1</v>
      </c>
      <c r="W216" s="0" t="str">
        <f aca="false">IF((S216&gt;0)=(V216=1),"OK","MISMATCH")</f>
        <v>OK</v>
      </c>
      <c r="X216" s="0" t="str">
        <f aca="false">_xlfn.IFS(S216&lt;=0,"Early/On time",S216&lt;=2,"Minor (up to 2 days)",S216&lt;=5,"Moderate (2-5 days)",TRUE(),"Severe (over 5 days)")</f>
        <v>Minor (up to 2 days)</v>
      </c>
      <c r="Y216" s="0" t="str">
        <f aca="false">YEAR(K216)&amp;"-"&amp;TEXT(MONTH(K216),"00")</f>
        <v>2025-09</v>
      </c>
      <c r="Z216" s="0" t="str">
        <f aca="false">C216&amp;" → "&amp;D216</f>
        <v>Rajasthan → Surat</v>
      </c>
      <c r="AA216" s="0" t="str">
        <f aca="false">Raw!Q216</f>
        <v>GATI Logistics</v>
      </c>
      <c r="AB216" s="0" t="str">
        <f aca="false">Raw!R216</f>
        <v>No</v>
      </c>
      <c r="AC216" s="0" t="str">
        <f aca="false">Raw!S216</f>
        <v>Returned</v>
      </c>
      <c r="AD216" s="29" t="n">
        <f aca="false">Raw!N216</f>
        <v>6662.73</v>
      </c>
      <c r="AE216" s="29" t="n">
        <f aca="false">Raw!O216</f>
        <v>3050.01</v>
      </c>
      <c r="AF216" s="29" t="n">
        <f aca="false">Raw!P216</f>
        <v>1306.4</v>
      </c>
      <c r="AG216" s="29" t="n">
        <f aca="false">AD216/J216</f>
        <v>351.224565102794</v>
      </c>
    </row>
    <row r="217" customFormat="false" ht="15" hidden="false" customHeight="false" outlineLevel="0" collapsed="false">
      <c r="A217" s="0" t="str">
        <f aca="false">Raw!A217</f>
        <v>SHP0216</v>
      </c>
      <c r="B217" s="0" t="str">
        <f aca="false">Raw!B217</f>
        <v>Inbound</v>
      </c>
      <c r="C217" s="0" t="str">
        <f aca="false">Raw!C217</f>
        <v>Gujarat</v>
      </c>
      <c r="D217" s="0" t="str">
        <f aca="false">Raw!D217</f>
        <v>Surat</v>
      </c>
      <c r="E217" s="0" t="str">
        <f aca="false">IFERROR(INDEX(Location_Map!$B$2:$B$15,MATCH(C217,Location_Map!$A$2:$A$15,0)),"UNMAPPED")</f>
        <v>Gujarat</v>
      </c>
      <c r="F217" s="0" t="str">
        <f aca="false">IFERROR(INDEX(Location_Map!$C$2:$C$15,MATCH(C217,Location_Map!$A$2:$A$15,0)),"UNMAPPED")</f>
        <v>West</v>
      </c>
      <c r="G217" s="0" t="str">
        <f aca="false">IFERROR(INDEX(Location_Map!$B$2:$B$15,MATCH(D217,Location_Map!$A$2:$A$15,0)),"UNMAPPED")</f>
        <v>Gujarat</v>
      </c>
      <c r="H217" s="0" t="str">
        <f aca="false">IFERROR(INDEX(Location_Map!$C$2:$C$15,MATCH(D217,Location_Map!$A$2:$A$15,0)),"UNMAPPED")</f>
        <v>West</v>
      </c>
      <c r="I217" s="0" t="str">
        <f aca="false">Raw!E217</f>
        <v>Finished Yarn</v>
      </c>
      <c r="J217" s="28" t="n">
        <f aca="false">Raw!F217</f>
        <v>9.73</v>
      </c>
      <c r="K217" s="30" t="n">
        <f aca="false">DATE(LEFT(Raw!G217,4),MID(Raw!G217,6,2),MID(Raw!G217,9,2))</f>
        <v>45673</v>
      </c>
      <c r="L217" s="30" t="n">
        <f aca="false">DATE(LEFT(Raw!H217,4),MID(Raw!H217,6,2),MID(Raw!H217,9,2))</f>
        <v>45677</v>
      </c>
      <c r="M217" s="30" t="n">
        <f aca="false">DATE(LEFT(Raw!I217,4),MID(Raw!I217,6,2),MID(Raw!I217,9,2))</f>
        <v>45683</v>
      </c>
      <c r="N217" s="31" t="n">
        <f aca="false">DATE(LEFT(Raw!J217,4),MID(Raw!J217,6,2),MID(Raw!J217,9,2))+TIME(MID(Raw!J217,12,2),MID(Raw!J217,15,2),MID(Raw!J217,18,2))</f>
        <v>45676.9166666667</v>
      </c>
      <c r="O217" s="31" t="n">
        <f aca="false">DATE(LEFT(Raw!K217,4),MID(Raw!K217,6,2),MID(Raw!K217,9,2))+TIME(MID(Raw!K217,12,2),MID(Raw!K217,15,2),MID(Raw!K217,18,2))</f>
        <v>45688.4</v>
      </c>
      <c r="P217" s="32" t="n">
        <f aca="false">L217-K217</f>
        <v>4</v>
      </c>
      <c r="Q217" s="32" t="n">
        <f aca="false">M217-L217</f>
        <v>6</v>
      </c>
      <c r="R217" s="32" t="n">
        <f aca="false">O217-N217</f>
        <v>11.4833333333333</v>
      </c>
      <c r="S217" s="32" t="n">
        <f aca="false">Raw!L217</f>
        <v>5.4</v>
      </c>
      <c r="T217" s="32" t="n">
        <f aca="false">O217-M217</f>
        <v>5.4</v>
      </c>
      <c r="U217" s="0" t="str">
        <f aca="false">IF(ABS(T217-S217)&lt;0.01,"OK","MISMATCH")</f>
        <v>OK</v>
      </c>
      <c r="V217" s="33" t="n">
        <f aca="false">Raw!M217</f>
        <v>1</v>
      </c>
      <c r="W217" s="0" t="str">
        <f aca="false">IF((S217&gt;0)=(V217=1),"OK","MISMATCH")</f>
        <v>OK</v>
      </c>
      <c r="X217" s="0" t="str">
        <f aca="false">_xlfn.IFS(S217&lt;=0,"Early/On time",S217&lt;=2,"Minor (up to 2 days)",S217&lt;=5,"Moderate (2-5 days)",TRUE(),"Severe (over 5 days)")</f>
        <v>Severe (over 5 days)</v>
      </c>
      <c r="Y217" s="0" t="str">
        <f aca="false">YEAR(K217)&amp;"-"&amp;TEXT(MONTH(K217),"00")</f>
        <v>2025-01</v>
      </c>
      <c r="Z217" s="0" t="str">
        <f aca="false">C217&amp;" → "&amp;D217</f>
        <v>Gujarat → Surat</v>
      </c>
      <c r="AA217" s="0" t="str">
        <f aca="false">Raw!Q217</f>
        <v>Delhivery</v>
      </c>
      <c r="AB217" s="0" t="str">
        <f aca="false">Raw!R217</f>
        <v>Yes</v>
      </c>
      <c r="AC217" s="0" t="str">
        <f aca="false">Raw!S217</f>
        <v>Expedited</v>
      </c>
      <c r="AD217" s="29" t="n">
        <f aca="false">Raw!N217</f>
        <v>6037.5</v>
      </c>
      <c r="AE217" s="29" t="n">
        <f aca="false">Raw!O217</f>
        <v>4016.43</v>
      </c>
      <c r="AF217" s="29" t="n">
        <f aca="false">Raw!P217</f>
        <v>517.95</v>
      </c>
      <c r="AG217" s="29" t="n">
        <f aca="false">AD217/J217</f>
        <v>620.503597122302</v>
      </c>
    </row>
    <row r="218" customFormat="false" ht="15" hidden="false" customHeight="false" outlineLevel="0" collapsed="false">
      <c r="A218" s="0" t="str">
        <f aca="false">Raw!A218</f>
        <v>SHP0217</v>
      </c>
      <c r="B218" s="0" t="str">
        <f aca="false">Raw!B218</f>
        <v>Outbound</v>
      </c>
      <c r="C218" s="0" t="str">
        <f aca="false">Raw!C218</f>
        <v>Surat</v>
      </c>
      <c r="D218" s="0" t="str">
        <f aca="false">Raw!D218</f>
        <v>Gujarat</v>
      </c>
      <c r="E218" s="0" t="str">
        <f aca="false">IFERROR(INDEX(Location_Map!$B$2:$B$15,MATCH(C218,Location_Map!$A$2:$A$15,0)),"UNMAPPED")</f>
        <v>Gujarat</v>
      </c>
      <c r="F218" s="0" t="str">
        <f aca="false">IFERROR(INDEX(Location_Map!$C$2:$C$15,MATCH(C218,Location_Map!$A$2:$A$15,0)),"UNMAPPED")</f>
        <v>West</v>
      </c>
      <c r="G218" s="0" t="str">
        <f aca="false">IFERROR(INDEX(Location_Map!$B$2:$B$15,MATCH(D218,Location_Map!$A$2:$A$15,0)),"UNMAPPED")</f>
        <v>Gujarat</v>
      </c>
      <c r="H218" s="0" t="str">
        <f aca="false">IFERROR(INDEX(Location_Map!$C$2:$C$15,MATCH(D218,Location_Map!$A$2:$A$15,0)),"UNMAPPED")</f>
        <v>West</v>
      </c>
      <c r="I218" s="0" t="str">
        <f aca="false">Raw!E218</f>
        <v>Raw Yarn</v>
      </c>
      <c r="J218" s="28" t="n">
        <f aca="false">Raw!F218</f>
        <v>3.4</v>
      </c>
      <c r="K218" s="30" t="n">
        <f aca="false">DATE(LEFT(Raw!G218,4),MID(Raw!G218,6,2),MID(Raw!G218,9,2))</f>
        <v>45855</v>
      </c>
      <c r="L218" s="30" t="n">
        <f aca="false">DATE(LEFT(Raw!H218,4),MID(Raw!H218,6,2),MID(Raw!H218,9,2))</f>
        <v>45856</v>
      </c>
      <c r="M218" s="30" t="n">
        <f aca="false">DATE(LEFT(Raw!I218,4),MID(Raw!I218,6,2),MID(Raw!I218,9,2))</f>
        <v>45860</v>
      </c>
      <c r="N218" s="31" t="n">
        <f aca="false">DATE(LEFT(Raw!J218,4),MID(Raw!J218,6,2),MID(Raw!J218,9,2))+TIME(MID(Raw!J218,12,2),MID(Raw!J218,15,2),MID(Raw!J218,18,2))</f>
        <v>45856.25</v>
      </c>
      <c r="O218" s="31" t="n">
        <f aca="false">DATE(LEFT(Raw!K218,4),MID(Raw!K218,6,2),MID(Raw!K218,9,2))+TIME(MID(Raw!K218,12,2),MID(Raw!K218,15,2),MID(Raw!K218,18,2))</f>
        <v>45862.3</v>
      </c>
      <c r="P218" s="32" t="n">
        <f aca="false">L218-K218</f>
        <v>1</v>
      </c>
      <c r="Q218" s="32" t="n">
        <f aca="false">M218-L218</f>
        <v>4</v>
      </c>
      <c r="R218" s="32" t="n">
        <f aca="false">O218-N218</f>
        <v>6.05</v>
      </c>
      <c r="S218" s="32" t="n">
        <f aca="false">Raw!L218</f>
        <v>2.3</v>
      </c>
      <c r="T218" s="32" t="n">
        <f aca="false">O218-M218</f>
        <v>2.3</v>
      </c>
      <c r="U218" s="0" t="str">
        <f aca="false">IF(ABS(T218-S218)&lt;0.01,"OK","MISMATCH")</f>
        <v>OK</v>
      </c>
      <c r="V218" s="33" t="n">
        <f aca="false">Raw!M218</f>
        <v>1</v>
      </c>
      <c r="W218" s="0" t="str">
        <f aca="false">IF((S218&gt;0)=(V218=1),"OK","MISMATCH")</f>
        <v>OK</v>
      </c>
      <c r="X218" s="0" t="str">
        <f aca="false">_xlfn.IFS(S218&lt;=0,"Early/On time",S218&lt;=2,"Minor (up to 2 days)",S218&lt;=5,"Moderate (2-5 days)",TRUE(),"Severe (over 5 days)")</f>
        <v>Moderate (2-5 days)</v>
      </c>
      <c r="Y218" s="0" t="str">
        <f aca="false">YEAR(K218)&amp;"-"&amp;TEXT(MONTH(K218),"00")</f>
        <v>2025-07</v>
      </c>
      <c r="Z218" s="0" t="str">
        <f aca="false">C218&amp;" → "&amp;D218</f>
        <v>Surat → Gujarat</v>
      </c>
      <c r="AA218" s="0" t="str">
        <f aca="false">Raw!Q218</f>
        <v>BlueDart</v>
      </c>
      <c r="AB218" s="0" t="str">
        <f aca="false">Raw!R218</f>
        <v>No</v>
      </c>
      <c r="AC218" s="0" t="str">
        <f aca="false">Raw!S218</f>
        <v>Normal</v>
      </c>
      <c r="AD218" s="29" t="n">
        <f aca="false">Raw!N218</f>
        <v>2020.89</v>
      </c>
      <c r="AE218" s="29" t="n">
        <f aca="false">Raw!O218</f>
        <v>1260.82</v>
      </c>
      <c r="AF218" s="29" t="n">
        <f aca="false">Raw!P218</f>
        <v>963.93</v>
      </c>
      <c r="AG218" s="29" t="n">
        <f aca="false">AD218/J218</f>
        <v>594.379411764706</v>
      </c>
    </row>
    <row r="219" customFormat="false" ht="15" hidden="false" customHeight="false" outlineLevel="0" collapsed="false">
      <c r="A219" s="0" t="str">
        <f aca="false">Raw!A219</f>
        <v>SHP0218</v>
      </c>
      <c r="B219" s="0" t="str">
        <f aca="false">Raw!B219</f>
        <v>Outbound</v>
      </c>
      <c r="C219" s="0" t="str">
        <f aca="false">Raw!C219</f>
        <v>Surat</v>
      </c>
      <c r="D219" s="0" t="str">
        <f aca="false">Raw!D219</f>
        <v>Gujarat</v>
      </c>
      <c r="E219" s="0" t="str">
        <f aca="false">IFERROR(INDEX(Location_Map!$B$2:$B$15,MATCH(C219,Location_Map!$A$2:$A$15,0)),"UNMAPPED")</f>
        <v>Gujarat</v>
      </c>
      <c r="F219" s="0" t="str">
        <f aca="false">IFERROR(INDEX(Location_Map!$C$2:$C$15,MATCH(C219,Location_Map!$A$2:$A$15,0)),"UNMAPPED")</f>
        <v>West</v>
      </c>
      <c r="G219" s="0" t="str">
        <f aca="false">IFERROR(INDEX(Location_Map!$B$2:$B$15,MATCH(D219,Location_Map!$A$2:$A$15,0)),"UNMAPPED")</f>
        <v>Gujarat</v>
      </c>
      <c r="H219" s="0" t="str">
        <f aca="false">IFERROR(INDEX(Location_Map!$C$2:$C$15,MATCH(D219,Location_Map!$A$2:$A$15,0)),"UNMAPPED")</f>
        <v>West</v>
      </c>
      <c r="I219" s="0" t="str">
        <f aca="false">Raw!E219</f>
        <v>Semi-Processed Yarn</v>
      </c>
      <c r="J219" s="28" t="n">
        <f aca="false">Raw!F219</f>
        <v>18.28</v>
      </c>
      <c r="K219" s="30" t="n">
        <f aca="false">DATE(LEFT(Raw!G219,4),MID(Raw!G219,6,2),MID(Raw!G219,9,2))</f>
        <v>45819</v>
      </c>
      <c r="L219" s="30" t="n">
        <f aca="false">DATE(LEFT(Raw!H219,4),MID(Raw!H219,6,2),MID(Raw!H219,9,2))</f>
        <v>45821</v>
      </c>
      <c r="M219" s="30" t="n">
        <f aca="false">DATE(LEFT(Raw!I219,4),MID(Raw!I219,6,2),MID(Raw!I219,9,2))</f>
        <v>45826</v>
      </c>
      <c r="N219" s="31" t="n">
        <f aca="false">DATE(LEFT(Raw!J219,4),MID(Raw!J219,6,2),MID(Raw!J219,9,2))+TIME(MID(Raw!J219,12,2),MID(Raw!J219,15,2),MID(Raw!J219,18,2))</f>
        <v>45821.0416666667</v>
      </c>
      <c r="O219" s="31" t="n">
        <f aca="false">DATE(LEFT(Raw!K219,4),MID(Raw!K219,6,2),MID(Raw!K219,9,2))+TIME(MID(Raw!K219,12,2),MID(Raw!K219,15,2),MID(Raw!K219,18,2))</f>
        <v>45829.9</v>
      </c>
      <c r="P219" s="32" t="n">
        <f aca="false">L219-K219</f>
        <v>2</v>
      </c>
      <c r="Q219" s="32" t="n">
        <f aca="false">M219-L219</f>
        <v>5</v>
      </c>
      <c r="R219" s="32" t="n">
        <f aca="false">O219-N219</f>
        <v>8.85833333333333</v>
      </c>
      <c r="S219" s="32" t="n">
        <f aca="false">Raw!L219</f>
        <v>3.9</v>
      </c>
      <c r="T219" s="32" t="n">
        <f aca="false">O219-M219</f>
        <v>3.9</v>
      </c>
      <c r="U219" s="0" t="str">
        <f aca="false">IF(ABS(T219-S219)&lt;0.01,"OK","MISMATCH")</f>
        <v>OK</v>
      </c>
      <c r="V219" s="33" t="n">
        <f aca="false">Raw!M219</f>
        <v>1</v>
      </c>
      <c r="W219" s="0" t="str">
        <f aca="false">IF((S219&gt;0)=(V219=1),"OK","MISMATCH")</f>
        <v>OK</v>
      </c>
      <c r="X219" s="0" t="str">
        <f aca="false">_xlfn.IFS(S219&lt;=0,"Early/On time",S219&lt;=2,"Minor (up to 2 days)",S219&lt;=5,"Moderate (2-5 days)",TRUE(),"Severe (over 5 days)")</f>
        <v>Moderate (2-5 days)</v>
      </c>
      <c r="Y219" s="0" t="str">
        <f aca="false">YEAR(K219)&amp;"-"&amp;TEXT(MONTH(K219),"00")</f>
        <v>2025-06</v>
      </c>
      <c r="Z219" s="0" t="str">
        <f aca="false">C219&amp;" → "&amp;D219</f>
        <v>Surat → Gujarat</v>
      </c>
      <c r="AA219" s="0" t="str">
        <f aca="false">Raw!Q219</f>
        <v>Delhivery</v>
      </c>
      <c r="AB219" s="0" t="str">
        <f aca="false">Raw!R219</f>
        <v>Yes</v>
      </c>
      <c r="AC219" s="0" t="str">
        <f aca="false">Raw!S219</f>
        <v>Returned</v>
      </c>
      <c r="AD219" s="29" t="n">
        <f aca="false">Raw!N219</f>
        <v>9771.96</v>
      </c>
      <c r="AE219" s="29" t="n">
        <f aca="false">Raw!O219</f>
        <v>4102.45</v>
      </c>
      <c r="AF219" s="29" t="n">
        <f aca="false">Raw!P219</f>
        <v>1464.48</v>
      </c>
      <c r="AG219" s="29" t="n">
        <f aca="false">AD219/J219</f>
        <v>534.571115973742</v>
      </c>
    </row>
    <row r="220" customFormat="false" ht="15" hidden="false" customHeight="false" outlineLevel="0" collapsed="false">
      <c r="A220" s="0" t="str">
        <f aca="false">Raw!A220</f>
        <v>SHP0219</v>
      </c>
      <c r="B220" s="0" t="str">
        <f aca="false">Raw!B220</f>
        <v>Outbound</v>
      </c>
      <c r="C220" s="0" t="str">
        <f aca="false">Raw!C220</f>
        <v>Surat</v>
      </c>
      <c r="D220" s="0" t="str">
        <f aca="false">Raw!D220</f>
        <v>Kerala</v>
      </c>
      <c r="E220" s="0" t="str">
        <f aca="false">IFERROR(INDEX(Location_Map!$B$2:$B$15,MATCH(C220,Location_Map!$A$2:$A$15,0)),"UNMAPPED")</f>
        <v>Gujarat</v>
      </c>
      <c r="F220" s="0" t="str">
        <f aca="false">IFERROR(INDEX(Location_Map!$C$2:$C$15,MATCH(C220,Location_Map!$A$2:$A$15,0)),"UNMAPPED")</f>
        <v>West</v>
      </c>
      <c r="G220" s="0" t="str">
        <f aca="false">IFERROR(INDEX(Location_Map!$B$2:$B$15,MATCH(D220,Location_Map!$A$2:$A$15,0)),"UNMAPPED")</f>
        <v>Kerala</v>
      </c>
      <c r="H220" s="0" t="str">
        <f aca="false">IFERROR(INDEX(Location_Map!$C$2:$C$15,MATCH(D220,Location_Map!$A$2:$A$15,0)),"UNMAPPED")</f>
        <v>South</v>
      </c>
      <c r="I220" s="0" t="str">
        <f aca="false">Raw!E220</f>
        <v>Raw Yarn</v>
      </c>
      <c r="J220" s="28" t="n">
        <f aca="false">Raw!F220</f>
        <v>4.87</v>
      </c>
      <c r="K220" s="30" t="n">
        <f aca="false">DATE(LEFT(Raw!G220,4),MID(Raw!G220,6,2),MID(Raw!G220,9,2))</f>
        <v>45814</v>
      </c>
      <c r="L220" s="30" t="n">
        <f aca="false">DATE(LEFT(Raw!H220,4),MID(Raw!H220,6,2),MID(Raw!H220,9,2))</f>
        <v>45816</v>
      </c>
      <c r="M220" s="30" t="n">
        <f aca="false">DATE(LEFT(Raw!I220,4),MID(Raw!I220,6,2),MID(Raw!I220,9,2))</f>
        <v>45821</v>
      </c>
      <c r="N220" s="31" t="n">
        <f aca="false">DATE(LEFT(Raw!J220,4),MID(Raw!J220,6,2),MID(Raw!J220,9,2))+TIME(MID(Raw!J220,12,2),MID(Raw!J220,15,2),MID(Raw!J220,18,2))</f>
        <v>45816.0833333333</v>
      </c>
      <c r="O220" s="31" t="n">
        <f aca="false">DATE(LEFT(Raw!K220,4),MID(Raw!K220,6,2),MID(Raw!K220,9,2))+TIME(MID(Raw!K220,12,2),MID(Raw!K220,15,2),MID(Raw!K220,18,2))</f>
        <v>45820.6</v>
      </c>
      <c r="P220" s="32" t="n">
        <f aca="false">L220-K220</f>
        <v>2</v>
      </c>
      <c r="Q220" s="32" t="n">
        <f aca="false">M220-L220</f>
        <v>5</v>
      </c>
      <c r="R220" s="32" t="n">
        <f aca="false">O220-N220</f>
        <v>4.51666666666667</v>
      </c>
      <c r="S220" s="32" t="n">
        <f aca="false">Raw!L220</f>
        <v>-0.4</v>
      </c>
      <c r="T220" s="32" t="n">
        <f aca="false">O220-M220</f>
        <v>-0.400000000002917</v>
      </c>
      <c r="U220" s="0" t="str">
        <f aca="false">IF(ABS(T220-S220)&lt;0.01,"OK","MISMATCH")</f>
        <v>OK</v>
      </c>
      <c r="V220" s="33" t="n">
        <f aca="false">Raw!M220</f>
        <v>0</v>
      </c>
      <c r="W220" s="0" t="str">
        <f aca="false">IF((S220&gt;0)=(V220=1),"OK","MISMATCH")</f>
        <v>OK</v>
      </c>
      <c r="X220" s="0" t="str">
        <f aca="false">_xlfn.IFS(S220&lt;=0,"Early/On time",S220&lt;=2,"Minor (up to 2 days)",S220&lt;=5,"Moderate (2-5 days)",TRUE(),"Severe (over 5 days)")</f>
        <v>Early/On time</v>
      </c>
      <c r="Y220" s="0" t="str">
        <f aca="false">YEAR(K220)&amp;"-"&amp;TEXT(MONTH(K220),"00")</f>
        <v>2025-06</v>
      </c>
      <c r="Z220" s="0" t="str">
        <f aca="false">C220&amp;" → "&amp;D220</f>
        <v>Surat → Kerala</v>
      </c>
      <c r="AA220" s="0" t="str">
        <f aca="false">Raw!Q220</f>
        <v>VRL Cargo</v>
      </c>
      <c r="AB220" s="0" t="str">
        <f aca="false">Raw!R220</f>
        <v>No</v>
      </c>
      <c r="AC220" s="0" t="str">
        <f aca="false">Raw!S220</f>
        <v>Held at warehouse</v>
      </c>
      <c r="AD220" s="29" t="n">
        <f aca="false">Raw!N220</f>
        <v>3382.08</v>
      </c>
      <c r="AE220" s="29" t="n">
        <f aca="false">Raw!O220</f>
        <v>4660.36</v>
      </c>
      <c r="AF220" s="29" t="n">
        <f aca="false">Raw!P220</f>
        <v>1033.03</v>
      </c>
      <c r="AG220" s="29" t="n">
        <f aca="false">AD220/J220</f>
        <v>694.47227926078</v>
      </c>
    </row>
    <row r="221" customFormat="false" ht="15" hidden="false" customHeight="false" outlineLevel="0" collapsed="false">
      <c r="A221" s="0" t="str">
        <f aca="false">Raw!A221</f>
        <v>SHP0220</v>
      </c>
      <c r="B221" s="0" t="str">
        <f aca="false">Raw!B221</f>
        <v>Outbound</v>
      </c>
      <c r="C221" s="0" t="str">
        <f aca="false">Raw!C221</f>
        <v>Surat</v>
      </c>
      <c r="D221" s="0" t="str">
        <f aca="false">Raw!D221</f>
        <v>West Bengal</v>
      </c>
      <c r="E221" s="0" t="str">
        <f aca="false">IFERROR(INDEX(Location_Map!$B$2:$B$15,MATCH(C221,Location_Map!$A$2:$A$15,0)),"UNMAPPED")</f>
        <v>Gujarat</v>
      </c>
      <c r="F221" s="0" t="str">
        <f aca="false">IFERROR(INDEX(Location_Map!$C$2:$C$15,MATCH(C221,Location_Map!$A$2:$A$15,0)),"UNMAPPED")</f>
        <v>West</v>
      </c>
      <c r="G221" s="0" t="str">
        <f aca="false">IFERROR(INDEX(Location_Map!$B$2:$B$15,MATCH(D221,Location_Map!$A$2:$A$15,0)),"UNMAPPED")</f>
        <v>West Bengal</v>
      </c>
      <c r="H221" s="0" t="str">
        <f aca="false">IFERROR(INDEX(Location_Map!$C$2:$C$15,MATCH(D221,Location_Map!$A$2:$A$15,0)),"UNMAPPED")</f>
        <v>East</v>
      </c>
      <c r="I221" s="0" t="str">
        <f aca="false">Raw!E221</f>
        <v>Raw Yarn</v>
      </c>
      <c r="J221" s="28" t="n">
        <f aca="false">Raw!F221</f>
        <v>4</v>
      </c>
      <c r="K221" s="30" t="n">
        <f aca="false">DATE(LEFT(Raw!G221,4),MID(Raw!G221,6,2),MID(Raw!G221,9,2))</f>
        <v>45866</v>
      </c>
      <c r="L221" s="30" t="n">
        <f aca="false">DATE(LEFT(Raw!H221,4),MID(Raw!H221,6,2),MID(Raw!H221,9,2))</f>
        <v>45870</v>
      </c>
      <c r="M221" s="30" t="n">
        <f aca="false">DATE(LEFT(Raw!I221,4),MID(Raw!I221,6,2),MID(Raw!I221,9,2))</f>
        <v>45874</v>
      </c>
      <c r="N221" s="31" t="n">
        <f aca="false">DATE(LEFT(Raw!J221,4),MID(Raw!J221,6,2),MID(Raw!J221,9,2))+TIME(MID(Raw!J221,12,2),MID(Raw!J221,15,2),MID(Raw!J221,18,2))</f>
        <v>45870.2916666667</v>
      </c>
      <c r="O221" s="31" t="n">
        <f aca="false">DATE(LEFT(Raw!K221,4),MID(Raw!K221,6,2),MID(Raw!K221,9,2))+TIME(MID(Raw!K221,12,2),MID(Raw!K221,15,2),MID(Raw!K221,18,2))</f>
        <v>45878.8</v>
      </c>
      <c r="P221" s="32" t="n">
        <f aca="false">L221-K221</f>
        <v>4</v>
      </c>
      <c r="Q221" s="32" t="n">
        <f aca="false">M221-L221</f>
        <v>4</v>
      </c>
      <c r="R221" s="32" t="n">
        <f aca="false">O221-N221</f>
        <v>8.50833333333333</v>
      </c>
      <c r="S221" s="32" t="n">
        <f aca="false">Raw!L221</f>
        <v>4.8</v>
      </c>
      <c r="T221" s="32" t="n">
        <f aca="false">O221-M221</f>
        <v>4.8</v>
      </c>
      <c r="U221" s="0" t="str">
        <f aca="false">IF(ABS(T221-S221)&lt;0.01,"OK","MISMATCH")</f>
        <v>OK</v>
      </c>
      <c r="V221" s="33" t="n">
        <f aca="false">Raw!M221</f>
        <v>1</v>
      </c>
      <c r="W221" s="0" t="str">
        <f aca="false">IF((S221&gt;0)=(V221=1),"OK","MISMATCH")</f>
        <v>OK</v>
      </c>
      <c r="X221" s="0" t="str">
        <f aca="false">_xlfn.IFS(S221&lt;=0,"Early/On time",S221&lt;=2,"Minor (up to 2 days)",S221&lt;=5,"Moderate (2-5 days)",TRUE(),"Severe (over 5 days)")</f>
        <v>Moderate (2-5 days)</v>
      </c>
      <c r="Y221" s="0" t="str">
        <f aca="false">YEAR(K221)&amp;"-"&amp;TEXT(MONTH(K221),"00")</f>
        <v>2025-07</v>
      </c>
      <c r="Z221" s="0" t="str">
        <f aca="false">C221&amp;" → "&amp;D221</f>
        <v>Surat → West Bengal</v>
      </c>
      <c r="AA221" s="0" t="str">
        <f aca="false">Raw!Q221</f>
        <v>VRL Cargo</v>
      </c>
      <c r="AB221" s="0" t="str">
        <f aca="false">Raw!R221</f>
        <v>Yes</v>
      </c>
      <c r="AC221" s="0" t="str">
        <f aca="false">Raw!S221</f>
        <v>Returned</v>
      </c>
      <c r="AD221" s="29" t="n">
        <f aca="false">Raw!N221</f>
        <v>2869.57</v>
      </c>
      <c r="AE221" s="29" t="n">
        <f aca="false">Raw!O221</f>
        <v>4934.09</v>
      </c>
      <c r="AF221" s="29" t="n">
        <f aca="false">Raw!P221</f>
        <v>640.71</v>
      </c>
      <c r="AG221" s="29" t="n">
        <f aca="false">AD221/J221</f>
        <v>717.3925</v>
      </c>
    </row>
    <row r="222" customFormat="false" ht="15" hidden="false" customHeight="false" outlineLevel="0" collapsed="false">
      <c r="A222" s="0" t="str">
        <f aca="false">Raw!A222</f>
        <v>SHP0221</v>
      </c>
      <c r="B222" s="0" t="str">
        <f aca="false">Raw!B222</f>
        <v>Outbound</v>
      </c>
      <c r="C222" s="0" t="str">
        <f aca="false">Raw!C222</f>
        <v>Surat</v>
      </c>
      <c r="D222" s="0" t="str">
        <f aca="false">Raw!D222</f>
        <v>Madhya Pradesh</v>
      </c>
      <c r="E222" s="0" t="str">
        <f aca="false">IFERROR(INDEX(Location_Map!$B$2:$B$15,MATCH(C222,Location_Map!$A$2:$A$15,0)),"UNMAPPED")</f>
        <v>Gujarat</v>
      </c>
      <c r="F222" s="0" t="str">
        <f aca="false">IFERROR(INDEX(Location_Map!$C$2:$C$15,MATCH(C222,Location_Map!$A$2:$A$15,0)),"UNMAPPED")</f>
        <v>West</v>
      </c>
      <c r="G222" s="0" t="str">
        <f aca="false">IFERROR(INDEX(Location_Map!$B$2:$B$15,MATCH(D222,Location_Map!$A$2:$A$15,0)),"UNMAPPED")</f>
        <v>Madhya Pradesh</v>
      </c>
      <c r="H222" s="0" t="str">
        <f aca="false">IFERROR(INDEX(Location_Map!$C$2:$C$15,MATCH(D222,Location_Map!$A$2:$A$15,0)),"UNMAPPED")</f>
        <v>Central</v>
      </c>
      <c r="I222" s="0" t="str">
        <f aca="false">Raw!E222</f>
        <v>Raw Yarn</v>
      </c>
      <c r="J222" s="28" t="n">
        <f aca="false">Raw!F222</f>
        <v>4.84</v>
      </c>
      <c r="K222" s="30" t="n">
        <f aca="false">DATE(LEFT(Raw!G222,4),MID(Raw!G222,6,2),MID(Raw!G222,9,2))</f>
        <v>45713</v>
      </c>
      <c r="L222" s="30" t="n">
        <f aca="false">DATE(LEFT(Raw!H222,4),MID(Raw!H222,6,2),MID(Raw!H222,9,2))</f>
        <v>45717</v>
      </c>
      <c r="M222" s="30" t="n">
        <f aca="false">DATE(LEFT(Raw!I222,4),MID(Raw!I222,6,2),MID(Raw!I222,9,2))</f>
        <v>45722</v>
      </c>
      <c r="N222" s="31" t="n">
        <f aca="false">DATE(LEFT(Raw!J222,4),MID(Raw!J222,6,2),MID(Raw!J222,9,2))+TIME(MID(Raw!J222,12,2),MID(Raw!J222,15,2),MID(Raw!J222,18,2))</f>
        <v>45717.3333333333</v>
      </c>
      <c r="O222" s="31" t="n">
        <f aca="false">DATE(LEFT(Raw!K222,4),MID(Raw!K222,6,2),MID(Raw!K222,9,2))+TIME(MID(Raw!K222,12,2),MID(Raw!K222,15,2),MID(Raw!K222,18,2))</f>
        <v>45722.3</v>
      </c>
      <c r="P222" s="32" t="n">
        <f aca="false">L222-K222</f>
        <v>4</v>
      </c>
      <c r="Q222" s="32" t="n">
        <f aca="false">M222-L222</f>
        <v>5</v>
      </c>
      <c r="R222" s="32" t="n">
        <f aca="false">O222-N222</f>
        <v>4.96666666666667</v>
      </c>
      <c r="S222" s="32" t="n">
        <f aca="false">Raw!L222</f>
        <v>0.3</v>
      </c>
      <c r="T222" s="32" t="n">
        <f aca="false">O222-M222</f>
        <v>0.3</v>
      </c>
      <c r="U222" s="0" t="str">
        <f aca="false">IF(ABS(T222-S222)&lt;0.01,"OK","MISMATCH")</f>
        <v>OK</v>
      </c>
      <c r="V222" s="33" t="n">
        <f aca="false">Raw!M222</f>
        <v>1</v>
      </c>
      <c r="W222" s="0" t="str">
        <f aca="false">IF((S222&gt;0)=(V222=1),"OK","MISMATCH")</f>
        <v>OK</v>
      </c>
      <c r="X222" s="0" t="str">
        <f aca="false">_xlfn.IFS(S222&lt;=0,"Early/On time",S222&lt;=2,"Minor (up to 2 days)",S222&lt;=5,"Moderate (2-5 days)",TRUE(),"Severe (over 5 days)")</f>
        <v>Minor (up to 2 days)</v>
      </c>
      <c r="Y222" s="0" t="str">
        <f aca="false">YEAR(K222)&amp;"-"&amp;TEXT(MONTH(K222),"00")</f>
        <v>2025-02</v>
      </c>
      <c r="Z222" s="0" t="str">
        <f aca="false">C222&amp;" → "&amp;D222</f>
        <v>Surat → Madhya Pradesh</v>
      </c>
      <c r="AA222" s="0" t="str">
        <f aca="false">Raw!Q222</f>
        <v>GATI Logistics</v>
      </c>
      <c r="AB222" s="0" t="str">
        <f aca="false">Raw!R222</f>
        <v>Yes</v>
      </c>
      <c r="AC222" s="0" t="str">
        <f aca="false">Raw!S222</f>
        <v>Returned</v>
      </c>
      <c r="AD222" s="29" t="n">
        <f aca="false">Raw!N222</f>
        <v>2456.31</v>
      </c>
      <c r="AE222" s="29" t="n">
        <f aca="false">Raw!O222</f>
        <v>4529.67</v>
      </c>
      <c r="AF222" s="29" t="n">
        <f aca="false">Raw!P222</f>
        <v>1303.6</v>
      </c>
      <c r="AG222" s="29" t="n">
        <f aca="false">AD222/J222</f>
        <v>507.502066115702</v>
      </c>
    </row>
    <row r="223" customFormat="false" ht="15" hidden="false" customHeight="false" outlineLevel="0" collapsed="false">
      <c r="A223" s="0" t="str">
        <f aca="false">Raw!A223</f>
        <v>SHP0222</v>
      </c>
      <c r="B223" s="0" t="str">
        <f aca="false">Raw!B223</f>
        <v>Inbound</v>
      </c>
      <c r="C223" s="0" t="str">
        <f aca="false">Raw!C223</f>
        <v>Rajasthan</v>
      </c>
      <c r="D223" s="0" t="str">
        <f aca="false">Raw!D223</f>
        <v>Surat</v>
      </c>
      <c r="E223" s="0" t="str">
        <f aca="false">IFERROR(INDEX(Location_Map!$B$2:$B$15,MATCH(C223,Location_Map!$A$2:$A$15,0)),"UNMAPPED")</f>
        <v>Rajasthan</v>
      </c>
      <c r="F223" s="0" t="str">
        <f aca="false">IFERROR(INDEX(Location_Map!$C$2:$C$15,MATCH(C223,Location_Map!$A$2:$A$15,0)),"UNMAPPED")</f>
        <v>North</v>
      </c>
      <c r="G223" s="0" t="str">
        <f aca="false">IFERROR(INDEX(Location_Map!$B$2:$B$15,MATCH(D223,Location_Map!$A$2:$A$15,0)),"UNMAPPED")</f>
        <v>Gujarat</v>
      </c>
      <c r="H223" s="0" t="str">
        <f aca="false">IFERROR(INDEX(Location_Map!$C$2:$C$15,MATCH(D223,Location_Map!$A$2:$A$15,0)),"UNMAPPED")</f>
        <v>West</v>
      </c>
      <c r="I223" s="0" t="str">
        <f aca="false">Raw!E223</f>
        <v>Semi-Processed Yarn</v>
      </c>
      <c r="J223" s="28" t="n">
        <f aca="false">Raw!F223</f>
        <v>10.6</v>
      </c>
      <c r="K223" s="30" t="n">
        <f aca="false">DATE(LEFT(Raw!G223,4),MID(Raw!G223,6,2),MID(Raw!G223,9,2))</f>
        <v>45948</v>
      </c>
      <c r="L223" s="30" t="n">
        <f aca="false">DATE(LEFT(Raw!H223,4),MID(Raw!H223,6,2),MID(Raw!H223,9,2))</f>
        <v>45950</v>
      </c>
      <c r="M223" s="30" t="n">
        <f aca="false">DATE(LEFT(Raw!I223,4),MID(Raw!I223,6,2),MID(Raw!I223,9,2))</f>
        <v>45956</v>
      </c>
      <c r="N223" s="31" t="n">
        <f aca="false">DATE(LEFT(Raw!J223,4),MID(Raw!J223,6,2),MID(Raw!J223,9,2))+TIME(MID(Raw!J223,12,2),MID(Raw!J223,15,2),MID(Raw!J223,18,2))</f>
        <v>45949.9583333333</v>
      </c>
      <c r="O223" s="31" t="n">
        <f aca="false">DATE(LEFT(Raw!K223,4),MID(Raw!K223,6,2),MID(Raw!K223,9,2))+TIME(MID(Raw!K223,12,2),MID(Raw!K223,15,2),MID(Raw!K223,18,2))</f>
        <v>45960.8</v>
      </c>
      <c r="P223" s="32" t="n">
        <f aca="false">L223-K223</f>
        <v>2</v>
      </c>
      <c r="Q223" s="32" t="n">
        <f aca="false">M223-L223</f>
        <v>6</v>
      </c>
      <c r="R223" s="32" t="n">
        <f aca="false">O223-N223</f>
        <v>10.8416666666667</v>
      </c>
      <c r="S223" s="32" t="n">
        <f aca="false">Raw!L223</f>
        <v>4.8</v>
      </c>
      <c r="T223" s="32" t="n">
        <f aca="false">O223-M223</f>
        <v>4.8</v>
      </c>
      <c r="U223" s="0" t="str">
        <f aca="false">IF(ABS(T223-S223)&lt;0.01,"OK","MISMATCH")</f>
        <v>OK</v>
      </c>
      <c r="V223" s="33" t="n">
        <f aca="false">Raw!M223</f>
        <v>1</v>
      </c>
      <c r="W223" s="0" t="str">
        <f aca="false">IF((S223&gt;0)=(V223=1),"OK","MISMATCH")</f>
        <v>OK</v>
      </c>
      <c r="X223" s="0" t="str">
        <f aca="false">_xlfn.IFS(S223&lt;=0,"Early/On time",S223&lt;=2,"Minor (up to 2 days)",S223&lt;=5,"Moderate (2-5 days)",TRUE(),"Severe (over 5 days)")</f>
        <v>Moderate (2-5 days)</v>
      </c>
      <c r="Y223" s="0" t="str">
        <f aca="false">YEAR(K223)&amp;"-"&amp;TEXT(MONTH(K223),"00")</f>
        <v>2025-10</v>
      </c>
      <c r="Z223" s="0" t="str">
        <f aca="false">C223&amp;" → "&amp;D223</f>
        <v>Rajasthan → Surat</v>
      </c>
      <c r="AA223" s="0" t="str">
        <f aca="false">Raw!Q223</f>
        <v>BlueDart</v>
      </c>
      <c r="AB223" s="0" t="str">
        <f aca="false">Raw!R223</f>
        <v>Yes</v>
      </c>
      <c r="AC223" s="0" t="str">
        <f aca="false">Raw!S223</f>
        <v>Held at warehouse</v>
      </c>
      <c r="AD223" s="29" t="n">
        <f aca="false">Raw!N223</f>
        <v>5567.75</v>
      </c>
      <c r="AE223" s="29" t="n">
        <f aca="false">Raw!O223</f>
        <v>4988.31</v>
      </c>
      <c r="AF223" s="29" t="n">
        <f aca="false">Raw!P223</f>
        <v>1479.78</v>
      </c>
      <c r="AG223" s="29" t="n">
        <f aca="false">AD223/J223</f>
        <v>525.259433962264</v>
      </c>
    </row>
    <row r="224" customFormat="false" ht="15" hidden="false" customHeight="false" outlineLevel="0" collapsed="false">
      <c r="A224" s="0" t="str">
        <f aca="false">Raw!A224</f>
        <v>SHP0223</v>
      </c>
      <c r="B224" s="0" t="str">
        <f aca="false">Raw!B224</f>
        <v>Inbound</v>
      </c>
      <c r="C224" s="0" t="str">
        <f aca="false">Raw!C224</f>
        <v>Punjab</v>
      </c>
      <c r="D224" s="0" t="str">
        <f aca="false">Raw!D224</f>
        <v>Surat</v>
      </c>
      <c r="E224" s="0" t="str">
        <f aca="false">IFERROR(INDEX(Location_Map!$B$2:$B$15,MATCH(C224,Location_Map!$A$2:$A$15,0)),"UNMAPPED")</f>
        <v>Punjab</v>
      </c>
      <c r="F224" s="0" t="str">
        <f aca="false">IFERROR(INDEX(Location_Map!$C$2:$C$15,MATCH(C224,Location_Map!$A$2:$A$15,0)),"UNMAPPED")</f>
        <v>North</v>
      </c>
      <c r="G224" s="0" t="str">
        <f aca="false">IFERROR(INDEX(Location_Map!$B$2:$B$15,MATCH(D224,Location_Map!$A$2:$A$15,0)),"UNMAPPED")</f>
        <v>Gujarat</v>
      </c>
      <c r="H224" s="0" t="str">
        <f aca="false">IFERROR(INDEX(Location_Map!$C$2:$C$15,MATCH(D224,Location_Map!$A$2:$A$15,0)),"UNMAPPED")</f>
        <v>West</v>
      </c>
      <c r="I224" s="0" t="str">
        <f aca="false">Raw!E224</f>
        <v>Finished Yarn</v>
      </c>
      <c r="J224" s="28" t="n">
        <f aca="false">Raw!F224</f>
        <v>13.47</v>
      </c>
      <c r="K224" s="30" t="n">
        <f aca="false">DATE(LEFT(Raw!G224,4),MID(Raw!G224,6,2),MID(Raw!G224,9,2))</f>
        <v>45696</v>
      </c>
      <c r="L224" s="30" t="n">
        <f aca="false">DATE(LEFT(Raw!H224,4),MID(Raw!H224,6,2),MID(Raw!H224,9,2))</f>
        <v>45699</v>
      </c>
      <c r="M224" s="30" t="n">
        <f aca="false">DATE(LEFT(Raw!I224,4),MID(Raw!I224,6,2),MID(Raw!I224,9,2))</f>
        <v>45703</v>
      </c>
      <c r="N224" s="31" t="n">
        <f aca="false">DATE(LEFT(Raw!J224,4),MID(Raw!J224,6,2),MID(Raw!J224,9,2))+TIME(MID(Raw!J224,12,2),MID(Raw!J224,15,2),MID(Raw!J224,18,2))</f>
        <v>45698.8333333333</v>
      </c>
      <c r="O224" s="31" t="n">
        <f aca="false">DATE(LEFT(Raw!K224,4),MID(Raw!K224,6,2),MID(Raw!K224,9,2))+TIME(MID(Raw!K224,12,2),MID(Raw!K224,15,2),MID(Raw!K224,18,2))</f>
        <v>45710.4</v>
      </c>
      <c r="P224" s="32" t="n">
        <f aca="false">L224-K224</f>
        <v>3</v>
      </c>
      <c r="Q224" s="32" t="n">
        <f aca="false">M224-L224</f>
        <v>4</v>
      </c>
      <c r="R224" s="32" t="n">
        <f aca="false">O224-N224</f>
        <v>11.5666666666667</v>
      </c>
      <c r="S224" s="32" t="n">
        <f aca="false">Raw!L224</f>
        <v>7.4</v>
      </c>
      <c r="T224" s="32" t="n">
        <f aca="false">O224-M224</f>
        <v>7.4</v>
      </c>
      <c r="U224" s="0" t="str">
        <f aca="false">IF(ABS(T224-S224)&lt;0.01,"OK","MISMATCH")</f>
        <v>OK</v>
      </c>
      <c r="V224" s="33" t="n">
        <f aca="false">Raw!M224</f>
        <v>1</v>
      </c>
      <c r="W224" s="0" t="str">
        <f aca="false">IF((S224&gt;0)=(V224=1),"OK","MISMATCH")</f>
        <v>OK</v>
      </c>
      <c r="X224" s="0" t="str">
        <f aca="false">_xlfn.IFS(S224&lt;=0,"Early/On time",S224&lt;=2,"Minor (up to 2 days)",S224&lt;=5,"Moderate (2-5 days)",TRUE(),"Severe (over 5 days)")</f>
        <v>Severe (over 5 days)</v>
      </c>
      <c r="Y224" s="0" t="str">
        <f aca="false">YEAR(K224)&amp;"-"&amp;TEXT(MONTH(K224),"00")</f>
        <v>2025-02</v>
      </c>
      <c r="Z224" s="0" t="str">
        <f aca="false">C224&amp;" → "&amp;D224</f>
        <v>Punjab → Surat</v>
      </c>
      <c r="AA224" s="0" t="str">
        <f aca="false">Raw!Q224</f>
        <v>Delhivery</v>
      </c>
      <c r="AB224" s="0" t="str">
        <f aca="false">Raw!R224</f>
        <v>Yes</v>
      </c>
      <c r="AC224" s="0" t="str">
        <f aca="false">Raw!S224</f>
        <v>Normal</v>
      </c>
      <c r="AD224" s="29" t="n">
        <f aca="false">Raw!N224</f>
        <v>4838.27</v>
      </c>
      <c r="AE224" s="29" t="n">
        <f aca="false">Raw!O224</f>
        <v>4893.83</v>
      </c>
      <c r="AF224" s="29" t="n">
        <f aca="false">Raw!P224</f>
        <v>836.84</v>
      </c>
      <c r="AG224" s="29" t="n">
        <f aca="false">AD224/J224</f>
        <v>359.18856718634</v>
      </c>
    </row>
    <row r="225" customFormat="false" ht="15" hidden="false" customHeight="false" outlineLevel="0" collapsed="false">
      <c r="A225" s="0" t="str">
        <f aca="false">Raw!A225</f>
        <v>SHP0224</v>
      </c>
      <c r="B225" s="0" t="str">
        <f aca="false">Raw!B225</f>
        <v>Inbound</v>
      </c>
      <c r="C225" s="0" t="str">
        <f aca="false">Raw!C225</f>
        <v>Uttar Pradesh</v>
      </c>
      <c r="D225" s="0" t="str">
        <f aca="false">Raw!D225</f>
        <v>Surat</v>
      </c>
      <c r="E225" s="0" t="str">
        <f aca="false">IFERROR(INDEX(Location_Map!$B$2:$B$15,MATCH(C225,Location_Map!$A$2:$A$15,0)),"UNMAPPED")</f>
        <v>Uttar Pradesh</v>
      </c>
      <c r="F225" s="0" t="str">
        <f aca="false">IFERROR(INDEX(Location_Map!$C$2:$C$15,MATCH(C225,Location_Map!$A$2:$A$15,0)),"UNMAPPED")</f>
        <v>North</v>
      </c>
      <c r="G225" s="0" t="str">
        <f aca="false">IFERROR(INDEX(Location_Map!$B$2:$B$15,MATCH(D225,Location_Map!$A$2:$A$15,0)),"UNMAPPED")</f>
        <v>Gujarat</v>
      </c>
      <c r="H225" s="0" t="str">
        <f aca="false">IFERROR(INDEX(Location_Map!$C$2:$C$15,MATCH(D225,Location_Map!$A$2:$A$15,0)),"UNMAPPED")</f>
        <v>West</v>
      </c>
      <c r="I225" s="0" t="str">
        <f aca="false">Raw!E225</f>
        <v>Raw Yarn</v>
      </c>
      <c r="J225" s="28" t="n">
        <f aca="false">Raw!F225</f>
        <v>6.63</v>
      </c>
      <c r="K225" s="30" t="n">
        <f aca="false">DATE(LEFT(Raw!G225,4),MID(Raw!G225,6,2),MID(Raw!G225,9,2))</f>
        <v>45933</v>
      </c>
      <c r="L225" s="30" t="n">
        <f aca="false">DATE(LEFT(Raw!H225,4),MID(Raw!H225,6,2),MID(Raw!H225,9,2))</f>
        <v>45934</v>
      </c>
      <c r="M225" s="30" t="n">
        <f aca="false">DATE(LEFT(Raw!I225,4),MID(Raw!I225,6,2),MID(Raw!I225,9,2))</f>
        <v>45939</v>
      </c>
      <c r="N225" s="31" t="n">
        <f aca="false">DATE(LEFT(Raw!J225,4),MID(Raw!J225,6,2),MID(Raw!J225,9,2))+TIME(MID(Raw!J225,12,2),MID(Raw!J225,15,2),MID(Raw!J225,18,2))</f>
        <v>45934.25</v>
      </c>
      <c r="O225" s="31" t="n">
        <f aca="false">DATE(LEFT(Raw!K225,4),MID(Raw!K225,6,2),MID(Raw!K225,9,2))+TIME(MID(Raw!K225,12,2),MID(Raw!K225,15,2),MID(Raw!K225,18,2))</f>
        <v>45941.7</v>
      </c>
      <c r="P225" s="32" t="n">
        <f aca="false">L225-K225</f>
        <v>1</v>
      </c>
      <c r="Q225" s="32" t="n">
        <f aca="false">M225-L225</f>
        <v>5</v>
      </c>
      <c r="R225" s="32" t="n">
        <f aca="false">O225-N225</f>
        <v>7.45</v>
      </c>
      <c r="S225" s="32" t="n">
        <f aca="false">Raw!L225</f>
        <v>2.7</v>
      </c>
      <c r="T225" s="32" t="n">
        <f aca="false">O225-M225</f>
        <v>2.7</v>
      </c>
      <c r="U225" s="0" t="str">
        <f aca="false">IF(ABS(T225-S225)&lt;0.01,"OK","MISMATCH")</f>
        <v>OK</v>
      </c>
      <c r="V225" s="33" t="n">
        <f aca="false">Raw!M225</f>
        <v>1</v>
      </c>
      <c r="W225" s="0" t="str">
        <f aca="false">IF((S225&gt;0)=(V225=1),"OK","MISMATCH")</f>
        <v>OK</v>
      </c>
      <c r="X225" s="0" t="str">
        <f aca="false">_xlfn.IFS(S225&lt;=0,"Early/On time",S225&lt;=2,"Minor (up to 2 days)",S225&lt;=5,"Moderate (2-5 days)",TRUE(),"Severe (over 5 days)")</f>
        <v>Moderate (2-5 days)</v>
      </c>
      <c r="Y225" s="0" t="str">
        <f aca="false">YEAR(K225)&amp;"-"&amp;TEXT(MONTH(K225),"00")</f>
        <v>2025-10</v>
      </c>
      <c r="Z225" s="0" t="str">
        <f aca="false">C225&amp;" → "&amp;D225</f>
        <v>Uttar Pradesh → Surat</v>
      </c>
      <c r="AA225" s="0" t="str">
        <f aca="false">Raw!Q225</f>
        <v>GATI Logistics</v>
      </c>
      <c r="AB225" s="0" t="str">
        <f aca="false">Raw!R225</f>
        <v>No</v>
      </c>
      <c r="AC225" s="0" t="str">
        <f aca="false">Raw!S225</f>
        <v>Damaged</v>
      </c>
      <c r="AD225" s="29" t="n">
        <f aca="false">Raw!N225</f>
        <v>6140.4</v>
      </c>
      <c r="AE225" s="29" t="n">
        <f aca="false">Raw!O225</f>
        <v>3606.67</v>
      </c>
      <c r="AF225" s="29" t="n">
        <f aca="false">Raw!P225</f>
        <v>814.06</v>
      </c>
      <c r="AG225" s="29" t="n">
        <f aca="false">AD225/J225</f>
        <v>926.153846153846</v>
      </c>
    </row>
    <row r="226" customFormat="false" ht="15" hidden="false" customHeight="false" outlineLevel="0" collapsed="false">
      <c r="A226" s="0" t="str">
        <f aca="false">Raw!A226</f>
        <v>SHP0225</v>
      </c>
      <c r="B226" s="0" t="str">
        <f aca="false">Raw!B226</f>
        <v>Outbound</v>
      </c>
      <c r="C226" s="0" t="str">
        <f aca="false">Raw!C226</f>
        <v>Surat</v>
      </c>
      <c r="D226" s="0" t="str">
        <f aca="false">Raw!D226</f>
        <v>Jaipur</v>
      </c>
      <c r="E226" s="0" t="str">
        <f aca="false">IFERROR(INDEX(Location_Map!$B$2:$B$15,MATCH(C226,Location_Map!$A$2:$A$15,0)),"UNMAPPED")</f>
        <v>Gujarat</v>
      </c>
      <c r="F226" s="0" t="str">
        <f aca="false">IFERROR(INDEX(Location_Map!$C$2:$C$15,MATCH(C226,Location_Map!$A$2:$A$15,0)),"UNMAPPED")</f>
        <v>West</v>
      </c>
      <c r="G226" s="0" t="str">
        <f aca="false">IFERROR(INDEX(Location_Map!$B$2:$B$15,MATCH(D226,Location_Map!$A$2:$A$15,0)),"UNMAPPED")</f>
        <v>Rajasthan</v>
      </c>
      <c r="H226" s="0" t="str">
        <f aca="false">IFERROR(INDEX(Location_Map!$C$2:$C$15,MATCH(D226,Location_Map!$A$2:$A$15,0)),"UNMAPPED")</f>
        <v>North</v>
      </c>
      <c r="I226" s="0" t="str">
        <f aca="false">Raw!E226</f>
        <v>Finished Yarn</v>
      </c>
      <c r="J226" s="28" t="n">
        <f aca="false">Raw!F226</f>
        <v>5.83</v>
      </c>
      <c r="K226" s="30" t="n">
        <f aca="false">DATE(LEFT(Raw!G226,4),MID(Raw!G226,6,2),MID(Raw!G226,9,2))</f>
        <v>45903</v>
      </c>
      <c r="L226" s="30" t="n">
        <f aca="false">DATE(LEFT(Raw!H226,4),MID(Raw!H226,6,2),MID(Raw!H226,9,2))</f>
        <v>45907</v>
      </c>
      <c r="M226" s="30" t="n">
        <f aca="false">DATE(LEFT(Raw!I226,4),MID(Raw!I226,6,2),MID(Raw!I226,9,2))</f>
        <v>45910</v>
      </c>
      <c r="N226" s="31" t="n">
        <f aca="false">DATE(LEFT(Raw!J226,4),MID(Raw!J226,6,2),MID(Raw!J226,9,2))+TIME(MID(Raw!J226,12,2),MID(Raw!J226,15,2),MID(Raw!J226,18,2))</f>
        <v>45907.1666666667</v>
      </c>
      <c r="O226" s="31" t="n">
        <f aca="false">DATE(LEFT(Raw!K226,4),MID(Raw!K226,6,2),MID(Raw!K226,9,2))+TIME(MID(Raw!K226,12,2),MID(Raw!K226,15,2),MID(Raw!K226,18,2))</f>
        <v>45910.6</v>
      </c>
      <c r="P226" s="32" t="n">
        <f aca="false">L226-K226</f>
        <v>4</v>
      </c>
      <c r="Q226" s="32" t="n">
        <f aca="false">M226-L226</f>
        <v>3</v>
      </c>
      <c r="R226" s="32" t="n">
        <f aca="false">O226-N226</f>
        <v>3.43333333333333</v>
      </c>
      <c r="S226" s="32" t="n">
        <f aca="false">Raw!L226</f>
        <v>0.6</v>
      </c>
      <c r="T226" s="32" t="n">
        <f aca="false">O226-M226</f>
        <v>0.6</v>
      </c>
      <c r="U226" s="0" t="str">
        <f aca="false">IF(ABS(T226-S226)&lt;0.01,"OK","MISMATCH")</f>
        <v>OK</v>
      </c>
      <c r="V226" s="33" t="n">
        <f aca="false">Raw!M226</f>
        <v>1</v>
      </c>
      <c r="W226" s="0" t="str">
        <f aca="false">IF((S226&gt;0)=(V226=1),"OK","MISMATCH")</f>
        <v>OK</v>
      </c>
      <c r="X226" s="0" t="str">
        <f aca="false">_xlfn.IFS(S226&lt;=0,"Early/On time",S226&lt;=2,"Minor (up to 2 days)",S226&lt;=5,"Moderate (2-5 days)",TRUE(),"Severe (over 5 days)")</f>
        <v>Minor (up to 2 days)</v>
      </c>
      <c r="Y226" s="0" t="str">
        <f aca="false">YEAR(K226)&amp;"-"&amp;TEXT(MONTH(K226),"00")</f>
        <v>2025-09</v>
      </c>
      <c r="Z226" s="0" t="str">
        <f aca="false">C226&amp;" → "&amp;D226</f>
        <v>Surat → Jaipur</v>
      </c>
      <c r="AA226" s="0" t="str">
        <f aca="false">Raw!Q226</f>
        <v>TCI Express</v>
      </c>
      <c r="AB226" s="0" t="str">
        <f aca="false">Raw!R226</f>
        <v>No</v>
      </c>
      <c r="AC226" s="0" t="str">
        <f aca="false">Raw!S226</f>
        <v>Held at warehouse</v>
      </c>
      <c r="AD226" s="29" t="n">
        <f aca="false">Raw!N226</f>
        <v>2266.86</v>
      </c>
      <c r="AE226" s="29" t="n">
        <f aca="false">Raw!O226</f>
        <v>1567.89</v>
      </c>
      <c r="AF226" s="29" t="n">
        <f aca="false">Raw!P226</f>
        <v>847.94</v>
      </c>
      <c r="AG226" s="29" t="n">
        <f aca="false">AD226/J226</f>
        <v>388.826758147513</v>
      </c>
    </row>
    <row r="227" customFormat="false" ht="15" hidden="false" customHeight="false" outlineLevel="0" collapsed="false">
      <c r="A227" s="0" t="str">
        <f aca="false">Raw!A227</f>
        <v>SHP0226</v>
      </c>
      <c r="B227" s="0" t="str">
        <f aca="false">Raw!B227</f>
        <v>Inbound</v>
      </c>
      <c r="C227" s="0" t="str">
        <f aca="false">Raw!C227</f>
        <v>Uttar Pradesh</v>
      </c>
      <c r="D227" s="0" t="str">
        <f aca="false">Raw!D227</f>
        <v>Surat</v>
      </c>
      <c r="E227" s="0" t="str">
        <f aca="false">IFERROR(INDEX(Location_Map!$B$2:$B$15,MATCH(C227,Location_Map!$A$2:$A$15,0)),"UNMAPPED")</f>
        <v>Uttar Pradesh</v>
      </c>
      <c r="F227" s="0" t="str">
        <f aca="false">IFERROR(INDEX(Location_Map!$C$2:$C$15,MATCH(C227,Location_Map!$A$2:$A$15,0)),"UNMAPPED")</f>
        <v>North</v>
      </c>
      <c r="G227" s="0" t="str">
        <f aca="false">IFERROR(INDEX(Location_Map!$B$2:$B$15,MATCH(D227,Location_Map!$A$2:$A$15,0)),"UNMAPPED")</f>
        <v>Gujarat</v>
      </c>
      <c r="H227" s="0" t="str">
        <f aca="false">IFERROR(INDEX(Location_Map!$C$2:$C$15,MATCH(D227,Location_Map!$A$2:$A$15,0)),"UNMAPPED")</f>
        <v>West</v>
      </c>
      <c r="I227" s="0" t="str">
        <f aca="false">Raw!E227</f>
        <v>Raw Yarn</v>
      </c>
      <c r="J227" s="28" t="n">
        <f aca="false">Raw!F227</f>
        <v>9.56</v>
      </c>
      <c r="K227" s="30" t="n">
        <f aca="false">DATE(LEFT(Raw!G227,4),MID(Raw!G227,6,2),MID(Raw!G227,9,2))</f>
        <v>45882</v>
      </c>
      <c r="L227" s="30" t="n">
        <f aca="false">DATE(LEFT(Raw!H227,4),MID(Raw!H227,6,2),MID(Raw!H227,9,2))</f>
        <v>45885</v>
      </c>
      <c r="M227" s="30" t="n">
        <f aca="false">DATE(LEFT(Raw!I227,4),MID(Raw!I227,6,2),MID(Raw!I227,9,2))</f>
        <v>45887</v>
      </c>
      <c r="N227" s="31" t="n">
        <f aca="false">DATE(LEFT(Raw!J227,4),MID(Raw!J227,6,2),MID(Raw!J227,9,2))+TIME(MID(Raw!J227,12,2),MID(Raw!J227,15,2),MID(Raw!J227,18,2))</f>
        <v>45884.9583333333</v>
      </c>
      <c r="O227" s="31" t="n">
        <f aca="false">DATE(LEFT(Raw!K227,4),MID(Raw!K227,6,2),MID(Raw!K227,9,2))+TIME(MID(Raw!K227,12,2),MID(Raw!K227,15,2),MID(Raw!K227,18,2))</f>
        <v>45888.1</v>
      </c>
      <c r="P227" s="32" t="n">
        <f aca="false">L227-K227</f>
        <v>3</v>
      </c>
      <c r="Q227" s="32" t="n">
        <f aca="false">M227-L227</f>
        <v>2</v>
      </c>
      <c r="R227" s="32" t="n">
        <f aca="false">O227-N227</f>
        <v>3.14166666666667</v>
      </c>
      <c r="S227" s="32" t="n">
        <f aca="false">Raw!L227</f>
        <v>1.1</v>
      </c>
      <c r="T227" s="32" t="n">
        <f aca="false">O227-M227</f>
        <v>1.1</v>
      </c>
      <c r="U227" s="0" t="str">
        <f aca="false">IF(ABS(T227-S227)&lt;0.01,"OK","MISMATCH")</f>
        <v>OK</v>
      </c>
      <c r="V227" s="33" t="n">
        <f aca="false">Raw!M227</f>
        <v>1</v>
      </c>
      <c r="W227" s="0" t="str">
        <f aca="false">IF((S227&gt;0)=(V227=1),"OK","MISMATCH")</f>
        <v>OK</v>
      </c>
      <c r="X227" s="0" t="str">
        <f aca="false">_xlfn.IFS(S227&lt;=0,"Early/On time",S227&lt;=2,"Minor (up to 2 days)",S227&lt;=5,"Moderate (2-5 days)",TRUE(),"Severe (over 5 days)")</f>
        <v>Minor (up to 2 days)</v>
      </c>
      <c r="Y227" s="0" t="str">
        <f aca="false">YEAR(K227)&amp;"-"&amp;TEXT(MONTH(K227),"00")</f>
        <v>2025-08</v>
      </c>
      <c r="Z227" s="0" t="str">
        <f aca="false">C227&amp;" → "&amp;D227</f>
        <v>Uttar Pradesh → Surat</v>
      </c>
      <c r="AA227" s="0" t="str">
        <f aca="false">Raw!Q227</f>
        <v>BlueDart</v>
      </c>
      <c r="AB227" s="0" t="str">
        <f aca="false">Raw!R227</f>
        <v>No</v>
      </c>
      <c r="AC227" s="0" t="str">
        <f aca="false">Raw!S227</f>
        <v>Normal</v>
      </c>
      <c r="AD227" s="29" t="n">
        <f aca="false">Raw!N227</f>
        <v>7264.81</v>
      </c>
      <c r="AE227" s="29" t="n">
        <f aca="false">Raw!O227</f>
        <v>2015.9</v>
      </c>
      <c r="AF227" s="29" t="n">
        <f aca="false">Raw!P227</f>
        <v>531.12</v>
      </c>
      <c r="AG227" s="29" t="n">
        <f aca="false">AD227/J227</f>
        <v>759.917364016736</v>
      </c>
    </row>
    <row r="228" customFormat="false" ht="15" hidden="false" customHeight="false" outlineLevel="0" collapsed="false">
      <c r="A228" s="0" t="str">
        <f aca="false">Raw!A228</f>
        <v>SHP0227</v>
      </c>
      <c r="B228" s="0" t="str">
        <f aca="false">Raw!B228</f>
        <v>Inbound</v>
      </c>
      <c r="C228" s="0" t="str">
        <f aca="false">Raw!C228</f>
        <v>Uttar Pradesh</v>
      </c>
      <c r="D228" s="0" t="str">
        <f aca="false">Raw!D228</f>
        <v>Surat</v>
      </c>
      <c r="E228" s="0" t="str">
        <f aca="false">IFERROR(INDEX(Location_Map!$B$2:$B$15,MATCH(C228,Location_Map!$A$2:$A$15,0)),"UNMAPPED")</f>
        <v>Uttar Pradesh</v>
      </c>
      <c r="F228" s="0" t="str">
        <f aca="false">IFERROR(INDEX(Location_Map!$C$2:$C$15,MATCH(C228,Location_Map!$A$2:$A$15,0)),"UNMAPPED")</f>
        <v>North</v>
      </c>
      <c r="G228" s="0" t="str">
        <f aca="false">IFERROR(INDEX(Location_Map!$B$2:$B$15,MATCH(D228,Location_Map!$A$2:$A$15,0)),"UNMAPPED")</f>
        <v>Gujarat</v>
      </c>
      <c r="H228" s="0" t="str">
        <f aca="false">IFERROR(INDEX(Location_Map!$C$2:$C$15,MATCH(D228,Location_Map!$A$2:$A$15,0)),"UNMAPPED")</f>
        <v>West</v>
      </c>
      <c r="I228" s="0" t="str">
        <f aca="false">Raw!E228</f>
        <v>Semi-Processed Yarn</v>
      </c>
      <c r="J228" s="28" t="n">
        <f aca="false">Raw!F228</f>
        <v>15.05</v>
      </c>
      <c r="K228" s="30" t="n">
        <f aca="false">DATE(LEFT(Raw!G228,4),MID(Raw!G228,6,2),MID(Raw!G228,9,2))</f>
        <v>45689</v>
      </c>
      <c r="L228" s="30" t="n">
        <f aca="false">DATE(LEFT(Raw!H228,4),MID(Raw!H228,6,2),MID(Raw!H228,9,2))</f>
        <v>45691</v>
      </c>
      <c r="M228" s="30" t="n">
        <f aca="false">DATE(LEFT(Raw!I228,4),MID(Raw!I228,6,2),MID(Raw!I228,9,2))</f>
        <v>45696</v>
      </c>
      <c r="N228" s="31" t="n">
        <f aca="false">DATE(LEFT(Raw!J228,4),MID(Raw!J228,6,2),MID(Raw!J228,9,2))+TIME(MID(Raw!J228,12,2),MID(Raw!J228,15,2),MID(Raw!J228,18,2))</f>
        <v>45690.9166666667</v>
      </c>
      <c r="O228" s="31" t="n">
        <f aca="false">DATE(LEFT(Raw!K228,4),MID(Raw!K228,6,2),MID(Raw!K228,9,2))+TIME(MID(Raw!K228,12,2),MID(Raw!K228,15,2),MID(Raw!K228,18,2))</f>
        <v>45695.2</v>
      </c>
      <c r="P228" s="32" t="n">
        <f aca="false">L228-K228</f>
        <v>2</v>
      </c>
      <c r="Q228" s="32" t="n">
        <f aca="false">M228-L228</f>
        <v>5</v>
      </c>
      <c r="R228" s="32" t="n">
        <f aca="false">O228-N228</f>
        <v>4.28333333333333</v>
      </c>
      <c r="S228" s="32" t="n">
        <f aca="false">Raw!L228</f>
        <v>-0.8</v>
      </c>
      <c r="T228" s="32" t="n">
        <f aca="false">O228-M228</f>
        <v>-0.800000000005833</v>
      </c>
      <c r="U228" s="0" t="str">
        <f aca="false">IF(ABS(T228-S228)&lt;0.01,"OK","MISMATCH")</f>
        <v>OK</v>
      </c>
      <c r="V228" s="33" t="n">
        <f aca="false">Raw!M228</f>
        <v>0</v>
      </c>
      <c r="W228" s="0" t="str">
        <f aca="false">IF((S228&gt;0)=(V228=1),"OK","MISMATCH")</f>
        <v>OK</v>
      </c>
      <c r="X228" s="0" t="str">
        <f aca="false">_xlfn.IFS(S228&lt;=0,"Early/On time",S228&lt;=2,"Minor (up to 2 days)",S228&lt;=5,"Moderate (2-5 days)",TRUE(),"Severe (over 5 days)")</f>
        <v>Early/On time</v>
      </c>
      <c r="Y228" s="0" t="str">
        <f aca="false">YEAR(K228)&amp;"-"&amp;TEXT(MONTH(K228),"00")</f>
        <v>2025-02</v>
      </c>
      <c r="Z228" s="0" t="str">
        <f aca="false">C228&amp;" → "&amp;D228</f>
        <v>Uttar Pradesh → Surat</v>
      </c>
      <c r="AA228" s="0" t="str">
        <f aca="false">Raw!Q228</f>
        <v>Delhivery</v>
      </c>
      <c r="AB228" s="0" t="str">
        <f aca="false">Raw!R228</f>
        <v>No</v>
      </c>
      <c r="AC228" s="0" t="str">
        <f aca="false">Raw!S228</f>
        <v>Normal</v>
      </c>
      <c r="AD228" s="29" t="n">
        <f aca="false">Raw!N228</f>
        <v>6979.14</v>
      </c>
      <c r="AE228" s="29" t="n">
        <f aca="false">Raw!O228</f>
        <v>2117.1</v>
      </c>
      <c r="AF228" s="29" t="n">
        <f aca="false">Raw!P228</f>
        <v>1142.88</v>
      </c>
      <c r="AG228" s="29" t="n">
        <f aca="false">AD228/J228</f>
        <v>463.73023255814</v>
      </c>
    </row>
    <row r="229" customFormat="false" ht="15" hidden="false" customHeight="false" outlineLevel="0" collapsed="false">
      <c r="A229" s="0" t="str">
        <f aca="false">Raw!A229</f>
        <v>SHP0228</v>
      </c>
      <c r="B229" s="0" t="str">
        <f aca="false">Raw!B229</f>
        <v>Inbound</v>
      </c>
      <c r="C229" s="0" t="str">
        <f aca="false">Raw!C229</f>
        <v>Uttar Pradesh</v>
      </c>
      <c r="D229" s="0" t="str">
        <f aca="false">Raw!D229</f>
        <v>Surat</v>
      </c>
      <c r="E229" s="0" t="str">
        <f aca="false">IFERROR(INDEX(Location_Map!$B$2:$B$15,MATCH(C229,Location_Map!$A$2:$A$15,0)),"UNMAPPED")</f>
        <v>Uttar Pradesh</v>
      </c>
      <c r="F229" s="0" t="str">
        <f aca="false">IFERROR(INDEX(Location_Map!$C$2:$C$15,MATCH(C229,Location_Map!$A$2:$A$15,0)),"UNMAPPED")</f>
        <v>North</v>
      </c>
      <c r="G229" s="0" t="str">
        <f aca="false">IFERROR(INDEX(Location_Map!$B$2:$B$15,MATCH(D229,Location_Map!$A$2:$A$15,0)),"UNMAPPED")</f>
        <v>Gujarat</v>
      </c>
      <c r="H229" s="0" t="str">
        <f aca="false">IFERROR(INDEX(Location_Map!$C$2:$C$15,MATCH(D229,Location_Map!$A$2:$A$15,0)),"UNMAPPED")</f>
        <v>West</v>
      </c>
      <c r="I229" s="0" t="str">
        <f aca="false">Raw!E229</f>
        <v>Raw Yarn</v>
      </c>
      <c r="J229" s="28" t="n">
        <f aca="false">Raw!F229</f>
        <v>14.19</v>
      </c>
      <c r="K229" s="30" t="n">
        <f aca="false">DATE(LEFT(Raw!G229,4),MID(Raw!G229,6,2),MID(Raw!G229,9,2))</f>
        <v>45811</v>
      </c>
      <c r="L229" s="30" t="n">
        <f aca="false">DATE(LEFT(Raw!H229,4),MID(Raw!H229,6,2),MID(Raw!H229,9,2))</f>
        <v>45813</v>
      </c>
      <c r="M229" s="30" t="n">
        <f aca="false">DATE(LEFT(Raw!I229,4),MID(Raw!I229,6,2),MID(Raw!I229,9,2))</f>
        <v>45819</v>
      </c>
      <c r="N229" s="31" t="n">
        <f aca="false">DATE(LEFT(Raw!J229,4),MID(Raw!J229,6,2),MID(Raw!J229,9,2))+TIME(MID(Raw!J229,12,2),MID(Raw!J229,15,2),MID(Raw!J229,18,2))</f>
        <v>45812.875</v>
      </c>
      <c r="O229" s="31" t="n">
        <f aca="false">DATE(LEFT(Raw!K229,4),MID(Raw!K229,6,2),MID(Raw!K229,9,2))+TIME(MID(Raw!K229,12,2),MID(Raw!K229,15,2),MID(Raw!K229,18,2))</f>
        <v>45822.5</v>
      </c>
      <c r="P229" s="32" t="n">
        <f aca="false">L229-K229</f>
        <v>2</v>
      </c>
      <c r="Q229" s="32" t="n">
        <f aca="false">M229-L229</f>
        <v>6</v>
      </c>
      <c r="R229" s="32" t="n">
        <f aca="false">O229-N229</f>
        <v>9.625</v>
      </c>
      <c r="S229" s="32" t="n">
        <f aca="false">Raw!L229</f>
        <v>3.5</v>
      </c>
      <c r="T229" s="32" t="n">
        <f aca="false">O229-M229</f>
        <v>3.5</v>
      </c>
      <c r="U229" s="0" t="str">
        <f aca="false">IF(ABS(T229-S229)&lt;0.01,"OK","MISMATCH")</f>
        <v>OK</v>
      </c>
      <c r="V229" s="33" t="n">
        <f aca="false">Raw!M229</f>
        <v>1</v>
      </c>
      <c r="W229" s="0" t="str">
        <f aca="false">IF((S229&gt;0)=(V229=1),"OK","MISMATCH")</f>
        <v>OK</v>
      </c>
      <c r="X229" s="0" t="str">
        <f aca="false">_xlfn.IFS(S229&lt;=0,"Early/On time",S229&lt;=2,"Minor (up to 2 days)",S229&lt;=5,"Moderate (2-5 days)",TRUE(),"Severe (over 5 days)")</f>
        <v>Moderate (2-5 days)</v>
      </c>
      <c r="Y229" s="0" t="str">
        <f aca="false">YEAR(K229)&amp;"-"&amp;TEXT(MONTH(K229),"00")</f>
        <v>2025-06</v>
      </c>
      <c r="Z229" s="0" t="str">
        <f aca="false">C229&amp;" → "&amp;D229</f>
        <v>Uttar Pradesh → Surat</v>
      </c>
      <c r="AA229" s="0" t="str">
        <f aca="false">Raw!Q229</f>
        <v>GATI Logistics</v>
      </c>
      <c r="AB229" s="0" t="str">
        <f aca="false">Raw!R229</f>
        <v>Yes</v>
      </c>
      <c r="AC229" s="0" t="str">
        <f aca="false">Raw!S229</f>
        <v>Held at warehouse</v>
      </c>
      <c r="AD229" s="29" t="n">
        <f aca="false">Raw!N229</f>
        <v>7694.9</v>
      </c>
      <c r="AE229" s="29" t="n">
        <f aca="false">Raw!O229</f>
        <v>4036.99</v>
      </c>
      <c r="AF229" s="29" t="n">
        <f aca="false">Raw!P229</f>
        <v>1403.61</v>
      </c>
      <c r="AG229" s="29" t="n">
        <f aca="false">AD229/J229</f>
        <v>542.276250880902</v>
      </c>
    </row>
    <row r="230" customFormat="false" ht="15" hidden="false" customHeight="false" outlineLevel="0" collapsed="false">
      <c r="A230" s="0" t="str">
        <f aca="false">Raw!A230</f>
        <v>SHP0229</v>
      </c>
      <c r="B230" s="0" t="str">
        <f aca="false">Raw!B230</f>
        <v>Outbound</v>
      </c>
      <c r="C230" s="0" t="str">
        <f aca="false">Raw!C230</f>
        <v>Surat</v>
      </c>
      <c r="D230" s="0" t="str">
        <f aca="false">Raw!D230</f>
        <v>Assam</v>
      </c>
      <c r="E230" s="0" t="str">
        <f aca="false">IFERROR(INDEX(Location_Map!$B$2:$B$15,MATCH(C230,Location_Map!$A$2:$A$15,0)),"UNMAPPED")</f>
        <v>Gujarat</v>
      </c>
      <c r="F230" s="0" t="str">
        <f aca="false">IFERROR(INDEX(Location_Map!$C$2:$C$15,MATCH(C230,Location_Map!$A$2:$A$15,0)),"UNMAPPED")</f>
        <v>West</v>
      </c>
      <c r="G230" s="0" t="str">
        <f aca="false">IFERROR(INDEX(Location_Map!$B$2:$B$15,MATCH(D230,Location_Map!$A$2:$A$15,0)),"UNMAPPED")</f>
        <v>Assam</v>
      </c>
      <c r="H230" s="0" t="str">
        <f aca="false">IFERROR(INDEX(Location_Map!$C$2:$C$15,MATCH(D230,Location_Map!$A$2:$A$15,0)),"UNMAPPED")</f>
        <v>North-East</v>
      </c>
      <c r="I230" s="0" t="str">
        <f aca="false">Raw!E230</f>
        <v>Semi-Processed Yarn</v>
      </c>
      <c r="J230" s="28" t="n">
        <f aca="false">Raw!F230</f>
        <v>5.42</v>
      </c>
      <c r="K230" s="30" t="n">
        <f aca="false">DATE(LEFT(Raw!G230,4),MID(Raw!G230,6,2),MID(Raw!G230,9,2))</f>
        <v>45900</v>
      </c>
      <c r="L230" s="30" t="n">
        <f aca="false">DATE(LEFT(Raw!H230,4),MID(Raw!H230,6,2),MID(Raw!H230,9,2))</f>
        <v>45901</v>
      </c>
      <c r="M230" s="30" t="n">
        <f aca="false">DATE(LEFT(Raw!I230,4),MID(Raw!I230,6,2),MID(Raw!I230,9,2))</f>
        <v>45904</v>
      </c>
      <c r="N230" s="31" t="n">
        <f aca="false">DATE(LEFT(Raw!J230,4),MID(Raw!J230,6,2),MID(Raw!J230,9,2))+TIME(MID(Raw!J230,12,2),MID(Raw!J230,15,2),MID(Raw!J230,18,2))</f>
        <v>45901.2083333333</v>
      </c>
      <c r="O230" s="31" t="n">
        <f aca="false">DATE(LEFT(Raw!K230,4),MID(Raw!K230,6,2),MID(Raw!K230,9,2))+TIME(MID(Raw!K230,12,2),MID(Raw!K230,15,2),MID(Raw!K230,18,2))</f>
        <v>45908.6</v>
      </c>
      <c r="P230" s="32" t="n">
        <f aca="false">L230-K230</f>
        <v>1</v>
      </c>
      <c r="Q230" s="32" t="n">
        <f aca="false">M230-L230</f>
        <v>3</v>
      </c>
      <c r="R230" s="32" t="n">
        <f aca="false">O230-N230</f>
        <v>7.39166666666667</v>
      </c>
      <c r="S230" s="32" t="n">
        <f aca="false">Raw!L230</f>
        <v>4.6</v>
      </c>
      <c r="T230" s="32" t="n">
        <f aca="false">O230-M230</f>
        <v>4.6</v>
      </c>
      <c r="U230" s="0" t="str">
        <f aca="false">IF(ABS(T230-S230)&lt;0.01,"OK","MISMATCH")</f>
        <v>OK</v>
      </c>
      <c r="V230" s="33" t="n">
        <f aca="false">Raw!M230</f>
        <v>1</v>
      </c>
      <c r="W230" s="0" t="str">
        <f aca="false">IF((S230&gt;0)=(V230=1),"OK","MISMATCH")</f>
        <v>OK</v>
      </c>
      <c r="X230" s="0" t="str">
        <f aca="false">_xlfn.IFS(S230&lt;=0,"Early/On time",S230&lt;=2,"Minor (up to 2 days)",S230&lt;=5,"Moderate (2-5 days)",TRUE(),"Severe (over 5 days)")</f>
        <v>Moderate (2-5 days)</v>
      </c>
      <c r="Y230" s="0" t="str">
        <f aca="false">YEAR(K230)&amp;"-"&amp;TEXT(MONTH(K230),"00")</f>
        <v>2025-08</v>
      </c>
      <c r="Z230" s="0" t="str">
        <f aca="false">C230&amp;" → "&amp;D230</f>
        <v>Surat → Assam</v>
      </c>
      <c r="AA230" s="0" t="str">
        <f aca="false">Raw!Q230</f>
        <v>BlueDart</v>
      </c>
      <c r="AB230" s="0" t="str">
        <f aca="false">Raw!R230</f>
        <v>No</v>
      </c>
      <c r="AC230" s="0" t="str">
        <f aca="false">Raw!S230</f>
        <v>Normal</v>
      </c>
      <c r="AD230" s="29" t="n">
        <f aca="false">Raw!N230</f>
        <v>2628.93</v>
      </c>
      <c r="AE230" s="29" t="n">
        <f aca="false">Raw!O230</f>
        <v>2788.22</v>
      </c>
      <c r="AF230" s="29" t="n">
        <f aca="false">Raw!P230</f>
        <v>960.36</v>
      </c>
      <c r="AG230" s="29" t="n">
        <f aca="false">AD230/J230</f>
        <v>485.042435424354</v>
      </c>
    </row>
    <row r="231" customFormat="false" ht="15" hidden="false" customHeight="false" outlineLevel="0" collapsed="false">
      <c r="A231" s="0" t="str">
        <f aca="false">Raw!A231</f>
        <v>SHP0230</v>
      </c>
      <c r="B231" s="0" t="str">
        <f aca="false">Raw!B231</f>
        <v>Inbound</v>
      </c>
      <c r="C231" s="0" t="str">
        <f aca="false">Raw!C231</f>
        <v>Rajasthan</v>
      </c>
      <c r="D231" s="0" t="str">
        <f aca="false">Raw!D231</f>
        <v>Surat</v>
      </c>
      <c r="E231" s="0" t="str">
        <f aca="false">IFERROR(INDEX(Location_Map!$B$2:$B$15,MATCH(C231,Location_Map!$A$2:$A$15,0)),"UNMAPPED")</f>
        <v>Rajasthan</v>
      </c>
      <c r="F231" s="0" t="str">
        <f aca="false">IFERROR(INDEX(Location_Map!$C$2:$C$15,MATCH(C231,Location_Map!$A$2:$A$15,0)),"UNMAPPED")</f>
        <v>North</v>
      </c>
      <c r="G231" s="0" t="str">
        <f aca="false">IFERROR(INDEX(Location_Map!$B$2:$B$15,MATCH(D231,Location_Map!$A$2:$A$15,0)),"UNMAPPED")</f>
        <v>Gujarat</v>
      </c>
      <c r="H231" s="0" t="str">
        <f aca="false">IFERROR(INDEX(Location_Map!$C$2:$C$15,MATCH(D231,Location_Map!$A$2:$A$15,0)),"UNMAPPED")</f>
        <v>West</v>
      </c>
      <c r="I231" s="0" t="str">
        <f aca="false">Raw!E231</f>
        <v>Raw Yarn</v>
      </c>
      <c r="J231" s="28" t="n">
        <f aca="false">Raw!F231</f>
        <v>17.43</v>
      </c>
      <c r="K231" s="30" t="n">
        <f aca="false">DATE(LEFT(Raw!G231,4),MID(Raw!G231,6,2),MID(Raw!G231,9,2))</f>
        <v>45821</v>
      </c>
      <c r="L231" s="30" t="n">
        <f aca="false">DATE(LEFT(Raw!H231,4),MID(Raw!H231,6,2),MID(Raw!H231,9,2))</f>
        <v>45823</v>
      </c>
      <c r="M231" s="30" t="n">
        <f aca="false">DATE(LEFT(Raw!I231,4),MID(Raw!I231,6,2),MID(Raw!I231,9,2))</f>
        <v>45827</v>
      </c>
      <c r="N231" s="31" t="n">
        <f aca="false">DATE(LEFT(Raw!J231,4),MID(Raw!J231,6,2),MID(Raw!J231,9,2))+TIME(MID(Raw!J231,12,2),MID(Raw!J231,15,2),MID(Raw!J231,18,2))</f>
        <v>45822.9166666667</v>
      </c>
      <c r="O231" s="31" t="n">
        <f aca="false">DATE(LEFT(Raw!K231,4),MID(Raw!K231,6,2),MID(Raw!K231,9,2))+TIME(MID(Raw!K231,12,2),MID(Raw!K231,15,2),MID(Raw!K231,18,2))</f>
        <v>45830</v>
      </c>
      <c r="P231" s="32" t="n">
        <f aca="false">L231-K231</f>
        <v>2</v>
      </c>
      <c r="Q231" s="32" t="n">
        <f aca="false">M231-L231</f>
        <v>4</v>
      </c>
      <c r="R231" s="32" t="n">
        <f aca="false">O231-N231</f>
        <v>7.08333333333333</v>
      </c>
      <c r="S231" s="32" t="n">
        <f aca="false">Raw!L231</f>
        <v>3</v>
      </c>
      <c r="T231" s="32" t="n">
        <f aca="false">O231-M231</f>
        <v>3</v>
      </c>
      <c r="U231" s="0" t="str">
        <f aca="false">IF(ABS(T231-S231)&lt;0.01,"OK","MISMATCH")</f>
        <v>OK</v>
      </c>
      <c r="V231" s="33" t="n">
        <f aca="false">Raw!M231</f>
        <v>1</v>
      </c>
      <c r="W231" s="0" t="str">
        <f aca="false">IF((S231&gt;0)=(V231=1),"OK","MISMATCH")</f>
        <v>OK</v>
      </c>
      <c r="X231" s="0" t="str">
        <f aca="false">_xlfn.IFS(S231&lt;=0,"Early/On time",S231&lt;=2,"Minor (up to 2 days)",S231&lt;=5,"Moderate (2-5 days)",TRUE(),"Severe (over 5 days)")</f>
        <v>Moderate (2-5 days)</v>
      </c>
      <c r="Y231" s="0" t="str">
        <f aca="false">YEAR(K231)&amp;"-"&amp;TEXT(MONTH(K231),"00")</f>
        <v>2025-06</v>
      </c>
      <c r="Z231" s="0" t="str">
        <f aca="false">C231&amp;" → "&amp;D231</f>
        <v>Rajasthan → Surat</v>
      </c>
      <c r="AA231" s="0" t="str">
        <f aca="false">Raw!Q231</f>
        <v>VRL Cargo</v>
      </c>
      <c r="AB231" s="0" t="str">
        <f aca="false">Raw!R231</f>
        <v>No</v>
      </c>
      <c r="AC231" s="0" t="str">
        <f aca="false">Raw!S231</f>
        <v>Returned</v>
      </c>
      <c r="AD231" s="29" t="n">
        <f aca="false">Raw!N231</f>
        <v>5015.28</v>
      </c>
      <c r="AE231" s="29" t="n">
        <f aca="false">Raw!O231</f>
        <v>1108.7</v>
      </c>
      <c r="AF231" s="29" t="n">
        <f aca="false">Raw!P231</f>
        <v>1466.24</v>
      </c>
      <c r="AG231" s="29" t="n">
        <f aca="false">AD231/J231</f>
        <v>287.738382099828</v>
      </c>
    </row>
    <row r="232" customFormat="false" ht="15" hidden="false" customHeight="false" outlineLevel="0" collapsed="false">
      <c r="A232" s="0" t="str">
        <f aca="false">Raw!A232</f>
        <v>SHP0231</v>
      </c>
      <c r="B232" s="0" t="str">
        <f aca="false">Raw!B232</f>
        <v>Outbound</v>
      </c>
      <c r="C232" s="0" t="str">
        <f aca="false">Raw!C232</f>
        <v>Surat</v>
      </c>
      <c r="D232" s="0" t="str">
        <f aca="false">Raw!D232</f>
        <v>Uttarakhand</v>
      </c>
      <c r="E232" s="0" t="str">
        <f aca="false">IFERROR(INDEX(Location_Map!$B$2:$B$15,MATCH(C232,Location_Map!$A$2:$A$15,0)),"UNMAPPED")</f>
        <v>Gujarat</v>
      </c>
      <c r="F232" s="0" t="str">
        <f aca="false">IFERROR(INDEX(Location_Map!$C$2:$C$15,MATCH(C232,Location_Map!$A$2:$A$15,0)),"UNMAPPED")</f>
        <v>West</v>
      </c>
      <c r="G232" s="0" t="str">
        <f aca="false">IFERROR(INDEX(Location_Map!$B$2:$B$15,MATCH(D232,Location_Map!$A$2:$A$15,0)),"UNMAPPED")</f>
        <v>Uttarakhand</v>
      </c>
      <c r="H232" s="0" t="str">
        <f aca="false">IFERROR(INDEX(Location_Map!$C$2:$C$15,MATCH(D232,Location_Map!$A$2:$A$15,0)),"UNMAPPED")</f>
        <v>North</v>
      </c>
      <c r="I232" s="0" t="str">
        <f aca="false">Raw!E232</f>
        <v>Finished Yarn</v>
      </c>
      <c r="J232" s="28" t="n">
        <f aca="false">Raw!F232</f>
        <v>3.42</v>
      </c>
      <c r="K232" s="30" t="n">
        <f aca="false">DATE(LEFT(Raw!G232,4),MID(Raw!G232,6,2),MID(Raw!G232,9,2))</f>
        <v>45870</v>
      </c>
      <c r="L232" s="30" t="n">
        <f aca="false">DATE(LEFT(Raw!H232,4),MID(Raw!H232,6,2),MID(Raw!H232,9,2))</f>
        <v>45874</v>
      </c>
      <c r="M232" s="30" t="n">
        <f aca="false">DATE(LEFT(Raw!I232,4),MID(Raw!I232,6,2),MID(Raw!I232,9,2))</f>
        <v>45878</v>
      </c>
      <c r="N232" s="31" t="n">
        <f aca="false">DATE(LEFT(Raw!J232,4),MID(Raw!J232,6,2),MID(Raw!J232,9,2))+TIME(MID(Raw!J232,12,2),MID(Raw!J232,15,2),MID(Raw!J232,18,2))</f>
        <v>45873.9166666667</v>
      </c>
      <c r="O232" s="31" t="n">
        <f aca="false">DATE(LEFT(Raw!K232,4),MID(Raw!K232,6,2),MID(Raw!K232,9,2))+TIME(MID(Raw!K232,12,2),MID(Raw!K232,15,2),MID(Raw!K232,18,2))</f>
        <v>45882.2</v>
      </c>
      <c r="P232" s="32" t="n">
        <f aca="false">L232-K232</f>
        <v>4</v>
      </c>
      <c r="Q232" s="32" t="n">
        <f aca="false">M232-L232</f>
        <v>4</v>
      </c>
      <c r="R232" s="32" t="n">
        <f aca="false">O232-N232</f>
        <v>8.28333333333333</v>
      </c>
      <c r="S232" s="32" t="n">
        <f aca="false">Raw!L232</f>
        <v>4.2</v>
      </c>
      <c r="T232" s="32" t="n">
        <f aca="false">O232-M232</f>
        <v>4.2</v>
      </c>
      <c r="U232" s="0" t="str">
        <f aca="false">IF(ABS(T232-S232)&lt;0.01,"OK","MISMATCH")</f>
        <v>OK</v>
      </c>
      <c r="V232" s="33" t="n">
        <f aca="false">Raw!M232</f>
        <v>1</v>
      </c>
      <c r="W232" s="0" t="str">
        <f aca="false">IF((S232&gt;0)=(V232=1),"OK","MISMATCH")</f>
        <v>OK</v>
      </c>
      <c r="X232" s="0" t="str">
        <f aca="false">_xlfn.IFS(S232&lt;=0,"Early/On time",S232&lt;=2,"Minor (up to 2 days)",S232&lt;=5,"Moderate (2-5 days)",TRUE(),"Severe (over 5 days)")</f>
        <v>Moderate (2-5 days)</v>
      </c>
      <c r="Y232" s="0" t="str">
        <f aca="false">YEAR(K232)&amp;"-"&amp;TEXT(MONTH(K232),"00")</f>
        <v>2025-08</v>
      </c>
      <c r="Z232" s="0" t="str">
        <f aca="false">C232&amp;" → "&amp;D232</f>
        <v>Surat → Uttarakhand</v>
      </c>
      <c r="AA232" s="0" t="str">
        <f aca="false">Raw!Q232</f>
        <v>BlueDart</v>
      </c>
      <c r="AB232" s="0" t="str">
        <f aca="false">Raw!R232</f>
        <v>Yes</v>
      </c>
      <c r="AC232" s="0" t="str">
        <f aca="false">Raw!S232</f>
        <v>Damaged</v>
      </c>
      <c r="AD232" s="29" t="n">
        <f aca="false">Raw!N232</f>
        <v>3323.63</v>
      </c>
      <c r="AE232" s="29" t="n">
        <f aca="false">Raw!O232</f>
        <v>3236.74</v>
      </c>
      <c r="AF232" s="29" t="n">
        <f aca="false">Raw!P232</f>
        <v>1128.24</v>
      </c>
      <c r="AG232" s="29" t="n">
        <f aca="false">AD232/J232</f>
        <v>971.821637426901</v>
      </c>
    </row>
    <row r="233" customFormat="false" ht="15" hidden="false" customHeight="false" outlineLevel="0" collapsed="false">
      <c r="A233" s="0" t="str">
        <f aca="false">Raw!A233</f>
        <v>SHP0232</v>
      </c>
      <c r="B233" s="0" t="str">
        <f aca="false">Raw!B233</f>
        <v>Outbound</v>
      </c>
      <c r="C233" s="0" t="str">
        <f aca="false">Raw!C233</f>
        <v>Surat</v>
      </c>
      <c r="D233" s="0" t="str">
        <f aca="false">Raw!D233</f>
        <v>Mumbai</v>
      </c>
      <c r="E233" s="0" t="str">
        <f aca="false">IFERROR(INDEX(Location_Map!$B$2:$B$15,MATCH(C233,Location_Map!$A$2:$A$15,0)),"UNMAPPED")</f>
        <v>Gujarat</v>
      </c>
      <c r="F233" s="0" t="str">
        <f aca="false">IFERROR(INDEX(Location_Map!$C$2:$C$15,MATCH(C233,Location_Map!$A$2:$A$15,0)),"UNMAPPED")</f>
        <v>West</v>
      </c>
      <c r="G233" s="0" t="str">
        <f aca="false">IFERROR(INDEX(Location_Map!$B$2:$B$15,MATCH(D233,Location_Map!$A$2:$A$15,0)),"UNMAPPED")</f>
        <v>Maharashtra</v>
      </c>
      <c r="H233" s="0" t="str">
        <f aca="false">IFERROR(INDEX(Location_Map!$C$2:$C$15,MATCH(D233,Location_Map!$A$2:$A$15,0)),"UNMAPPED")</f>
        <v>West</v>
      </c>
      <c r="I233" s="0" t="str">
        <f aca="false">Raw!E233</f>
        <v>Semi-Processed Yarn</v>
      </c>
      <c r="J233" s="28" t="n">
        <f aca="false">Raw!F233</f>
        <v>11.12</v>
      </c>
      <c r="K233" s="30" t="n">
        <f aca="false">DATE(LEFT(Raw!G233,4),MID(Raw!G233,6,2),MID(Raw!G233,9,2))</f>
        <v>45848</v>
      </c>
      <c r="L233" s="30" t="n">
        <f aca="false">DATE(LEFT(Raw!H233,4),MID(Raw!H233,6,2),MID(Raw!H233,9,2))</f>
        <v>45850</v>
      </c>
      <c r="M233" s="30" t="n">
        <f aca="false">DATE(LEFT(Raw!I233,4),MID(Raw!I233,6,2),MID(Raw!I233,9,2))</f>
        <v>45856</v>
      </c>
      <c r="N233" s="31" t="n">
        <f aca="false">DATE(LEFT(Raw!J233,4),MID(Raw!J233,6,2),MID(Raw!J233,9,2))+TIME(MID(Raw!J233,12,2),MID(Raw!J233,15,2),MID(Raw!J233,18,2))</f>
        <v>45850.2916666667</v>
      </c>
      <c r="O233" s="31" t="n">
        <f aca="false">DATE(LEFT(Raw!K233,4),MID(Raw!K233,6,2),MID(Raw!K233,9,2))+TIME(MID(Raw!K233,12,2),MID(Raw!K233,15,2),MID(Raw!K233,18,2))</f>
        <v>45859.8</v>
      </c>
      <c r="P233" s="32" t="n">
        <f aca="false">L233-K233</f>
        <v>2</v>
      </c>
      <c r="Q233" s="32" t="n">
        <f aca="false">M233-L233</f>
        <v>6</v>
      </c>
      <c r="R233" s="32" t="n">
        <f aca="false">O233-N233</f>
        <v>9.50833333333333</v>
      </c>
      <c r="S233" s="32" t="n">
        <f aca="false">Raw!L233</f>
        <v>3.8</v>
      </c>
      <c r="T233" s="32" t="n">
        <f aca="false">O233-M233</f>
        <v>3.8</v>
      </c>
      <c r="U233" s="0" t="str">
        <f aca="false">IF(ABS(T233-S233)&lt;0.01,"OK","MISMATCH")</f>
        <v>OK</v>
      </c>
      <c r="V233" s="33" t="n">
        <f aca="false">Raw!M233</f>
        <v>1</v>
      </c>
      <c r="W233" s="0" t="str">
        <f aca="false">IF((S233&gt;0)=(V233=1),"OK","MISMATCH")</f>
        <v>OK</v>
      </c>
      <c r="X233" s="0" t="str">
        <f aca="false">_xlfn.IFS(S233&lt;=0,"Early/On time",S233&lt;=2,"Minor (up to 2 days)",S233&lt;=5,"Moderate (2-5 days)",TRUE(),"Severe (over 5 days)")</f>
        <v>Moderate (2-5 days)</v>
      </c>
      <c r="Y233" s="0" t="str">
        <f aca="false">YEAR(K233)&amp;"-"&amp;TEXT(MONTH(K233),"00")</f>
        <v>2025-07</v>
      </c>
      <c r="Z233" s="0" t="str">
        <f aca="false">C233&amp;" → "&amp;D233</f>
        <v>Surat → Mumbai</v>
      </c>
      <c r="AA233" s="0" t="str">
        <f aca="false">Raw!Q233</f>
        <v>GATI Logistics</v>
      </c>
      <c r="AB233" s="0" t="str">
        <f aca="false">Raw!R233</f>
        <v>No</v>
      </c>
      <c r="AC233" s="0" t="str">
        <f aca="false">Raw!S233</f>
        <v>Normal</v>
      </c>
      <c r="AD233" s="29" t="n">
        <f aca="false">Raw!N233</f>
        <v>3397.86</v>
      </c>
      <c r="AE233" s="29" t="n">
        <f aca="false">Raw!O233</f>
        <v>1184.49</v>
      </c>
      <c r="AF233" s="29" t="n">
        <f aca="false">Raw!P233</f>
        <v>1067.17</v>
      </c>
      <c r="AG233" s="29" t="n">
        <f aca="false">AD233/J233</f>
        <v>305.562949640288</v>
      </c>
    </row>
    <row r="234" customFormat="false" ht="15" hidden="false" customHeight="false" outlineLevel="0" collapsed="false">
      <c r="A234" s="0" t="str">
        <f aca="false">Raw!A234</f>
        <v>SHP0233</v>
      </c>
      <c r="B234" s="0" t="str">
        <f aca="false">Raw!B234</f>
        <v>Outbound</v>
      </c>
      <c r="C234" s="0" t="str">
        <f aca="false">Raw!C234</f>
        <v>Surat</v>
      </c>
      <c r="D234" s="0" t="str">
        <f aca="false">Raw!D234</f>
        <v>Karnataka</v>
      </c>
      <c r="E234" s="0" t="str">
        <f aca="false">IFERROR(INDEX(Location_Map!$B$2:$B$15,MATCH(C234,Location_Map!$A$2:$A$15,0)),"UNMAPPED")</f>
        <v>Gujarat</v>
      </c>
      <c r="F234" s="0" t="str">
        <f aca="false">IFERROR(INDEX(Location_Map!$C$2:$C$15,MATCH(C234,Location_Map!$A$2:$A$15,0)),"UNMAPPED")</f>
        <v>West</v>
      </c>
      <c r="G234" s="0" t="str">
        <f aca="false">IFERROR(INDEX(Location_Map!$B$2:$B$15,MATCH(D234,Location_Map!$A$2:$A$15,0)),"UNMAPPED")</f>
        <v>Karnataka</v>
      </c>
      <c r="H234" s="0" t="str">
        <f aca="false">IFERROR(INDEX(Location_Map!$C$2:$C$15,MATCH(D234,Location_Map!$A$2:$A$15,0)),"UNMAPPED")</f>
        <v>South</v>
      </c>
      <c r="I234" s="0" t="str">
        <f aca="false">Raw!E234</f>
        <v>Finished Yarn</v>
      </c>
      <c r="J234" s="28" t="n">
        <f aca="false">Raw!F234</f>
        <v>6.39</v>
      </c>
      <c r="K234" s="30" t="n">
        <f aca="false">DATE(LEFT(Raw!G234,4),MID(Raw!G234,6,2),MID(Raw!G234,9,2))</f>
        <v>45905</v>
      </c>
      <c r="L234" s="30" t="n">
        <f aca="false">DATE(LEFT(Raw!H234,4),MID(Raw!H234,6,2),MID(Raw!H234,9,2))</f>
        <v>45906</v>
      </c>
      <c r="M234" s="30" t="n">
        <f aca="false">DATE(LEFT(Raw!I234,4),MID(Raw!I234,6,2),MID(Raw!I234,9,2))</f>
        <v>45908</v>
      </c>
      <c r="N234" s="31" t="n">
        <f aca="false">DATE(LEFT(Raw!J234,4),MID(Raw!J234,6,2),MID(Raw!J234,9,2))+TIME(MID(Raw!J234,12,2),MID(Raw!J234,15,2),MID(Raw!J234,18,2))</f>
        <v>45905.9166666667</v>
      </c>
      <c r="O234" s="31" t="n">
        <f aca="false">DATE(LEFT(Raw!K234,4),MID(Raw!K234,6,2),MID(Raw!K234,9,2))+TIME(MID(Raw!K234,12,2),MID(Raw!K234,15,2),MID(Raw!K234,18,2))</f>
        <v>45913.2</v>
      </c>
      <c r="P234" s="32" t="n">
        <f aca="false">L234-K234</f>
        <v>1</v>
      </c>
      <c r="Q234" s="32" t="n">
        <f aca="false">M234-L234</f>
        <v>2</v>
      </c>
      <c r="R234" s="32" t="n">
        <f aca="false">O234-N234</f>
        <v>7.28333333333333</v>
      </c>
      <c r="S234" s="32" t="n">
        <f aca="false">Raw!L234</f>
        <v>5.2</v>
      </c>
      <c r="T234" s="32" t="n">
        <f aca="false">O234-M234</f>
        <v>5.2</v>
      </c>
      <c r="U234" s="0" t="str">
        <f aca="false">IF(ABS(T234-S234)&lt;0.01,"OK","MISMATCH")</f>
        <v>OK</v>
      </c>
      <c r="V234" s="33" t="n">
        <f aca="false">Raw!M234</f>
        <v>1</v>
      </c>
      <c r="W234" s="0" t="str">
        <f aca="false">IF((S234&gt;0)=(V234=1),"OK","MISMATCH")</f>
        <v>OK</v>
      </c>
      <c r="X234" s="0" t="str">
        <f aca="false">_xlfn.IFS(S234&lt;=0,"Early/On time",S234&lt;=2,"Minor (up to 2 days)",S234&lt;=5,"Moderate (2-5 days)",TRUE(),"Severe (over 5 days)")</f>
        <v>Severe (over 5 days)</v>
      </c>
      <c r="Y234" s="0" t="str">
        <f aca="false">YEAR(K234)&amp;"-"&amp;TEXT(MONTH(K234),"00")</f>
        <v>2025-09</v>
      </c>
      <c r="Z234" s="0" t="str">
        <f aca="false">C234&amp;" → "&amp;D234</f>
        <v>Surat → Karnataka</v>
      </c>
      <c r="AA234" s="0" t="str">
        <f aca="false">Raw!Q234</f>
        <v>TCI Express</v>
      </c>
      <c r="AB234" s="0" t="str">
        <f aca="false">Raw!R234</f>
        <v>No</v>
      </c>
      <c r="AC234" s="0" t="str">
        <f aca="false">Raw!S234</f>
        <v>Held at warehouse</v>
      </c>
      <c r="AD234" s="29" t="n">
        <f aca="false">Raw!N234</f>
        <v>3396.07</v>
      </c>
      <c r="AE234" s="29" t="n">
        <f aca="false">Raw!O234</f>
        <v>4509.05</v>
      </c>
      <c r="AF234" s="29" t="n">
        <f aca="false">Raw!P234</f>
        <v>830.41</v>
      </c>
      <c r="AG234" s="29" t="n">
        <f aca="false">AD234/J234</f>
        <v>531.466353677621</v>
      </c>
    </row>
    <row r="235" customFormat="false" ht="15" hidden="false" customHeight="false" outlineLevel="0" collapsed="false">
      <c r="A235" s="0" t="str">
        <f aca="false">Raw!A235</f>
        <v>SHP0234</v>
      </c>
      <c r="B235" s="0" t="str">
        <f aca="false">Raw!B235</f>
        <v>Inbound</v>
      </c>
      <c r="C235" s="0" t="str">
        <f aca="false">Raw!C235</f>
        <v>Gujarat</v>
      </c>
      <c r="D235" s="0" t="str">
        <f aca="false">Raw!D235</f>
        <v>Surat</v>
      </c>
      <c r="E235" s="0" t="str">
        <f aca="false">IFERROR(INDEX(Location_Map!$B$2:$B$15,MATCH(C235,Location_Map!$A$2:$A$15,0)),"UNMAPPED")</f>
        <v>Gujarat</v>
      </c>
      <c r="F235" s="0" t="str">
        <f aca="false">IFERROR(INDEX(Location_Map!$C$2:$C$15,MATCH(C235,Location_Map!$A$2:$A$15,0)),"UNMAPPED")</f>
        <v>West</v>
      </c>
      <c r="G235" s="0" t="str">
        <f aca="false">IFERROR(INDEX(Location_Map!$B$2:$B$15,MATCH(D235,Location_Map!$A$2:$A$15,0)),"UNMAPPED")</f>
        <v>Gujarat</v>
      </c>
      <c r="H235" s="0" t="str">
        <f aca="false">IFERROR(INDEX(Location_Map!$C$2:$C$15,MATCH(D235,Location_Map!$A$2:$A$15,0)),"UNMAPPED")</f>
        <v>West</v>
      </c>
      <c r="I235" s="0" t="str">
        <f aca="false">Raw!E235</f>
        <v>Semi-Processed Yarn</v>
      </c>
      <c r="J235" s="28" t="n">
        <f aca="false">Raw!F235</f>
        <v>7.47</v>
      </c>
      <c r="K235" s="30" t="n">
        <f aca="false">DATE(LEFT(Raw!G235,4),MID(Raw!G235,6,2),MID(Raw!G235,9,2))</f>
        <v>45954</v>
      </c>
      <c r="L235" s="30" t="n">
        <f aca="false">DATE(LEFT(Raw!H235,4),MID(Raw!H235,6,2),MID(Raw!H235,9,2))</f>
        <v>45957</v>
      </c>
      <c r="M235" s="30" t="n">
        <f aca="false">DATE(LEFT(Raw!I235,4),MID(Raw!I235,6,2),MID(Raw!I235,9,2))</f>
        <v>45963</v>
      </c>
      <c r="N235" s="31" t="n">
        <f aca="false">DATE(LEFT(Raw!J235,4),MID(Raw!J235,6,2),MID(Raw!J235,9,2))+TIME(MID(Raw!J235,12,2),MID(Raw!J235,15,2),MID(Raw!J235,18,2))</f>
        <v>45957.3333333333</v>
      </c>
      <c r="O235" s="31" t="n">
        <f aca="false">DATE(LEFT(Raw!K235,4),MID(Raw!K235,6,2),MID(Raw!K235,9,2))+TIME(MID(Raw!K235,12,2),MID(Raw!K235,15,2),MID(Raw!K235,18,2))</f>
        <v>45962.4</v>
      </c>
      <c r="P235" s="32" t="n">
        <f aca="false">L235-K235</f>
        <v>3</v>
      </c>
      <c r="Q235" s="32" t="n">
        <f aca="false">M235-L235</f>
        <v>6</v>
      </c>
      <c r="R235" s="32" t="n">
        <f aca="false">O235-N235</f>
        <v>5.06666666666667</v>
      </c>
      <c r="S235" s="32" t="n">
        <f aca="false">Raw!L235</f>
        <v>-0.6</v>
      </c>
      <c r="T235" s="32" t="n">
        <f aca="false">O235-M235</f>
        <v>-0.6</v>
      </c>
      <c r="U235" s="0" t="str">
        <f aca="false">IF(ABS(T235-S235)&lt;0.01,"OK","MISMATCH")</f>
        <v>OK</v>
      </c>
      <c r="V235" s="33" t="n">
        <f aca="false">Raw!M235</f>
        <v>0</v>
      </c>
      <c r="W235" s="0" t="str">
        <f aca="false">IF((S235&gt;0)=(V235=1),"OK","MISMATCH")</f>
        <v>OK</v>
      </c>
      <c r="X235" s="0" t="str">
        <f aca="false">_xlfn.IFS(S235&lt;=0,"Early/On time",S235&lt;=2,"Minor (up to 2 days)",S235&lt;=5,"Moderate (2-5 days)",TRUE(),"Severe (over 5 days)")</f>
        <v>Early/On time</v>
      </c>
      <c r="Y235" s="0" t="str">
        <f aca="false">YEAR(K235)&amp;"-"&amp;TEXT(MONTH(K235),"00")</f>
        <v>2025-10</v>
      </c>
      <c r="Z235" s="0" t="str">
        <f aca="false">C235&amp;" → "&amp;D235</f>
        <v>Gujarat → Surat</v>
      </c>
      <c r="AA235" s="0" t="str">
        <f aca="false">Raw!Q235</f>
        <v>VRL Cargo</v>
      </c>
      <c r="AB235" s="0" t="str">
        <f aca="false">Raw!R235</f>
        <v>No</v>
      </c>
      <c r="AC235" s="0" t="str">
        <f aca="false">Raw!S235</f>
        <v>Held at warehouse</v>
      </c>
      <c r="AD235" s="29" t="n">
        <f aca="false">Raw!N235</f>
        <v>3523.46</v>
      </c>
      <c r="AE235" s="29" t="n">
        <f aca="false">Raw!O235</f>
        <v>3331.23</v>
      </c>
      <c r="AF235" s="29" t="n">
        <f aca="false">Raw!P235</f>
        <v>1495.44</v>
      </c>
      <c r="AG235" s="29" t="n">
        <f aca="false">AD235/J235</f>
        <v>471.681392235609</v>
      </c>
    </row>
    <row r="236" customFormat="false" ht="15" hidden="false" customHeight="false" outlineLevel="0" collapsed="false">
      <c r="A236" s="0" t="str">
        <f aca="false">Raw!A236</f>
        <v>SHP0235</v>
      </c>
      <c r="B236" s="0" t="str">
        <f aca="false">Raw!B236</f>
        <v>Inbound</v>
      </c>
      <c r="C236" s="0" t="str">
        <f aca="false">Raw!C236</f>
        <v>Gujarat</v>
      </c>
      <c r="D236" s="0" t="str">
        <f aca="false">Raw!D236</f>
        <v>Surat</v>
      </c>
      <c r="E236" s="0" t="str">
        <f aca="false">IFERROR(INDEX(Location_Map!$B$2:$B$15,MATCH(C236,Location_Map!$A$2:$A$15,0)),"UNMAPPED")</f>
        <v>Gujarat</v>
      </c>
      <c r="F236" s="0" t="str">
        <f aca="false">IFERROR(INDEX(Location_Map!$C$2:$C$15,MATCH(C236,Location_Map!$A$2:$A$15,0)),"UNMAPPED")</f>
        <v>West</v>
      </c>
      <c r="G236" s="0" t="str">
        <f aca="false">IFERROR(INDEX(Location_Map!$B$2:$B$15,MATCH(D236,Location_Map!$A$2:$A$15,0)),"UNMAPPED")</f>
        <v>Gujarat</v>
      </c>
      <c r="H236" s="0" t="str">
        <f aca="false">IFERROR(INDEX(Location_Map!$C$2:$C$15,MATCH(D236,Location_Map!$A$2:$A$15,0)),"UNMAPPED")</f>
        <v>West</v>
      </c>
      <c r="I236" s="0" t="str">
        <f aca="false">Raw!E236</f>
        <v>Raw Yarn</v>
      </c>
      <c r="J236" s="28" t="n">
        <f aca="false">Raw!F236</f>
        <v>17.26</v>
      </c>
      <c r="K236" s="30" t="n">
        <f aca="false">DATE(LEFT(Raw!G236,4),MID(Raw!G236,6,2),MID(Raw!G236,9,2))</f>
        <v>45814</v>
      </c>
      <c r="L236" s="30" t="n">
        <f aca="false">DATE(LEFT(Raw!H236,4),MID(Raw!H236,6,2),MID(Raw!H236,9,2))</f>
        <v>45815</v>
      </c>
      <c r="M236" s="30" t="n">
        <f aca="false">DATE(LEFT(Raw!I236,4),MID(Raw!I236,6,2),MID(Raw!I236,9,2))</f>
        <v>45820</v>
      </c>
      <c r="N236" s="31" t="n">
        <f aca="false">DATE(LEFT(Raw!J236,4),MID(Raw!J236,6,2),MID(Raw!J236,9,2))+TIME(MID(Raw!J236,12,2),MID(Raw!J236,15,2),MID(Raw!J236,18,2))</f>
        <v>45814.9583333333</v>
      </c>
      <c r="O236" s="31" t="n">
        <f aca="false">DATE(LEFT(Raw!K236,4),MID(Raw!K236,6,2),MID(Raw!K236,9,2))+TIME(MID(Raw!K236,12,2),MID(Raw!K236,15,2),MID(Raw!K236,18,2))</f>
        <v>45821.8</v>
      </c>
      <c r="P236" s="32" t="n">
        <f aca="false">L236-K236</f>
        <v>1</v>
      </c>
      <c r="Q236" s="32" t="n">
        <f aca="false">M236-L236</f>
        <v>5</v>
      </c>
      <c r="R236" s="32" t="n">
        <f aca="false">O236-N236</f>
        <v>6.84166666666667</v>
      </c>
      <c r="S236" s="32" t="n">
        <f aca="false">Raw!L236</f>
        <v>1.8</v>
      </c>
      <c r="T236" s="32" t="n">
        <f aca="false">O236-M236</f>
        <v>1.8</v>
      </c>
      <c r="U236" s="0" t="str">
        <f aca="false">IF(ABS(T236-S236)&lt;0.01,"OK","MISMATCH")</f>
        <v>OK</v>
      </c>
      <c r="V236" s="33" t="n">
        <f aca="false">Raw!M236</f>
        <v>1</v>
      </c>
      <c r="W236" s="0" t="str">
        <f aca="false">IF((S236&gt;0)=(V236=1),"OK","MISMATCH")</f>
        <v>OK</v>
      </c>
      <c r="X236" s="0" t="str">
        <f aca="false">_xlfn.IFS(S236&lt;=0,"Early/On time",S236&lt;=2,"Minor (up to 2 days)",S236&lt;=5,"Moderate (2-5 days)",TRUE(),"Severe (over 5 days)")</f>
        <v>Minor (up to 2 days)</v>
      </c>
      <c r="Y236" s="0" t="str">
        <f aca="false">YEAR(K236)&amp;"-"&amp;TEXT(MONTH(K236),"00")</f>
        <v>2025-06</v>
      </c>
      <c r="Z236" s="0" t="str">
        <f aca="false">C236&amp;" → "&amp;D236</f>
        <v>Gujarat → Surat</v>
      </c>
      <c r="AA236" s="0" t="str">
        <f aca="false">Raw!Q236</f>
        <v>TCI Express</v>
      </c>
      <c r="AB236" s="0" t="str">
        <f aca="false">Raw!R236</f>
        <v>No</v>
      </c>
      <c r="AC236" s="0" t="str">
        <f aca="false">Raw!S236</f>
        <v>Returned</v>
      </c>
      <c r="AD236" s="29" t="n">
        <f aca="false">Raw!N236</f>
        <v>7094.61</v>
      </c>
      <c r="AE236" s="29" t="n">
        <f aca="false">Raw!O236</f>
        <v>3676.8</v>
      </c>
      <c r="AF236" s="29" t="n">
        <f aca="false">Raw!P236</f>
        <v>1329.29</v>
      </c>
      <c r="AG236" s="29" t="n">
        <f aca="false">AD236/J236</f>
        <v>411.043453070684</v>
      </c>
    </row>
    <row r="237" customFormat="false" ht="15" hidden="false" customHeight="false" outlineLevel="0" collapsed="false">
      <c r="A237" s="0" t="str">
        <f aca="false">Raw!A237</f>
        <v>SHP0236</v>
      </c>
      <c r="B237" s="0" t="str">
        <f aca="false">Raw!B237</f>
        <v>Inbound</v>
      </c>
      <c r="C237" s="0" t="str">
        <f aca="false">Raw!C237</f>
        <v>Punjab</v>
      </c>
      <c r="D237" s="0" t="str">
        <f aca="false">Raw!D237</f>
        <v>Surat</v>
      </c>
      <c r="E237" s="0" t="str">
        <f aca="false">IFERROR(INDEX(Location_Map!$B$2:$B$15,MATCH(C237,Location_Map!$A$2:$A$15,0)),"UNMAPPED")</f>
        <v>Punjab</v>
      </c>
      <c r="F237" s="0" t="str">
        <f aca="false">IFERROR(INDEX(Location_Map!$C$2:$C$15,MATCH(C237,Location_Map!$A$2:$A$15,0)),"UNMAPPED")</f>
        <v>North</v>
      </c>
      <c r="G237" s="0" t="str">
        <f aca="false">IFERROR(INDEX(Location_Map!$B$2:$B$15,MATCH(D237,Location_Map!$A$2:$A$15,0)),"UNMAPPED")</f>
        <v>Gujarat</v>
      </c>
      <c r="H237" s="0" t="str">
        <f aca="false">IFERROR(INDEX(Location_Map!$C$2:$C$15,MATCH(D237,Location_Map!$A$2:$A$15,0)),"UNMAPPED")</f>
        <v>West</v>
      </c>
      <c r="I237" s="0" t="str">
        <f aca="false">Raw!E237</f>
        <v>Finished Yarn</v>
      </c>
      <c r="J237" s="28" t="n">
        <f aca="false">Raw!F237</f>
        <v>17.7</v>
      </c>
      <c r="K237" s="30" t="n">
        <f aca="false">DATE(LEFT(Raw!G237,4),MID(Raw!G237,6,2),MID(Raw!G237,9,2))</f>
        <v>45829</v>
      </c>
      <c r="L237" s="30" t="n">
        <f aca="false">DATE(LEFT(Raw!H237,4),MID(Raw!H237,6,2),MID(Raw!H237,9,2))</f>
        <v>45832</v>
      </c>
      <c r="M237" s="30" t="n">
        <f aca="false">DATE(LEFT(Raw!I237,4),MID(Raw!I237,6,2),MID(Raw!I237,9,2))</f>
        <v>45837</v>
      </c>
      <c r="N237" s="31" t="n">
        <f aca="false">DATE(LEFT(Raw!J237,4),MID(Raw!J237,6,2),MID(Raw!J237,9,2))+TIME(MID(Raw!J237,12,2),MID(Raw!J237,15,2),MID(Raw!J237,18,2))</f>
        <v>45832</v>
      </c>
      <c r="O237" s="31" t="n">
        <f aca="false">DATE(LEFT(Raw!K237,4),MID(Raw!K237,6,2),MID(Raw!K237,9,2))+TIME(MID(Raw!K237,12,2),MID(Raw!K237,15,2),MID(Raw!K237,18,2))</f>
        <v>45836</v>
      </c>
      <c r="P237" s="32" t="n">
        <f aca="false">L237-K237</f>
        <v>3</v>
      </c>
      <c r="Q237" s="32" t="n">
        <f aca="false">M237-L237</f>
        <v>5</v>
      </c>
      <c r="R237" s="32" t="n">
        <f aca="false">O237-N237</f>
        <v>4</v>
      </c>
      <c r="S237" s="32" t="n">
        <f aca="false">Raw!L237</f>
        <v>-1</v>
      </c>
      <c r="T237" s="32" t="n">
        <f aca="false">O237-M237</f>
        <v>-1</v>
      </c>
      <c r="U237" s="0" t="str">
        <f aca="false">IF(ABS(T237-S237)&lt;0.01,"OK","MISMATCH")</f>
        <v>OK</v>
      </c>
      <c r="V237" s="33" t="n">
        <f aca="false">Raw!M237</f>
        <v>0</v>
      </c>
      <c r="W237" s="0" t="str">
        <f aca="false">IF((S237&gt;0)=(V237=1),"OK","MISMATCH")</f>
        <v>OK</v>
      </c>
      <c r="X237" s="0" t="str">
        <f aca="false">_xlfn.IFS(S237&lt;=0,"Early/On time",S237&lt;=2,"Minor (up to 2 days)",S237&lt;=5,"Moderate (2-5 days)",TRUE(),"Severe (over 5 days)")</f>
        <v>Early/On time</v>
      </c>
      <c r="Y237" s="0" t="str">
        <f aca="false">YEAR(K237)&amp;"-"&amp;TEXT(MONTH(K237),"00")</f>
        <v>2025-06</v>
      </c>
      <c r="Z237" s="0" t="str">
        <f aca="false">C237&amp;" → "&amp;D237</f>
        <v>Punjab → Surat</v>
      </c>
      <c r="AA237" s="0" t="str">
        <f aca="false">Raw!Q237</f>
        <v>BlueDart</v>
      </c>
      <c r="AB237" s="0" t="str">
        <f aca="false">Raw!R237</f>
        <v>Yes</v>
      </c>
      <c r="AC237" s="0" t="str">
        <f aca="false">Raw!S237</f>
        <v>Held at warehouse</v>
      </c>
      <c r="AD237" s="29" t="n">
        <f aca="false">Raw!N237</f>
        <v>9187.67</v>
      </c>
      <c r="AE237" s="29" t="n">
        <f aca="false">Raw!O237</f>
        <v>3407.69</v>
      </c>
      <c r="AF237" s="29" t="n">
        <f aca="false">Raw!P237</f>
        <v>1392.52</v>
      </c>
      <c r="AG237" s="29" t="n">
        <f aca="false">AD237/J237</f>
        <v>519.077401129944</v>
      </c>
    </row>
    <row r="238" customFormat="false" ht="15" hidden="false" customHeight="false" outlineLevel="0" collapsed="false">
      <c r="A238" s="0" t="str">
        <f aca="false">Raw!A238</f>
        <v>SHP0237</v>
      </c>
      <c r="B238" s="0" t="str">
        <f aca="false">Raw!B238</f>
        <v>Outbound</v>
      </c>
      <c r="C238" s="0" t="str">
        <f aca="false">Raw!C238</f>
        <v>Surat</v>
      </c>
      <c r="D238" s="0" t="str">
        <f aca="false">Raw!D238</f>
        <v>Madhya Pradesh</v>
      </c>
      <c r="E238" s="0" t="str">
        <f aca="false">IFERROR(INDEX(Location_Map!$B$2:$B$15,MATCH(C238,Location_Map!$A$2:$A$15,0)),"UNMAPPED")</f>
        <v>Gujarat</v>
      </c>
      <c r="F238" s="0" t="str">
        <f aca="false">IFERROR(INDEX(Location_Map!$C$2:$C$15,MATCH(C238,Location_Map!$A$2:$A$15,0)),"UNMAPPED")</f>
        <v>West</v>
      </c>
      <c r="G238" s="0" t="str">
        <f aca="false">IFERROR(INDEX(Location_Map!$B$2:$B$15,MATCH(D238,Location_Map!$A$2:$A$15,0)),"UNMAPPED")</f>
        <v>Madhya Pradesh</v>
      </c>
      <c r="H238" s="0" t="str">
        <f aca="false">IFERROR(INDEX(Location_Map!$C$2:$C$15,MATCH(D238,Location_Map!$A$2:$A$15,0)),"UNMAPPED")</f>
        <v>Central</v>
      </c>
      <c r="I238" s="0" t="str">
        <f aca="false">Raw!E238</f>
        <v>Finished Yarn</v>
      </c>
      <c r="J238" s="28" t="n">
        <f aca="false">Raw!F238</f>
        <v>9.42</v>
      </c>
      <c r="K238" s="30" t="n">
        <f aca="false">DATE(LEFT(Raw!G238,4),MID(Raw!G238,6,2),MID(Raw!G238,9,2))</f>
        <v>45840</v>
      </c>
      <c r="L238" s="30" t="n">
        <f aca="false">DATE(LEFT(Raw!H238,4),MID(Raw!H238,6,2),MID(Raw!H238,9,2))</f>
        <v>45843</v>
      </c>
      <c r="M238" s="30" t="n">
        <f aca="false">DATE(LEFT(Raw!I238,4),MID(Raw!I238,6,2),MID(Raw!I238,9,2))</f>
        <v>45848</v>
      </c>
      <c r="N238" s="31" t="n">
        <f aca="false">DATE(LEFT(Raw!J238,4),MID(Raw!J238,6,2),MID(Raw!J238,9,2))+TIME(MID(Raw!J238,12,2),MID(Raw!J238,15,2),MID(Raw!J238,18,2))</f>
        <v>45843.0416666667</v>
      </c>
      <c r="O238" s="31" t="n">
        <f aca="false">DATE(LEFT(Raw!K238,4),MID(Raw!K238,6,2),MID(Raw!K238,9,2))+TIME(MID(Raw!K238,12,2),MID(Raw!K238,15,2),MID(Raw!K238,18,2))</f>
        <v>45851.7</v>
      </c>
      <c r="P238" s="32" t="n">
        <f aca="false">L238-K238</f>
        <v>3</v>
      </c>
      <c r="Q238" s="32" t="n">
        <f aca="false">M238-L238</f>
        <v>5</v>
      </c>
      <c r="R238" s="32" t="n">
        <f aca="false">O238-N238</f>
        <v>8.65833333333333</v>
      </c>
      <c r="S238" s="32" t="n">
        <f aca="false">Raw!L238</f>
        <v>3.7</v>
      </c>
      <c r="T238" s="32" t="n">
        <f aca="false">O238-M238</f>
        <v>3.7</v>
      </c>
      <c r="U238" s="0" t="str">
        <f aca="false">IF(ABS(T238-S238)&lt;0.01,"OK","MISMATCH")</f>
        <v>OK</v>
      </c>
      <c r="V238" s="33" t="n">
        <f aca="false">Raw!M238</f>
        <v>1</v>
      </c>
      <c r="W238" s="0" t="str">
        <f aca="false">IF((S238&gt;0)=(V238=1),"OK","MISMATCH")</f>
        <v>OK</v>
      </c>
      <c r="X238" s="0" t="str">
        <f aca="false">_xlfn.IFS(S238&lt;=0,"Early/On time",S238&lt;=2,"Minor (up to 2 days)",S238&lt;=5,"Moderate (2-5 days)",TRUE(),"Severe (over 5 days)")</f>
        <v>Moderate (2-5 days)</v>
      </c>
      <c r="Y238" s="0" t="str">
        <f aca="false">YEAR(K238)&amp;"-"&amp;TEXT(MONTH(K238),"00")</f>
        <v>2025-07</v>
      </c>
      <c r="Z238" s="0" t="str">
        <f aca="false">C238&amp;" → "&amp;D238</f>
        <v>Surat → Madhya Pradesh</v>
      </c>
      <c r="AA238" s="0" t="str">
        <f aca="false">Raw!Q238</f>
        <v>GATI Logistics</v>
      </c>
      <c r="AB238" s="0" t="str">
        <f aca="false">Raw!R238</f>
        <v>Yes</v>
      </c>
      <c r="AC238" s="0" t="str">
        <f aca="false">Raw!S238</f>
        <v>Held at warehouse</v>
      </c>
      <c r="AD238" s="29" t="n">
        <f aca="false">Raw!N238</f>
        <v>3781.6</v>
      </c>
      <c r="AE238" s="29" t="n">
        <f aca="false">Raw!O238</f>
        <v>2538.05</v>
      </c>
      <c r="AF238" s="29" t="n">
        <f aca="false">Raw!P238</f>
        <v>987.67</v>
      </c>
      <c r="AG238" s="29" t="n">
        <f aca="false">AD238/J238</f>
        <v>401.443736730361</v>
      </c>
    </row>
    <row r="239" customFormat="false" ht="15" hidden="false" customHeight="false" outlineLevel="0" collapsed="false">
      <c r="A239" s="0" t="str">
        <f aca="false">Raw!A239</f>
        <v>SHP0238</v>
      </c>
      <c r="B239" s="0" t="str">
        <f aca="false">Raw!B239</f>
        <v>Inbound</v>
      </c>
      <c r="C239" s="0" t="str">
        <f aca="false">Raw!C239</f>
        <v>Chennai</v>
      </c>
      <c r="D239" s="0" t="str">
        <f aca="false">Raw!D239</f>
        <v>Surat</v>
      </c>
      <c r="E239" s="0" t="str">
        <f aca="false">IFERROR(INDEX(Location_Map!$B$2:$B$15,MATCH(C239,Location_Map!$A$2:$A$15,0)),"UNMAPPED")</f>
        <v>Tamil Nadu</v>
      </c>
      <c r="F239" s="0" t="str">
        <f aca="false">IFERROR(INDEX(Location_Map!$C$2:$C$15,MATCH(C239,Location_Map!$A$2:$A$15,0)),"UNMAPPED")</f>
        <v>South</v>
      </c>
      <c r="G239" s="0" t="str">
        <f aca="false">IFERROR(INDEX(Location_Map!$B$2:$B$15,MATCH(D239,Location_Map!$A$2:$A$15,0)),"UNMAPPED")</f>
        <v>Gujarat</v>
      </c>
      <c r="H239" s="0" t="str">
        <f aca="false">IFERROR(INDEX(Location_Map!$C$2:$C$15,MATCH(D239,Location_Map!$A$2:$A$15,0)),"UNMAPPED")</f>
        <v>West</v>
      </c>
      <c r="I239" s="0" t="str">
        <f aca="false">Raw!E239</f>
        <v>Raw Yarn</v>
      </c>
      <c r="J239" s="28" t="n">
        <f aca="false">Raw!F239</f>
        <v>13.39</v>
      </c>
      <c r="K239" s="30" t="n">
        <f aca="false">DATE(LEFT(Raw!G239,4),MID(Raw!G239,6,2),MID(Raw!G239,9,2))</f>
        <v>45943</v>
      </c>
      <c r="L239" s="30" t="n">
        <f aca="false">DATE(LEFT(Raw!H239,4),MID(Raw!H239,6,2),MID(Raw!H239,9,2))</f>
        <v>45946</v>
      </c>
      <c r="M239" s="30" t="n">
        <f aca="false">DATE(LEFT(Raw!I239,4),MID(Raw!I239,6,2),MID(Raw!I239,9,2))</f>
        <v>45948</v>
      </c>
      <c r="N239" s="31" t="n">
        <f aca="false">DATE(LEFT(Raw!J239,4),MID(Raw!J239,6,2),MID(Raw!J239,9,2))+TIME(MID(Raw!J239,12,2),MID(Raw!J239,15,2),MID(Raw!J239,18,2))</f>
        <v>45945.7916666667</v>
      </c>
      <c r="O239" s="31" t="n">
        <f aca="false">DATE(LEFT(Raw!K239,4),MID(Raw!K239,6,2),MID(Raw!K239,9,2))+TIME(MID(Raw!K239,12,2),MID(Raw!K239,15,2),MID(Raw!K239,18,2))</f>
        <v>45953.6</v>
      </c>
      <c r="P239" s="32" t="n">
        <f aca="false">L239-K239</f>
        <v>3</v>
      </c>
      <c r="Q239" s="32" t="n">
        <f aca="false">M239-L239</f>
        <v>2</v>
      </c>
      <c r="R239" s="32" t="n">
        <f aca="false">O239-N239</f>
        <v>7.80833333333333</v>
      </c>
      <c r="S239" s="32" t="n">
        <f aca="false">Raw!L239</f>
        <v>5.6</v>
      </c>
      <c r="T239" s="32" t="n">
        <f aca="false">O239-M239</f>
        <v>5.6</v>
      </c>
      <c r="U239" s="0" t="str">
        <f aca="false">IF(ABS(T239-S239)&lt;0.01,"OK","MISMATCH")</f>
        <v>OK</v>
      </c>
      <c r="V239" s="33" t="n">
        <f aca="false">Raw!M239</f>
        <v>1</v>
      </c>
      <c r="W239" s="0" t="str">
        <f aca="false">IF((S239&gt;0)=(V239=1),"OK","MISMATCH")</f>
        <v>OK</v>
      </c>
      <c r="X239" s="0" t="str">
        <f aca="false">_xlfn.IFS(S239&lt;=0,"Early/On time",S239&lt;=2,"Minor (up to 2 days)",S239&lt;=5,"Moderate (2-5 days)",TRUE(),"Severe (over 5 days)")</f>
        <v>Severe (over 5 days)</v>
      </c>
      <c r="Y239" s="0" t="str">
        <f aca="false">YEAR(K239)&amp;"-"&amp;TEXT(MONTH(K239),"00")</f>
        <v>2025-10</v>
      </c>
      <c r="Z239" s="0" t="str">
        <f aca="false">C239&amp;" → "&amp;D239</f>
        <v>Chennai → Surat</v>
      </c>
      <c r="AA239" s="0" t="str">
        <f aca="false">Raw!Q239</f>
        <v>GATI Logistics</v>
      </c>
      <c r="AB239" s="0" t="str">
        <f aca="false">Raw!R239</f>
        <v>Yes</v>
      </c>
      <c r="AC239" s="0" t="str">
        <f aca="false">Raw!S239</f>
        <v>Held at warehouse</v>
      </c>
      <c r="AD239" s="29" t="n">
        <f aca="false">Raw!N239</f>
        <v>5162.3</v>
      </c>
      <c r="AE239" s="29" t="n">
        <f aca="false">Raw!O239</f>
        <v>4565.92</v>
      </c>
      <c r="AF239" s="29" t="n">
        <f aca="false">Raw!P239</f>
        <v>502.92</v>
      </c>
      <c r="AG239" s="29" t="n">
        <f aca="false">AD239/J239</f>
        <v>385.533980582524</v>
      </c>
    </row>
    <row r="240" customFormat="false" ht="15" hidden="false" customHeight="false" outlineLevel="0" collapsed="false">
      <c r="A240" s="0" t="str">
        <f aca="false">Raw!A240</f>
        <v>SHP0239</v>
      </c>
      <c r="B240" s="0" t="str">
        <f aca="false">Raw!B240</f>
        <v>Inbound</v>
      </c>
      <c r="C240" s="0" t="str">
        <f aca="false">Raw!C240</f>
        <v>Uttar Pradesh</v>
      </c>
      <c r="D240" s="0" t="str">
        <f aca="false">Raw!D240</f>
        <v>Surat</v>
      </c>
      <c r="E240" s="0" t="str">
        <f aca="false">IFERROR(INDEX(Location_Map!$B$2:$B$15,MATCH(C240,Location_Map!$A$2:$A$15,0)),"UNMAPPED")</f>
        <v>Uttar Pradesh</v>
      </c>
      <c r="F240" s="0" t="str">
        <f aca="false">IFERROR(INDEX(Location_Map!$C$2:$C$15,MATCH(C240,Location_Map!$A$2:$A$15,0)),"UNMAPPED")</f>
        <v>North</v>
      </c>
      <c r="G240" s="0" t="str">
        <f aca="false">IFERROR(INDEX(Location_Map!$B$2:$B$15,MATCH(D240,Location_Map!$A$2:$A$15,0)),"UNMAPPED")</f>
        <v>Gujarat</v>
      </c>
      <c r="H240" s="0" t="str">
        <f aca="false">IFERROR(INDEX(Location_Map!$C$2:$C$15,MATCH(D240,Location_Map!$A$2:$A$15,0)),"UNMAPPED")</f>
        <v>West</v>
      </c>
      <c r="I240" s="0" t="str">
        <f aca="false">Raw!E240</f>
        <v>Raw Yarn</v>
      </c>
      <c r="J240" s="28" t="n">
        <f aca="false">Raw!F240</f>
        <v>1.76</v>
      </c>
      <c r="K240" s="30" t="n">
        <f aca="false">DATE(LEFT(Raw!G240,4),MID(Raw!G240,6,2),MID(Raw!G240,9,2))</f>
        <v>45839</v>
      </c>
      <c r="L240" s="30" t="n">
        <f aca="false">DATE(LEFT(Raw!H240,4),MID(Raw!H240,6,2),MID(Raw!H240,9,2))</f>
        <v>45843</v>
      </c>
      <c r="M240" s="30" t="n">
        <f aca="false">DATE(LEFT(Raw!I240,4),MID(Raw!I240,6,2),MID(Raw!I240,9,2))</f>
        <v>45847</v>
      </c>
      <c r="N240" s="31" t="n">
        <f aca="false">DATE(LEFT(Raw!J240,4),MID(Raw!J240,6,2),MID(Raw!J240,9,2))+TIME(MID(Raw!J240,12,2),MID(Raw!J240,15,2),MID(Raw!J240,18,2))</f>
        <v>45843.0833333333</v>
      </c>
      <c r="O240" s="31" t="n">
        <f aca="false">DATE(LEFT(Raw!K240,4),MID(Raw!K240,6,2),MID(Raw!K240,9,2))+TIME(MID(Raw!K240,12,2),MID(Raw!K240,15,2),MID(Raw!K240,18,2))</f>
        <v>45848.3</v>
      </c>
      <c r="P240" s="32" t="n">
        <f aca="false">L240-K240</f>
        <v>4</v>
      </c>
      <c r="Q240" s="32" t="n">
        <f aca="false">M240-L240</f>
        <v>4</v>
      </c>
      <c r="R240" s="32" t="n">
        <f aca="false">O240-N240</f>
        <v>5.21666666666667</v>
      </c>
      <c r="S240" s="32" t="n">
        <f aca="false">Raw!L240</f>
        <v>1.3</v>
      </c>
      <c r="T240" s="32" t="n">
        <f aca="false">O240-M240</f>
        <v>1.3</v>
      </c>
      <c r="U240" s="0" t="str">
        <f aca="false">IF(ABS(T240-S240)&lt;0.01,"OK","MISMATCH")</f>
        <v>OK</v>
      </c>
      <c r="V240" s="33" t="n">
        <f aca="false">Raw!M240</f>
        <v>1</v>
      </c>
      <c r="W240" s="0" t="str">
        <f aca="false">IF((S240&gt;0)=(V240=1),"OK","MISMATCH")</f>
        <v>OK</v>
      </c>
      <c r="X240" s="0" t="str">
        <f aca="false">_xlfn.IFS(S240&lt;=0,"Early/On time",S240&lt;=2,"Minor (up to 2 days)",S240&lt;=5,"Moderate (2-5 days)",TRUE(),"Severe (over 5 days)")</f>
        <v>Minor (up to 2 days)</v>
      </c>
      <c r="Y240" s="0" t="str">
        <f aca="false">YEAR(K240)&amp;"-"&amp;TEXT(MONTH(K240),"00")</f>
        <v>2025-07</v>
      </c>
      <c r="Z240" s="0" t="str">
        <f aca="false">C240&amp;" → "&amp;D240</f>
        <v>Uttar Pradesh → Surat</v>
      </c>
      <c r="AA240" s="0" t="str">
        <f aca="false">Raw!Q240</f>
        <v>GATI Logistics</v>
      </c>
      <c r="AB240" s="0" t="str">
        <f aca="false">Raw!R240</f>
        <v>Yes</v>
      </c>
      <c r="AC240" s="0" t="str">
        <f aca="false">Raw!S240</f>
        <v>Damaged</v>
      </c>
      <c r="AD240" s="29" t="n">
        <f aca="false">Raw!N240</f>
        <v>1781.19</v>
      </c>
      <c r="AE240" s="29" t="n">
        <f aca="false">Raw!O240</f>
        <v>2897.15</v>
      </c>
      <c r="AF240" s="29" t="n">
        <f aca="false">Raw!P240</f>
        <v>1090.87</v>
      </c>
      <c r="AG240" s="29" t="n">
        <f aca="false">AD240/J240</f>
        <v>1012.03977272727</v>
      </c>
    </row>
    <row r="241" customFormat="false" ht="15" hidden="false" customHeight="false" outlineLevel="0" collapsed="false">
      <c r="A241" s="0" t="str">
        <f aca="false">Raw!A241</f>
        <v>SHP0240</v>
      </c>
      <c r="B241" s="0" t="str">
        <f aca="false">Raw!B241</f>
        <v>Inbound</v>
      </c>
      <c r="C241" s="0" t="str">
        <f aca="false">Raw!C241</f>
        <v>Uttar Pradesh</v>
      </c>
      <c r="D241" s="0" t="str">
        <f aca="false">Raw!D241</f>
        <v>Surat</v>
      </c>
      <c r="E241" s="0" t="str">
        <f aca="false">IFERROR(INDEX(Location_Map!$B$2:$B$15,MATCH(C241,Location_Map!$A$2:$A$15,0)),"UNMAPPED")</f>
        <v>Uttar Pradesh</v>
      </c>
      <c r="F241" s="0" t="str">
        <f aca="false">IFERROR(INDEX(Location_Map!$C$2:$C$15,MATCH(C241,Location_Map!$A$2:$A$15,0)),"UNMAPPED")</f>
        <v>North</v>
      </c>
      <c r="G241" s="0" t="str">
        <f aca="false">IFERROR(INDEX(Location_Map!$B$2:$B$15,MATCH(D241,Location_Map!$A$2:$A$15,0)),"UNMAPPED")</f>
        <v>Gujarat</v>
      </c>
      <c r="H241" s="0" t="str">
        <f aca="false">IFERROR(INDEX(Location_Map!$C$2:$C$15,MATCH(D241,Location_Map!$A$2:$A$15,0)),"UNMAPPED")</f>
        <v>West</v>
      </c>
      <c r="I241" s="0" t="str">
        <f aca="false">Raw!E241</f>
        <v>Finished Yarn</v>
      </c>
      <c r="J241" s="28" t="n">
        <f aca="false">Raw!F241</f>
        <v>11.2</v>
      </c>
      <c r="K241" s="30" t="n">
        <f aca="false">DATE(LEFT(Raw!G241,4),MID(Raw!G241,6,2),MID(Raw!G241,9,2))</f>
        <v>45914</v>
      </c>
      <c r="L241" s="30" t="n">
        <f aca="false">DATE(LEFT(Raw!H241,4),MID(Raw!H241,6,2),MID(Raw!H241,9,2))</f>
        <v>45915</v>
      </c>
      <c r="M241" s="30" t="n">
        <f aca="false">DATE(LEFT(Raw!I241,4),MID(Raw!I241,6,2),MID(Raw!I241,9,2))</f>
        <v>45919</v>
      </c>
      <c r="N241" s="31" t="n">
        <f aca="false">DATE(LEFT(Raw!J241,4),MID(Raw!J241,6,2),MID(Raw!J241,9,2))+TIME(MID(Raw!J241,12,2),MID(Raw!J241,15,2),MID(Raw!J241,18,2))</f>
        <v>45914.9166666667</v>
      </c>
      <c r="O241" s="31" t="n">
        <f aca="false">DATE(LEFT(Raw!K241,4),MID(Raw!K241,6,2),MID(Raw!K241,9,2))+TIME(MID(Raw!K241,12,2),MID(Raw!K241,15,2),MID(Raw!K241,18,2))</f>
        <v>45918</v>
      </c>
      <c r="P241" s="32" t="n">
        <f aca="false">L241-K241</f>
        <v>1</v>
      </c>
      <c r="Q241" s="32" t="n">
        <f aca="false">M241-L241</f>
        <v>4</v>
      </c>
      <c r="R241" s="32" t="n">
        <f aca="false">O241-N241</f>
        <v>3.08333333333333</v>
      </c>
      <c r="S241" s="32" t="n">
        <f aca="false">Raw!L241</f>
        <v>-1</v>
      </c>
      <c r="T241" s="32" t="n">
        <f aca="false">O241-M241</f>
        <v>-1</v>
      </c>
      <c r="U241" s="0" t="str">
        <f aca="false">IF(ABS(T241-S241)&lt;0.01,"OK","MISMATCH")</f>
        <v>OK</v>
      </c>
      <c r="V241" s="33" t="n">
        <f aca="false">Raw!M241</f>
        <v>0</v>
      </c>
      <c r="W241" s="0" t="str">
        <f aca="false">IF((S241&gt;0)=(V241=1),"OK","MISMATCH")</f>
        <v>OK</v>
      </c>
      <c r="X241" s="0" t="str">
        <f aca="false">_xlfn.IFS(S241&lt;=0,"Early/On time",S241&lt;=2,"Minor (up to 2 days)",S241&lt;=5,"Moderate (2-5 days)",TRUE(),"Severe (over 5 days)")</f>
        <v>Early/On time</v>
      </c>
      <c r="Y241" s="0" t="str">
        <f aca="false">YEAR(K241)&amp;"-"&amp;TEXT(MONTH(K241),"00")</f>
        <v>2025-09</v>
      </c>
      <c r="Z241" s="0" t="str">
        <f aca="false">C241&amp;" → "&amp;D241</f>
        <v>Uttar Pradesh → Surat</v>
      </c>
      <c r="AA241" s="0" t="str">
        <f aca="false">Raw!Q241</f>
        <v>TCI Express</v>
      </c>
      <c r="AB241" s="0" t="str">
        <f aca="false">Raw!R241</f>
        <v>No</v>
      </c>
      <c r="AC241" s="0" t="str">
        <f aca="false">Raw!S241</f>
        <v>Held at warehouse</v>
      </c>
      <c r="AD241" s="29" t="n">
        <f aca="false">Raw!N241</f>
        <v>3737.01</v>
      </c>
      <c r="AE241" s="29" t="n">
        <f aca="false">Raw!O241</f>
        <v>4210.34</v>
      </c>
      <c r="AF241" s="29" t="n">
        <f aca="false">Raw!P241</f>
        <v>1072.05</v>
      </c>
      <c r="AG241" s="29" t="n">
        <f aca="false">AD241/J241</f>
        <v>333.661607142857</v>
      </c>
    </row>
    <row r="242" customFormat="false" ht="15" hidden="false" customHeight="false" outlineLevel="0" collapsed="false">
      <c r="A242" s="0" t="str">
        <f aca="false">Raw!A242</f>
        <v>SHP0241</v>
      </c>
      <c r="B242" s="0" t="str">
        <f aca="false">Raw!B242</f>
        <v>Inbound</v>
      </c>
      <c r="C242" s="0" t="str">
        <f aca="false">Raw!C242</f>
        <v>Gujarat</v>
      </c>
      <c r="D242" s="0" t="str">
        <f aca="false">Raw!D242</f>
        <v>Surat</v>
      </c>
      <c r="E242" s="0" t="str">
        <f aca="false">IFERROR(INDEX(Location_Map!$B$2:$B$15,MATCH(C242,Location_Map!$A$2:$A$15,0)),"UNMAPPED")</f>
        <v>Gujarat</v>
      </c>
      <c r="F242" s="0" t="str">
        <f aca="false">IFERROR(INDEX(Location_Map!$C$2:$C$15,MATCH(C242,Location_Map!$A$2:$A$15,0)),"UNMAPPED")</f>
        <v>West</v>
      </c>
      <c r="G242" s="0" t="str">
        <f aca="false">IFERROR(INDEX(Location_Map!$B$2:$B$15,MATCH(D242,Location_Map!$A$2:$A$15,0)),"UNMAPPED")</f>
        <v>Gujarat</v>
      </c>
      <c r="H242" s="0" t="str">
        <f aca="false">IFERROR(INDEX(Location_Map!$C$2:$C$15,MATCH(D242,Location_Map!$A$2:$A$15,0)),"UNMAPPED")</f>
        <v>West</v>
      </c>
      <c r="I242" s="0" t="str">
        <f aca="false">Raw!E242</f>
        <v>Semi-Processed Yarn</v>
      </c>
      <c r="J242" s="28" t="n">
        <f aca="false">Raw!F242</f>
        <v>10.74</v>
      </c>
      <c r="K242" s="30" t="n">
        <f aca="false">DATE(LEFT(Raw!G242,4),MID(Raw!G242,6,2),MID(Raw!G242,9,2))</f>
        <v>45746</v>
      </c>
      <c r="L242" s="30" t="n">
        <f aca="false">DATE(LEFT(Raw!H242,4),MID(Raw!H242,6,2),MID(Raw!H242,9,2))</f>
        <v>45750</v>
      </c>
      <c r="M242" s="30" t="n">
        <f aca="false">DATE(LEFT(Raw!I242,4),MID(Raw!I242,6,2),MID(Raw!I242,9,2))</f>
        <v>45752</v>
      </c>
      <c r="N242" s="31" t="n">
        <f aca="false">DATE(LEFT(Raw!J242,4),MID(Raw!J242,6,2),MID(Raw!J242,9,2))+TIME(MID(Raw!J242,12,2),MID(Raw!J242,15,2),MID(Raw!J242,18,2))</f>
        <v>45749.7916666667</v>
      </c>
      <c r="O242" s="31" t="n">
        <f aca="false">DATE(LEFT(Raw!K242,4),MID(Raw!K242,6,2),MID(Raw!K242,9,2))+TIME(MID(Raw!K242,12,2),MID(Raw!K242,15,2),MID(Raw!K242,18,2))</f>
        <v>45752.3</v>
      </c>
      <c r="P242" s="32" t="n">
        <f aca="false">L242-K242</f>
        <v>4</v>
      </c>
      <c r="Q242" s="32" t="n">
        <f aca="false">M242-L242</f>
        <v>2</v>
      </c>
      <c r="R242" s="32" t="n">
        <f aca="false">O242-N242</f>
        <v>2.50833333333333</v>
      </c>
      <c r="S242" s="32" t="n">
        <f aca="false">Raw!L242</f>
        <v>0.3</v>
      </c>
      <c r="T242" s="32" t="n">
        <f aca="false">O242-M242</f>
        <v>0.3</v>
      </c>
      <c r="U242" s="0" t="str">
        <f aca="false">IF(ABS(T242-S242)&lt;0.01,"OK","MISMATCH")</f>
        <v>OK</v>
      </c>
      <c r="V242" s="33" t="n">
        <f aca="false">Raw!M242</f>
        <v>1</v>
      </c>
      <c r="W242" s="0" t="str">
        <f aca="false">IF((S242&gt;0)=(V242=1),"OK","MISMATCH")</f>
        <v>OK</v>
      </c>
      <c r="X242" s="0" t="str">
        <f aca="false">_xlfn.IFS(S242&lt;=0,"Early/On time",S242&lt;=2,"Minor (up to 2 days)",S242&lt;=5,"Moderate (2-5 days)",TRUE(),"Severe (over 5 days)")</f>
        <v>Minor (up to 2 days)</v>
      </c>
      <c r="Y242" s="0" t="str">
        <f aca="false">YEAR(K242)&amp;"-"&amp;TEXT(MONTH(K242),"00")</f>
        <v>2025-03</v>
      </c>
      <c r="Z242" s="0" t="str">
        <f aca="false">C242&amp;" → "&amp;D242</f>
        <v>Gujarat → Surat</v>
      </c>
      <c r="AA242" s="0" t="str">
        <f aca="false">Raw!Q242</f>
        <v>TCI Express</v>
      </c>
      <c r="AB242" s="0" t="str">
        <f aca="false">Raw!R242</f>
        <v>No</v>
      </c>
      <c r="AC242" s="0" t="str">
        <f aca="false">Raw!S242</f>
        <v>Held at warehouse</v>
      </c>
      <c r="AD242" s="29" t="n">
        <f aca="false">Raw!N242</f>
        <v>3661.2</v>
      </c>
      <c r="AE242" s="29" t="n">
        <f aca="false">Raw!O242</f>
        <v>3029.65</v>
      </c>
      <c r="AF242" s="29" t="n">
        <f aca="false">Raw!P242</f>
        <v>1374.22</v>
      </c>
      <c r="AG242" s="29" t="n">
        <f aca="false">AD242/J242</f>
        <v>340.893854748603</v>
      </c>
    </row>
    <row r="243" customFormat="false" ht="15" hidden="false" customHeight="false" outlineLevel="0" collapsed="false">
      <c r="A243" s="0" t="str">
        <f aca="false">Raw!A243</f>
        <v>SHP0242</v>
      </c>
      <c r="B243" s="0" t="str">
        <f aca="false">Raw!B243</f>
        <v>Inbound</v>
      </c>
      <c r="C243" s="0" t="str">
        <f aca="false">Raw!C243</f>
        <v>Punjab</v>
      </c>
      <c r="D243" s="0" t="str">
        <f aca="false">Raw!D243</f>
        <v>Surat</v>
      </c>
      <c r="E243" s="0" t="str">
        <f aca="false">IFERROR(INDEX(Location_Map!$B$2:$B$15,MATCH(C243,Location_Map!$A$2:$A$15,0)),"UNMAPPED")</f>
        <v>Punjab</v>
      </c>
      <c r="F243" s="0" t="str">
        <f aca="false">IFERROR(INDEX(Location_Map!$C$2:$C$15,MATCH(C243,Location_Map!$A$2:$A$15,0)),"UNMAPPED")</f>
        <v>North</v>
      </c>
      <c r="G243" s="0" t="str">
        <f aca="false">IFERROR(INDEX(Location_Map!$B$2:$B$15,MATCH(D243,Location_Map!$A$2:$A$15,0)),"UNMAPPED")</f>
        <v>Gujarat</v>
      </c>
      <c r="H243" s="0" t="str">
        <f aca="false">IFERROR(INDEX(Location_Map!$C$2:$C$15,MATCH(D243,Location_Map!$A$2:$A$15,0)),"UNMAPPED")</f>
        <v>West</v>
      </c>
      <c r="I243" s="0" t="str">
        <f aca="false">Raw!E243</f>
        <v>Finished Yarn</v>
      </c>
      <c r="J243" s="28" t="n">
        <f aca="false">Raw!F243</f>
        <v>10.38</v>
      </c>
      <c r="K243" s="30" t="n">
        <f aca="false">DATE(LEFT(Raw!G243,4),MID(Raw!G243,6,2),MID(Raw!G243,9,2))</f>
        <v>45868</v>
      </c>
      <c r="L243" s="30" t="n">
        <f aca="false">DATE(LEFT(Raw!H243,4),MID(Raw!H243,6,2),MID(Raw!H243,9,2))</f>
        <v>45872</v>
      </c>
      <c r="M243" s="30" t="n">
        <f aca="false">DATE(LEFT(Raw!I243,4),MID(Raw!I243,6,2),MID(Raw!I243,9,2))</f>
        <v>45878</v>
      </c>
      <c r="N243" s="31" t="n">
        <f aca="false">DATE(LEFT(Raw!J243,4),MID(Raw!J243,6,2),MID(Raw!J243,9,2))+TIME(MID(Raw!J243,12,2),MID(Raw!J243,15,2),MID(Raw!J243,18,2))</f>
        <v>45872.375</v>
      </c>
      <c r="O243" s="31" t="n">
        <f aca="false">DATE(LEFT(Raw!K243,4),MID(Raw!K243,6,2),MID(Raw!K243,9,2))+TIME(MID(Raw!K243,12,2),MID(Raw!K243,15,2),MID(Raw!K243,18,2))</f>
        <v>45882.6</v>
      </c>
      <c r="P243" s="32" t="n">
        <f aca="false">L243-K243</f>
        <v>4</v>
      </c>
      <c r="Q243" s="32" t="n">
        <f aca="false">M243-L243</f>
        <v>6</v>
      </c>
      <c r="R243" s="32" t="n">
        <f aca="false">O243-N243</f>
        <v>10.225</v>
      </c>
      <c r="S243" s="32" t="n">
        <f aca="false">Raw!L243</f>
        <v>4.6</v>
      </c>
      <c r="T243" s="32" t="n">
        <f aca="false">O243-M243</f>
        <v>4.6</v>
      </c>
      <c r="U243" s="0" t="str">
        <f aca="false">IF(ABS(T243-S243)&lt;0.01,"OK","MISMATCH")</f>
        <v>OK</v>
      </c>
      <c r="V243" s="33" t="n">
        <f aca="false">Raw!M243</f>
        <v>1</v>
      </c>
      <c r="W243" s="0" t="str">
        <f aca="false">IF((S243&gt;0)=(V243=1),"OK","MISMATCH")</f>
        <v>OK</v>
      </c>
      <c r="X243" s="0" t="str">
        <f aca="false">_xlfn.IFS(S243&lt;=0,"Early/On time",S243&lt;=2,"Minor (up to 2 days)",S243&lt;=5,"Moderate (2-5 days)",TRUE(),"Severe (over 5 days)")</f>
        <v>Moderate (2-5 days)</v>
      </c>
      <c r="Y243" s="0" t="str">
        <f aca="false">YEAR(K243)&amp;"-"&amp;TEXT(MONTH(K243),"00")</f>
        <v>2025-07</v>
      </c>
      <c r="Z243" s="0" t="str">
        <f aca="false">C243&amp;" → "&amp;D243</f>
        <v>Punjab → Surat</v>
      </c>
      <c r="AA243" s="0" t="str">
        <f aca="false">Raw!Q243</f>
        <v>GATI Logistics</v>
      </c>
      <c r="AB243" s="0" t="str">
        <f aca="false">Raw!R243</f>
        <v>No</v>
      </c>
      <c r="AC243" s="0" t="str">
        <f aca="false">Raw!S243</f>
        <v>Damaged</v>
      </c>
      <c r="AD243" s="29" t="n">
        <f aca="false">Raw!N243</f>
        <v>4231.11</v>
      </c>
      <c r="AE243" s="29" t="n">
        <f aca="false">Raw!O243</f>
        <v>2687.31</v>
      </c>
      <c r="AF243" s="29" t="n">
        <f aca="false">Raw!P243</f>
        <v>911.02</v>
      </c>
      <c r="AG243" s="29" t="n">
        <f aca="false">AD243/J243</f>
        <v>407.621387283237</v>
      </c>
    </row>
    <row r="244" customFormat="false" ht="15" hidden="false" customHeight="false" outlineLevel="0" collapsed="false">
      <c r="A244" s="0" t="str">
        <f aca="false">Raw!A244</f>
        <v>SHP0243</v>
      </c>
      <c r="B244" s="0" t="str">
        <f aca="false">Raw!B244</f>
        <v>Inbound</v>
      </c>
      <c r="C244" s="0" t="str">
        <f aca="false">Raw!C244</f>
        <v>Gujarat</v>
      </c>
      <c r="D244" s="0" t="str">
        <f aca="false">Raw!D244</f>
        <v>Surat</v>
      </c>
      <c r="E244" s="0" t="str">
        <f aca="false">IFERROR(INDEX(Location_Map!$B$2:$B$15,MATCH(C244,Location_Map!$A$2:$A$15,0)),"UNMAPPED")</f>
        <v>Gujarat</v>
      </c>
      <c r="F244" s="0" t="str">
        <f aca="false">IFERROR(INDEX(Location_Map!$C$2:$C$15,MATCH(C244,Location_Map!$A$2:$A$15,0)),"UNMAPPED")</f>
        <v>West</v>
      </c>
      <c r="G244" s="0" t="str">
        <f aca="false">IFERROR(INDEX(Location_Map!$B$2:$B$15,MATCH(D244,Location_Map!$A$2:$A$15,0)),"UNMAPPED")</f>
        <v>Gujarat</v>
      </c>
      <c r="H244" s="0" t="str">
        <f aca="false">IFERROR(INDEX(Location_Map!$C$2:$C$15,MATCH(D244,Location_Map!$A$2:$A$15,0)),"UNMAPPED")</f>
        <v>West</v>
      </c>
      <c r="I244" s="0" t="str">
        <f aca="false">Raw!E244</f>
        <v>Semi-Processed Yarn</v>
      </c>
      <c r="J244" s="28" t="n">
        <f aca="false">Raw!F244</f>
        <v>18.24</v>
      </c>
      <c r="K244" s="30" t="n">
        <f aca="false">DATE(LEFT(Raw!G244,4),MID(Raw!G244,6,2),MID(Raw!G244,9,2))</f>
        <v>45872</v>
      </c>
      <c r="L244" s="30" t="n">
        <f aca="false">DATE(LEFT(Raw!H244,4),MID(Raw!H244,6,2),MID(Raw!H244,9,2))</f>
        <v>45875</v>
      </c>
      <c r="M244" s="30" t="n">
        <f aca="false">DATE(LEFT(Raw!I244,4),MID(Raw!I244,6,2),MID(Raw!I244,9,2))</f>
        <v>45877</v>
      </c>
      <c r="N244" s="31" t="n">
        <f aca="false">DATE(LEFT(Raw!J244,4),MID(Raw!J244,6,2),MID(Raw!J244,9,2))+TIME(MID(Raw!J244,12,2),MID(Raw!J244,15,2),MID(Raw!J244,18,2))</f>
        <v>45875.2916666667</v>
      </c>
      <c r="O244" s="31" t="n">
        <f aca="false">DATE(LEFT(Raw!K244,4),MID(Raw!K244,6,2),MID(Raw!K244,9,2))+TIME(MID(Raw!K244,12,2),MID(Raw!K244,15,2),MID(Raw!K244,18,2))</f>
        <v>45877.6</v>
      </c>
      <c r="P244" s="32" t="n">
        <f aca="false">L244-K244</f>
        <v>3</v>
      </c>
      <c r="Q244" s="32" t="n">
        <f aca="false">M244-L244</f>
        <v>2</v>
      </c>
      <c r="R244" s="32" t="n">
        <f aca="false">O244-N244</f>
        <v>2.30833333333333</v>
      </c>
      <c r="S244" s="32" t="n">
        <f aca="false">Raw!L244</f>
        <v>0.6</v>
      </c>
      <c r="T244" s="32" t="n">
        <f aca="false">O244-M244</f>
        <v>0.6</v>
      </c>
      <c r="U244" s="0" t="str">
        <f aca="false">IF(ABS(T244-S244)&lt;0.01,"OK","MISMATCH")</f>
        <v>OK</v>
      </c>
      <c r="V244" s="33" t="n">
        <f aca="false">Raw!M244</f>
        <v>1</v>
      </c>
      <c r="W244" s="0" t="str">
        <f aca="false">IF((S244&gt;0)=(V244=1),"OK","MISMATCH")</f>
        <v>OK</v>
      </c>
      <c r="X244" s="0" t="str">
        <f aca="false">_xlfn.IFS(S244&lt;=0,"Early/On time",S244&lt;=2,"Minor (up to 2 days)",S244&lt;=5,"Moderate (2-5 days)",TRUE(),"Severe (over 5 days)")</f>
        <v>Minor (up to 2 days)</v>
      </c>
      <c r="Y244" s="0" t="str">
        <f aca="false">YEAR(K244)&amp;"-"&amp;TEXT(MONTH(K244),"00")</f>
        <v>2025-08</v>
      </c>
      <c r="Z244" s="0" t="str">
        <f aca="false">C244&amp;" → "&amp;D244</f>
        <v>Gujarat → Surat</v>
      </c>
      <c r="AA244" s="0" t="str">
        <f aca="false">Raw!Q244</f>
        <v>BlueDart</v>
      </c>
      <c r="AB244" s="0" t="str">
        <f aca="false">Raw!R244</f>
        <v>Yes</v>
      </c>
      <c r="AC244" s="0" t="str">
        <f aca="false">Raw!S244</f>
        <v>Normal</v>
      </c>
      <c r="AD244" s="29" t="n">
        <f aca="false">Raw!N244</f>
        <v>7610.85</v>
      </c>
      <c r="AE244" s="29" t="n">
        <f aca="false">Raw!O244</f>
        <v>4486.39</v>
      </c>
      <c r="AF244" s="29" t="n">
        <f aca="false">Raw!P244</f>
        <v>756.69</v>
      </c>
      <c r="AG244" s="29" t="n">
        <f aca="false">AD244/J244</f>
        <v>417.261513157895</v>
      </c>
    </row>
    <row r="245" customFormat="false" ht="15" hidden="false" customHeight="false" outlineLevel="0" collapsed="false">
      <c r="A245" s="0" t="str">
        <f aca="false">Raw!A245</f>
        <v>SHP0244</v>
      </c>
      <c r="B245" s="0" t="str">
        <f aca="false">Raw!B245</f>
        <v>Outbound</v>
      </c>
      <c r="C245" s="0" t="str">
        <f aca="false">Raw!C245</f>
        <v>Surat</v>
      </c>
      <c r="D245" s="0" t="str">
        <f aca="false">Raw!D245</f>
        <v>Uttarakhand</v>
      </c>
      <c r="E245" s="0" t="str">
        <f aca="false">IFERROR(INDEX(Location_Map!$B$2:$B$15,MATCH(C245,Location_Map!$A$2:$A$15,0)),"UNMAPPED")</f>
        <v>Gujarat</v>
      </c>
      <c r="F245" s="0" t="str">
        <f aca="false">IFERROR(INDEX(Location_Map!$C$2:$C$15,MATCH(C245,Location_Map!$A$2:$A$15,0)),"UNMAPPED")</f>
        <v>West</v>
      </c>
      <c r="G245" s="0" t="str">
        <f aca="false">IFERROR(INDEX(Location_Map!$B$2:$B$15,MATCH(D245,Location_Map!$A$2:$A$15,0)),"UNMAPPED")</f>
        <v>Uttarakhand</v>
      </c>
      <c r="H245" s="0" t="str">
        <f aca="false">IFERROR(INDEX(Location_Map!$C$2:$C$15,MATCH(D245,Location_Map!$A$2:$A$15,0)),"UNMAPPED")</f>
        <v>North</v>
      </c>
      <c r="I245" s="0" t="str">
        <f aca="false">Raw!E245</f>
        <v>Semi-Processed Yarn</v>
      </c>
      <c r="J245" s="28" t="n">
        <f aca="false">Raw!F245</f>
        <v>13.64</v>
      </c>
      <c r="K245" s="30" t="n">
        <f aca="false">DATE(LEFT(Raw!G245,4),MID(Raw!G245,6,2),MID(Raw!G245,9,2))</f>
        <v>45898</v>
      </c>
      <c r="L245" s="30" t="n">
        <f aca="false">DATE(LEFT(Raw!H245,4),MID(Raw!H245,6,2),MID(Raw!H245,9,2))</f>
        <v>45901</v>
      </c>
      <c r="M245" s="30" t="n">
        <f aca="false">DATE(LEFT(Raw!I245,4),MID(Raw!I245,6,2),MID(Raw!I245,9,2))</f>
        <v>45907</v>
      </c>
      <c r="N245" s="31" t="n">
        <f aca="false">DATE(LEFT(Raw!J245,4),MID(Raw!J245,6,2),MID(Raw!J245,9,2))+TIME(MID(Raw!J245,12,2),MID(Raw!J245,15,2),MID(Raw!J245,18,2))</f>
        <v>45900.875</v>
      </c>
      <c r="O245" s="31" t="n">
        <f aca="false">DATE(LEFT(Raw!K245,4),MID(Raw!K245,6,2),MID(Raw!K245,9,2))+TIME(MID(Raw!K245,12,2),MID(Raw!K245,15,2),MID(Raw!K245,18,2))</f>
        <v>45909.4</v>
      </c>
      <c r="P245" s="32" t="n">
        <f aca="false">L245-K245</f>
        <v>3</v>
      </c>
      <c r="Q245" s="32" t="n">
        <f aca="false">M245-L245</f>
        <v>6</v>
      </c>
      <c r="R245" s="32" t="n">
        <f aca="false">O245-N245</f>
        <v>8.525</v>
      </c>
      <c r="S245" s="32" t="n">
        <f aca="false">Raw!L245</f>
        <v>2.4</v>
      </c>
      <c r="T245" s="32" t="n">
        <f aca="false">O245-M245</f>
        <v>2.4</v>
      </c>
      <c r="U245" s="0" t="str">
        <f aca="false">IF(ABS(T245-S245)&lt;0.01,"OK","MISMATCH")</f>
        <v>OK</v>
      </c>
      <c r="V245" s="33" t="n">
        <f aca="false">Raw!M245</f>
        <v>1</v>
      </c>
      <c r="W245" s="0" t="str">
        <f aca="false">IF((S245&gt;0)=(V245=1),"OK","MISMATCH")</f>
        <v>OK</v>
      </c>
      <c r="X245" s="0" t="str">
        <f aca="false">_xlfn.IFS(S245&lt;=0,"Early/On time",S245&lt;=2,"Minor (up to 2 days)",S245&lt;=5,"Moderate (2-5 days)",TRUE(),"Severe (over 5 days)")</f>
        <v>Moderate (2-5 days)</v>
      </c>
      <c r="Y245" s="0" t="str">
        <f aca="false">YEAR(K245)&amp;"-"&amp;TEXT(MONTH(K245),"00")</f>
        <v>2025-08</v>
      </c>
      <c r="Z245" s="0" t="str">
        <f aca="false">C245&amp;" → "&amp;D245</f>
        <v>Surat → Uttarakhand</v>
      </c>
      <c r="AA245" s="0" t="str">
        <f aca="false">Raw!Q245</f>
        <v>TCI Express</v>
      </c>
      <c r="AB245" s="0" t="str">
        <f aca="false">Raw!R245</f>
        <v>Yes</v>
      </c>
      <c r="AC245" s="0" t="str">
        <f aca="false">Raw!S245</f>
        <v>Damaged</v>
      </c>
      <c r="AD245" s="29" t="n">
        <f aca="false">Raw!N245</f>
        <v>7307.46</v>
      </c>
      <c r="AE245" s="29" t="n">
        <f aca="false">Raw!O245</f>
        <v>4601.29</v>
      </c>
      <c r="AF245" s="29" t="n">
        <f aca="false">Raw!P245</f>
        <v>904.24</v>
      </c>
      <c r="AG245" s="29" t="n">
        <f aca="false">AD245/J245</f>
        <v>535.737536656892</v>
      </c>
    </row>
    <row r="246" customFormat="false" ht="15" hidden="false" customHeight="false" outlineLevel="0" collapsed="false">
      <c r="A246" s="0" t="str">
        <f aca="false">Raw!A246</f>
        <v>SHP0245</v>
      </c>
      <c r="B246" s="0" t="str">
        <f aca="false">Raw!B246</f>
        <v>Outbound</v>
      </c>
      <c r="C246" s="0" t="str">
        <f aca="false">Raw!C246</f>
        <v>Surat</v>
      </c>
      <c r="D246" s="0" t="str">
        <f aca="false">Raw!D246</f>
        <v>Gujarat</v>
      </c>
      <c r="E246" s="0" t="str">
        <f aca="false">IFERROR(INDEX(Location_Map!$B$2:$B$15,MATCH(C246,Location_Map!$A$2:$A$15,0)),"UNMAPPED")</f>
        <v>Gujarat</v>
      </c>
      <c r="F246" s="0" t="str">
        <f aca="false">IFERROR(INDEX(Location_Map!$C$2:$C$15,MATCH(C246,Location_Map!$A$2:$A$15,0)),"UNMAPPED")</f>
        <v>West</v>
      </c>
      <c r="G246" s="0" t="str">
        <f aca="false">IFERROR(INDEX(Location_Map!$B$2:$B$15,MATCH(D246,Location_Map!$A$2:$A$15,0)),"UNMAPPED")</f>
        <v>Gujarat</v>
      </c>
      <c r="H246" s="0" t="str">
        <f aca="false">IFERROR(INDEX(Location_Map!$C$2:$C$15,MATCH(D246,Location_Map!$A$2:$A$15,0)),"UNMAPPED")</f>
        <v>West</v>
      </c>
      <c r="I246" s="0" t="str">
        <f aca="false">Raw!E246</f>
        <v>Semi-Processed Yarn</v>
      </c>
      <c r="J246" s="28" t="n">
        <f aca="false">Raw!F246</f>
        <v>7.1</v>
      </c>
      <c r="K246" s="30" t="n">
        <f aca="false">DATE(LEFT(Raw!G246,4),MID(Raw!G246,6,2),MID(Raw!G246,9,2))</f>
        <v>45882</v>
      </c>
      <c r="L246" s="30" t="n">
        <f aca="false">DATE(LEFT(Raw!H246,4),MID(Raw!H246,6,2),MID(Raw!H246,9,2))</f>
        <v>45884</v>
      </c>
      <c r="M246" s="30" t="n">
        <f aca="false">DATE(LEFT(Raw!I246,4),MID(Raw!I246,6,2),MID(Raw!I246,9,2))</f>
        <v>45890</v>
      </c>
      <c r="N246" s="31" t="n">
        <f aca="false">DATE(LEFT(Raw!J246,4),MID(Raw!J246,6,2),MID(Raw!J246,9,2))+TIME(MID(Raw!J246,12,2),MID(Raw!J246,15,2),MID(Raw!J246,18,2))</f>
        <v>45884.2083333333</v>
      </c>
      <c r="O246" s="31" t="n">
        <f aca="false">DATE(LEFT(Raw!K246,4),MID(Raw!K246,6,2),MID(Raw!K246,9,2))+TIME(MID(Raw!K246,12,2),MID(Raw!K246,15,2),MID(Raw!K246,18,2))</f>
        <v>45889</v>
      </c>
      <c r="P246" s="32" t="n">
        <f aca="false">L246-K246</f>
        <v>2</v>
      </c>
      <c r="Q246" s="32" t="n">
        <f aca="false">M246-L246</f>
        <v>6</v>
      </c>
      <c r="R246" s="32" t="n">
        <f aca="false">O246-N246</f>
        <v>4.79166666666667</v>
      </c>
      <c r="S246" s="32" t="n">
        <f aca="false">Raw!L246</f>
        <v>-1</v>
      </c>
      <c r="T246" s="32" t="n">
        <f aca="false">O246-M246</f>
        <v>-1</v>
      </c>
      <c r="U246" s="0" t="str">
        <f aca="false">IF(ABS(T246-S246)&lt;0.01,"OK","MISMATCH")</f>
        <v>OK</v>
      </c>
      <c r="V246" s="33" t="n">
        <f aca="false">Raw!M246</f>
        <v>0</v>
      </c>
      <c r="W246" s="0" t="str">
        <f aca="false">IF((S246&gt;0)=(V246=1),"OK","MISMATCH")</f>
        <v>OK</v>
      </c>
      <c r="X246" s="0" t="str">
        <f aca="false">_xlfn.IFS(S246&lt;=0,"Early/On time",S246&lt;=2,"Minor (up to 2 days)",S246&lt;=5,"Moderate (2-5 days)",TRUE(),"Severe (over 5 days)")</f>
        <v>Early/On time</v>
      </c>
      <c r="Y246" s="0" t="str">
        <f aca="false">YEAR(K246)&amp;"-"&amp;TEXT(MONTH(K246),"00")</f>
        <v>2025-08</v>
      </c>
      <c r="Z246" s="0" t="str">
        <f aca="false">C246&amp;" → "&amp;D246</f>
        <v>Surat → Gujarat</v>
      </c>
      <c r="AA246" s="0" t="str">
        <f aca="false">Raw!Q246</f>
        <v>Delhivery</v>
      </c>
      <c r="AB246" s="0" t="str">
        <f aca="false">Raw!R246</f>
        <v>No</v>
      </c>
      <c r="AC246" s="0" t="str">
        <f aca="false">Raw!S246</f>
        <v>Returned</v>
      </c>
      <c r="AD246" s="29" t="n">
        <f aca="false">Raw!N246</f>
        <v>4255.07</v>
      </c>
      <c r="AE246" s="29" t="n">
        <f aca="false">Raw!O246</f>
        <v>1555.49</v>
      </c>
      <c r="AF246" s="29" t="n">
        <f aca="false">Raw!P246</f>
        <v>615.74</v>
      </c>
      <c r="AG246" s="29" t="n">
        <f aca="false">AD246/J246</f>
        <v>599.305633802817</v>
      </c>
    </row>
    <row r="247" customFormat="false" ht="15" hidden="false" customHeight="false" outlineLevel="0" collapsed="false">
      <c r="A247" s="0" t="str">
        <f aca="false">Raw!A247</f>
        <v>SHP0246</v>
      </c>
      <c r="B247" s="0" t="str">
        <f aca="false">Raw!B247</f>
        <v>Inbound</v>
      </c>
      <c r="C247" s="0" t="str">
        <f aca="false">Raw!C247</f>
        <v>Gujarat</v>
      </c>
      <c r="D247" s="0" t="str">
        <f aca="false">Raw!D247</f>
        <v>Surat</v>
      </c>
      <c r="E247" s="0" t="str">
        <f aca="false">IFERROR(INDEX(Location_Map!$B$2:$B$15,MATCH(C247,Location_Map!$A$2:$A$15,0)),"UNMAPPED")</f>
        <v>Gujarat</v>
      </c>
      <c r="F247" s="0" t="str">
        <f aca="false">IFERROR(INDEX(Location_Map!$C$2:$C$15,MATCH(C247,Location_Map!$A$2:$A$15,0)),"UNMAPPED")</f>
        <v>West</v>
      </c>
      <c r="G247" s="0" t="str">
        <f aca="false">IFERROR(INDEX(Location_Map!$B$2:$B$15,MATCH(D247,Location_Map!$A$2:$A$15,0)),"UNMAPPED")</f>
        <v>Gujarat</v>
      </c>
      <c r="H247" s="0" t="str">
        <f aca="false">IFERROR(INDEX(Location_Map!$C$2:$C$15,MATCH(D247,Location_Map!$A$2:$A$15,0)),"UNMAPPED")</f>
        <v>West</v>
      </c>
      <c r="I247" s="0" t="str">
        <f aca="false">Raw!E247</f>
        <v>Semi-Processed Yarn</v>
      </c>
      <c r="J247" s="28" t="n">
        <f aca="false">Raw!F247</f>
        <v>3.93</v>
      </c>
      <c r="K247" s="30" t="n">
        <f aca="false">DATE(LEFT(Raw!G247,4),MID(Raw!G247,6,2),MID(Raw!G247,9,2))</f>
        <v>45709</v>
      </c>
      <c r="L247" s="30" t="n">
        <f aca="false">DATE(LEFT(Raw!H247,4),MID(Raw!H247,6,2),MID(Raw!H247,9,2))</f>
        <v>45712</v>
      </c>
      <c r="M247" s="30" t="n">
        <f aca="false">DATE(LEFT(Raw!I247,4),MID(Raw!I247,6,2),MID(Raw!I247,9,2))</f>
        <v>45718</v>
      </c>
      <c r="N247" s="31" t="n">
        <f aca="false">DATE(LEFT(Raw!J247,4),MID(Raw!J247,6,2),MID(Raw!J247,9,2))+TIME(MID(Raw!J247,12,2),MID(Raw!J247,15,2),MID(Raw!J247,18,2))</f>
        <v>45711.8333333333</v>
      </c>
      <c r="O247" s="31" t="n">
        <f aca="false">DATE(LEFT(Raw!K247,4),MID(Raw!K247,6,2),MID(Raw!K247,9,2))+TIME(MID(Raw!K247,12,2),MID(Raw!K247,15,2),MID(Raw!K247,18,2))</f>
        <v>45724.2</v>
      </c>
      <c r="P247" s="32" t="n">
        <f aca="false">L247-K247</f>
        <v>3</v>
      </c>
      <c r="Q247" s="32" t="n">
        <f aca="false">M247-L247</f>
        <v>6</v>
      </c>
      <c r="R247" s="32" t="n">
        <f aca="false">O247-N247</f>
        <v>12.3666666666667</v>
      </c>
      <c r="S247" s="32" t="n">
        <f aca="false">Raw!L247</f>
        <v>6.2</v>
      </c>
      <c r="T247" s="32" t="n">
        <f aca="false">O247-M247</f>
        <v>6.2</v>
      </c>
      <c r="U247" s="0" t="str">
        <f aca="false">IF(ABS(T247-S247)&lt;0.01,"OK","MISMATCH")</f>
        <v>OK</v>
      </c>
      <c r="V247" s="33" t="n">
        <f aca="false">Raw!M247</f>
        <v>1</v>
      </c>
      <c r="W247" s="0" t="str">
        <f aca="false">IF((S247&gt;0)=(V247=1),"OK","MISMATCH")</f>
        <v>OK</v>
      </c>
      <c r="X247" s="0" t="str">
        <f aca="false">_xlfn.IFS(S247&lt;=0,"Early/On time",S247&lt;=2,"Minor (up to 2 days)",S247&lt;=5,"Moderate (2-5 days)",TRUE(),"Severe (over 5 days)")</f>
        <v>Severe (over 5 days)</v>
      </c>
      <c r="Y247" s="0" t="str">
        <f aca="false">YEAR(K247)&amp;"-"&amp;TEXT(MONTH(K247),"00")</f>
        <v>2025-02</v>
      </c>
      <c r="Z247" s="0" t="str">
        <f aca="false">C247&amp;" → "&amp;D247</f>
        <v>Gujarat → Surat</v>
      </c>
      <c r="AA247" s="0" t="str">
        <f aca="false">Raw!Q247</f>
        <v>GATI Logistics</v>
      </c>
      <c r="AB247" s="0" t="str">
        <f aca="false">Raw!R247</f>
        <v>No</v>
      </c>
      <c r="AC247" s="0" t="str">
        <f aca="false">Raw!S247</f>
        <v>Normal</v>
      </c>
      <c r="AD247" s="29" t="n">
        <f aca="false">Raw!N247</f>
        <v>3327.74</v>
      </c>
      <c r="AE247" s="29" t="n">
        <f aca="false">Raw!O247</f>
        <v>4965.05</v>
      </c>
      <c r="AF247" s="29" t="n">
        <f aca="false">Raw!P247</f>
        <v>1320.01</v>
      </c>
      <c r="AG247" s="29" t="n">
        <f aca="false">AD247/J247</f>
        <v>846.753180661578</v>
      </c>
    </row>
    <row r="248" customFormat="false" ht="15" hidden="false" customHeight="false" outlineLevel="0" collapsed="false">
      <c r="A248" s="0" t="str">
        <f aca="false">Raw!A248</f>
        <v>SHP0247</v>
      </c>
      <c r="B248" s="0" t="str">
        <f aca="false">Raw!B248</f>
        <v>Inbound</v>
      </c>
      <c r="C248" s="0" t="str">
        <f aca="false">Raw!C248</f>
        <v>Chennai</v>
      </c>
      <c r="D248" s="0" t="str">
        <f aca="false">Raw!D248</f>
        <v>Surat</v>
      </c>
      <c r="E248" s="0" t="str">
        <f aca="false">IFERROR(INDEX(Location_Map!$B$2:$B$15,MATCH(C248,Location_Map!$A$2:$A$15,0)),"UNMAPPED")</f>
        <v>Tamil Nadu</v>
      </c>
      <c r="F248" s="0" t="str">
        <f aca="false">IFERROR(INDEX(Location_Map!$C$2:$C$15,MATCH(C248,Location_Map!$A$2:$A$15,0)),"UNMAPPED")</f>
        <v>South</v>
      </c>
      <c r="G248" s="0" t="str">
        <f aca="false">IFERROR(INDEX(Location_Map!$B$2:$B$15,MATCH(D248,Location_Map!$A$2:$A$15,0)),"UNMAPPED")</f>
        <v>Gujarat</v>
      </c>
      <c r="H248" s="0" t="str">
        <f aca="false">IFERROR(INDEX(Location_Map!$C$2:$C$15,MATCH(D248,Location_Map!$A$2:$A$15,0)),"UNMAPPED")</f>
        <v>West</v>
      </c>
      <c r="I248" s="0" t="str">
        <f aca="false">Raw!E248</f>
        <v>Raw Yarn</v>
      </c>
      <c r="J248" s="28" t="n">
        <f aca="false">Raw!F248</f>
        <v>14.2</v>
      </c>
      <c r="K248" s="30" t="n">
        <f aca="false">DATE(LEFT(Raw!G248,4),MID(Raw!G248,6,2),MID(Raw!G248,9,2))</f>
        <v>45817</v>
      </c>
      <c r="L248" s="30" t="n">
        <f aca="false">DATE(LEFT(Raw!H248,4),MID(Raw!H248,6,2),MID(Raw!H248,9,2))</f>
        <v>45819</v>
      </c>
      <c r="M248" s="30" t="n">
        <f aca="false">DATE(LEFT(Raw!I248,4),MID(Raw!I248,6,2),MID(Raw!I248,9,2))</f>
        <v>45825</v>
      </c>
      <c r="N248" s="31" t="n">
        <f aca="false">DATE(LEFT(Raw!J248,4),MID(Raw!J248,6,2),MID(Raw!J248,9,2))+TIME(MID(Raw!J248,12,2),MID(Raw!J248,15,2),MID(Raw!J248,18,2))</f>
        <v>45819.3333333333</v>
      </c>
      <c r="O248" s="31" t="n">
        <f aca="false">DATE(LEFT(Raw!K248,4),MID(Raw!K248,6,2),MID(Raw!K248,9,2))+TIME(MID(Raw!K248,12,2),MID(Raw!K248,15,2),MID(Raw!K248,18,2))</f>
        <v>45829.4</v>
      </c>
      <c r="P248" s="32" t="n">
        <f aca="false">L248-K248</f>
        <v>2</v>
      </c>
      <c r="Q248" s="32" t="n">
        <f aca="false">M248-L248</f>
        <v>6</v>
      </c>
      <c r="R248" s="32" t="n">
        <f aca="false">O248-N248</f>
        <v>10.0666666666667</v>
      </c>
      <c r="S248" s="32" t="n">
        <f aca="false">Raw!L248</f>
        <v>4.4</v>
      </c>
      <c r="T248" s="32" t="n">
        <f aca="false">O248-M248</f>
        <v>4.4</v>
      </c>
      <c r="U248" s="0" t="str">
        <f aca="false">IF(ABS(T248-S248)&lt;0.01,"OK","MISMATCH")</f>
        <v>OK</v>
      </c>
      <c r="V248" s="33" t="n">
        <f aca="false">Raw!M248</f>
        <v>1</v>
      </c>
      <c r="W248" s="0" t="str">
        <f aca="false">IF((S248&gt;0)=(V248=1),"OK","MISMATCH")</f>
        <v>OK</v>
      </c>
      <c r="X248" s="0" t="str">
        <f aca="false">_xlfn.IFS(S248&lt;=0,"Early/On time",S248&lt;=2,"Minor (up to 2 days)",S248&lt;=5,"Moderate (2-5 days)",TRUE(),"Severe (over 5 days)")</f>
        <v>Moderate (2-5 days)</v>
      </c>
      <c r="Y248" s="0" t="str">
        <f aca="false">YEAR(K248)&amp;"-"&amp;TEXT(MONTH(K248),"00")</f>
        <v>2025-06</v>
      </c>
      <c r="Z248" s="0" t="str">
        <f aca="false">C248&amp;" → "&amp;D248</f>
        <v>Chennai → Surat</v>
      </c>
      <c r="AA248" s="0" t="str">
        <f aca="false">Raw!Q248</f>
        <v>VRL Cargo</v>
      </c>
      <c r="AB248" s="0" t="str">
        <f aca="false">Raw!R248</f>
        <v>No</v>
      </c>
      <c r="AC248" s="0" t="str">
        <f aca="false">Raw!S248</f>
        <v>Damaged</v>
      </c>
      <c r="AD248" s="29" t="n">
        <f aca="false">Raw!N248</f>
        <v>6469.96</v>
      </c>
      <c r="AE248" s="29" t="n">
        <f aca="false">Raw!O248</f>
        <v>3916.69</v>
      </c>
      <c r="AF248" s="29" t="n">
        <f aca="false">Raw!P248</f>
        <v>1152.29</v>
      </c>
      <c r="AG248" s="29" t="n">
        <f aca="false">AD248/J248</f>
        <v>455.630985915493</v>
      </c>
    </row>
    <row r="249" customFormat="false" ht="15" hidden="false" customHeight="false" outlineLevel="0" collapsed="false">
      <c r="A249" s="0" t="str">
        <f aca="false">Raw!A249</f>
        <v>SHP0248</v>
      </c>
      <c r="B249" s="0" t="str">
        <f aca="false">Raw!B249</f>
        <v>Inbound</v>
      </c>
      <c r="C249" s="0" t="str">
        <f aca="false">Raw!C249</f>
        <v>Uttar Pradesh</v>
      </c>
      <c r="D249" s="0" t="str">
        <f aca="false">Raw!D249</f>
        <v>Surat</v>
      </c>
      <c r="E249" s="0" t="str">
        <f aca="false">IFERROR(INDEX(Location_Map!$B$2:$B$15,MATCH(C249,Location_Map!$A$2:$A$15,0)),"UNMAPPED")</f>
        <v>Uttar Pradesh</v>
      </c>
      <c r="F249" s="0" t="str">
        <f aca="false">IFERROR(INDEX(Location_Map!$C$2:$C$15,MATCH(C249,Location_Map!$A$2:$A$15,0)),"UNMAPPED")</f>
        <v>North</v>
      </c>
      <c r="G249" s="0" t="str">
        <f aca="false">IFERROR(INDEX(Location_Map!$B$2:$B$15,MATCH(D249,Location_Map!$A$2:$A$15,0)),"UNMAPPED")</f>
        <v>Gujarat</v>
      </c>
      <c r="H249" s="0" t="str">
        <f aca="false">IFERROR(INDEX(Location_Map!$C$2:$C$15,MATCH(D249,Location_Map!$A$2:$A$15,0)),"UNMAPPED")</f>
        <v>West</v>
      </c>
      <c r="I249" s="0" t="str">
        <f aca="false">Raw!E249</f>
        <v>Raw Yarn</v>
      </c>
      <c r="J249" s="28" t="n">
        <f aca="false">Raw!F249</f>
        <v>17.07</v>
      </c>
      <c r="K249" s="30" t="n">
        <f aca="false">DATE(LEFT(Raw!G249,4),MID(Raw!G249,6,2),MID(Raw!G249,9,2))</f>
        <v>45865</v>
      </c>
      <c r="L249" s="30" t="n">
        <f aca="false">DATE(LEFT(Raw!H249,4),MID(Raw!H249,6,2),MID(Raw!H249,9,2))</f>
        <v>45867</v>
      </c>
      <c r="M249" s="30" t="n">
        <f aca="false">DATE(LEFT(Raw!I249,4),MID(Raw!I249,6,2),MID(Raw!I249,9,2))</f>
        <v>45871</v>
      </c>
      <c r="N249" s="31" t="n">
        <f aca="false">DATE(LEFT(Raw!J249,4),MID(Raw!J249,6,2),MID(Raw!J249,9,2))+TIME(MID(Raw!J249,12,2),MID(Raw!J249,15,2),MID(Raw!J249,18,2))</f>
        <v>45867.2916666667</v>
      </c>
      <c r="O249" s="31" t="n">
        <f aca="false">DATE(LEFT(Raw!K249,4),MID(Raw!K249,6,2),MID(Raw!K249,9,2))+TIME(MID(Raw!K249,12,2),MID(Raw!K249,15,2),MID(Raw!K249,18,2))</f>
        <v>45872.4</v>
      </c>
      <c r="P249" s="32" t="n">
        <f aca="false">L249-K249</f>
        <v>2</v>
      </c>
      <c r="Q249" s="32" t="n">
        <f aca="false">M249-L249</f>
        <v>4</v>
      </c>
      <c r="R249" s="32" t="n">
        <f aca="false">O249-N249</f>
        <v>5.10833333333333</v>
      </c>
      <c r="S249" s="32" t="n">
        <f aca="false">Raw!L249</f>
        <v>1.4</v>
      </c>
      <c r="T249" s="32" t="n">
        <f aca="false">O249-M249</f>
        <v>1.4</v>
      </c>
      <c r="U249" s="0" t="str">
        <f aca="false">IF(ABS(T249-S249)&lt;0.01,"OK","MISMATCH")</f>
        <v>OK</v>
      </c>
      <c r="V249" s="33" t="n">
        <f aca="false">Raw!M249</f>
        <v>1</v>
      </c>
      <c r="W249" s="0" t="str">
        <f aca="false">IF((S249&gt;0)=(V249=1),"OK","MISMATCH")</f>
        <v>OK</v>
      </c>
      <c r="X249" s="0" t="str">
        <f aca="false">_xlfn.IFS(S249&lt;=0,"Early/On time",S249&lt;=2,"Minor (up to 2 days)",S249&lt;=5,"Moderate (2-5 days)",TRUE(),"Severe (over 5 days)")</f>
        <v>Minor (up to 2 days)</v>
      </c>
      <c r="Y249" s="0" t="str">
        <f aca="false">YEAR(K249)&amp;"-"&amp;TEXT(MONTH(K249),"00")</f>
        <v>2025-07</v>
      </c>
      <c r="Z249" s="0" t="str">
        <f aca="false">C249&amp;" → "&amp;D249</f>
        <v>Uttar Pradesh → Surat</v>
      </c>
      <c r="AA249" s="0" t="str">
        <f aca="false">Raw!Q249</f>
        <v>BlueDart</v>
      </c>
      <c r="AB249" s="0" t="str">
        <f aca="false">Raw!R249</f>
        <v>No</v>
      </c>
      <c r="AC249" s="0" t="str">
        <f aca="false">Raw!S249</f>
        <v>Held at warehouse</v>
      </c>
      <c r="AD249" s="29" t="n">
        <f aca="false">Raw!N249</f>
        <v>5908.21</v>
      </c>
      <c r="AE249" s="29" t="n">
        <f aca="false">Raw!O249</f>
        <v>4155.94</v>
      </c>
      <c r="AF249" s="29" t="n">
        <f aca="false">Raw!P249</f>
        <v>946.42</v>
      </c>
      <c r="AG249" s="29" t="n">
        <f aca="false">AD249/J249</f>
        <v>346.116578793204</v>
      </c>
    </row>
    <row r="250" customFormat="false" ht="15" hidden="false" customHeight="false" outlineLevel="0" collapsed="false">
      <c r="A250" s="0" t="str">
        <f aca="false">Raw!A250</f>
        <v>SHP0249</v>
      </c>
      <c r="B250" s="0" t="str">
        <f aca="false">Raw!B250</f>
        <v>Inbound</v>
      </c>
      <c r="C250" s="0" t="str">
        <f aca="false">Raw!C250</f>
        <v>Punjab</v>
      </c>
      <c r="D250" s="0" t="str">
        <f aca="false">Raw!D250</f>
        <v>Surat</v>
      </c>
      <c r="E250" s="0" t="str">
        <f aca="false">IFERROR(INDEX(Location_Map!$B$2:$B$15,MATCH(C250,Location_Map!$A$2:$A$15,0)),"UNMAPPED")</f>
        <v>Punjab</v>
      </c>
      <c r="F250" s="0" t="str">
        <f aca="false">IFERROR(INDEX(Location_Map!$C$2:$C$15,MATCH(C250,Location_Map!$A$2:$A$15,0)),"UNMAPPED")</f>
        <v>North</v>
      </c>
      <c r="G250" s="0" t="str">
        <f aca="false">IFERROR(INDEX(Location_Map!$B$2:$B$15,MATCH(D250,Location_Map!$A$2:$A$15,0)),"UNMAPPED")</f>
        <v>Gujarat</v>
      </c>
      <c r="H250" s="0" t="str">
        <f aca="false">IFERROR(INDEX(Location_Map!$C$2:$C$15,MATCH(D250,Location_Map!$A$2:$A$15,0)),"UNMAPPED")</f>
        <v>West</v>
      </c>
      <c r="I250" s="0" t="str">
        <f aca="false">Raw!E250</f>
        <v>Finished Yarn</v>
      </c>
      <c r="J250" s="28" t="n">
        <f aca="false">Raw!F250</f>
        <v>16.17</v>
      </c>
      <c r="K250" s="30" t="n">
        <f aca="false">DATE(LEFT(Raw!G250,4),MID(Raw!G250,6,2),MID(Raw!G250,9,2))</f>
        <v>45904</v>
      </c>
      <c r="L250" s="30" t="n">
        <f aca="false">DATE(LEFT(Raw!H250,4),MID(Raw!H250,6,2),MID(Raw!H250,9,2))</f>
        <v>45908</v>
      </c>
      <c r="M250" s="30" t="n">
        <f aca="false">DATE(LEFT(Raw!I250,4),MID(Raw!I250,6,2),MID(Raw!I250,9,2))</f>
        <v>45910</v>
      </c>
      <c r="N250" s="31" t="n">
        <f aca="false">DATE(LEFT(Raw!J250,4),MID(Raw!J250,6,2),MID(Raw!J250,9,2))+TIME(MID(Raw!J250,12,2),MID(Raw!J250,15,2),MID(Raw!J250,18,2))</f>
        <v>45908.1666666667</v>
      </c>
      <c r="O250" s="31" t="n">
        <f aca="false">DATE(LEFT(Raw!K250,4),MID(Raw!K250,6,2),MID(Raw!K250,9,2))+TIME(MID(Raw!K250,12,2),MID(Raw!K250,15,2),MID(Raw!K250,18,2))</f>
        <v>45909</v>
      </c>
      <c r="P250" s="32" t="n">
        <f aca="false">L250-K250</f>
        <v>4</v>
      </c>
      <c r="Q250" s="32" t="n">
        <f aca="false">M250-L250</f>
        <v>2</v>
      </c>
      <c r="R250" s="32" t="n">
        <f aca="false">O250-N250</f>
        <v>0.833333333333333</v>
      </c>
      <c r="S250" s="32" t="n">
        <f aca="false">Raw!L250</f>
        <v>-1</v>
      </c>
      <c r="T250" s="32" t="n">
        <f aca="false">O250-M250</f>
        <v>-1</v>
      </c>
      <c r="U250" s="0" t="str">
        <f aca="false">IF(ABS(T250-S250)&lt;0.01,"OK","MISMATCH")</f>
        <v>OK</v>
      </c>
      <c r="V250" s="33" t="n">
        <f aca="false">Raw!M250</f>
        <v>0</v>
      </c>
      <c r="W250" s="0" t="str">
        <f aca="false">IF((S250&gt;0)=(V250=1),"OK","MISMATCH")</f>
        <v>OK</v>
      </c>
      <c r="X250" s="0" t="str">
        <f aca="false">_xlfn.IFS(S250&lt;=0,"Early/On time",S250&lt;=2,"Minor (up to 2 days)",S250&lt;=5,"Moderate (2-5 days)",TRUE(),"Severe (over 5 days)")</f>
        <v>Early/On time</v>
      </c>
      <c r="Y250" s="0" t="str">
        <f aca="false">YEAR(K250)&amp;"-"&amp;TEXT(MONTH(K250),"00")</f>
        <v>2025-09</v>
      </c>
      <c r="Z250" s="0" t="str">
        <f aca="false">C250&amp;" → "&amp;D250</f>
        <v>Punjab → Surat</v>
      </c>
      <c r="AA250" s="0" t="str">
        <f aca="false">Raw!Q250</f>
        <v>Delhivery</v>
      </c>
      <c r="AB250" s="0" t="str">
        <f aca="false">Raw!R250</f>
        <v>Yes</v>
      </c>
      <c r="AC250" s="0" t="str">
        <f aca="false">Raw!S250</f>
        <v>Held at warehouse</v>
      </c>
      <c r="AD250" s="29" t="n">
        <f aca="false">Raw!N250</f>
        <v>4939.02</v>
      </c>
      <c r="AE250" s="29" t="n">
        <f aca="false">Raw!O250</f>
        <v>2571.9</v>
      </c>
      <c r="AF250" s="29" t="n">
        <f aca="false">Raw!P250</f>
        <v>1025.81</v>
      </c>
      <c r="AG250" s="29" t="n">
        <f aca="false">AD250/J250</f>
        <v>305.443413729128</v>
      </c>
    </row>
    <row r="251" customFormat="false" ht="15" hidden="false" customHeight="false" outlineLevel="0" collapsed="false">
      <c r="A251" s="0" t="str">
        <f aca="false">Raw!A251</f>
        <v>SHP0250</v>
      </c>
      <c r="B251" s="0" t="str">
        <f aca="false">Raw!B251</f>
        <v>Inbound</v>
      </c>
      <c r="C251" s="0" t="str">
        <f aca="false">Raw!C251</f>
        <v>Gujarat</v>
      </c>
      <c r="D251" s="0" t="str">
        <f aca="false">Raw!D251</f>
        <v>Surat</v>
      </c>
      <c r="E251" s="0" t="str">
        <f aca="false">IFERROR(INDEX(Location_Map!$B$2:$B$15,MATCH(C251,Location_Map!$A$2:$A$15,0)),"UNMAPPED")</f>
        <v>Gujarat</v>
      </c>
      <c r="F251" s="0" t="str">
        <f aca="false">IFERROR(INDEX(Location_Map!$C$2:$C$15,MATCH(C251,Location_Map!$A$2:$A$15,0)),"UNMAPPED")</f>
        <v>West</v>
      </c>
      <c r="G251" s="0" t="str">
        <f aca="false">IFERROR(INDEX(Location_Map!$B$2:$B$15,MATCH(D251,Location_Map!$A$2:$A$15,0)),"UNMAPPED")</f>
        <v>Gujarat</v>
      </c>
      <c r="H251" s="0" t="str">
        <f aca="false">IFERROR(INDEX(Location_Map!$C$2:$C$15,MATCH(D251,Location_Map!$A$2:$A$15,0)),"UNMAPPED")</f>
        <v>West</v>
      </c>
      <c r="I251" s="0" t="str">
        <f aca="false">Raw!E251</f>
        <v>Finished Yarn</v>
      </c>
      <c r="J251" s="28" t="n">
        <f aca="false">Raw!F251</f>
        <v>10.72</v>
      </c>
      <c r="K251" s="30" t="n">
        <f aca="false">DATE(LEFT(Raw!G251,4),MID(Raw!G251,6,2),MID(Raw!G251,9,2))</f>
        <v>45707</v>
      </c>
      <c r="L251" s="30" t="n">
        <f aca="false">DATE(LEFT(Raw!H251,4),MID(Raw!H251,6,2),MID(Raw!H251,9,2))</f>
        <v>45710</v>
      </c>
      <c r="M251" s="30" t="n">
        <f aca="false">DATE(LEFT(Raw!I251,4),MID(Raw!I251,6,2),MID(Raw!I251,9,2))</f>
        <v>45716</v>
      </c>
      <c r="N251" s="31" t="n">
        <f aca="false">DATE(LEFT(Raw!J251,4),MID(Raw!J251,6,2),MID(Raw!J251,9,2))+TIME(MID(Raw!J251,12,2),MID(Raw!J251,15,2),MID(Raw!J251,18,2))</f>
        <v>45710.0833333333</v>
      </c>
      <c r="O251" s="31" t="n">
        <f aca="false">DATE(LEFT(Raw!K251,4),MID(Raw!K251,6,2),MID(Raw!K251,9,2))+TIME(MID(Raw!K251,12,2),MID(Raw!K251,15,2),MID(Raw!K251,18,2))</f>
        <v>45715.9</v>
      </c>
      <c r="P251" s="32" t="n">
        <f aca="false">L251-K251</f>
        <v>3</v>
      </c>
      <c r="Q251" s="32" t="n">
        <f aca="false">M251-L251</f>
        <v>6</v>
      </c>
      <c r="R251" s="32" t="n">
        <f aca="false">O251-N251</f>
        <v>5.81666666666667</v>
      </c>
      <c r="S251" s="32" t="n">
        <f aca="false">Raw!L251</f>
        <v>-0.1</v>
      </c>
      <c r="T251" s="32" t="n">
        <f aca="false">O251-M251</f>
        <v>-0.1</v>
      </c>
      <c r="U251" s="0" t="str">
        <f aca="false">IF(ABS(T251-S251)&lt;0.01,"OK","MISMATCH")</f>
        <v>OK</v>
      </c>
      <c r="V251" s="33" t="n">
        <f aca="false">Raw!M251</f>
        <v>0</v>
      </c>
      <c r="W251" s="0" t="str">
        <f aca="false">IF((S251&gt;0)=(V251=1),"OK","MISMATCH")</f>
        <v>OK</v>
      </c>
      <c r="X251" s="0" t="str">
        <f aca="false">_xlfn.IFS(S251&lt;=0,"Early/On time",S251&lt;=2,"Minor (up to 2 days)",S251&lt;=5,"Moderate (2-5 days)",TRUE(),"Severe (over 5 days)")</f>
        <v>Early/On time</v>
      </c>
      <c r="Y251" s="0" t="str">
        <f aca="false">YEAR(K251)&amp;"-"&amp;TEXT(MONTH(K251),"00")</f>
        <v>2025-02</v>
      </c>
      <c r="Z251" s="0" t="str">
        <f aca="false">C251&amp;" → "&amp;D251</f>
        <v>Gujarat → Surat</v>
      </c>
      <c r="AA251" s="0" t="str">
        <f aca="false">Raw!Q251</f>
        <v>TCI Express</v>
      </c>
      <c r="AB251" s="0" t="str">
        <f aca="false">Raw!R251</f>
        <v>No</v>
      </c>
      <c r="AC251" s="0" t="str">
        <f aca="false">Raw!S251</f>
        <v>Held at warehouse</v>
      </c>
      <c r="AD251" s="29" t="n">
        <f aca="false">Raw!N251</f>
        <v>8182.5</v>
      </c>
      <c r="AE251" s="29" t="n">
        <f aca="false">Raw!O251</f>
        <v>2359.08</v>
      </c>
      <c r="AF251" s="29" t="n">
        <f aca="false">Raw!P251</f>
        <v>1017.24</v>
      </c>
      <c r="AG251" s="29" t="n">
        <f aca="false">AD251/J251</f>
        <v>763.292910447761</v>
      </c>
    </row>
    <row r="252" customFormat="false" ht="15" hidden="false" customHeight="false" outlineLevel="0" collapsed="false">
      <c r="A252" s="0" t="str">
        <f aca="false">Raw!A252</f>
        <v>SHP0251</v>
      </c>
      <c r="B252" s="0" t="str">
        <f aca="false">Raw!B252</f>
        <v>Outbound</v>
      </c>
      <c r="C252" s="0" t="str">
        <f aca="false">Raw!C252</f>
        <v>Surat</v>
      </c>
      <c r="D252" s="0" t="str">
        <f aca="false">Raw!D252</f>
        <v>Assam</v>
      </c>
      <c r="E252" s="0" t="str">
        <f aca="false">IFERROR(INDEX(Location_Map!$B$2:$B$15,MATCH(C252,Location_Map!$A$2:$A$15,0)),"UNMAPPED")</f>
        <v>Gujarat</v>
      </c>
      <c r="F252" s="0" t="str">
        <f aca="false">IFERROR(INDEX(Location_Map!$C$2:$C$15,MATCH(C252,Location_Map!$A$2:$A$15,0)),"UNMAPPED")</f>
        <v>West</v>
      </c>
      <c r="G252" s="0" t="str">
        <f aca="false">IFERROR(INDEX(Location_Map!$B$2:$B$15,MATCH(D252,Location_Map!$A$2:$A$15,0)),"UNMAPPED")</f>
        <v>Assam</v>
      </c>
      <c r="H252" s="0" t="str">
        <f aca="false">IFERROR(INDEX(Location_Map!$C$2:$C$15,MATCH(D252,Location_Map!$A$2:$A$15,0)),"UNMAPPED")</f>
        <v>North-East</v>
      </c>
      <c r="I252" s="0" t="str">
        <f aca="false">Raw!E252</f>
        <v>Semi-Processed Yarn</v>
      </c>
      <c r="J252" s="28" t="n">
        <f aca="false">Raw!F252</f>
        <v>8.2</v>
      </c>
      <c r="K252" s="30" t="n">
        <f aca="false">DATE(LEFT(Raw!G252,4),MID(Raw!G252,6,2),MID(Raw!G252,9,2))</f>
        <v>45660</v>
      </c>
      <c r="L252" s="30" t="n">
        <f aca="false">DATE(LEFT(Raw!H252,4),MID(Raw!H252,6,2),MID(Raw!H252,9,2))</f>
        <v>45662</v>
      </c>
      <c r="M252" s="30" t="n">
        <f aca="false">DATE(LEFT(Raw!I252,4),MID(Raw!I252,6,2),MID(Raw!I252,9,2))</f>
        <v>45666</v>
      </c>
      <c r="N252" s="31" t="n">
        <f aca="false">DATE(LEFT(Raw!J252,4),MID(Raw!J252,6,2),MID(Raw!J252,9,2))+TIME(MID(Raw!J252,12,2),MID(Raw!J252,15,2),MID(Raw!J252,18,2))</f>
        <v>45662</v>
      </c>
      <c r="O252" s="31" t="n">
        <f aca="false">DATE(LEFT(Raw!K252,4),MID(Raw!K252,6,2),MID(Raw!K252,9,2))+TIME(MID(Raw!K252,12,2),MID(Raw!K252,15,2),MID(Raw!K252,18,2))</f>
        <v>45665</v>
      </c>
      <c r="P252" s="32" t="n">
        <f aca="false">L252-K252</f>
        <v>2</v>
      </c>
      <c r="Q252" s="32" t="n">
        <f aca="false">M252-L252</f>
        <v>4</v>
      </c>
      <c r="R252" s="32" t="n">
        <f aca="false">O252-N252</f>
        <v>3</v>
      </c>
      <c r="S252" s="32" t="n">
        <f aca="false">Raw!L252</f>
        <v>-1</v>
      </c>
      <c r="T252" s="32" t="n">
        <f aca="false">O252-M252</f>
        <v>-1</v>
      </c>
      <c r="U252" s="0" t="str">
        <f aca="false">IF(ABS(T252-S252)&lt;0.01,"OK","MISMATCH")</f>
        <v>OK</v>
      </c>
      <c r="V252" s="33" t="n">
        <f aca="false">Raw!M252</f>
        <v>0</v>
      </c>
      <c r="W252" s="0" t="str">
        <f aca="false">IF((S252&gt;0)=(V252=1),"OK","MISMATCH")</f>
        <v>OK</v>
      </c>
      <c r="X252" s="0" t="str">
        <f aca="false">_xlfn.IFS(S252&lt;=0,"Early/On time",S252&lt;=2,"Minor (up to 2 days)",S252&lt;=5,"Moderate (2-5 days)",TRUE(),"Severe (over 5 days)")</f>
        <v>Early/On time</v>
      </c>
      <c r="Y252" s="0" t="str">
        <f aca="false">YEAR(K252)&amp;"-"&amp;TEXT(MONTH(K252),"00")</f>
        <v>2025-01</v>
      </c>
      <c r="Z252" s="0" t="str">
        <f aca="false">C252&amp;" → "&amp;D252</f>
        <v>Surat → Assam</v>
      </c>
      <c r="AA252" s="0" t="str">
        <f aca="false">Raw!Q252</f>
        <v>GATI Logistics</v>
      </c>
      <c r="AB252" s="0" t="str">
        <f aca="false">Raw!R252</f>
        <v>Yes</v>
      </c>
      <c r="AC252" s="0" t="str">
        <f aca="false">Raw!S252</f>
        <v>Held at warehouse</v>
      </c>
      <c r="AD252" s="29" t="n">
        <f aca="false">Raw!N252</f>
        <v>5535.35</v>
      </c>
      <c r="AE252" s="29" t="n">
        <f aca="false">Raw!O252</f>
        <v>4366.89</v>
      </c>
      <c r="AF252" s="29" t="n">
        <f aca="false">Raw!P252</f>
        <v>1080.22</v>
      </c>
      <c r="AG252" s="29" t="n">
        <f aca="false">AD252/J252</f>
        <v>675.042682926829</v>
      </c>
    </row>
    <row r="253" customFormat="false" ht="15" hidden="false" customHeight="false" outlineLevel="0" collapsed="false">
      <c r="A253" s="0" t="str">
        <f aca="false">Raw!A253</f>
        <v>SHP0252</v>
      </c>
      <c r="B253" s="0" t="str">
        <f aca="false">Raw!B253</f>
        <v>Inbound</v>
      </c>
      <c r="C253" s="0" t="str">
        <f aca="false">Raw!C253</f>
        <v>Rajasthan</v>
      </c>
      <c r="D253" s="0" t="str">
        <f aca="false">Raw!D253</f>
        <v>Surat</v>
      </c>
      <c r="E253" s="0" t="str">
        <f aca="false">IFERROR(INDEX(Location_Map!$B$2:$B$15,MATCH(C253,Location_Map!$A$2:$A$15,0)),"UNMAPPED")</f>
        <v>Rajasthan</v>
      </c>
      <c r="F253" s="0" t="str">
        <f aca="false">IFERROR(INDEX(Location_Map!$C$2:$C$15,MATCH(C253,Location_Map!$A$2:$A$15,0)),"UNMAPPED")</f>
        <v>North</v>
      </c>
      <c r="G253" s="0" t="str">
        <f aca="false">IFERROR(INDEX(Location_Map!$B$2:$B$15,MATCH(D253,Location_Map!$A$2:$A$15,0)),"UNMAPPED")</f>
        <v>Gujarat</v>
      </c>
      <c r="H253" s="0" t="str">
        <f aca="false">IFERROR(INDEX(Location_Map!$C$2:$C$15,MATCH(D253,Location_Map!$A$2:$A$15,0)),"UNMAPPED")</f>
        <v>West</v>
      </c>
      <c r="I253" s="0" t="str">
        <f aca="false">Raw!E253</f>
        <v>Raw Yarn</v>
      </c>
      <c r="J253" s="28" t="n">
        <f aca="false">Raw!F253</f>
        <v>11.63</v>
      </c>
      <c r="K253" s="30" t="n">
        <f aca="false">DATE(LEFT(Raw!G253,4),MID(Raw!G253,6,2),MID(Raw!G253,9,2))</f>
        <v>45689</v>
      </c>
      <c r="L253" s="30" t="n">
        <f aca="false">DATE(LEFT(Raw!H253,4),MID(Raw!H253,6,2),MID(Raw!H253,9,2))</f>
        <v>45690</v>
      </c>
      <c r="M253" s="30" t="n">
        <f aca="false">DATE(LEFT(Raw!I253,4),MID(Raw!I253,6,2),MID(Raw!I253,9,2))</f>
        <v>45693</v>
      </c>
      <c r="N253" s="31" t="n">
        <f aca="false">DATE(LEFT(Raw!J253,4),MID(Raw!J253,6,2),MID(Raw!J253,9,2))+TIME(MID(Raw!J253,12,2),MID(Raw!J253,15,2),MID(Raw!J253,18,2))</f>
        <v>45689.9583333333</v>
      </c>
      <c r="O253" s="31" t="n">
        <f aca="false">DATE(LEFT(Raw!K253,4),MID(Raw!K253,6,2),MID(Raw!K253,9,2))+TIME(MID(Raw!K253,12,2),MID(Raw!K253,15,2),MID(Raw!K253,18,2))</f>
        <v>45692.6</v>
      </c>
      <c r="P253" s="32" t="n">
        <f aca="false">L253-K253</f>
        <v>1</v>
      </c>
      <c r="Q253" s="32" t="n">
        <f aca="false">M253-L253</f>
        <v>3</v>
      </c>
      <c r="R253" s="32" t="n">
        <f aca="false">O253-N253</f>
        <v>2.64166666666667</v>
      </c>
      <c r="S253" s="32" t="n">
        <f aca="false">Raw!L253</f>
        <v>-0.4</v>
      </c>
      <c r="T253" s="32" t="n">
        <f aca="false">O253-M253</f>
        <v>-0.400000000002917</v>
      </c>
      <c r="U253" s="0" t="str">
        <f aca="false">IF(ABS(T253-S253)&lt;0.01,"OK","MISMATCH")</f>
        <v>OK</v>
      </c>
      <c r="V253" s="33" t="n">
        <f aca="false">Raw!M253</f>
        <v>0</v>
      </c>
      <c r="W253" s="0" t="str">
        <f aca="false">IF((S253&gt;0)=(V253=1),"OK","MISMATCH")</f>
        <v>OK</v>
      </c>
      <c r="X253" s="0" t="str">
        <f aca="false">_xlfn.IFS(S253&lt;=0,"Early/On time",S253&lt;=2,"Minor (up to 2 days)",S253&lt;=5,"Moderate (2-5 days)",TRUE(),"Severe (over 5 days)")</f>
        <v>Early/On time</v>
      </c>
      <c r="Y253" s="0" t="str">
        <f aca="false">YEAR(K253)&amp;"-"&amp;TEXT(MONTH(K253),"00")</f>
        <v>2025-02</v>
      </c>
      <c r="Z253" s="0" t="str">
        <f aca="false">C253&amp;" → "&amp;D253</f>
        <v>Rajasthan → Surat</v>
      </c>
      <c r="AA253" s="0" t="str">
        <f aca="false">Raw!Q253</f>
        <v>Delhivery</v>
      </c>
      <c r="AB253" s="0" t="str">
        <f aca="false">Raw!R253</f>
        <v>Yes</v>
      </c>
      <c r="AC253" s="0" t="str">
        <f aca="false">Raw!S253</f>
        <v>Held at warehouse</v>
      </c>
      <c r="AD253" s="29" t="n">
        <f aca="false">Raw!N253</f>
        <v>6119.71</v>
      </c>
      <c r="AE253" s="29" t="n">
        <f aca="false">Raw!O253</f>
        <v>3127.65</v>
      </c>
      <c r="AF253" s="29" t="n">
        <f aca="false">Raw!P253</f>
        <v>635.79</v>
      </c>
      <c r="AG253" s="29" t="n">
        <f aca="false">AD253/J253</f>
        <v>526.200343938091</v>
      </c>
    </row>
    <row r="254" customFormat="false" ht="15" hidden="false" customHeight="false" outlineLevel="0" collapsed="false">
      <c r="A254" s="0" t="str">
        <f aca="false">Raw!A254</f>
        <v>SHP0253</v>
      </c>
      <c r="B254" s="0" t="str">
        <f aca="false">Raw!B254</f>
        <v>Inbound</v>
      </c>
      <c r="C254" s="0" t="str">
        <f aca="false">Raw!C254</f>
        <v>Punjab</v>
      </c>
      <c r="D254" s="0" t="str">
        <f aca="false">Raw!D254</f>
        <v>Surat</v>
      </c>
      <c r="E254" s="0" t="str">
        <f aca="false">IFERROR(INDEX(Location_Map!$B$2:$B$15,MATCH(C254,Location_Map!$A$2:$A$15,0)),"UNMAPPED")</f>
        <v>Punjab</v>
      </c>
      <c r="F254" s="0" t="str">
        <f aca="false">IFERROR(INDEX(Location_Map!$C$2:$C$15,MATCH(C254,Location_Map!$A$2:$A$15,0)),"UNMAPPED")</f>
        <v>North</v>
      </c>
      <c r="G254" s="0" t="str">
        <f aca="false">IFERROR(INDEX(Location_Map!$B$2:$B$15,MATCH(D254,Location_Map!$A$2:$A$15,0)),"UNMAPPED")</f>
        <v>Gujarat</v>
      </c>
      <c r="H254" s="0" t="str">
        <f aca="false">IFERROR(INDEX(Location_Map!$C$2:$C$15,MATCH(D254,Location_Map!$A$2:$A$15,0)),"UNMAPPED")</f>
        <v>West</v>
      </c>
      <c r="I254" s="0" t="str">
        <f aca="false">Raw!E254</f>
        <v>Raw Yarn</v>
      </c>
      <c r="J254" s="28" t="n">
        <f aca="false">Raw!F254</f>
        <v>2.89</v>
      </c>
      <c r="K254" s="30" t="n">
        <f aca="false">DATE(LEFT(Raw!G254,4),MID(Raw!G254,6,2),MID(Raw!G254,9,2))</f>
        <v>45720</v>
      </c>
      <c r="L254" s="30" t="n">
        <f aca="false">DATE(LEFT(Raw!H254,4),MID(Raw!H254,6,2),MID(Raw!H254,9,2))</f>
        <v>45724</v>
      </c>
      <c r="M254" s="30" t="n">
        <f aca="false">DATE(LEFT(Raw!I254,4),MID(Raw!I254,6,2),MID(Raw!I254,9,2))</f>
        <v>45728</v>
      </c>
      <c r="N254" s="31" t="n">
        <f aca="false">DATE(LEFT(Raw!J254,4),MID(Raw!J254,6,2),MID(Raw!J254,9,2))+TIME(MID(Raw!J254,12,2),MID(Raw!J254,15,2),MID(Raw!J254,18,2))</f>
        <v>45724.3333333333</v>
      </c>
      <c r="O254" s="31" t="n">
        <f aca="false">DATE(LEFT(Raw!K254,4),MID(Raw!K254,6,2),MID(Raw!K254,9,2))+TIME(MID(Raw!K254,12,2),MID(Raw!K254,15,2),MID(Raw!K254,18,2))</f>
        <v>45729.2</v>
      </c>
      <c r="P254" s="32" t="n">
        <f aca="false">L254-K254</f>
        <v>4</v>
      </c>
      <c r="Q254" s="32" t="n">
        <f aca="false">M254-L254</f>
        <v>4</v>
      </c>
      <c r="R254" s="32" t="n">
        <f aca="false">O254-N254</f>
        <v>4.86666666666667</v>
      </c>
      <c r="S254" s="32" t="n">
        <f aca="false">Raw!L254</f>
        <v>1.2</v>
      </c>
      <c r="T254" s="32" t="n">
        <f aca="false">O254-M254</f>
        <v>1.2</v>
      </c>
      <c r="U254" s="0" t="str">
        <f aca="false">IF(ABS(T254-S254)&lt;0.01,"OK","MISMATCH")</f>
        <v>OK</v>
      </c>
      <c r="V254" s="33" t="n">
        <f aca="false">Raw!M254</f>
        <v>1</v>
      </c>
      <c r="W254" s="0" t="str">
        <f aca="false">IF((S254&gt;0)=(V254=1),"OK","MISMATCH")</f>
        <v>OK</v>
      </c>
      <c r="X254" s="0" t="str">
        <f aca="false">_xlfn.IFS(S254&lt;=0,"Early/On time",S254&lt;=2,"Minor (up to 2 days)",S254&lt;=5,"Moderate (2-5 days)",TRUE(),"Severe (over 5 days)")</f>
        <v>Minor (up to 2 days)</v>
      </c>
      <c r="Y254" s="0" t="str">
        <f aca="false">YEAR(K254)&amp;"-"&amp;TEXT(MONTH(K254),"00")</f>
        <v>2025-03</v>
      </c>
      <c r="Z254" s="0" t="str">
        <f aca="false">C254&amp;" → "&amp;D254</f>
        <v>Punjab → Surat</v>
      </c>
      <c r="AA254" s="0" t="str">
        <f aca="false">Raw!Q254</f>
        <v>Delhivery</v>
      </c>
      <c r="AB254" s="0" t="str">
        <f aca="false">Raw!R254</f>
        <v>Yes</v>
      </c>
      <c r="AC254" s="0" t="str">
        <f aca="false">Raw!S254</f>
        <v>Damaged</v>
      </c>
      <c r="AD254" s="29" t="n">
        <f aca="false">Raw!N254</f>
        <v>2341.41</v>
      </c>
      <c r="AE254" s="29" t="n">
        <f aca="false">Raw!O254</f>
        <v>2481.59</v>
      </c>
      <c r="AF254" s="29" t="n">
        <f aca="false">Raw!P254</f>
        <v>874.8</v>
      </c>
      <c r="AG254" s="29" t="n">
        <f aca="false">AD254/J254</f>
        <v>810.176470588235</v>
      </c>
    </row>
    <row r="255" customFormat="false" ht="15" hidden="false" customHeight="false" outlineLevel="0" collapsed="false">
      <c r="A255" s="0" t="str">
        <f aca="false">Raw!A255</f>
        <v>SHP0254</v>
      </c>
      <c r="B255" s="0" t="str">
        <f aca="false">Raw!B255</f>
        <v>Inbound</v>
      </c>
      <c r="C255" s="0" t="str">
        <f aca="false">Raw!C255</f>
        <v>Gujarat</v>
      </c>
      <c r="D255" s="0" t="str">
        <f aca="false">Raw!D255</f>
        <v>Surat</v>
      </c>
      <c r="E255" s="0" t="str">
        <f aca="false">IFERROR(INDEX(Location_Map!$B$2:$B$15,MATCH(C255,Location_Map!$A$2:$A$15,0)),"UNMAPPED")</f>
        <v>Gujarat</v>
      </c>
      <c r="F255" s="0" t="str">
        <f aca="false">IFERROR(INDEX(Location_Map!$C$2:$C$15,MATCH(C255,Location_Map!$A$2:$A$15,0)),"UNMAPPED")</f>
        <v>West</v>
      </c>
      <c r="G255" s="0" t="str">
        <f aca="false">IFERROR(INDEX(Location_Map!$B$2:$B$15,MATCH(D255,Location_Map!$A$2:$A$15,0)),"UNMAPPED")</f>
        <v>Gujarat</v>
      </c>
      <c r="H255" s="0" t="str">
        <f aca="false">IFERROR(INDEX(Location_Map!$C$2:$C$15,MATCH(D255,Location_Map!$A$2:$A$15,0)),"UNMAPPED")</f>
        <v>West</v>
      </c>
      <c r="I255" s="0" t="str">
        <f aca="false">Raw!E255</f>
        <v>Semi-Processed Yarn</v>
      </c>
      <c r="J255" s="28" t="n">
        <f aca="false">Raw!F255</f>
        <v>10.01</v>
      </c>
      <c r="K255" s="30" t="n">
        <f aca="false">DATE(LEFT(Raw!G255,4),MID(Raw!G255,6,2),MID(Raw!G255,9,2))</f>
        <v>45791</v>
      </c>
      <c r="L255" s="30" t="n">
        <f aca="false">DATE(LEFT(Raw!H255,4),MID(Raw!H255,6,2),MID(Raw!H255,9,2))</f>
        <v>45795</v>
      </c>
      <c r="M255" s="30" t="n">
        <f aca="false">DATE(LEFT(Raw!I255,4),MID(Raw!I255,6,2),MID(Raw!I255,9,2))</f>
        <v>45797</v>
      </c>
      <c r="N255" s="31" t="n">
        <f aca="false">DATE(LEFT(Raw!J255,4),MID(Raw!J255,6,2),MID(Raw!J255,9,2))+TIME(MID(Raw!J255,12,2),MID(Raw!J255,15,2),MID(Raw!J255,18,2))</f>
        <v>45794.7916666667</v>
      </c>
      <c r="O255" s="31" t="n">
        <f aca="false">DATE(LEFT(Raw!K255,4),MID(Raw!K255,6,2),MID(Raw!K255,9,2))+TIME(MID(Raw!K255,12,2),MID(Raw!K255,15,2),MID(Raw!K255,18,2))</f>
        <v>45803.8</v>
      </c>
      <c r="P255" s="32" t="n">
        <f aca="false">L255-K255</f>
        <v>4</v>
      </c>
      <c r="Q255" s="32" t="n">
        <f aca="false">M255-L255</f>
        <v>2</v>
      </c>
      <c r="R255" s="32" t="n">
        <f aca="false">O255-N255</f>
        <v>9.00833333333333</v>
      </c>
      <c r="S255" s="32" t="n">
        <f aca="false">Raw!L255</f>
        <v>6.8</v>
      </c>
      <c r="T255" s="32" t="n">
        <f aca="false">O255-M255</f>
        <v>6.8</v>
      </c>
      <c r="U255" s="0" t="str">
        <f aca="false">IF(ABS(T255-S255)&lt;0.01,"OK","MISMATCH")</f>
        <v>OK</v>
      </c>
      <c r="V255" s="33" t="n">
        <f aca="false">Raw!M255</f>
        <v>1</v>
      </c>
      <c r="W255" s="0" t="str">
        <f aca="false">IF((S255&gt;0)=(V255=1),"OK","MISMATCH")</f>
        <v>OK</v>
      </c>
      <c r="X255" s="0" t="str">
        <f aca="false">_xlfn.IFS(S255&lt;=0,"Early/On time",S255&lt;=2,"Minor (up to 2 days)",S255&lt;=5,"Moderate (2-5 days)",TRUE(),"Severe (over 5 days)")</f>
        <v>Severe (over 5 days)</v>
      </c>
      <c r="Y255" s="0" t="str">
        <f aca="false">YEAR(K255)&amp;"-"&amp;TEXT(MONTH(K255),"00")</f>
        <v>2025-05</v>
      </c>
      <c r="Z255" s="0" t="str">
        <f aca="false">C255&amp;" → "&amp;D255</f>
        <v>Gujarat → Surat</v>
      </c>
      <c r="AA255" s="0" t="str">
        <f aca="false">Raw!Q255</f>
        <v>BlueDart</v>
      </c>
      <c r="AB255" s="0" t="str">
        <f aca="false">Raw!R255</f>
        <v>Yes</v>
      </c>
      <c r="AC255" s="0" t="str">
        <f aca="false">Raw!S255</f>
        <v>Expedited</v>
      </c>
      <c r="AD255" s="29" t="n">
        <f aca="false">Raw!N255</f>
        <v>4001.31</v>
      </c>
      <c r="AE255" s="29" t="n">
        <f aca="false">Raw!O255</f>
        <v>1606.34</v>
      </c>
      <c r="AF255" s="29" t="n">
        <f aca="false">Raw!P255</f>
        <v>530.94</v>
      </c>
      <c r="AG255" s="29" t="n">
        <f aca="false">AD255/J255</f>
        <v>399.731268731269</v>
      </c>
    </row>
    <row r="256" customFormat="false" ht="15" hidden="false" customHeight="false" outlineLevel="0" collapsed="false">
      <c r="A256" s="0" t="str">
        <f aca="false">Raw!A256</f>
        <v>SHP0255</v>
      </c>
      <c r="B256" s="0" t="str">
        <f aca="false">Raw!B256</f>
        <v>Inbound</v>
      </c>
      <c r="C256" s="0" t="str">
        <f aca="false">Raw!C256</f>
        <v>Rajasthan</v>
      </c>
      <c r="D256" s="0" t="str">
        <f aca="false">Raw!D256</f>
        <v>Surat</v>
      </c>
      <c r="E256" s="0" t="str">
        <f aca="false">IFERROR(INDEX(Location_Map!$B$2:$B$15,MATCH(C256,Location_Map!$A$2:$A$15,0)),"UNMAPPED")</f>
        <v>Rajasthan</v>
      </c>
      <c r="F256" s="0" t="str">
        <f aca="false">IFERROR(INDEX(Location_Map!$C$2:$C$15,MATCH(C256,Location_Map!$A$2:$A$15,0)),"UNMAPPED")</f>
        <v>North</v>
      </c>
      <c r="G256" s="0" t="str">
        <f aca="false">IFERROR(INDEX(Location_Map!$B$2:$B$15,MATCH(D256,Location_Map!$A$2:$A$15,0)),"UNMAPPED")</f>
        <v>Gujarat</v>
      </c>
      <c r="H256" s="0" t="str">
        <f aca="false">IFERROR(INDEX(Location_Map!$C$2:$C$15,MATCH(D256,Location_Map!$A$2:$A$15,0)),"UNMAPPED")</f>
        <v>West</v>
      </c>
      <c r="I256" s="0" t="str">
        <f aca="false">Raw!E256</f>
        <v>Raw Yarn</v>
      </c>
      <c r="J256" s="28" t="n">
        <f aca="false">Raw!F256</f>
        <v>19.44</v>
      </c>
      <c r="K256" s="30" t="n">
        <f aca="false">DATE(LEFT(Raw!G256,4),MID(Raw!G256,6,2),MID(Raw!G256,9,2))</f>
        <v>45890</v>
      </c>
      <c r="L256" s="30" t="n">
        <f aca="false">DATE(LEFT(Raw!H256,4),MID(Raw!H256,6,2),MID(Raw!H256,9,2))</f>
        <v>45894</v>
      </c>
      <c r="M256" s="30" t="n">
        <f aca="false">DATE(LEFT(Raw!I256,4),MID(Raw!I256,6,2),MID(Raw!I256,9,2))</f>
        <v>45896</v>
      </c>
      <c r="N256" s="31" t="n">
        <f aca="false">DATE(LEFT(Raw!J256,4),MID(Raw!J256,6,2),MID(Raw!J256,9,2))+TIME(MID(Raw!J256,12,2),MID(Raw!J256,15,2),MID(Raw!J256,18,2))</f>
        <v>45894</v>
      </c>
      <c r="O256" s="31" t="n">
        <f aca="false">DATE(LEFT(Raw!K256,4),MID(Raw!K256,6,2),MID(Raw!K256,9,2))+TIME(MID(Raw!K256,12,2),MID(Raw!K256,15,2),MID(Raw!K256,18,2))</f>
        <v>45903.2</v>
      </c>
      <c r="P256" s="32" t="n">
        <f aca="false">L256-K256</f>
        <v>4</v>
      </c>
      <c r="Q256" s="32" t="n">
        <f aca="false">M256-L256</f>
        <v>2</v>
      </c>
      <c r="R256" s="32" t="n">
        <f aca="false">O256-N256</f>
        <v>9.2</v>
      </c>
      <c r="S256" s="32" t="n">
        <f aca="false">Raw!L256</f>
        <v>7.2</v>
      </c>
      <c r="T256" s="32" t="n">
        <f aca="false">O256-M256</f>
        <v>7.2</v>
      </c>
      <c r="U256" s="0" t="str">
        <f aca="false">IF(ABS(T256-S256)&lt;0.01,"OK","MISMATCH")</f>
        <v>OK</v>
      </c>
      <c r="V256" s="33" t="n">
        <f aca="false">Raw!M256</f>
        <v>1</v>
      </c>
      <c r="W256" s="0" t="str">
        <f aca="false">IF((S256&gt;0)=(V256=1),"OK","MISMATCH")</f>
        <v>OK</v>
      </c>
      <c r="X256" s="0" t="str">
        <f aca="false">_xlfn.IFS(S256&lt;=0,"Early/On time",S256&lt;=2,"Minor (up to 2 days)",S256&lt;=5,"Moderate (2-5 days)",TRUE(),"Severe (over 5 days)")</f>
        <v>Severe (over 5 days)</v>
      </c>
      <c r="Y256" s="0" t="str">
        <f aca="false">YEAR(K256)&amp;"-"&amp;TEXT(MONTH(K256),"00")</f>
        <v>2025-08</v>
      </c>
      <c r="Z256" s="0" t="str">
        <f aca="false">C256&amp;" → "&amp;D256</f>
        <v>Rajasthan → Surat</v>
      </c>
      <c r="AA256" s="0" t="str">
        <f aca="false">Raw!Q256</f>
        <v>VRL Cargo</v>
      </c>
      <c r="AB256" s="0" t="str">
        <f aca="false">Raw!R256</f>
        <v>Yes</v>
      </c>
      <c r="AC256" s="0" t="str">
        <f aca="false">Raw!S256</f>
        <v>Expedited</v>
      </c>
      <c r="AD256" s="29" t="n">
        <f aca="false">Raw!N256</f>
        <v>8776.79</v>
      </c>
      <c r="AE256" s="29" t="n">
        <f aca="false">Raw!O256</f>
        <v>2424.74</v>
      </c>
      <c r="AF256" s="29" t="n">
        <f aca="false">Raw!P256</f>
        <v>1326.81</v>
      </c>
      <c r="AG256" s="29" t="n">
        <f aca="false">AD256/J256</f>
        <v>451.480967078189</v>
      </c>
    </row>
    <row r="257" customFormat="false" ht="15" hidden="false" customHeight="false" outlineLevel="0" collapsed="false">
      <c r="A257" s="0" t="str">
        <f aca="false">Raw!A257</f>
        <v>SHP0256</v>
      </c>
      <c r="B257" s="0" t="str">
        <f aca="false">Raw!B257</f>
        <v>Inbound</v>
      </c>
      <c r="C257" s="0" t="str">
        <f aca="false">Raw!C257</f>
        <v>Gujarat</v>
      </c>
      <c r="D257" s="0" t="str">
        <f aca="false">Raw!D257</f>
        <v>Surat</v>
      </c>
      <c r="E257" s="0" t="str">
        <f aca="false">IFERROR(INDEX(Location_Map!$B$2:$B$15,MATCH(C257,Location_Map!$A$2:$A$15,0)),"UNMAPPED")</f>
        <v>Gujarat</v>
      </c>
      <c r="F257" s="0" t="str">
        <f aca="false">IFERROR(INDEX(Location_Map!$C$2:$C$15,MATCH(C257,Location_Map!$A$2:$A$15,0)),"UNMAPPED")</f>
        <v>West</v>
      </c>
      <c r="G257" s="0" t="str">
        <f aca="false">IFERROR(INDEX(Location_Map!$B$2:$B$15,MATCH(D257,Location_Map!$A$2:$A$15,0)),"UNMAPPED")</f>
        <v>Gujarat</v>
      </c>
      <c r="H257" s="0" t="str">
        <f aca="false">IFERROR(INDEX(Location_Map!$C$2:$C$15,MATCH(D257,Location_Map!$A$2:$A$15,0)),"UNMAPPED")</f>
        <v>West</v>
      </c>
      <c r="I257" s="0" t="str">
        <f aca="false">Raw!E257</f>
        <v>Finished Yarn</v>
      </c>
      <c r="J257" s="28" t="n">
        <f aca="false">Raw!F257</f>
        <v>14.47</v>
      </c>
      <c r="K257" s="30" t="n">
        <f aca="false">DATE(LEFT(Raw!G257,4),MID(Raw!G257,6,2),MID(Raw!G257,9,2))</f>
        <v>45711</v>
      </c>
      <c r="L257" s="30" t="n">
        <f aca="false">DATE(LEFT(Raw!H257,4),MID(Raw!H257,6,2),MID(Raw!H257,9,2))</f>
        <v>45714</v>
      </c>
      <c r="M257" s="30" t="n">
        <f aca="false">DATE(LEFT(Raw!I257,4),MID(Raw!I257,6,2),MID(Raw!I257,9,2))</f>
        <v>45719</v>
      </c>
      <c r="N257" s="31" t="n">
        <f aca="false">DATE(LEFT(Raw!J257,4),MID(Raw!J257,6,2),MID(Raw!J257,9,2))+TIME(MID(Raw!J257,12,2),MID(Raw!J257,15,2),MID(Raw!J257,18,2))</f>
        <v>45713.9583333333</v>
      </c>
      <c r="O257" s="31" t="n">
        <f aca="false">DATE(LEFT(Raw!K257,4),MID(Raw!K257,6,2),MID(Raw!K257,9,2))+TIME(MID(Raw!K257,12,2),MID(Raw!K257,15,2),MID(Raw!K257,18,2))</f>
        <v>45727.7</v>
      </c>
      <c r="P257" s="32" t="n">
        <f aca="false">L257-K257</f>
        <v>3</v>
      </c>
      <c r="Q257" s="32" t="n">
        <f aca="false">M257-L257</f>
        <v>5</v>
      </c>
      <c r="R257" s="32" t="n">
        <f aca="false">O257-N257</f>
        <v>13.7416666666667</v>
      </c>
      <c r="S257" s="32" t="n">
        <f aca="false">Raw!L257</f>
        <v>8.7</v>
      </c>
      <c r="T257" s="32" t="n">
        <f aca="false">O257-M257</f>
        <v>8.7</v>
      </c>
      <c r="U257" s="0" t="str">
        <f aca="false">IF(ABS(T257-S257)&lt;0.01,"OK","MISMATCH")</f>
        <v>OK</v>
      </c>
      <c r="V257" s="33" t="n">
        <f aca="false">Raw!M257</f>
        <v>1</v>
      </c>
      <c r="W257" s="0" t="str">
        <f aca="false">IF((S257&gt;0)=(V257=1),"OK","MISMATCH")</f>
        <v>OK</v>
      </c>
      <c r="X257" s="0" t="str">
        <f aca="false">_xlfn.IFS(S257&lt;=0,"Early/On time",S257&lt;=2,"Minor (up to 2 days)",S257&lt;=5,"Moderate (2-5 days)",TRUE(),"Severe (over 5 days)")</f>
        <v>Severe (over 5 days)</v>
      </c>
      <c r="Y257" s="0" t="str">
        <f aca="false">YEAR(K257)&amp;"-"&amp;TEXT(MONTH(K257),"00")</f>
        <v>2025-02</v>
      </c>
      <c r="Z257" s="0" t="str">
        <f aca="false">C257&amp;" → "&amp;D257</f>
        <v>Gujarat → Surat</v>
      </c>
      <c r="AA257" s="0" t="str">
        <f aca="false">Raw!Q257</f>
        <v>Delhivery</v>
      </c>
      <c r="AB257" s="0" t="str">
        <f aca="false">Raw!R257</f>
        <v>Yes</v>
      </c>
      <c r="AC257" s="0" t="str">
        <f aca="false">Raw!S257</f>
        <v>Held at warehouse</v>
      </c>
      <c r="AD257" s="29" t="n">
        <f aca="false">Raw!N257</f>
        <v>9629.37</v>
      </c>
      <c r="AE257" s="29" t="n">
        <f aca="false">Raw!O257</f>
        <v>2389.11</v>
      </c>
      <c r="AF257" s="29" t="n">
        <f aca="false">Raw!P257</f>
        <v>1080.47</v>
      </c>
      <c r="AG257" s="29" t="n">
        <f aca="false">AD257/J257</f>
        <v>665.471319972357</v>
      </c>
    </row>
    <row r="258" customFormat="false" ht="15" hidden="false" customHeight="false" outlineLevel="0" collapsed="false">
      <c r="A258" s="0" t="str">
        <f aca="false">Raw!A258</f>
        <v>SHP0257</v>
      </c>
      <c r="B258" s="0" t="str">
        <f aca="false">Raw!B258</f>
        <v>Outbound</v>
      </c>
      <c r="C258" s="0" t="str">
        <f aca="false">Raw!C258</f>
        <v>Surat</v>
      </c>
      <c r="D258" s="0" t="str">
        <f aca="false">Raw!D258</f>
        <v>Assam</v>
      </c>
      <c r="E258" s="0" t="str">
        <f aca="false">IFERROR(INDEX(Location_Map!$B$2:$B$15,MATCH(C258,Location_Map!$A$2:$A$15,0)),"UNMAPPED")</f>
        <v>Gujarat</v>
      </c>
      <c r="F258" s="0" t="str">
        <f aca="false">IFERROR(INDEX(Location_Map!$C$2:$C$15,MATCH(C258,Location_Map!$A$2:$A$15,0)),"UNMAPPED")</f>
        <v>West</v>
      </c>
      <c r="G258" s="0" t="str">
        <f aca="false">IFERROR(INDEX(Location_Map!$B$2:$B$15,MATCH(D258,Location_Map!$A$2:$A$15,0)),"UNMAPPED")</f>
        <v>Assam</v>
      </c>
      <c r="H258" s="0" t="str">
        <f aca="false">IFERROR(INDEX(Location_Map!$C$2:$C$15,MATCH(D258,Location_Map!$A$2:$A$15,0)),"UNMAPPED")</f>
        <v>North-East</v>
      </c>
      <c r="I258" s="0" t="str">
        <f aca="false">Raw!E258</f>
        <v>Finished Yarn</v>
      </c>
      <c r="J258" s="28" t="n">
        <f aca="false">Raw!F258</f>
        <v>3.64</v>
      </c>
      <c r="K258" s="30" t="n">
        <f aca="false">DATE(LEFT(Raw!G258,4),MID(Raw!G258,6,2),MID(Raw!G258,9,2))</f>
        <v>45791</v>
      </c>
      <c r="L258" s="30" t="n">
        <f aca="false">DATE(LEFT(Raw!H258,4),MID(Raw!H258,6,2),MID(Raw!H258,9,2))</f>
        <v>45794</v>
      </c>
      <c r="M258" s="30" t="n">
        <f aca="false">DATE(LEFT(Raw!I258,4),MID(Raw!I258,6,2),MID(Raw!I258,9,2))</f>
        <v>45798</v>
      </c>
      <c r="N258" s="31" t="n">
        <f aca="false">DATE(LEFT(Raw!J258,4),MID(Raw!J258,6,2),MID(Raw!J258,9,2))+TIME(MID(Raw!J258,12,2),MID(Raw!J258,15,2),MID(Raw!J258,18,2))</f>
        <v>45793.875</v>
      </c>
      <c r="O258" s="31" t="n">
        <f aca="false">DATE(LEFT(Raw!K258,4),MID(Raw!K258,6,2),MID(Raw!K258,9,2))+TIME(MID(Raw!K258,12,2),MID(Raw!K258,15,2),MID(Raw!K258,18,2))</f>
        <v>45801.9</v>
      </c>
      <c r="P258" s="32" t="n">
        <f aca="false">L258-K258</f>
        <v>3</v>
      </c>
      <c r="Q258" s="32" t="n">
        <f aca="false">M258-L258</f>
        <v>4</v>
      </c>
      <c r="R258" s="32" t="n">
        <f aca="false">O258-N258</f>
        <v>8.025</v>
      </c>
      <c r="S258" s="32" t="n">
        <f aca="false">Raw!L258</f>
        <v>3.9</v>
      </c>
      <c r="T258" s="32" t="n">
        <f aca="false">O258-M258</f>
        <v>3.9</v>
      </c>
      <c r="U258" s="0" t="str">
        <f aca="false">IF(ABS(T258-S258)&lt;0.01,"OK","MISMATCH")</f>
        <v>OK</v>
      </c>
      <c r="V258" s="33" t="n">
        <f aca="false">Raw!M258</f>
        <v>1</v>
      </c>
      <c r="W258" s="0" t="str">
        <f aca="false">IF((S258&gt;0)=(V258=1),"OK","MISMATCH")</f>
        <v>OK</v>
      </c>
      <c r="X258" s="0" t="str">
        <f aca="false">_xlfn.IFS(S258&lt;=0,"Early/On time",S258&lt;=2,"Minor (up to 2 days)",S258&lt;=5,"Moderate (2-5 days)",TRUE(),"Severe (over 5 days)")</f>
        <v>Moderate (2-5 days)</v>
      </c>
      <c r="Y258" s="0" t="str">
        <f aca="false">YEAR(K258)&amp;"-"&amp;TEXT(MONTH(K258),"00")</f>
        <v>2025-05</v>
      </c>
      <c r="Z258" s="0" t="str">
        <f aca="false">C258&amp;" → "&amp;D258</f>
        <v>Surat → Assam</v>
      </c>
      <c r="AA258" s="0" t="str">
        <f aca="false">Raw!Q258</f>
        <v>TCI Express</v>
      </c>
      <c r="AB258" s="0" t="str">
        <f aca="false">Raw!R258</f>
        <v>Yes</v>
      </c>
      <c r="AC258" s="0" t="str">
        <f aca="false">Raw!S258</f>
        <v>Expedited</v>
      </c>
      <c r="AD258" s="29" t="n">
        <f aca="false">Raw!N258</f>
        <v>3325.01</v>
      </c>
      <c r="AE258" s="29" t="n">
        <f aca="false">Raw!O258</f>
        <v>3277.51</v>
      </c>
      <c r="AF258" s="29" t="n">
        <f aca="false">Raw!P258</f>
        <v>1120.66</v>
      </c>
      <c r="AG258" s="29" t="n">
        <f aca="false">AD258/J258</f>
        <v>913.464285714286</v>
      </c>
    </row>
    <row r="259" customFormat="false" ht="15" hidden="false" customHeight="false" outlineLevel="0" collapsed="false">
      <c r="A259" s="0" t="str">
        <f aca="false">Raw!A259</f>
        <v>SHP0258</v>
      </c>
      <c r="B259" s="0" t="str">
        <f aca="false">Raw!B259</f>
        <v>Inbound</v>
      </c>
      <c r="C259" s="0" t="str">
        <f aca="false">Raw!C259</f>
        <v>Uttar Pradesh</v>
      </c>
      <c r="D259" s="0" t="str">
        <f aca="false">Raw!D259</f>
        <v>Surat</v>
      </c>
      <c r="E259" s="0" t="str">
        <f aca="false">IFERROR(INDEX(Location_Map!$B$2:$B$15,MATCH(C259,Location_Map!$A$2:$A$15,0)),"UNMAPPED")</f>
        <v>Uttar Pradesh</v>
      </c>
      <c r="F259" s="0" t="str">
        <f aca="false">IFERROR(INDEX(Location_Map!$C$2:$C$15,MATCH(C259,Location_Map!$A$2:$A$15,0)),"UNMAPPED")</f>
        <v>North</v>
      </c>
      <c r="G259" s="0" t="str">
        <f aca="false">IFERROR(INDEX(Location_Map!$B$2:$B$15,MATCH(D259,Location_Map!$A$2:$A$15,0)),"UNMAPPED")</f>
        <v>Gujarat</v>
      </c>
      <c r="H259" s="0" t="str">
        <f aca="false">IFERROR(INDEX(Location_Map!$C$2:$C$15,MATCH(D259,Location_Map!$A$2:$A$15,0)),"UNMAPPED")</f>
        <v>West</v>
      </c>
      <c r="I259" s="0" t="str">
        <f aca="false">Raw!E259</f>
        <v>Raw Yarn</v>
      </c>
      <c r="J259" s="28" t="n">
        <f aca="false">Raw!F259</f>
        <v>4.82</v>
      </c>
      <c r="K259" s="30" t="n">
        <f aca="false">DATE(LEFT(Raw!G259,4),MID(Raw!G259,6,2),MID(Raw!G259,9,2))</f>
        <v>45776</v>
      </c>
      <c r="L259" s="30" t="n">
        <f aca="false">DATE(LEFT(Raw!H259,4),MID(Raw!H259,6,2),MID(Raw!H259,9,2))</f>
        <v>45777</v>
      </c>
      <c r="M259" s="30" t="n">
        <f aca="false">DATE(LEFT(Raw!I259,4),MID(Raw!I259,6,2),MID(Raw!I259,9,2))</f>
        <v>45779</v>
      </c>
      <c r="N259" s="31" t="n">
        <f aca="false">DATE(LEFT(Raw!J259,4),MID(Raw!J259,6,2),MID(Raw!J259,9,2))+TIME(MID(Raw!J259,12,2),MID(Raw!J259,15,2),MID(Raw!J259,18,2))</f>
        <v>45776.9583333333</v>
      </c>
      <c r="O259" s="31" t="n">
        <f aca="false">DATE(LEFT(Raw!K259,4),MID(Raw!K259,6,2),MID(Raw!K259,9,2))+TIME(MID(Raw!K259,12,2),MID(Raw!K259,15,2),MID(Raw!K259,18,2))</f>
        <v>45779</v>
      </c>
      <c r="P259" s="32" t="n">
        <f aca="false">L259-K259</f>
        <v>1</v>
      </c>
      <c r="Q259" s="32" t="n">
        <f aca="false">M259-L259</f>
        <v>2</v>
      </c>
      <c r="R259" s="32" t="n">
        <f aca="false">O259-N259</f>
        <v>2.04166666666667</v>
      </c>
      <c r="S259" s="32" t="n">
        <f aca="false">Raw!L259</f>
        <v>0</v>
      </c>
      <c r="T259" s="32" t="n">
        <f aca="false">O259-M259</f>
        <v>0</v>
      </c>
      <c r="U259" s="0" t="str">
        <f aca="false">IF(ABS(T259-S259)&lt;0.01,"OK","MISMATCH")</f>
        <v>OK</v>
      </c>
      <c r="V259" s="33" t="n">
        <f aca="false">Raw!M259</f>
        <v>0</v>
      </c>
      <c r="W259" s="0" t="str">
        <f aca="false">IF((S259&gt;0)=(V259=1),"OK","MISMATCH")</f>
        <v>OK</v>
      </c>
      <c r="X259" s="0" t="str">
        <f aca="false">_xlfn.IFS(S259&lt;=0,"Early/On time",S259&lt;=2,"Minor (up to 2 days)",S259&lt;=5,"Moderate (2-5 days)",TRUE(),"Severe (over 5 days)")</f>
        <v>Early/On time</v>
      </c>
      <c r="Y259" s="0" t="str">
        <f aca="false">YEAR(K259)&amp;"-"&amp;TEXT(MONTH(K259),"00")</f>
        <v>2025-04</v>
      </c>
      <c r="Z259" s="0" t="str">
        <f aca="false">C259&amp;" → "&amp;D259</f>
        <v>Uttar Pradesh → Surat</v>
      </c>
      <c r="AA259" s="0" t="str">
        <f aca="false">Raw!Q259</f>
        <v>TCI Express</v>
      </c>
      <c r="AB259" s="0" t="str">
        <f aca="false">Raw!R259</f>
        <v>Yes</v>
      </c>
      <c r="AC259" s="0" t="str">
        <f aca="false">Raw!S259</f>
        <v>Damaged</v>
      </c>
      <c r="AD259" s="29" t="n">
        <f aca="false">Raw!N259</f>
        <v>2637.66</v>
      </c>
      <c r="AE259" s="29" t="n">
        <f aca="false">Raw!O259</f>
        <v>4856.12</v>
      </c>
      <c r="AF259" s="29" t="n">
        <f aca="false">Raw!P259</f>
        <v>1409.45</v>
      </c>
      <c r="AG259" s="29" t="n">
        <f aca="false">AD259/J259</f>
        <v>547.232365145228</v>
      </c>
    </row>
    <row r="260" customFormat="false" ht="15" hidden="false" customHeight="false" outlineLevel="0" collapsed="false">
      <c r="A260" s="0" t="str">
        <f aca="false">Raw!A260</f>
        <v>SHP0259</v>
      </c>
      <c r="B260" s="0" t="str">
        <f aca="false">Raw!B260</f>
        <v>Inbound</v>
      </c>
      <c r="C260" s="0" t="str">
        <f aca="false">Raw!C260</f>
        <v>Chennai</v>
      </c>
      <c r="D260" s="0" t="str">
        <f aca="false">Raw!D260</f>
        <v>Surat</v>
      </c>
      <c r="E260" s="0" t="str">
        <f aca="false">IFERROR(INDEX(Location_Map!$B$2:$B$15,MATCH(C260,Location_Map!$A$2:$A$15,0)),"UNMAPPED")</f>
        <v>Tamil Nadu</v>
      </c>
      <c r="F260" s="0" t="str">
        <f aca="false">IFERROR(INDEX(Location_Map!$C$2:$C$15,MATCH(C260,Location_Map!$A$2:$A$15,0)),"UNMAPPED")</f>
        <v>South</v>
      </c>
      <c r="G260" s="0" t="str">
        <f aca="false">IFERROR(INDEX(Location_Map!$B$2:$B$15,MATCH(D260,Location_Map!$A$2:$A$15,0)),"UNMAPPED")</f>
        <v>Gujarat</v>
      </c>
      <c r="H260" s="0" t="str">
        <f aca="false">IFERROR(INDEX(Location_Map!$C$2:$C$15,MATCH(D260,Location_Map!$A$2:$A$15,0)),"UNMAPPED")</f>
        <v>West</v>
      </c>
      <c r="I260" s="0" t="str">
        <f aca="false">Raw!E260</f>
        <v>Semi-Processed Yarn</v>
      </c>
      <c r="J260" s="28" t="n">
        <f aca="false">Raw!F260</f>
        <v>14.72</v>
      </c>
      <c r="K260" s="30" t="n">
        <f aca="false">DATE(LEFT(Raw!G260,4),MID(Raw!G260,6,2),MID(Raw!G260,9,2))</f>
        <v>45818</v>
      </c>
      <c r="L260" s="30" t="n">
        <f aca="false">DATE(LEFT(Raw!H260,4),MID(Raw!H260,6,2),MID(Raw!H260,9,2))</f>
        <v>45822</v>
      </c>
      <c r="M260" s="30" t="n">
        <f aca="false">DATE(LEFT(Raw!I260,4),MID(Raw!I260,6,2),MID(Raw!I260,9,2))</f>
        <v>45828</v>
      </c>
      <c r="N260" s="31" t="n">
        <f aca="false">DATE(LEFT(Raw!J260,4),MID(Raw!J260,6,2),MID(Raw!J260,9,2))+TIME(MID(Raw!J260,12,2),MID(Raw!J260,15,2),MID(Raw!J260,18,2))</f>
        <v>45821.9583333333</v>
      </c>
      <c r="O260" s="31" t="n">
        <f aca="false">DATE(LEFT(Raw!K260,4),MID(Raw!K260,6,2),MID(Raw!K260,9,2))+TIME(MID(Raw!K260,12,2),MID(Raw!K260,15,2),MID(Raw!K260,18,2))</f>
        <v>45831</v>
      </c>
      <c r="P260" s="32" t="n">
        <f aca="false">L260-K260</f>
        <v>4</v>
      </c>
      <c r="Q260" s="32" t="n">
        <f aca="false">M260-L260</f>
        <v>6</v>
      </c>
      <c r="R260" s="32" t="n">
        <f aca="false">O260-N260</f>
        <v>9.04166666666667</v>
      </c>
      <c r="S260" s="32" t="n">
        <f aca="false">Raw!L260</f>
        <v>3</v>
      </c>
      <c r="T260" s="32" t="n">
        <f aca="false">O260-M260</f>
        <v>3</v>
      </c>
      <c r="U260" s="0" t="str">
        <f aca="false">IF(ABS(T260-S260)&lt;0.01,"OK","MISMATCH")</f>
        <v>OK</v>
      </c>
      <c r="V260" s="33" t="n">
        <f aca="false">Raw!M260</f>
        <v>1</v>
      </c>
      <c r="W260" s="0" t="str">
        <f aca="false">IF((S260&gt;0)=(V260=1),"OK","MISMATCH")</f>
        <v>OK</v>
      </c>
      <c r="X260" s="0" t="str">
        <f aca="false">_xlfn.IFS(S260&lt;=0,"Early/On time",S260&lt;=2,"Minor (up to 2 days)",S260&lt;=5,"Moderate (2-5 days)",TRUE(),"Severe (over 5 days)")</f>
        <v>Moderate (2-5 days)</v>
      </c>
      <c r="Y260" s="0" t="str">
        <f aca="false">YEAR(K260)&amp;"-"&amp;TEXT(MONTH(K260),"00")</f>
        <v>2025-06</v>
      </c>
      <c r="Z260" s="0" t="str">
        <f aca="false">C260&amp;" → "&amp;D260</f>
        <v>Chennai → Surat</v>
      </c>
      <c r="AA260" s="0" t="str">
        <f aca="false">Raw!Q260</f>
        <v>Delhivery</v>
      </c>
      <c r="AB260" s="0" t="str">
        <f aca="false">Raw!R260</f>
        <v>No</v>
      </c>
      <c r="AC260" s="0" t="str">
        <f aca="false">Raw!S260</f>
        <v>Damaged</v>
      </c>
      <c r="AD260" s="29" t="n">
        <f aca="false">Raw!N260</f>
        <v>7399.35</v>
      </c>
      <c r="AE260" s="29" t="n">
        <f aca="false">Raw!O260</f>
        <v>4508.36</v>
      </c>
      <c r="AF260" s="29" t="n">
        <f aca="false">Raw!P260</f>
        <v>1444.04</v>
      </c>
      <c r="AG260" s="29" t="n">
        <f aca="false">AD260/J260</f>
        <v>502.673233695652</v>
      </c>
    </row>
    <row r="261" customFormat="false" ht="15" hidden="false" customHeight="false" outlineLevel="0" collapsed="false">
      <c r="A261" s="0" t="str">
        <f aca="false">Raw!A261</f>
        <v>SHP0260</v>
      </c>
      <c r="B261" s="0" t="str">
        <f aca="false">Raw!B261</f>
        <v>Inbound</v>
      </c>
      <c r="C261" s="0" t="str">
        <f aca="false">Raw!C261</f>
        <v>Chennai</v>
      </c>
      <c r="D261" s="0" t="str">
        <f aca="false">Raw!D261</f>
        <v>Surat</v>
      </c>
      <c r="E261" s="0" t="str">
        <f aca="false">IFERROR(INDEX(Location_Map!$B$2:$B$15,MATCH(C261,Location_Map!$A$2:$A$15,0)),"UNMAPPED")</f>
        <v>Tamil Nadu</v>
      </c>
      <c r="F261" s="0" t="str">
        <f aca="false">IFERROR(INDEX(Location_Map!$C$2:$C$15,MATCH(C261,Location_Map!$A$2:$A$15,0)),"UNMAPPED")</f>
        <v>South</v>
      </c>
      <c r="G261" s="0" t="str">
        <f aca="false">IFERROR(INDEX(Location_Map!$B$2:$B$15,MATCH(D261,Location_Map!$A$2:$A$15,0)),"UNMAPPED")</f>
        <v>Gujarat</v>
      </c>
      <c r="H261" s="0" t="str">
        <f aca="false">IFERROR(INDEX(Location_Map!$C$2:$C$15,MATCH(D261,Location_Map!$A$2:$A$15,0)),"UNMAPPED")</f>
        <v>West</v>
      </c>
      <c r="I261" s="0" t="str">
        <f aca="false">Raw!E261</f>
        <v>Semi-Processed Yarn</v>
      </c>
      <c r="J261" s="28" t="n">
        <f aca="false">Raw!F261</f>
        <v>3.83</v>
      </c>
      <c r="K261" s="30" t="n">
        <f aca="false">DATE(LEFT(Raw!G261,4),MID(Raw!G261,6,2),MID(Raw!G261,9,2))</f>
        <v>45796</v>
      </c>
      <c r="L261" s="30" t="n">
        <f aca="false">DATE(LEFT(Raw!H261,4),MID(Raw!H261,6,2),MID(Raw!H261,9,2))</f>
        <v>45800</v>
      </c>
      <c r="M261" s="30" t="n">
        <f aca="false">DATE(LEFT(Raw!I261,4),MID(Raw!I261,6,2),MID(Raw!I261,9,2))</f>
        <v>45805</v>
      </c>
      <c r="N261" s="31" t="n">
        <f aca="false">DATE(LEFT(Raw!J261,4),MID(Raw!J261,6,2),MID(Raw!J261,9,2))+TIME(MID(Raw!J261,12,2),MID(Raw!J261,15,2),MID(Raw!J261,18,2))</f>
        <v>45799.9166666667</v>
      </c>
      <c r="O261" s="31" t="n">
        <f aca="false">DATE(LEFT(Raw!K261,4),MID(Raw!K261,6,2),MID(Raw!K261,9,2))+TIME(MID(Raw!K261,12,2),MID(Raw!K261,15,2),MID(Raw!K261,18,2))</f>
        <v>45811.9</v>
      </c>
      <c r="P261" s="32" t="n">
        <f aca="false">L261-K261</f>
        <v>4</v>
      </c>
      <c r="Q261" s="32" t="n">
        <f aca="false">M261-L261</f>
        <v>5</v>
      </c>
      <c r="R261" s="32" t="n">
        <f aca="false">O261-N261</f>
        <v>11.9833333333333</v>
      </c>
      <c r="S261" s="32" t="n">
        <f aca="false">Raw!L261</f>
        <v>6.9</v>
      </c>
      <c r="T261" s="32" t="n">
        <f aca="false">O261-M261</f>
        <v>6.9</v>
      </c>
      <c r="U261" s="0" t="str">
        <f aca="false">IF(ABS(T261-S261)&lt;0.01,"OK","MISMATCH")</f>
        <v>OK</v>
      </c>
      <c r="V261" s="33" t="n">
        <f aca="false">Raw!M261</f>
        <v>1</v>
      </c>
      <c r="W261" s="0" t="str">
        <f aca="false">IF((S261&gt;0)=(V261=1),"OK","MISMATCH")</f>
        <v>OK</v>
      </c>
      <c r="X261" s="0" t="str">
        <f aca="false">_xlfn.IFS(S261&lt;=0,"Early/On time",S261&lt;=2,"Minor (up to 2 days)",S261&lt;=5,"Moderate (2-5 days)",TRUE(),"Severe (over 5 days)")</f>
        <v>Severe (over 5 days)</v>
      </c>
      <c r="Y261" s="0" t="str">
        <f aca="false">YEAR(K261)&amp;"-"&amp;TEXT(MONTH(K261),"00")</f>
        <v>2025-05</v>
      </c>
      <c r="Z261" s="0" t="str">
        <f aca="false">C261&amp;" → "&amp;D261</f>
        <v>Chennai → Surat</v>
      </c>
      <c r="AA261" s="0" t="str">
        <f aca="false">Raw!Q261</f>
        <v>TCI Express</v>
      </c>
      <c r="AB261" s="0" t="str">
        <f aca="false">Raw!R261</f>
        <v>Yes</v>
      </c>
      <c r="AC261" s="0" t="str">
        <f aca="false">Raw!S261</f>
        <v>Held at warehouse</v>
      </c>
      <c r="AD261" s="29" t="n">
        <f aca="false">Raw!N261</f>
        <v>3343.27</v>
      </c>
      <c r="AE261" s="29" t="n">
        <f aca="false">Raw!O261</f>
        <v>2501.32</v>
      </c>
      <c r="AF261" s="29" t="n">
        <f aca="false">Raw!P261</f>
        <v>785.78</v>
      </c>
      <c r="AG261" s="29" t="n">
        <f aca="false">AD261/J261</f>
        <v>872.916449086162</v>
      </c>
    </row>
    <row r="262" customFormat="false" ht="15" hidden="false" customHeight="false" outlineLevel="0" collapsed="false">
      <c r="A262" s="0" t="str">
        <f aca="false">Raw!A262</f>
        <v>SHP0261</v>
      </c>
      <c r="B262" s="0" t="str">
        <f aca="false">Raw!B262</f>
        <v>Outbound</v>
      </c>
      <c r="C262" s="0" t="str">
        <f aca="false">Raw!C262</f>
        <v>Surat</v>
      </c>
      <c r="D262" s="0" t="str">
        <f aca="false">Raw!D262</f>
        <v>Jaipur</v>
      </c>
      <c r="E262" s="0" t="str">
        <f aca="false">IFERROR(INDEX(Location_Map!$B$2:$B$15,MATCH(C262,Location_Map!$A$2:$A$15,0)),"UNMAPPED")</f>
        <v>Gujarat</v>
      </c>
      <c r="F262" s="0" t="str">
        <f aca="false">IFERROR(INDEX(Location_Map!$C$2:$C$15,MATCH(C262,Location_Map!$A$2:$A$15,0)),"UNMAPPED")</f>
        <v>West</v>
      </c>
      <c r="G262" s="0" t="str">
        <f aca="false">IFERROR(INDEX(Location_Map!$B$2:$B$15,MATCH(D262,Location_Map!$A$2:$A$15,0)),"UNMAPPED")</f>
        <v>Rajasthan</v>
      </c>
      <c r="H262" s="0" t="str">
        <f aca="false">IFERROR(INDEX(Location_Map!$C$2:$C$15,MATCH(D262,Location_Map!$A$2:$A$15,0)),"UNMAPPED")</f>
        <v>North</v>
      </c>
      <c r="I262" s="0" t="str">
        <f aca="false">Raw!E262</f>
        <v>Semi-Processed Yarn</v>
      </c>
      <c r="J262" s="28" t="n">
        <f aca="false">Raw!F262</f>
        <v>4.86</v>
      </c>
      <c r="K262" s="30" t="n">
        <f aca="false">DATE(LEFT(Raw!G262,4),MID(Raw!G262,6,2),MID(Raw!G262,9,2))</f>
        <v>45886</v>
      </c>
      <c r="L262" s="30" t="n">
        <f aca="false">DATE(LEFT(Raw!H262,4),MID(Raw!H262,6,2),MID(Raw!H262,9,2))</f>
        <v>45888</v>
      </c>
      <c r="M262" s="30" t="n">
        <f aca="false">DATE(LEFT(Raw!I262,4),MID(Raw!I262,6,2),MID(Raw!I262,9,2))</f>
        <v>45892</v>
      </c>
      <c r="N262" s="31" t="n">
        <f aca="false">DATE(LEFT(Raw!J262,4),MID(Raw!J262,6,2),MID(Raw!J262,9,2))+TIME(MID(Raw!J262,12,2),MID(Raw!J262,15,2),MID(Raw!J262,18,2))</f>
        <v>45887.7916666667</v>
      </c>
      <c r="O262" s="31" t="n">
        <f aca="false">DATE(LEFT(Raw!K262,4),MID(Raw!K262,6,2),MID(Raw!K262,9,2))+TIME(MID(Raw!K262,12,2),MID(Raw!K262,15,2),MID(Raw!K262,18,2))</f>
        <v>45893.3</v>
      </c>
      <c r="P262" s="32" t="n">
        <f aca="false">L262-K262</f>
        <v>2</v>
      </c>
      <c r="Q262" s="32" t="n">
        <f aca="false">M262-L262</f>
        <v>4</v>
      </c>
      <c r="R262" s="32" t="n">
        <f aca="false">O262-N262</f>
        <v>5.50833333333333</v>
      </c>
      <c r="S262" s="32" t="n">
        <f aca="false">Raw!L262</f>
        <v>1.3</v>
      </c>
      <c r="T262" s="32" t="n">
        <f aca="false">O262-M262</f>
        <v>1.3</v>
      </c>
      <c r="U262" s="0" t="str">
        <f aca="false">IF(ABS(T262-S262)&lt;0.01,"OK","MISMATCH")</f>
        <v>OK</v>
      </c>
      <c r="V262" s="33" t="n">
        <f aca="false">Raw!M262</f>
        <v>1</v>
      </c>
      <c r="W262" s="0" t="str">
        <f aca="false">IF((S262&gt;0)=(V262=1),"OK","MISMATCH")</f>
        <v>OK</v>
      </c>
      <c r="X262" s="0" t="str">
        <f aca="false">_xlfn.IFS(S262&lt;=0,"Early/On time",S262&lt;=2,"Minor (up to 2 days)",S262&lt;=5,"Moderate (2-5 days)",TRUE(),"Severe (over 5 days)")</f>
        <v>Minor (up to 2 days)</v>
      </c>
      <c r="Y262" s="0" t="str">
        <f aca="false">YEAR(K262)&amp;"-"&amp;TEXT(MONTH(K262),"00")</f>
        <v>2025-08</v>
      </c>
      <c r="Z262" s="0" t="str">
        <f aca="false">C262&amp;" → "&amp;D262</f>
        <v>Surat → Jaipur</v>
      </c>
      <c r="AA262" s="0" t="str">
        <f aca="false">Raw!Q262</f>
        <v>BlueDart</v>
      </c>
      <c r="AB262" s="0" t="str">
        <f aca="false">Raw!R262</f>
        <v>No</v>
      </c>
      <c r="AC262" s="0" t="str">
        <f aca="false">Raw!S262</f>
        <v>Returned</v>
      </c>
      <c r="AD262" s="29" t="n">
        <f aca="false">Raw!N262</f>
        <v>4807.41</v>
      </c>
      <c r="AE262" s="29" t="n">
        <f aca="false">Raw!O262</f>
        <v>2630.34</v>
      </c>
      <c r="AF262" s="29" t="n">
        <f aca="false">Raw!P262</f>
        <v>1327.52</v>
      </c>
      <c r="AG262" s="29" t="n">
        <f aca="false">AD262/J262</f>
        <v>989.179012345679</v>
      </c>
    </row>
    <row r="263" customFormat="false" ht="15" hidden="false" customHeight="false" outlineLevel="0" collapsed="false">
      <c r="A263" s="0" t="str">
        <f aca="false">Raw!A263</f>
        <v>SHP0262</v>
      </c>
      <c r="B263" s="0" t="str">
        <f aca="false">Raw!B263</f>
        <v>Inbound</v>
      </c>
      <c r="C263" s="0" t="str">
        <f aca="false">Raw!C263</f>
        <v>Chennai</v>
      </c>
      <c r="D263" s="0" t="str">
        <f aca="false">Raw!D263</f>
        <v>Surat</v>
      </c>
      <c r="E263" s="0" t="str">
        <f aca="false">IFERROR(INDEX(Location_Map!$B$2:$B$15,MATCH(C263,Location_Map!$A$2:$A$15,0)),"UNMAPPED")</f>
        <v>Tamil Nadu</v>
      </c>
      <c r="F263" s="0" t="str">
        <f aca="false">IFERROR(INDEX(Location_Map!$C$2:$C$15,MATCH(C263,Location_Map!$A$2:$A$15,0)),"UNMAPPED")</f>
        <v>South</v>
      </c>
      <c r="G263" s="0" t="str">
        <f aca="false">IFERROR(INDEX(Location_Map!$B$2:$B$15,MATCH(D263,Location_Map!$A$2:$A$15,0)),"UNMAPPED")</f>
        <v>Gujarat</v>
      </c>
      <c r="H263" s="0" t="str">
        <f aca="false">IFERROR(INDEX(Location_Map!$C$2:$C$15,MATCH(D263,Location_Map!$A$2:$A$15,0)),"UNMAPPED")</f>
        <v>West</v>
      </c>
      <c r="I263" s="0" t="str">
        <f aca="false">Raw!E263</f>
        <v>Raw Yarn</v>
      </c>
      <c r="J263" s="28" t="n">
        <f aca="false">Raw!F263</f>
        <v>15.53</v>
      </c>
      <c r="K263" s="30" t="n">
        <f aca="false">DATE(LEFT(Raw!G263,4),MID(Raw!G263,6,2),MID(Raw!G263,9,2))</f>
        <v>45830</v>
      </c>
      <c r="L263" s="30" t="n">
        <f aca="false">DATE(LEFT(Raw!H263,4),MID(Raw!H263,6,2),MID(Raw!H263,9,2))</f>
        <v>45834</v>
      </c>
      <c r="M263" s="30" t="n">
        <f aca="false">DATE(LEFT(Raw!I263,4),MID(Raw!I263,6,2),MID(Raw!I263,9,2))</f>
        <v>45836</v>
      </c>
      <c r="N263" s="31" t="n">
        <f aca="false">DATE(LEFT(Raw!J263,4),MID(Raw!J263,6,2),MID(Raw!J263,9,2))+TIME(MID(Raw!J263,12,2),MID(Raw!J263,15,2),MID(Raw!J263,18,2))</f>
        <v>45834.0833333333</v>
      </c>
      <c r="O263" s="31" t="n">
        <f aca="false">DATE(LEFT(Raw!K263,4),MID(Raw!K263,6,2),MID(Raw!K263,9,2))+TIME(MID(Raw!K263,12,2),MID(Raw!K263,15,2),MID(Raw!K263,18,2))</f>
        <v>45840</v>
      </c>
      <c r="P263" s="32" t="n">
        <f aca="false">L263-K263</f>
        <v>4</v>
      </c>
      <c r="Q263" s="32" t="n">
        <f aca="false">M263-L263</f>
        <v>2</v>
      </c>
      <c r="R263" s="32" t="n">
        <f aca="false">O263-N263</f>
        <v>5.91666666666667</v>
      </c>
      <c r="S263" s="32" t="n">
        <f aca="false">Raw!L263</f>
        <v>4</v>
      </c>
      <c r="T263" s="32" t="n">
        <f aca="false">O263-M263</f>
        <v>4</v>
      </c>
      <c r="U263" s="0" t="str">
        <f aca="false">IF(ABS(T263-S263)&lt;0.01,"OK","MISMATCH")</f>
        <v>OK</v>
      </c>
      <c r="V263" s="33" t="n">
        <f aca="false">Raw!M263</f>
        <v>1</v>
      </c>
      <c r="W263" s="0" t="str">
        <f aca="false">IF((S263&gt;0)=(V263=1),"OK","MISMATCH")</f>
        <v>OK</v>
      </c>
      <c r="X263" s="0" t="str">
        <f aca="false">_xlfn.IFS(S263&lt;=0,"Early/On time",S263&lt;=2,"Minor (up to 2 days)",S263&lt;=5,"Moderate (2-5 days)",TRUE(),"Severe (over 5 days)")</f>
        <v>Moderate (2-5 days)</v>
      </c>
      <c r="Y263" s="0" t="str">
        <f aca="false">YEAR(K263)&amp;"-"&amp;TEXT(MONTH(K263),"00")</f>
        <v>2025-06</v>
      </c>
      <c r="Z263" s="0" t="str">
        <f aca="false">C263&amp;" → "&amp;D263</f>
        <v>Chennai → Surat</v>
      </c>
      <c r="AA263" s="0" t="str">
        <f aca="false">Raw!Q263</f>
        <v>Delhivery</v>
      </c>
      <c r="AB263" s="0" t="str">
        <f aca="false">Raw!R263</f>
        <v>Yes</v>
      </c>
      <c r="AC263" s="0" t="str">
        <f aca="false">Raw!S263</f>
        <v>Held at warehouse</v>
      </c>
      <c r="AD263" s="29" t="n">
        <f aca="false">Raw!N263</f>
        <v>8952.94</v>
      </c>
      <c r="AE263" s="29" t="n">
        <f aca="false">Raw!O263</f>
        <v>4387.88</v>
      </c>
      <c r="AF263" s="29" t="n">
        <f aca="false">Raw!P263</f>
        <v>1393.09</v>
      </c>
      <c r="AG263" s="29" t="n">
        <f aca="false">AD263/J263</f>
        <v>576.493238892466</v>
      </c>
    </row>
    <row r="264" customFormat="false" ht="15" hidden="false" customHeight="false" outlineLevel="0" collapsed="false">
      <c r="A264" s="0" t="str">
        <f aca="false">Raw!A264</f>
        <v>SHP0263</v>
      </c>
      <c r="B264" s="0" t="str">
        <f aca="false">Raw!B264</f>
        <v>Inbound</v>
      </c>
      <c r="C264" s="0" t="str">
        <f aca="false">Raw!C264</f>
        <v>Rajasthan</v>
      </c>
      <c r="D264" s="0" t="str">
        <f aca="false">Raw!D264</f>
        <v>Surat</v>
      </c>
      <c r="E264" s="0" t="str">
        <f aca="false">IFERROR(INDEX(Location_Map!$B$2:$B$15,MATCH(C264,Location_Map!$A$2:$A$15,0)),"UNMAPPED")</f>
        <v>Rajasthan</v>
      </c>
      <c r="F264" s="0" t="str">
        <f aca="false">IFERROR(INDEX(Location_Map!$C$2:$C$15,MATCH(C264,Location_Map!$A$2:$A$15,0)),"UNMAPPED")</f>
        <v>North</v>
      </c>
      <c r="G264" s="0" t="str">
        <f aca="false">IFERROR(INDEX(Location_Map!$B$2:$B$15,MATCH(D264,Location_Map!$A$2:$A$15,0)),"UNMAPPED")</f>
        <v>Gujarat</v>
      </c>
      <c r="H264" s="0" t="str">
        <f aca="false">IFERROR(INDEX(Location_Map!$C$2:$C$15,MATCH(D264,Location_Map!$A$2:$A$15,0)),"UNMAPPED")</f>
        <v>West</v>
      </c>
      <c r="I264" s="0" t="str">
        <f aca="false">Raw!E264</f>
        <v>Semi-Processed Yarn</v>
      </c>
      <c r="J264" s="28" t="n">
        <f aca="false">Raw!F264</f>
        <v>2.19</v>
      </c>
      <c r="K264" s="30" t="n">
        <f aca="false">DATE(LEFT(Raw!G264,4),MID(Raw!G264,6,2),MID(Raw!G264,9,2))</f>
        <v>45923</v>
      </c>
      <c r="L264" s="30" t="n">
        <f aca="false">DATE(LEFT(Raw!H264,4),MID(Raw!H264,6,2),MID(Raw!H264,9,2))</f>
        <v>45925</v>
      </c>
      <c r="M264" s="30" t="n">
        <f aca="false">DATE(LEFT(Raw!I264,4),MID(Raw!I264,6,2),MID(Raw!I264,9,2))</f>
        <v>45931</v>
      </c>
      <c r="N264" s="31" t="n">
        <f aca="false">DATE(LEFT(Raw!J264,4),MID(Raw!J264,6,2),MID(Raw!J264,9,2))+TIME(MID(Raw!J264,12,2),MID(Raw!J264,15,2),MID(Raw!J264,18,2))</f>
        <v>45925</v>
      </c>
      <c r="O264" s="31" t="n">
        <f aca="false">DATE(LEFT(Raw!K264,4),MID(Raw!K264,6,2),MID(Raw!K264,9,2))+TIME(MID(Raw!K264,12,2),MID(Raw!K264,15,2),MID(Raw!K264,18,2))</f>
        <v>45935.7</v>
      </c>
      <c r="P264" s="32" t="n">
        <f aca="false">L264-K264</f>
        <v>2</v>
      </c>
      <c r="Q264" s="32" t="n">
        <f aca="false">M264-L264</f>
        <v>6</v>
      </c>
      <c r="R264" s="32" t="n">
        <f aca="false">O264-N264</f>
        <v>10.7</v>
      </c>
      <c r="S264" s="32" t="n">
        <f aca="false">Raw!L264</f>
        <v>4.7</v>
      </c>
      <c r="T264" s="32" t="n">
        <f aca="false">O264-M264</f>
        <v>4.7</v>
      </c>
      <c r="U264" s="0" t="str">
        <f aca="false">IF(ABS(T264-S264)&lt;0.01,"OK","MISMATCH")</f>
        <v>OK</v>
      </c>
      <c r="V264" s="33" t="n">
        <f aca="false">Raw!M264</f>
        <v>1</v>
      </c>
      <c r="W264" s="0" t="str">
        <f aca="false">IF((S264&gt;0)=(V264=1),"OK","MISMATCH")</f>
        <v>OK</v>
      </c>
      <c r="X264" s="0" t="str">
        <f aca="false">_xlfn.IFS(S264&lt;=0,"Early/On time",S264&lt;=2,"Minor (up to 2 days)",S264&lt;=5,"Moderate (2-5 days)",TRUE(),"Severe (over 5 days)")</f>
        <v>Moderate (2-5 days)</v>
      </c>
      <c r="Y264" s="0" t="str">
        <f aca="false">YEAR(K264)&amp;"-"&amp;TEXT(MONTH(K264),"00")</f>
        <v>2025-09</v>
      </c>
      <c r="Z264" s="0" t="str">
        <f aca="false">C264&amp;" → "&amp;D264</f>
        <v>Rajasthan → Surat</v>
      </c>
      <c r="AA264" s="0" t="str">
        <f aca="false">Raw!Q264</f>
        <v>Delhivery</v>
      </c>
      <c r="AB264" s="0" t="str">
        <f aca="false">Raw!R264</f>
        <v>Yes</v>
      </c>
      <c r="AC264" s="0" t="str">
        <f aca="false">Raw!S264</f>
        <v>Returned</v>
      </c>
      <c r="AD264" s="29" t="n">
        <f aca="false">Raw!N264</f>
        <v>2467.92</v>
      </c>
      <c r="AE264" s="29" t="n">
        <f aca="false">Raw!O264</f>
        <v>3770.13</v>
      </c>
      <c r="AF264" s="29" t="n">
        <f aca="false">Raw!P264</f>
        <v>634.44</v>
      </c>
      <c r="AG264" s="29" t="n">
        <f aca="false">AD264/J264</f>
        <v>1126.90410958904</v>
      </c>
    </row>
    <row r="265" customFormat="false" ht="15" hidden="false" customHeight="false" outlineLevel="0" collapsed="false">
      <c r="A265" s="0" t="str">
        <f aca="false">Raw!A265</f>
        <v>SHP0264</v>
      </c>
      <c r="B265" s="0" t="str">
        <f aca="false">Raw!B265</f>
        <v>Outbound</v>
      </c>
      <c r="C265" s="0" t="str">
        <f aca="false">Raw!C265</f>
        <v>Surat</v>
      </c>
      <c r="D265" s="0" t="str">
        <f aca="false">Raw!D265</f>
        <v>Kerala</v>
      </c>
      <c r="E265" s="0" t="str">
        <f aca="false">IFERROR(INDEX(Location_Map!$B$2:$B$15,MATCH(C265,Location_Map!$A$2:$A$15,0)),"UNMAPPED")</f>
        <v>Gujarat</v>
      </c>
      <c r="F265" s="0" t="str">
        <f aca="false">IFERROR(INDEX(Location_Map!$C$2:$C$15,MATCH(C265,Location_Map!$A$2:$A$15,0)),"UNMAPPED")</f>
        <v>West</v>
      </c>
      <c r="G265" s="0" t="str">
        <f aca="false">IFERROR(INDEX(Location_Map!$B$2:$B$15,MATCH(D265,Location_Map!$A$2:$A$15,0)),"UNMAPPED")</f>
        <v>Kerala</v>
      </c>
      <c r="H265" s="0" t="str">
        <f aca="false">IFERROR(INDEX(Location_Map!$C$2:$C$15,MATCH(D265,Location_Map!$A$2:$A$15,0)),"UNMAPPED")</f>
        <v>South</v>
      </c>
      <c r="I265" s="0" t="str">
        <f aca="false">Raw!E265</f>
        <v>Raw Yarn</v>
      </c>
      <c r="J265" s="28" t="n">
        <f aca="false">Raw!F265</f>
        <v>6.69</v>
      </c>
      <c r="K265" s="30" t="n">
        <f aca="false">DATE(LEFT(Raw!G265,4),MID(Raw!G265,6,2),MID(Raw!G265,9,2))</f>
        <v>45765</v>
      </c>
      <c r="L265" s="30" t="n">
        <f aca="false">DATE(LEFT(Raw!H265,4),MID(Raw!H265,6,2),MID(Raw!H265,9,2))</f>
        <v>45769</v>
      </c>
      <c r="M265" s="30" t="n">
        <f aca="false">DATE(LEFT(Raw!I265,4),MID(Raw!I265,6,2),MID(Raw!I265,9,2))</f>
        <v>45773</v>
      </c>
      <c r="N265" s="31" t="n">
        <f aca="false">DATE(LEFT(Raw!J265,4),MID(Raw!J265,6,2),MID(Raw!J265,9,2))+TIME(MID(Raw!J265,12,2),MID(Raw!J265,15,2),MID(Raw!J265,18,2))</f>
        <v>45769.0833333333</v>
      </c>
      <c r="O265" s="31" t="n">
        <f aca="false">DATE(LEFT(Raw!K265,4),MID(Raw!K265,6,2),MID(Raw!K265,9,2))+TIME(MID(Raw!K265,12,2),MID(Raw!K265,15,2),MID(Raw!K265,18,2))</f>
        <v>45777.4</v>
      </c>
      <c r="P265" s="32" t="n">
        <f aca="false">L265-K265</f>
        <v>4</v>
      </c>
      <c r="Q265" s="32" t="n">
        <f aca="false">M265-L265</f>
        <v>4</v>
      </c>
      <c r="R265" s="32" t="n">
        <f aca="false">O265-N265</f>
        <v>8.31666666666667</v>
      </c>
      <c r="S265" s="32" t="n">
        <f aca="false">Raw!L265</f>
        <v>4.4</v>
      </c>
      <c r="T265" s="32" t="n">
        <f aca="false">O265-M265</f>
        <v>4.4</v>
      </c>
      <c r="U265" s="0" t="str">
        <f aca="false">IF(ABS(T265-S265)&lt;0.01,"OK","MISMATCH")</f>
        <v>OK</v>
      </c>
      <c r="V265" s="33" t="n">
        <f aca="false">Raw!M265</f>
        <v>1</v>
      </c>
      <c r="W265" s="0" t="str">
        <f aca="false">IF((S265&gt;0)=(V265=1),"OK","MISMATCH")</f>
        <v>OK</v>
      </c>
      <c r="X265" s="0" t="str">
        <f aca="false">_xlfn.IFS(S265&lt;=0,"Early/On time",S265&lt;=2,"Minor (up to 2 days)",S265&lt;=5,"Moderate (2-5 days)",TRUE(),"Severe (over 5 days)")</f>
        <v>Moderate (2-5 days)</v>
      </c>
      <c r="Y265" s="0" t="str">
        <f aca="false">YEAR(K265)&amp;"-"&amp;TEXT(MONTH(K265),"00")</f>
        <v>2025-04</v>
      </c>
      <c r="Z265" s="0" t="str">
        <f aca="false">C265&amp;" → "&amp;D265</f>
        <v>Surat → Kerala</v>
      </c>
      <c r="AA265" s="0" t="str">
        <f aca="false">Raw!Q265</f>
        <v>VRL Cargo</v>
      </c>
      <c r="AB265" s="0" t="str">
        <f aca="false">Raw!R265</f>
        <v>No</v>
      </c>
      <c r="AC265" s="0" t="str">
        <f aca="false">Raw!S265</f>
        <v>Damaged</v>
      </c>
      <c r="AD265" s="29" t="n">
        <f aca="false">Raw!N265</f>
        <v>4606.73</v>
      </c>
      <c r="AE265" s="29" t="n">
        <f aca="false">Raw!O265</f>
        <v>4962.18</v>
      </c>
      <c r="AF265" s="29" t="n">
        <f aca="false">Raw!P265</f>
        <v>700.65</v>
      </c>
      <c r="AG265" s="29" t="n">
        <f aca="false">AD265/J265</f>
        <v>688.599402092676</v>
      </c>
    </row>
    <row r="266" customFormat="false" ht="15" hidden="false" customHeight="false" outlineLevel="0" collapsed="false">
      <c r="A266" s="0" t="str">
        <f aca="false">Raw!A266</f>
        <v>SHP0265</v>
      </c>
      <c r="B266" s="0" t="str">
        <f aca="false">Raw!B266</f>
        <v>Outbound</v>
      </c>
      <c r="C266" s="0" t="str">
        <f aca="false">Raw!C266</f>
        <v>Surat</v>
      </c>
      <c r="D266" s="0" t="str">
        <f aca="false">Raw!D266</f>
        <v>Assam</v>
      </c>
      <c r="E266" s="0" t="str">
        <f aca="false">IFERROR(INDEX(Location_Map!$B$2:$B$15,MATCH(C266,Location_Map!$A$2:$A$15,0)),"UNMAPPED")</f>
        <v>Gujarat</v>
      </c>
      <c r="F266" s="0" t="str">
        <f aca="false">IFERROR(INDEX(Location_Map!$C$2:$C$15,MATCH(C266,Location_Map!$A$2:$A$15,0)),"UNMAPPED")</f>
        <v>West</v>
      </c>
      <c r="G266" s="0" t="str">
        <f aca="false">IFERROR(INDEX(Location_Map!$B$2:$B$15,MATCH(D266,Location_Map!$A$2:$A$15,0)),"UNMAPPED")</f>
        <v>Assam</v>
      </c>
      <c r="H266" s="0" t="str">
        <f aca="false">IFERROR(INDEX(Location_Map!$C$2:$C$15,MATCH(D266,Location_Map!$A$2:$A$15,0)),"UNMAPPED")</f>
        <v>North-East</v>
      </c>
      <c r="I266" s="0" t="str">
        <f aca="false">Raw!E266</f>
        <v>Semi-Processed Yarn</v>
      </c>
      <c r="J266" s="28" t="n">
        <f aca="false">Raw!F266</f>
        <v>19.9</v>
      </c>
      <c r="K266" s="30" t="n">
        <f aca="false">DATE(LEFT(Raw!G266,4),MID(Raw!G266,6,2),MID(Raw!G266,9,2))</f>
        <v>45684</v>
      </c>
      <c r="L266" s="30" t="n">
        <f aca="false">DATE(LEFT(Raw!H266,4),MID(Raw!H266,6,2),MID(Raw!H266,9,2))</f>
        <v>45685</v>
      </c>
      <c r="M266" s="30" t="n">
        <f aca="false">DATE(LEFT(Raw!I266,4),MID(Raw!I266,6,2),MID(Raw!I266,9,2))</f>
        <v>45689</v>
      </c>
      <c r="N266" s="31" t="n">
        <f aca="false">DATE(LEFT(Raw!J266,4),MID(Raw!J266,6,2),MID(Raw!J266,9,2))+TIME(MID(Raw!J266,12,2),MID(Raw!J266,15,2),MID(Raw!J266,18,2))</f>
        <v>45684.7916666667</v>
      </c>
      <c r="O266" s="31" t="n">
        <f aca="false">DATE(LEFT(Raw!K266,4),MID(Raw!K266,6,2),MID(Raw!K266,9,2))+TIME(MID(Raw!K266,12,2),MID(Raw!K266,15,2),MID(Raw!K266,18,2))</f>
        <v>45693.2</v>
      </c>
      <c r="P266" s="32" t="n">
        <f aca="false">L266-K266</f>
        <v>1</v>
      </c>
      <c r="Q266" s="32" t="n">
        <f aca="false">M266-L266</f>
        <v>4</v>
      </c>
      <c r="R266" s="32" t="n">
        <f aca="false">O266-N266</f>
        <v>8.40833333333333</v>
      </c>
      <c r="S266" s="32" t="n">
        <f aca="false">Raw!L266</f>
        <v>4.2</v>
      </c>
      <c r="T266" s="32" t="n">
        <f aca="false">O266-M266</f>
        <v>4.2</v>
      </c>
      <c r="U266" s="0" t="str">
        <f aca="false">IF(ABS(T266-S266)&lt;0.01,"OK","MISMATCH")</f>
        <v>OK</v>
      </c>
      <c r="V266" s="33" t="n">
        <f aca="false">Raw!M266</f>
        <v>1</v>
      </c>
      <c r="W266" s="0" t="str">
        <f aca="false">IF((S266&gt;0)=(V266=1),"OK","MISMATCH")</f>
        <v>OK</v>
      </c>
      <c r="X266" s="0" t="str">
        <f aca="false">_xlfn.IFS(S266&lt;=0,"Early/On time",S266&lt;=2,"Minor (up to 2 days)",S266&lt;=5,"Moderate (2-5 days)",TRUE(),"Severe (over 5 days)")</f>
        <v>Moderate (2-5 days)</v>
      </c>
      <c r="Y266" s="0" t="str">
        <f aca="false">YEAR(K266)&amp;"-"&amp;TEXT(MONTH(K266),"00")</f>
        <v>2025-01</v>
      </c>
      <c r="Z266" s="0" t="str">
        <f aca="false">C266&amp;" → "&amp;D266</f>
        <v>Surat → Assam</v>
      </c>
      <c r="AA266" s="0" t="str">
        <f aca="false">Raw!Q266</f>
        <v>GATI Logistics</v>
      </c>
      <c r="AB266" s="0" t="str">
        <f aca="false">Raw!R266</f>
        <v>Yes</v>
      </c>
      <c r="AC266" s="0" t="str">
        <f aca="false">Raw!S266</f>
        <v>Damaged</v>
      </c>
      <c r="AD266" s="29" t="n">
        <f aca="false">Raw!N266</f>
        <v>4335.07</v>
      </c>
      <c r="AE266" s="29" t="n">
        <f aca="false">Raw!O266</f>
        <v>4748.36</v>
      </c>
      <c r="AF266" s="29" t="n">
        <f aca="false">Raw!P266</f>
        <v>1321.93</v>
      </c>
      <c r="AG266" s="29" t="n">
        <f aca="false">AD266/J266</f>
        <v>217.842713567839</v>
      </c>
    </row>
    <row r="267" customFormat="false" ht="15" hidden="false" customHeight="false" outlineLevel="0" collapsed="false">
      <c r="A267" s="0" t="str">
        <f aca="false">Raw!A267</f>
        <v>SHP0266</v>
      </c>
      <c r="B267" s="0" t="str">
        <f aca="false">Raw!B267</f>
        <v>Outbound</v>
      </c>
      <c r="C267" s="0" t="str">
        <f aca="false">Raw!C267</f>
        <v>Surat</v>
      </c>
      <c r="D267" s="0" t="str">
        <f aca="false">Raw!D267</f>
        <v>Mumbai</v>
      </c>
      <c r="E267" s="0" t="str">
        <f aca="false">IFERROR(INDEX(Location_Map!$B$2:$B$15,MATCH(C267,Location_Map!$A$2:$A$15,0)),"UNMAPPED")</f>
        <v>Gujarat</v>
      </c>
      <c r="F267" s="0" t="str">
        <f aca="false">IFERROR(INDEX(Location_Map!$C$2:$C$15,MATCH(C267,Location_Map!$A$2:$A$15,0)),"UNMAPPED")</f>
        <v>West</v>
      </c>
      <c r="G267" s="0" t="str">
        <f aca="false">IFERROR(INDEX(Location_Map!$B$2:$B$15,MATCH(D267,Location_Map!$A$2:$A$15,0)),"UNMAPPED")</f>
        <v>Maharashtra</v>
      </c>
      <c r="H267" s="0" t="str">
        <f aca="false">IFERROR(INDEX(Location_Map!$C$2:$C$15,MATCH(D267,Location_Map!$A$2:$A$15,0)),"UNMAPPED")</f>
        <v>West</v>
      </c>
      <c r="I267" s="0" t="str">
        <f aca="false">Raw!E267</f>
        <v>Semi-Processed Yarn</v>
      </c>
      <c r="J267" s="28" t="n">
        <f aca="false">Raw!F267</f>
        <v>16.37</v>
      </c>
      <c r="K267" s="30" t="n">
        <f aca="false">DATE(LEFT(Raw!G267,4),MID(Raw!G267,6,2),MID(Raw!G267,9,2))</f>
        <v>45923</v>
      </c>
      <c r="L267" s="30" t="n">
        <f aca="false">DATE(LEFT(Raw!H267,4),MID(Raw!H267,6,2),MID(Raw!H267,9,2))</f>
        <v>45926</v>
      </c>
      <c r="M267" s="30" t="n">
        <f aca="false">DATE(LEFT(Raw!I267,4),MID(Raw!I267,6,2),MID(Raw!I267,9,2))</f>
        <v>45928</v>
      </c>
      <c r="N267" s="31" t="n">
        <f aca="false">DATE(LEFT(Raw!J267,4),MID(Raw!J267,6,2),MID(Raw!J267,9,2))+TIME(MID(Raw!J267,12,2),MID(Raw!J267,15,2),MID(Raw!J267,18,2))</f>
        <v>45925.8333333333</v>
      </c>
      <c r="O267" s="31" t="n">
        <f aca="false">DATE(LEFT(Raw!K267,4),MID(Raw!K267,6,2),MID(Raw!K267,9,2))+TIME(MID(Raw!K267,12,2),MID(Raw!K267,15,2),MID(Raw!K267,18,2))</f>
        <v>45931.5</v>
      </c>
      <c r="P267" s="32" t="n">
        <f aca="false">L267-K267</f>
        <v>3</v>
      </c>
      <c r="Q267" s="32" t="n">
        <f aca="false">M267-L267</f>
        <v>2</v>
      </c>
      <c r="R267" s="32" t="n">
        <f aca="false">O267-N267</f>
        <v>5.66666666666667</v>
      </c>
      <c r="S267" s="32" t="n">
        <f aca="false">Raw!L267</f>
        <v>3.5</v>
      </c>
      <c r="T267" s="32" t="n">
        <f aca="false">O267-M267</f>
        <v>3.5</v>
      </c>
      <c r="U267" s="0" t="str">
        <f aca="false">IF(ABS(T267-S267)&lt;0.01,"OK","MISMATCH")</f>
        <v>OK</v>
      </c>
      <c r="V267" s="33" t="n">
        <f aca="false">Raw!M267</f>
        <v>1</v>
      </c>
      <c r="W267" s="0" t="str">
        <f aca="false">IF((S267&gt;0)=(V267=1),"OK","MISMATCH")</f>
        <v>OK</v>
      </c>
      <c r="X267" s="0" t="str">
        <f aca="false">_xlfn.IFS(S267&lt;=0,"Early/On time",S267&lt;=2,"Minor (up to 2 days)",S267&lt;=5,"Moderate (2-5 days)",TRUE(),"Severe (over 5 days)")</f>
        <v>Moderate (2-5 days)</v>
      </c>
      <c r="Y267" s="0" t="str">
        <f aca="false">YEAR(K267)&amp;"-"&amp;TEXT(MONTH(K267),"00")</f>
        <v>2025-09</v>
      </c>
      <c r="Z267" s="0" t="str">
        <f aca="false">C267&amp;" → "&amp;D267</f>
        <v>Surat → Mumbai</v>
      </c>
      <c r="AA267" s="0" t="str">
        <f aca="false">Raw!Q267</f>
        <v>GATI Logistics</v>
      </c>
      <c r="AB267" s="0" t="str">
        <f aca="false">Raw!R267</f>
        <v>No</v>
      </c>
      <c r="AC267" s="0" t="str">
        <f aca="false">Raw!S267</f>
        <v>Returned</v>
      </c>
      <c r="AD267" s="29" t="n">
        <f aca="false">Raw!N267</f>
        <v>5052.34</v>
      </c>
      <c r="AE267" s="29" t="n">
        <f aca="false">Raw!O267</f>
        <v>2628.43</v>
      </c>
      <c r="AF267" s="29" t="n">
        <f aca="false">Raw!P267</f>
        <v>566.01</v>
      </c>
      <c r="AG267" s="29" t="n">
        <f aca="false">AD267/J267</f>
        <v>308.634086744044</v>
      </c>
    </row>
    <row r="268" customFormat="false" ht="15" hidden="false" customHeight="false" outlineLevel="0" collapsed="false">
      <c r="A268" s="0" t="str">
        <f aca="false">Raw!A268</f>
        <v>SHP0267</v>
      </c>
      <c r="B268" s="0" t="str">
        <f aca="false">Raw!B268</f>
        <v>Inbound</v>
      </c>
      <c r="C268" s="0" t="str">
        <f aca="false">Raw!C268</f>
        <v>Rajasthan</v>
      </c>
      <c r="D268" s="0" t="str">
        <f aca="false">Raw!D268</f>
        <v>Surat</v>
      </c>
      <c r="E268" s="0" t="str">
        <f aca="false">IFERROR(INDEX(Location_Map!$B$2:$B$15,MATCH(C268,Location_Map!$A$2:$A$15,0)),"UNMAPPED")</f>
        <v>Rajasthan</v>
      </c>
      <c r="F268" s="0" t="str">
        <f aca="false">IFERROR(INDEX(Location_Map!$C$2:$C$15,MATCH(C268,Location_Map!$A$2:$A$15,0)),"UNMAPPED")</f>
        <v>North</v>
      </c>
      <c r="G268" s="0" t="str">
        <f aca="false">IFERROR(INDEX(Location_Map!$B$2:$B$15,MATCH(D268,Location_Map!$A$2:$A$15,0)),"UNMAPPED")</f>
        <v>Gujarat</v>
      </c>
      <c r="H268" s="0" t="str">
        <f aca="false">IFERROR(INDEX(Location_Map!$C$2:$C$15,MATCH(D268,Location_Map!$A$2:$A$15,0)),"UNMAPPED")</f>
        <v>West</v>
      </c>
      <c r="I268" s="0" t="str">
        <f aca="false">Raw!E268</f>
        <v>Raw Yarn</v>
      </c>
      <c r="J268" s="28" t="n">
        <f aca="false">Raw!F268</f>
        <v>7.63</v>
      </c>
      <c r="K268" s="30" t="n">
        <f aca="false">DATE(LEFT(Raw!G268,4),MID(Raw!G268,6,2),MID(Raw!G268,9,2))</f>
        <v>45691</v>
      </c>
      <c r="L268" s="30" t="n">
        <f aca="false">DATE(LEFT(Raw!H268,4),MID(Raw!H268,6,2),MID(Raw!H268,9,2))</f>
        <v>45695</v>
      </c>
      <c r="M268" s="30" t="n">
        <f aca="false">DATE(LEFT(Raw!I268,4),MID(Raw!I268,6,2),MID(Raw!I268,9,2))</f>
        <v>45701</v>
      </c>
      <c r="N268" s="31" t="n">
        <f aca="false">DATE(LEFT(Raw!J268,4),MID(Raw!J268,6,2),MID(Raw!J268,9,2))+TIME(MID(Raw!J268,12,2),MID(Raw!J268,15,2),MID(Raw!J268,18,2))</f>
        <v>45694.8333333333</v>
      </c>
      <c r="O268" s="31" t="n">
        <f aca="false">DATE(LEFT(Raw!K268,4),MID(Raw!K268,6,2),MID(Raw!K268,9,2))+TIME(MID(Raw!K268,12,2),MID(Raw!K268,15,2),MID(Raw!K268,18,2))</f>
        <v>45700.9</v>
      </c>
      <c r="P268" s="32" t="n">
        <f aca="false">L268-K268</f>
        <v>4</v>
      </c>
      <c r="Q268" s="32" t="n">
        <f aca="false">M268-L268</f>
        <v>6</v>
      </c>
      <c r="R268" s="32" t="n">
        <f aca="false">O268-N268</f>
        <v>6.06666666666667</v>
      </c>
      <c r="S268" s="32" t="n">
        <f aca="false">Raw!L268</f>
        <v>-0.1</v>
      </c>
      <c r="T268" s="32" t="n">
        <f aca="false">O268-M268</f>
        <v>-0.1</v>
      </c>
      <c r="U268" s="0" t="str">
        <f aca="false">IF(ABS(T268-S268)&lt;0.01,"OK","MISMATCH")</f>
        <v>OK</v>
      </c>
      <c r="V268" s="33" t="n">
        <f aca="false">Raw!M268</f>
        <v>0</v>
      </c>
      <c r="W268" s="0" t="str">
        <f aca="false">IF((S268&gt;0)=(V268=1),"OK","MISMATCH")</f>
        <v>OK</v>
      </c>
      <c r="X268" s="0" t="str">
        <f aca="false">_xlfn.IFS(S268&lt;=0,"Early/On time",S268&lt;=2,"Minor (up to 2 days)",S268&lt;=5,"Moderate (2-5 days)",TRUE(),"Severe (over 5 days)")</f>
        <v>Early/On time</v>
      </c>
      <c r="Y268" s="0" t="str">
        <f aca="false">YEAR(K268)&amp;"-"&amp;TEXT(MONTH(K268),"00")</f>
        <v>2025-02</v>
      </c>
      <c r="Z268" s="0" t="str">
        <f aca="false">C268&amp;" → "&amp;D268</f>
        <v>Rajasthan → Surat</v>
      </c>
      <c r="AA268" s="0" t="str">
        <f aca="false">Raw!Q268</f>
        <v>BlueDart</v>
      </c>
      <c r="AB268" s="0" t="str">
        <f aca="false">Raw!R268</f>
        <v>Yes</v>
      </c>
      <c r="AC268" s="0" t="str">
        <f aca="false">Raw!S268</f>
        <v>Normal</v>
      </c>
      <c r="AD268" s="29" t="n">
        <f aca="false">Raw!N268</f>
        <v>5626.15</v>
      </c>
      <c r="AE268" s="29" t="n">
        <f aca="false">Raw!O268</f>
        <v>1200.9</v>
      </c>
      <c r="AF268" s="29" t="n">
        <f aca="false">Raw!P268</f>
        <v>572.9</v>
      </c>
      <c r="AG268" s="29" t="n">
        <f aca="false">AD268/J268</f>
        <v>737.372214941022</v>
      </c>
    </row>
    <row r="269" customFormat="false" ht="15" hidden="false" customHeight="false" outlineLevel="0" collapsed="false">
      <c r="A269" s="0" t="str">
        <f aca="false">Raw!A269</f>
        <v>SHP0268</v>
      </c>
      <c r="B269" s="0" t="str">
        <f aca="false">Raw!B269</f>
        <v>Inbound</v>
      </c>
      <c r="C269" s="0" t="str">
        <f aca="false">Raw!C269</f>
        <v>Gujarat</v>
      </c>
      <c r="D269" s="0" t="str">
        <f aca="false">Raw!D269</f>
        <v>Surat</v>
      </c>
      <c r="E269" s="0" t="str">
        <f aca="false">IFERROR(INDEX(Location_Map!$B$2:$B$15,MATCH(C269,Location_Map!$A$2:$A$15,0)),"UNMAPPED")</f>
        <v>Gujarat</v>
      </c>
      <c r="F269" s="0" t="str">
        <f aca="false">IFERROR(INDEX(Location_Map!$C$2:$C$15,MATCH(C269,Location_Map!$A$2:$A$15,0)),"UNMAPPED")</f>
        <v>West</v>
      </c>
      <c r="G269" s="0" t="str">
        <f aca="false">IFERROR(INDEX(Location_Map!$B$2:$B$15,MATCH(D269,Location_Map!$A$2:$A$15,0)),"UNMAPPED")</f>
        <v>Gujarat</v>
      </c>
      <c r="H269" s="0" t="str">
        <f aca="false">IFERROR(INDEX(Location_Map!$C$2:$C$15,MATCH(D269,Location_Map!$A$2:$A$15,0)),"UNMAPPED")</f>
        <v>West</v>
      </c>
      <c r="I269" s="0" t="str">
        <f aca="false">Raw!E269</f>
        <v>Finished Yarn</v>
      </c>
      <c r="J269" s="28" t="n">
        <f aca="false">Raw!F269</f>
        <v>8.65</v>
      </c>
      <c r="K269" s="30" t="n">
        <f aca="false">DATE(LEFT(Raw!G269,4),MID(Raw!G269,6,2),MID(Raw!G269,9,2))</f>
        <v>45746</v>
      </c>
      <c r="L269" s="30" t="n">
        <f aca="false">DATE(LEFT(Raw!H269,4),MID(Raw!H269,6,2),MID(Raw!H269,9,2))</f>
        <v>45747</v>
      </c>
      <c r="M269" s="30" t="n">
        <f aca="false">DATE(LEFT(Raw!I269,4),MID(Raw!I269,6,2),MID(Raw!I269,9,2))</f>
        <v>45751</v>
      </c>
      <c r="N269" s="31" t="n">
        <f aca="false">DATE(LEFT(Raw!J269,4),MID(Raw!J269,6,2),MID(Raw!J269,9,2))+TIME(MID(Raw!J269,12,2),MID(Raw!J269,15,2),MID(Raw!J269,18,2))</f>
        <v>45747.0833333333</v>
      </c>
      <c r="O269" s="31" t="n">
        <f aca="false">DATE(LEFT(Raw!K269,4),MID(Raw!K269,6,2),MID(Raw!K269,9,2))+TIME(MID(Raw!K269,12,2),MID(Raw!K269,15,2),MID(Raw!K269,18,2))</f>
        <v>45754</v>
      </c>
      <c r="P269" s="32" t="n">
        <f aca="false">L269-K269</f>
        <v>1</v>
      </c>
      <c r="Q269" s="32" t="n">
        <f aca="false">M269-L269</f>
        <v>4</v>
      </c>
      <c r="R269" s="32" t="n">
        <f aca="false">O269-N269</f>
        <v>6.91666666666667</v>
      </c>
      <c r="S269" s="32" t="n">
        <f aca="false">Raw!L269</f>
        <v>3</v>
      </c>
      <c r="T269" s="32" t="n">
        <f aca="false">O269-M269</f>
        <v>3</v>
      </c>
      <c r="U269" s="0" t="str">
        <f aca="false">IF(ABS(T269-S269)&lt;0.01,"OK","MISMATCH")</f>
        <v>OK</v>
      </c>
      <c r="V269" s="33" t="n">
        <f aca="false">Raw!M269</f>
        <v>1</v>
      </c>
      <c r="W269" s="0" t="str">
        <f aca="false">IF((S269&gt;0)=(V269=1),"OK","MISMATCH")</f>
        <v>OK</v>
      </c>
      <c r="X269" s="0" t="str">
        <f aca="false">_xlfn.IFS(S269&lt;=0,"Early/On time",S269&lt;=2,"Minor (up to 2 days)",S269&lt;=5,"Moderate (2-5 days)",TRUE(),"Severe (over 5 days)")</f>
        <v>Moderate (2-5 days)</v>
      </c>
      <c r="Y269" s="0" t="str">
        <f aca="false">YEAR(K269)&amp;"-"&amp;TEXT(MONTH(K269),"00")</f>
        <v>2025-03</v>
      </c>
      <c r="Z269" s="0" t="str">
        <f aca="false">C269&amp;" → "&amp;D269</f>
        <v>Gujarat → Surat</v>
      </c>
      <c r="AA269" s="0" t="str">
        <f aca="false">Raw!Q269</f>
        <v>BlueDart</v>
      </c>
      <c r="AB269" s="0" t="str">
        <f aca="false">Raw!R269</f>
        <v>Yes</v>
      </c>
      <c r="AC269" s="0" t="str">
        <f aca="false">Raw!S269</f>
        <v>Expedited</v>
      </c>
      <c r="AD269" s="29" t="n">
        <f aca="false">Raw!N269</f>
        <v>3163.3</v>
      </c>
      <c r="AE269" s="29" t="n">
        <f aca="false">Raw!O269</f>
        <v>2064.67</v>
      </c>
      <c r="AF269" s="29" t="n">
        <f aca="false">Raw!P269</f>
        <v>522.03</v>
      </c>
      <c r="AG269" s="29" t="n">
        <f aca="false">AD269/J269</f>
        <v>365.699421965318</v>
      </c>
    </row>
    <row r="270" customFormat="false" ht="15" hidden="false" customHeight="false" outlineLevel="0" collapsed="false">
      <c r="A270" s="0" t="str">
        <f aca="false">Raw!A270</f>
        <v>SHP0269</v>
      </c>
      <c r="B270" s="0" t="str">
        <f aca="false">Raw!B270</f>
        <v>Inbound</v>
      </c>
      <c r="C270" s="0" t="str">
        <f aca="false">Raw!C270</f>
        <v>Rajasthan</v>
      </c>
      <c r="D270" s="0" t="str">
        <f aca="false">Raw!D270</f>
        <v>Surat</v>
      </c>
      <c r="E270" s="0" t="str">
        <f aca="false">IFERROR(INDEX(Location_Map!$B$2:$B$15,MATCH(C270,Location_Map!$A$2:$A$15,0)),"UNMAPPED")</f>
        <v>Rajasthan</v>
      </c>
      <c r="F270" s="0" t="str">
        <f aca="false">IFERROR(INDEX(Location_Map!$C$2:$C$15,MATCH(C270,Location_Map!$A$2:$A$15,0)),"UNMAPPED")</f>
        <v>North</v>
      </c>
      <c r="G270" s="0" t="str">
        <f aca="false">IFERROR(INDEX(Location_Map!$B$2:$B$15,MATCH(D270,Location_Map!$A$2:$A$15,0)),"UNMAPPED")</f>
        <v>Gujarat</v>
      </c>
      <c r="H270" s="0" t="str">
        <f aca="false">IFERROR(INDEX(Location_Map!$C$2:$C$15,MATCH(D270,Location_Map!$A$2:$A$15,0)),"UNMAPPED")</f>
        <v>West</v>
      </c>
      <c r="I270" s="0" t="str">
        <f aca="false">Raw!E270</f>
        <v>Finished Yarn</v>
      </c>
      <c r="J270" s="28" t="n">
        <f aca="false">Raw!F270</f>
        <v>12.08</v>
      </c>
      <c r="K270" s="30" t="n">
        <f aca="false">DATE(LEFT(Raw!G270,4),MID(Raw!G270,6,2),MID(Raw!G270,9,2))</f>
        <v>45910</v>
      </c>
      <c r="L270" s="30" t="n">
        <f aca="false">DATE(LEFT(Raw!H270,4),MID(Raw!H270,6,2),MID(Raw!H270,9,2))</f>
        <v>45913</v>
      </c>
      <c r="M270" s="30" t="n">
        <f aca="false">DATE(LEFT(Raw!I270,4),MID(Raw!I270,6,2),MID(Raw!I270,9,2))</f>
        <v>45919</v>
      </c>
      <c r="N270" s="31" t="n">
        <f aca="false">DATE(LEFT(Raw!J270,4),MID(Raw!J270,6,2),MID(Raw!J270,9,2))+TIME(MID(Raw!J270,12,2),MID(Raw!J270,15,2),MID(Raw!J270,18,2))</f>
        <v>45913.375</v>
      </c>
      <c r="O270" s="31" t="n">
        <f aca="false">DATE(LEFT(Raw!K270,4),MID(Raw!K270,6,2),MID(Raw!K270,9,2))+TIME(MID(Raw!K270,12,2),MID(Raw!K270,15,2),MID(Raw!K270,18,2))</f>
        <v>45925.4</v>
      </c>
      <c r="P270" s="32" t="n">
        <f aca="false">L270-K270</f>
        <v>3</v>
      </c>
      <c r="Q270" s="32" t="n">
        <f aca="false">M270-L270</f>
        <v>6</v>
      </c>
      <c r="R270" s="32" t="n">
        <f aca="false">O270-N270</f>
        <v>12.025</v>
      </c>
      <c r="S270" s="32" t="n">
        <f aca="false">Raw!L270</f>
        <v>6.4</v>
      </c>
      <c r="T270" s="32" t="n">
        <f aca="false">O270-M270</f>
        <v>6.4</v>
      </c>
      <c r="U270" s="0" t="str">
        <f aca="false">IF(ABS(T270-S270)&lt;0.01,"OK","MISMATCH")</f>
        <v>OK</v>
      </c>
      <c r="V270" s="33" t="n">
        <f aca="false">Raw!M270</f>
        <v>1</v>
      </c>
      <c r="W270" s="0" t="str">
        <f aca="false">IF((S270&gt;0)=(V270=1),"OK","MISMATCH")</f>
        <v>OK</v>
      </c>
      <c r="X270" s="0" t="str">
        <f aca="false">_xlfn.IFS(S270&lt;=0,"Early/On time",S270&lt;=2,"Minor (up to 2 days)",S270&lt;=5,"Moderate (2-5 days)",TRUE(),"Severe (over 5 days)")</f>
        <v>Severe (over 5 days)</v>
      </c>
      <c r="Y270" s="0" t="str">
        <f aca="false">YEAR(K270)&amp;"-"&amp;TEXT(MONTH(K270),"00")</f>
        <v>2025-09</v>
      </c>
      <c r="Z270" s="0" t="str">
        <f aca="false">C270&amp;" → "&amp;D270</f>
        <v>Rajasthan → Surat</v>
      </c>
      <c r="AA270" s="0" t="str">
        <f aca="false">Raw!Q270</f>
        <v>VRL Cargo</v>
      </c>
      <c r="AB270" s="0" t="str">
        <f aca="false">Raw!R270</f>
        <v>No</v>
      </c>
      <c r="AC270" s="0" t="str">
        <f aca="false">Raw!S270</f>
        <v>Damaged</v>
      </c>
      <c r="AD270" s="29" t="n">
        <f aca="false">Raw!N270</f>
        <v>7646.3</v>
      </c>
      <c r="AE270" s="29" t="n">
        <f aca="false">Raw!O270</f>
        <v>2797.4</v>
      </c>
      <c r="AF270" s="29" t="n">
        <f aca="false">Raw!P270</f>
        <v>1085.86</v>
      </c>
      <c r="AG270" s="29" t="n">
        <f aca="false">AD270/J270</f>
        <v>632.971854304636</v>
      </c>
    </row>
    <row r="271" customFormat="false" ht="15" hidden="false" customHeight="false" outlineLevel="0" collapsed="false">
      <c r="A271" s="0" t="str">
        <f aca="false">Raw!A271</f>
        <v>SHP0270</v>
      </c>
      <c r="B271" s="0" t="str">
        <f aca="false">Raw!B271</f>
        <v>Outbound</v>
      </c>
      <c r="C271" s="0" t="str">
        <f aca="false">Raw!C271</f>
        <v>Surat</v>
      </c>
      <c r="D271" s="0" t="str">
        <f aca="false">Raw!D271</f>
        <v>Madhya Pradesh</v>
      </c>
      <c r="E271" s="0" t="str">
        <f aca="false">IFERROR(INDEX(Location_Map!$B$2:$B$15,MATCH(C271,Location_Map!$A$2:$A$15,0)),"UNMAPPED")</f>
        <v>Gujarat</v>
      </c>
      <c r="F271" s="0" t="str">
        <f aca="false">IFERROR(INDEX(Location_Map!$C$2:$C$15,MATCH(C271,Location_Map!$A$2:$A$15,0)),"UNMAPPED")</f>
        <v>West</v>
      </c>
      <c r="G271" s="0" t="str">
        <f aca="false">IFERROR(INDEX(Location_Map!$B$2:$B$15,MATCH(D271,Location_Map!$A$2:$A$15,0)),"UNMAPPED")</f>
        <v>Madhya Pradesh</v>
      </c>
      <c r="H271" s="0" t="str">
        <f aca="false">IFERROR(INDEX(Location_Map!$C$2:$C$15,MATCH(D271,Location_Map!$A$2:$A$15,0)),"UNMAPPED")</f>
        <v>Central</v>
      </c>
      <c r="I271" s="0" t="str">
        <f aca="false">Raw!E271</f>
        <v>Raw Yarn</v>
      </c>
      <c r="J271" s="28" t="n">
        <f aca="false">Raw!F271</f>
        <v>12.87</v>
      </c>
      <c r="K271" s="30" t="n">
        <f aca="false">DATE(LEFT(Raw!G271,4),MID(Raw!G271,6,2),MID(Raw!G271,9,2))</f>
        <v>45679</v>
      </c>
      <c r="L271" s="30" t="n">
        <f aca="false">DATE(LEFT(Raw!H271,4),MID(Raw!H271,6,2),MID(Raw!H271,9,2))</f>
        <v>45682</v>
      </c>
      <c r="M271" s="30" t="n">
        <f aca="false">DATE(LEFT(Raw!I271,4),MID(Raw!I271,6,2),MID(Raw!I271,9,2))</f>
        <v>45685</v>
      </c>
      <c r="N271" s="31" t="n">
        <f aca="false">DATE(LEFT(Raw!J271,4),MID(Raw!J271,6,2),MID(Raw!J271,9,2))+TIME(MID(Raw!J271,12,2),MID(Raw!J271,15,2),MID(Raw!J271,18,2))</f>
        <v>45682.25</v>
      </c>
      <c r="O271" s="31" t="n">
        <f aca="false">DATE(LEFT(Raw!K271,4),MID(Raw!K271,6,2),MID(Raw!K271,9,2))+TIME(MID(Raw!K271,12,2),MID(Raw!K271,15,2),MID(Raw!K271,18,2))</f>
        <v>45685.6</v>
      </c>
      <c r="P271" s="32" t="n">
        <f aca="false">L271-K271</f>
        <v>3</v>
      </c>
      <c r="Q271" s="32" t="n">
        <f aca="false">M271-L271</f>
        <v>3</v>
      </c>
      <c r="R271" s="32" t="n">
        <f aca="false">O271-N271</f>
        <v>3.35</v>
      </c>
      <c r="S271" s="32" t="n">
        <f aca="false">Raw!L271</f>
        <v>0.6</v>
      </c>
      <c r="T271" s="32" t="n">
        <f aca="false">O271-M271</f>
        <v>0.6</v>
      </c>
      <c r="U271" s="0" t="str">
        <f aca="false">IF(ABS(T271-S271)&lt;0.01,"OK","MISMATCH")</f>
        <v>OK</v>
      </c>
      <c r="V271" s="33" t="n">
        <f aca="false">Raw!M271</f>
        <v>1</v>
      </c>
      <c r="W271" s="0" t="str">
        <f aca="false">IF((S271&gt;0)=(V271=1),"OK","MISMATCH")</f>
        <v>OK</v>
      </c>
      <c r="X271" s="0" t="str">
        <f aca="false">_xlfn.IFS(S271&lt;=0,"Early/On time",S271&lt;=2,"Minor (up to 2 days)",S271&lt;=5,"Moderate (2-5 days)",TRUE(),"Severe (over 5 days)")</f>
        <v>Minor (up to 2 days)</v>
      </c>
      <c r="Y271" s="0" t="str">
        <f aca="false">YEAR(K271)&amp;"-"&amp;TEXT(MONTH(K271),"00")</f>
        <v>2025-01</v>
      </c>
      <c r="Z271" s="0" t="str">
        <f aca="false">C271&amp;" → "&amp;D271</f>
        <v>Surat → Madhya Pradesh</v>
      </c>
      <c r="AA271" s="0" t="str">
        <f aca="false">Raw!Q271</f>
        <v>BlueDart</v>
      </c>
      <c r="AB271" s="0" t="str">
        <f aca="false">Raw!R271</f>
        <v>Yes</v>
      </c>
      <c r="AC271" s="0" t="str">
        <f aca="false">Raw!S271</f>
        <v>Expedited</v>
      </c>
      <c r="AD271" s="29" t="n">
        <f aca="false">Raw!N271</f>
        <v>4534.81</v>
      </c>
      <c r="AE271" s="29" t="n">
        <f aca="false">Raw!O271</f>
        <v>2159.88</v>
      </c>
      <c r="AF271" s="29" t="n">
        <f aca="false">Raw!P271</f>
        <v>1063.29</v>
      </c>
      <c r="AG271" s="29" t="n">
        <f aca="false">AD271/J271</f>
        <v>352.355089355089</v>
      </c>
    </row>
    <row r="272" customFormat="false" ht="15" hidden="false" customHeight="false" outlineLevel="0" collapsed="false">
      <c r="A272" s="0" t="str">
        <f aca="false">Raw!A272</f>
        <v>SHP0271</v>
      </c>
      <c r="B272" s="0" t="str">
        <f aca="false">Raw!B272</f>
        <v>Inbound</v>
      </c>
      <c r="C272" s="0" t="str">
        <f aca="false">Raw!C272</f>
        <v>Uttar Pradesh</v>
      </c>
      <c r="D272" s="0" t="str">
        <f aca="false">Raw!D272</f>
        <v>Surat</v>
      </c>
      <c r="E272" s="0" t="str">
        <f aca="false">IFERROR(INDEX(Location_Map!$B$2:$B$15,MATCH(C272,Location_Map!$A$2:$A$15,0)),"UNMAPPED")</f>
        <v>Uttar Pradesh</v>
      </c>
      <c r="F272" s="0" t="str">
        <f aca="false">IFERROR(INDEX(Location_Map!$C$2:$C$15,MATCH(C272,Location_Map!$A$2:$A$15,0)),"UNMAPPED")</f>
        <v>North</v>
      </c>
      <c r="G272" s="0" t="str">
        <f aca="false">IFERROR(INDEX(Location_Map!$B$2:$B$15,MATCH(D272,Location_Map!$A$2:$A$15,0)),"UNMAPPED")</f>
        <v>Gujarat</v>
      </c>
      <c r="H272" s="0" t="str">
        <f aca="false">IFERROR(INDEX(Location_Map!$C$2:$C$15,MATCH(D272,Location_Map!$A$2:$A$15,0)),"UNMAPPED")</f>
        <v>West</v>
      </c>
      <c r="I272" s="0" t="str">
        <f aca="false">Raw!E272</f>
        <v>Finished Yarn</v>
      </c>
      <c r="J272" s="28" t="n">
        <f aca="false">Raw!F272</f>
        <v>3.28</v>
      </c>
      <c r="K272" s="30" t="n">
        <f aca="false">DATE(LEFT(Raw!G272,4),MID(Raw!G272,6,2),MID(Raw!G272,9,2))</f>
        <v>45933</v>
      </c>
      <c r="L272" s="30" t="n">
        <f aca="false">DATE(LEFT(Raw!H272,4),MID(Raw!H272,6,2),MID(Raw!H272,9,2))</f>
        <v>45936</v>
      </c>
      <c r="M272" s="30" t="n">
        <f aca="false">DATE(LEFT(Raw!I272,4),MID(Raw!I272,6,2),MID(Raw!I272,9,2))</f>
        <v>45941</v>
      </c>
      <c r="N272" s="31" t="n">
        <f aca="false">DATE(LEFT(Raw!J272,4),MID(Raw!J272,6,2),MID(Raw!J272,9,2))+TIME(MID(Raw!J272,12,2),MID(Raw!J272,15,2),MID(Raw!J272,18,2))</f>
        <v>45935.8333333333</v>
      </c>
      <c r="O272" s="31" t="n">
        <f aca="false">DATE(LEFT(Raw!K272,4),MID(Raw!K272,6,2),MID(Raw!K272,9,2))+TIME(MID(Raw!K272,12,2),MID(Raw!K272,15,2),MID(Raw!K272,18,2))</f>
        <v>45940</v>
      </c>
      <c r="P272" s="32" t="n">
        <f aca="false">L272-K272</f>
        <v>3</v>
      </c>
      <c r="Q272" s="32" t="n">
        <f aca="false">M272-L272</f>
        <v>5</v>
      </c>
      <c r="R272" s="32" t="n">
        <f aca="false">O272-N272</f>
        <v>4.16666666666667</v>
      </c>
      <c r="S272" s="32" t="n">
        <f aca="false">Raw!L272</f>
        <v>-1</v>
      </c>
      <c r="T272" s="32" t="n">
        <f aca="false">O272-M272</f>
        <v>-1</v>
      </c>
      <c r="U272" s="0" t="str">
        <f aca="false">IF(ABS(T272-S272)&lt;0.01,"OK","MISMATCH")</f>
        <v>OK</v>
      </c>
      <c r="V272" s="33" t="n">
        <f aca="false">Raw!M272</f>
        <v>0</v>
      </c>
      <c r="W272" s="0" t="str">
        <f aca="false">IF((S272&gt;0)=(V272=1),"OK","MISMATCH")</f>
        <v>OK</v>
      </c>
      <c r="X272" s="0" t="str">
        <f aca="false">_xlfn.IFS(S272&lt;=0,"Early/On time",S272&lt;=2,"Minor (up to 2 days)",S272&lt;=5,"Moderate (2-5 days)",TRUE(),"Severe (over 5 days)")</f>
        <v>Early/On time</v>
      </c>
      <c r="Y272" s="0" t="str">
        <f aca="false">YEAR(K272)&amp;"-"&amp;TEXT(MONTH(K272),"00")</f>
        <v>2025-10</v>
      </c>
      <c r="Z272" s="0" t="str">
        <f aca="false">C272&amp;" → "&amp;D272</f>
        <v>Uttar Pradesh → Surat</v>
      </c>
      <c r="AA272" s="0" t="str">
        <f aca="false">Raw!Q272</f>
        <v>TCI Express</v>
      </c>
      <c r="AB272" s="0" t="str">
        <f aca="false">Raw!R272</f>
        <v>Yes</v>
      </c>
      <c r="AC272" s="0" t="str">
        <f aca="false">Raw!S272</f>
        <v>Held at warehouse</v>
      </c>
      <c r="AD272" s="29" t="n">
        <f aca="false">Raw!N272</f>
        <v>3219.42</v>
      </c>
      <c r="AE272" s="29" t="n">
        <f aca="false">Raw!O272</f>
        <v>2086.19</v>
      </c>
      <c r="AF272" s="29" t="n">
        <f aca="false">Raw!P272</f>
        <v>902.45</v>
      </c>
      <c r="AG272" s="29" t="n">
        <f aca="false">AD272/J272</f>
        <v>981.530487804878</v>
      </c>
    </row>
    <row r="273" customFormat="false" ht="15" hidden="false" customHeight="false" outlineLevel="0" collapsed="false">
      <c r="A273" s="0" t="str">
        <f aca="false">Raw!A273</f>
        <v>SHP0272</v>
      </c>
      <c r="B273" s="0" t="str">
        <f aca="false">Raw!B273</f>
        <v>Inbound</v>
      </c>
      <c r="C273" s="0" t="str">
        <f aca="false">Raw!C273</f>
        <v>Gujarat</v>
      </c>
      <c r="D273" s="0" t="str">
        <f aca="false">Raw!D273</f>
        <v>Surat</v>
      </c>
      <c r="E273" s="0" t="str">
        <f aca="false">IFERROR(INDEX(Location_Map!$B$2:$B$15,MATCH(C273,Location_Map!$A$2:$A$15,0)),"UNMAPPED")</f>
        <v>Gujarat</v>
      </c>
      <c r="F273" s="0" t="str">
        <f aca="false">IFERROR(INDEX(Location_Map!$C$2:$C$15,MATCH(C273,Location_Map!$A$2:$A$15,0)),"UNMAPPED")</f>
        <v>West</v>
      </c>
      <c r="G273" s="0" t="str">
        <f aca="false">IFERROR(INDEX(Location_Map!$B$2:$B$15,MATCH(D273,Location_Map!$A$2:$A$15,0)),"UNMAPPED")</f>
        <v>Gujarat</v>
      </c>
      <c r="H273" s="0" t="str">
        <f aca="false">IFERROR(INDEX(Location_Map!$C$2:$C$15,MATCH(D273,Location_Map!$A$2:$A$15,0)),"UNMAPPED")</f>
        <v>West</v>
      </c>
      <c r="I273" s="0" t="str">
        <f aca="false">Raw!E273</f>
        <v>Raw Yarn</v>
      </c>
      <c r="J273" s="28" t="n">
        <f aca="false">Raw!F273</f>
        <v>2.95</v>
      </c>
      <c r="K273" s="30" t="n">
        <f aca="false">DATE(LEFT(Raw!G273,4),MID(Raw!G273,6,2),MID(Raw!G273,9,2))</f>
        <v>45714</v>
      </c>
      <c r="L273" s="30" t="n">
        <f aca="false">DATE(LEFT(Raw!H273,4),MID(Raw!H273,6,2),MID(Raw!H273,9,2))</f>
        <v>45718</v>
      </c>
      <c r="M273" s="30" t="n">
        <f aca="false">DATE(LEFT(Raw!I273,4),MID(Raw!I273,6,2),MID(Raw!I273,9,2))</f>
        <v>45721</v>
      </c>
      <c r="N273" s="31" t="n">
        <f aca="false">DATE(LEFT(Raw!J273,4),MID(Raw!J273,6,2),MID(Raw!J273,9,2))+TIME(MID(Raw!J273,12,2),MID(Raw!J273,15,2),MID(Raw!J273,18,2))</f>
        <v>45718</v>
      </c>
      <c r="O273" s="31" t="n">
        <f aca="false">DATE(LEFT(Raw!K273,4),MID(Raw!K273,6,2),MID(Raw!K273,9,2))+TIME(MID(Raw!K273,12,2),MID(Raw!K273,15,2),MID(Raw!K273,18,2))</f>
        <v>45722.9</v>
      </c>
      <c r="P273" s="32" t="n">
        <f aca="false">L273-K273</f>
        <v>4</v>
      </c>
      <c r="Q273" s="32" t="n">
        <f aca="false">M273-L273</f>
        <v>3</v>
      </c>
      <c r="R273" s="32" t="n">
        <f aca="false">O273-N273</f>
        <v>4.9</v>
      </c>
      <c r="S273" s="32" t="n">
        <f aca="false">Raw!L273</f>
        <v>1.9</v>
      </c>
      <c r="T273" s="32" t="n">
        <f aca="false">O273-M273</f>
        <v>1.9</v>
      </c>
      <c r="U273" s="0" t="str">
        <f aca="false">IF(ABS(T273-S273)&lt;0.01,"OK","MISMATCH")</f>
        <v>OK</v>
      </c>
      <c r="V273" s="33" t="n">
        <f aca="false">Raw!M273</f>
        <v>1</v>
      </c>
      <c r="W273" s="0" t="str">
        <f aca="false">IF((S273&gt;0)=(V273=1),"OK","MISMATCH")</f>
        <v>OK</v>
      </c>
      <c r="X273" s="0" t="str">
        <f aca="false">_xlfn.IFS(S273&lt;=0,"Early/On time",S273&lt;=2,"Minor (up to 2 days)",S273&lt;=5,"Moderate (2-5 days)",TRUE(),"Severe (over 5 days)")</f>
        <v>Minor (up to 2 days)</v>
      </c>
      <c r="Y273" s="0" t="str">
        <f aca="false">YEAR(K273)&amp;"-"&amp;TEXT(MONTH(K273),"00")</f>
        <v>2025-02</v>
      </c>
      <c r="Z273" s="0" t="str">
        <f aca="false">C273&amp;" → "&amp;D273</f>
        <v>Gujarat → Surat</v>
      </c>
      <c r="AA273" s="0" t="str">
        <f aca="false">Raw!Q273</f>
        <v>VRL Cargo</v>
      </c>
      <c r="AB273" s="0" t="str">
        <f aca="false">Raw!R273</f>
        <v>No</v>
      </c>
      <c r="AC273" s="0" t="str">
        <f aca="false">Raw!S273</f>
        <v>Returned</v>
      </c>
      <c r="AD273" s="29" t="n">
        <f aca="false">Raw!N273</f>
        <v>1869.77</v>
      </c>
      <c r="AE273" s="29" t="n">
        <f aca="false">Raw!O273</f>
        <v>4357.35</v>
      </c>
      <c r="AF273" s="29" t="n">
        <f aca="false">Raw!P273</f>
        <v>503.82</v>
      </c>
      <c r="AG273" s="29" t="n">
        <f aca="false">AD273/J273</f>
        <v>633.820338983051</v>
      </c>
    </row>
    <row r="274" customFormat="false" ht="15" hidden="false" customHeight="false" outlineLevel="0" collapsed="false">
      <c r="A274" s="0" t="str">
        <f aca="false">Raw!A274</f>
        <v>SHP0273</v>
      </c>
      <c r="B274" s="0" t="str">
        <f aca="false">Raw!B274</f>
        <v>Inbound</v>
      </c>
      <c r="C274" s="0" t="str">
        <f aca="false">Raw!C274</f>
        <v>Gujarat</v>
      </c>
      <c r="D274" s="0" t="str">
        <f aca="false">Raw!D274</f>
        <v>Surat</v>
      </c>
      <c r="E274" s="0" t="str">
        <f aca="false">IFERROR(INDEX(Location_Map!$B$2:$B$15,MATCH(C274,Location_Map!$A$2:$A$15,0)),"UNMAPPED")</f>
        <v>Gujarat</v>
      </c>
      <c r="F274" s="0" t="str">
        <f aca="false">IFERROR(INDEX(Location_Map!$C$2:$C$15,MATCH(C274,Location_Map!$A$2:$A$15,0)),"UNMAPPED")</f>
        <v>West</v>
      </c>
      <c r="G274" s="0" t="str">
        <f aca="false">IFERROR(INDEX(Location_Map!$B$2:$B$15,MATCH(D274,Location_Map!$A$2:$A$15,0)),"UNMAPPED")</f>
        <v>Gujarat</v>
      </c>
      <c r="H274" s="0" t="str">
        <f aca="false">IFERROR(INDEX(Location_Map!$C$2:$C$15,MATCH(D274,Location_Map!$A$2:$A$15,0)),"UNMAPPED")</f>
        <v>West</v>
      </c>
      <c r="I274" s="0" t="str">
        <f aca="false">Raw!E274</f>
        <v>Semi-Processed Yarn</v>
      </c>
      <c r="J274" s="28" t="n">
        <f aca="false">Raw!F274</f>
        <v>5.69</v>
      </c>
      <c r="K274" s="30" t="n">
        <f aca="false">DATE(LEFT(Raw!G274,4),MID(Raw!G274,6,2),MID(Raw!G274,9,2))</f>
        <v>45880</v>
      </c>
      <c r="L274" s="30" t="n">
        <f aca="false">DATE(LEFT(Raw!H274,4),MID(Raw!H274,6,2),MID(Raw!H274,9,2))</f>
        <v>45882</v>
      </c>
      <c r="M274" s="30" t="n">
        <f aca="false">DATE(LEFT(Raw!I274,4),MID(Raw!I274,6,2),MID(Raw!I274,9,2))</f>
        <v>45886</v>
      </c>
      <c r="N274" s="31" t="n">
        <f aca="false">DATE(LEFT(Raw!J274,4),MID(Raw!J274,6,2),MID(Raw!J274,9,2))+TIME(MID(Raw!J274,12,2),MID(Raw!J274,15,2),MID(Raw!J274,18,2))</f>
        <v>45882.125</v>
      </c>
      <c r="O274" s="31" t="n">
        <f aca="false">DATE(LEFT(Raw!K274,4),MID(Raw!K274,6,2),MID(Raw!K274,9,2))+TIME(MID(Raw!K274,12,2),MID(Raw!K274,15,2),MID(Raw!K274,18,2))</f>
        <v>45887.5</v>
      </c>
      <c r="P274" s="32" t="n">
        <f aca="false">L274-K274</f>
        <v>2</v>
      </c>
      <c r="Q274" s="32" t="n">
        <f aca="false">M274-L274</f>
        <v>4</v>
      </c>
      <c r="R274" s="32" t="n">
        <f aca="false">O274-N274</f>
        <v>5.375</v>
      </c>
      <c r="S274" s="32" t="n">
        <f aca="false">Raw!L274</f>
        <v>1.5</v>
      </c>
      <c r="T274" s="32" t="n">
        <f aca="false">O274-M274</f>
        <v>1.5</v>
      </c>
      <c r="U274" s="0" t="str">
        <f aca="false">IF(ABS(T274-S274)&lt;0.01,"OK","MISMATCH")</f>
        <v>OK</v>
      </c>
      <c r="V274" s="33" t="n">
        <f aca="false">Raw!M274</f>
        <v>1</v>
      </c>
      <c r="W274" s="0" t="str">
        <f aca="false">IF((S274&gt;0)=(V274=1),"OK","MISMATCH")</f>
        <v>OK</v>
      </c>
      <c r="X274" s="0" t="str">
        <f aca="false">_xlfn.IFS(S274&lt;=0,"Early/On time",S274&lt;=2,"Minor (up to 2 days)",S274&lt;=5,"Moderate (2-5 days)",TRUE(),"Severe (over 5 days)")</f>
        <v>Minor (up to 2 days)</v>
      </c>
      <c r="Y274" s="0" t="str">
        <f aca="false">YEAR(K274)&amp;"-"&amp;TEXT(MONTH(K274),"00")</f>
        <v>2025-08</v>
      </c>
      <c r="Z274" s="0" t="str">
        <f aca="false">C274&amp;" → "&amp;D274</f>
        <v>Gujarat → Surat</v>
      </c>
      <c r="AA274" s="0" t="str">
        <f aca="false">Raw!Q274</f>
        <v>Delhivery</v>
      </c>
      <c r="AB274" s="0" t="str">
        <f aca="false">Raw!R274</f>
        <v>Yes</v>
      </c>
      <c r="AC274" s="0" t="str">
        <f aca="false">Raw!S274</f>
        <v>Returned</v>
      </c>
      <c r="AD274" s="29" t="n">
        <f aca="false">Raw!N274</f>
        <v>3645.69</v>
      </c>
      <c r="AE274" s="29" t="n">
        <f aca="false">Raw!O274</f>
        <v>4155.73</v>
      </c>
      <c r="AF274" s="29" t="n">
        <f aca="false">Raw!P274</f>
        <v>1391.87</v>
      </c>
      <c r="AG274" s="29" t="n">
        <f aca="false">AD274/J274</f>
        <v>640.718804920914</v>
      </c>
    </row>
    <row r="275" customFormat="false" ht="15" hidden="false" customHeight="false" outlineLevel="0" collapsed="false">
      <c r="A275" s="0" t="str">
        <f aca="false">Raw!A275</f>
        <v>SHP0274</v>
      </c>
      <c r="B275" s="0" t="str">
        <f aca="false">Raw!B275</f>
        <v>Inbound</v>
      </c>
      <c r="C275" s="0" t="str">
        <f aca="false">Raw!C275</f>
        <v>Chennai</v>
      </c>
      <c r="D275" s="0" t="str">
        <f aca="false">Raw!D275</f>
        <v>Surat</v>
      </c>
      <c r="E275" s="0" t="str">
        <f aca="false">IFERROR(INDEX(Location_Map!$B$2:$B$15,MATCH(C275,Location_Map!$A$2:$A$15,0)),"UNMAPPED")</f>
        <v>Tamil Nadu</v>
      </c>
      <c r="F275" s="0" t="str">
        <f aca="false">IFERROR(INDEX(Location_Map!$C$2:$C$15,MATCH(C275,Location_Map!$A$2:$A$15,0)),"UNMAPPED")</f>
        <v>South</v>
      </c>
      <c r="G275" s="0" t="str">
        <f aca="false">IFERROR(INDEX(Location_Map!$B$2:$B$15,MATCH(D275,Location_Map!$A$2:$A$15,0)),"UNMAPPED")</f>
        <v>Gujarat</v>
      </c>
      <c r="H275" s="0" t="str">
        <f aca="false">IFERROR(INDEX(Location_Map!$C$2:$C$15,MATCH(D275,Location_Map!$A$2:$A$15,0)),"UNMAPPED")</f>
        <v>West</v>
      </c>
      <c r="I275" s="0" t="str">
        <f aca="false">Raw!E275</f>
        <v>Semi-Processed Yarn</v>
      </c>
      <c r="J275" s="28" t="n">
        <f aca="false">Raw!F275</f>
        <v>9.24</v>
      </c>
      <c r="K275" s="30" t="n">
        <f aca="false">DATE(LEFT(Raw!G275,4),MID(Raw!G275,6,2),MID(Raw!G275,9,2))</f>
        <v>45930</v>
      </c>
      <c r="L275" s="30" t="n">
        <f aca="false">DATE(LEFT(Raw!H275,4),MID(Raw!H275,6,2),MID(Raw!H275,9,2))</f>
        <v>45932</v>
      </c>
      <c r="M275" s="30" t="n">
        <f aca="false">DATE(LEFT(Raw!I275,4),MID(Raw!I275,6,2),MID(Raw!I275,9,2))</f>
        <v>45937</v>
      </c>
      <c r="N275" s="31" t="n">
        <f aca="false">DATE(LEFT(Raw!J275,4),MID(Raw!J275,6,2),MID(Raw!J275,9,2))+TIME(MID(Raw!J275,12,2),MID(Raw!J275,15,2),MID(Raw!J275,18,2))</f>
        <v>45931.875</v>
      </c>
      <c r="O275" s="31" t="n">
        <f aca="false">DATE(LEFT(Raw!K275,4),MID(Raw!K275,6,2),MID(Raw!K275,9,2))+TIME(MID(Raw!K275,12,2),MID(Raw!K275,15,2),MID(Raw!K275,18,2))</f>
        <v>45939.4</v>
      </c>
      <c r="P275" s="32" t="n">
        <f aca="false">L275-K275</f>
        <v>2</v>
      </c>
      <c r="Q275" s="32" t="n">
        <f aca="false">M275-L275</f>
        <v>5</v>
      </c>
      <c r="R275" s="32" t="n">
        <f aca="false">O275-N275</f>
        <v>7.525</v>
      </c>
      <c r="S275" s="32" t="n">
        <f aca="false">Raw!L275</f>
        <v>2.4</v>
      </c>
      <c r="T275" s="32" t="n">
        <f aca="false">O275-M275</f>
        <v>2.4</v>
      </c>
      <c r="U275" s="0" t="str">
        <f aca="false">IF(ABS(T275-S275)&lt;0.01,"OK","MISMATCH")</f>
        <v>OK</v>
      </c>
      <c r="V275" s="33" t="n">
        <f aca="false">Raw!M275</f>
        <v>1</v>
      </c>
      <c r="W275" s="0" t="str">
        <f aca="false">IF((S275&gt;0)=(V275=1),"OK","MISMATCH")</f>
        <v>OK</v>
      </c>
      <c r="X275" s="0" t="str">
        <f aca="false">_xlfn.IFS(S275&lt;=0,"Early/On time",S275&lt;=2,"Minor (up to 2 days)",S275&lt;=5,"Moderate (2-5 days)",TRUE(),"Severe (over 5 days)")</f>
        <v>Moderate (2-5 days)</v>
      </c>
      <c r="Y275" s="0" t="str">
        <f aca="false">YEAR(K275)&amp;"-"&amp;TEXT(MONTH(K275),"00")</f>
        <v>2025-09</v>
      </c>
      <c r="Z275" s="0" t="str">
        <f aca="false">C275&amp;" → "&amp;D275</f>
        <v>Chennai → Surat</v>
      </c>
      <c r="AA275" s="0" t="str">
        <f aca="false">Raw!Q275</f>
        <v>TCI Express</v>
      </c>
      <c r="AB275" s="0" t="str">
        <f aca="false">Raw!R275</f>
        <v>Yes</v>
      </c>
      <c r="AC275" s="0" t="str">
        <f aca="false">Raw!S275</f>
        <v>Returned</v>
      </c>
      <c r="AD275" s="29" t="n">
        <f aca="false">Raw!N275</f>
        <v>3965.08</v>
      </c>
      <c r="AE275" s="29" t="n">
        <f aca="false">Raw!O275</f>
        <v>2975.26</v>
      </c>
      <c r="AF275" s="29" t="n">
        <f aca="false">Raw!P275</f>
        <v>887.65</v>
      </c>
      <c r="AG275" s="29" t="n">
        <f aca="false">AD275/J275</f>
        <v>429.121212121212</v>
      </c>
    </row>
    <row r="276" customFormat="false" ht="15" hidden="false" customHeight="false" outlineLevel="0" collapsed="false">
      <c r="A276" s="0" t="str">
        <f aca="false">Raw!A276</f>
        <v>SHP0275</v>
      </c>
      <c r="B276" s="0" t="str">
        <f aca="false">Raw!B276</f>
        <v>Inbound</v>
      </c>
      <c r="C276" s="0" t="str">
        <f aca="false">Raw!C276</f>
        <v>Uttar Pradesh</v>
      </c>
      <c r="D276" s="0" t="str">
        <f aca="false">Raw!D276</f>
        <v>Surat</v>
      </c>
      <c r="E276" s="0" t="str">
        <f aca="false">IFERROR(INDEX(Location_Map!$B$2:$B$15,MATCH(C276,Location_Map!$A$2:$A$15,0)),"UNMAPPED")</f>
        <v>Uttar Pradesh</v>
      </c>
      <c r="F276" s="0" t="str">
        <f aca="false">IFERROR(INDEX(Location_Map!$C$2:$C$15,MATCH(C276,Location_Map!$A$2:$A$15,0)),"UNMAPPED")</f>
        <v>North</v>
      </c>
      <c r="G276" s="0" t="str">
        <f aca="false">IFERROR(INDEX(Location_Map!$B$2:$B$15,MATCH(D276,Location_Map!$A$2:$A$15,0)),"UNMAPPED")</f>
        <v>Gujarat</v>
      </c>
      <c r="H276" s="0" t="str">
        <f aca="false">IFERROR(INDEX(Location_Map!$C$2:$C$15,MATCH(D276,Location_Map!$A$2:$A$15,0)),"UNMAPPED")</f>
        <v>West</v>
      </c>
      <c r="I276" s="0" t="str">
        <f aca="false">Raw!E276</f>
        <v>Semi-Processed Yarn</v>
      </c>
      <c r="J276" s="28" t="n">
        <f aca="false">Raw!F276</f>
        <v>13.02</v>
      </c>
      <c r="K276" s="30" t="n">
        <f aca="false">DATE(LEFT(Raw!G276,4),MID(Raw!G276,6,2),MID(Raw!G276,9,2))</f>
        <v>45869</v>
      </c>
      <c r="L276" s="30" t="n">
        <f aca="false">DATE(LEFT(Raw!H276,4),MID(Raw!H276,6,2),MID(Raw!H276,9,2))</f>
        <v>45870</v>
      </c>
      <c r="M276" s="30" t="n">
        <f aca="false">DATE(LEFT(Raw!I276,4),MID(Raw!I276,6,2),MID(Raw!I276,9,2))</f>
        <v>45876</v>
      </c>
      <c r="N276" s="31" t="n">
        <f aca="false">DATE(LEFT(Raw!J276,4),MID(Raw!J276,6,2),MID(Raw!J276,9,2))+TIME(MID(Raw!J276,12,2),MID(Raw!J276,15,2),MID(Raw!J276,18,2))</f>
        <v>45869.7916666667</v>
      </c>
      <c r="O276" s="31" t="n">
        <f aca="false">DATE(LEFT(Raw!K276,4),MID(Raw!K276,6,2),MID(Raw!K276,9,2))+TIME(MID(Raw!K276,12,2),MID(Raw!K276,15,2),MID(Raw!K276,18,2))</f>
        <v>45880.9</v>
      </c>
      <c r="P276" s="32" t="n">
        <f aca="false">L276-K276</f>
        <v>1</v>
      </c>
      <c r="Q276" s="32" t="n">
        <f aca="false">M276-L276</f>
        <v>6</v>
      </c>
      <c r="R276" s="32" t="n">
        <f aca="false">O276-N276</f>
        <v>11.1083333333333</v>
      </c>
      <c r="S276" s="32" t="n">
        <f aca="false">Raw!L276</f>
        <v>4.9</v>
      </c>
      <c r="T276" s="32" t="n">
        <f aca="false">O276-M276</f>
        <v>4.9</v>
      </c>
      <c r="U276" s="0" t="str">
        <f aca="false">IF(ABS(T276-S276)&lt;0.01,"OK","MISMATCH")</f>
        <v>OK</v>
      </c>
      <c r="V276" s="33" t="n">
        <f aca="false">Raw!M276</f>
        <v>1</v>
      </c>
      <c r="W276" s="0" t="str">
        <f aca="false">IF((S276&gt;0)=(V276=1),"OK","MISMATCH")</f>
        <v>OK</v>
      </c>
      <c r="X276" s="0" t="str">
        <f aca="false">_xlfn.IFS(S276&lt;=0,"Early/On time",S276&lt;=2,"Minor (up to 2 days)",S276&lt;=5,"Moderate (2-5 days)",TRUE(),"Severe (over 5 days)")</f>
        <v>Moderate (2-5 days)</v>
      </c>
      <c r="Y276" s="0" t="str">
        <f aca="false">YEAR(K276)&amp;"-"&amp;TEXT(MONTH(K276),"00")</f>
        <v>2025-07</v>
      </c>
      <c r="Z276" s="0" t="str">
        <f aca="false">C276&amp;" → "&amp;D276</f>
        <v>Uttar Pradesh → Surat</v>
      </c>
      <c r="AA276" s="0" t="str">
        <f aca="false">Raw!Q276</f>
        <v>VRL Cargo</v>
      </c>
      <c r="AB276" s="0" t="str">
        <f aca="false">Raw!R276</f>
        <v>Yes</v>
      </c>
      <c r="AC276" s="0" t="str">
        <f aca="false">Raw!S276</f>
        <v>Returned</v>
      </c>
      <c r="AD276" s="29" t="n">
        <f aca="false">Raw!N276</f>
        <v>4178.89</v>
      </c>
      <c r="AE276" s="29" t="n">
        <f aca="false">Raw!O276</f>
        <v>3704.43</v>
      </c>
      <c r="AF276" s="29" t="n">
        <f aca="false">Raw!P276</f>
        <v>1443.98</v>
      </c>
      <c r="AG276" s="29" t="n">
        <f aca="false">AD276/J276</f>
        <v>320.959293394777</v>
      </c>
    </row>
    <row r="277" customFormat="false" ht="15" hidden="false" customHeight="false" outlineLevel="0" collapsed="false">
      <c r="A277" s="0" t="str">
        <f aca="false">Raw!A277</f>
        <v>SHP0276</v>
      </c>
      <c r="B277" s="0" t="str">
        <f aca="false">Raw!B277</f>
        <v>Outbound</v>
      </c>
      <c r="C277" s="0" t="str">
        <f aca="false">Raw!C277</f>
        <v>Surat</v>
      </c>
      <c r="D277" s="0" t="str">
        <f aca="false">Raw!D277</f>
        <v>Madhya Pradesh</v>
      </c>
      <c r="E277" s="0" t="str">
        <f aca="false">IFERROR(INDEX(Location_Map!$B$2:$B$15,MATCH(C277,Location_Map!$A$2:$A$15,0)),"UNMAPPED")</f>
        <v>Gujarat</v>
      </c>
      <c r="F277" s="0" t="str">
        <f aca="false">IFERROR(INDEX(Location_Map!$C$2:$C$15,MATCH(C277,Location_Map!$A$2:$A$15,0)),"UNMAPPED")</f>
        <v>West</v>
      </c>
      <c r="G277" s="0" t="str">
        <f aca="false">IFERROR(INDEX(Location_Map!$B$2:$B$15,MATCH(D277,Location_Map!$A$2:$A$15,0)),"UNMAPPED")</f>
        <v>Madhya Pradesh</v>
      </c>
      <c r="H277" s="0" t="str">
        <f aca="false">IFERROR(INDEX(Location_Map!$C$2:$C$15,MATCH(D277,Location_Map!$A$2:$A$15,0)),"UNMAPPED")</f>
        <v>Central</v>
      </c>
      <c r="I277" s="0" t="str">
        <f aca="false">Raw!E277</f>
        <v>Finished Yarn</v>
      </c>
      <c r="J277" s="28" t="n">
        <f aca="false">Raw!F277</f>
        <v>6.11</v>
      </c>
      <c r="K277" s="30" t="n">
        <f aca="false">DATE(LEFT(Raw!G277,4),MID(Raw!G277,6,2),MID(Raw!G277,9,2))</f>
        <v>45800</v>
      </c>
      <c r="L277" s="30" t="n">
        <f aca="false">DATE(LEFT(Raw!H277,4),MID(Raw!H277,6,2),MID(Raw!H277,9,2))</f>
        <v>45803</v>
      </c>
      <c r="M277" s="30" t="n">
        <f aca="false">DATE(LEFT(Raw!I277,4),MID(Raw!I277,6,2),MID(Raw!I277,9,2))</f>
        <v>45809</v>
      </c>
      <c r="N277" s="31" t="n">
        <f aca="false">DATE(LEFT(Raw!J277,4),MID(Raw!J277,6,2),MID(Raw!J277,9,2))+TIME(MID(Raw!J277,12,2),MID(Raw!J277,15,2),MID(Raw!J277,18,2))</f>
        <v>45803.1666666667</v>
      </c>
      <c r="O277" s="31" t="n">
        <f aca="false">DATE(LEFT(Raw!K277,4),MID(Raw!K277,6,2),MID(Raw!K277,9,2))+TIME(MID(Raw!K277,12,2),MID(Raw!K277,15,2),MID(Raw!K277,18,2))</f>
        <v>45814.7</v>
      </c>
      <c r="P277" s="32" t="n">
        <f aca="false">L277-K277</f>
        <v>3</v>
      </c>
      <c r="Q277" s="32" t="n">
        <f aca="false">M277-L277</f>
        <v>6</v>
      </c>
      <c r="R277" s="32" t="n">
        <f aca="false">O277-N277</f>
        <v>11.5333333333333</v>
      </c>
      <c r="S277" s="32" t="n">
        <f aca="false">Raw!L277</f>
        <v>5.7</v>
      </c>
      <c r="T277" s="32" t="n">
        <f aca="false">O277-M277</f>
        <v>5.7</v>
      </c>
      <c r="U277" s="0" t="str">
        <f aca="false">IF(ABS(T277-S277)&lt;0.01,"OK","MISMATCH")</f>
        <v>OK</v>
      </c>
      <c r="V277" s="33" t="n">
        <f aca="false">Raw!M277</f>
        <v>1</v>
      </c>
      <c r="W277" s="0" t="str">
        <f aca="false">IF((S277&gt;0)=(V277=1),"OK","MISMATCH")</f>
        <v>OK</v>
      </c>
      <c r="X277" s="0" t="str">
        <f aca="false">_xlfn.IFS(S277&lt;=0,"Early/On time",S277&lt;=2,"Minor (up to 2 days)",S277&lt;=5,"Moderate (2-5 days)",TRUE(),"Severe (over 5 days)")</f>
        <v>Severe (over 5 days)</v>
      </c>
      <c r="Y277" s="0" t="str">
        <f aca="false">YEAR(K277)&amp;"-"&amp;TEXT(MONTH(K277),"00")</f>
        <v>2025-05</v>
      </c>
      <c r="Z277" s="0" t="str">
        <f aca="false">C277&amp;" → "&amp;D277</f>
        <v>Surat → Madhya Pradesh</v>
      </c>
      <c r="AA277" s="0" t="str">
        <f aca="false">Raw!Q277</f>
        <v>Delhivery</v>
      </c>
      <c r="AB277" s="0" t="str">
        <f aca="false">Raw!R277</f>
        <v>Yes</v>
      </c>
      <c r="AC277" s="0" t="str">
        <f aca="false">Raw!S277</f>
        <v>Damaged</v>
      </c>
      <c r="AD277" s="29" t="n">
        <f aca="false">Raw!N277</f>
        <v>2773.81</v>
      </c>
      <c r="AE277" s="29" t="n">
        <f aca="false">Raw!O277</f>
        <v>2540.48</v>
      </c>
      <c r="AF277" s="29" t="n">
        <f aca="false">Raw!P277</f>
        <v>1365.82</v>
      </c>
      <c r="AG277" s="29" t="n">
        <f aca="false">AD277/J277</f>
        <v>453.978723404255</v>
      </c>
    </row>
    <row r="278" customFormat="false" ht="15" hidden="false" customHeight="false" outlineLevel="0" collapsed="false">
      <c r="A278" s="0" t="str">
        <f aca="false">Raw!A278</f>
        <v>SHP0277</v>
      </c>
      <c r="B278" s="0" t="str">
        <f aca="false">Raw!B278</f>
        <v>Outbound</v>
      </c>
      <c r="C278" s="0" t="str">
        <f aca="false">Raw!C278</f>
        <v>Surat</v>
      </c>
      <c r="D278" s="0" t="str">
        <f aca="false">Raw!D278</f>
        <v>Mumbai</v>
      </c>
      <c r="E278" s="0" t="str">
        <f aca="false">IFERROR(INDEX(Location_Map!$B$2:$B$15,MATCH(C278,Location_Map!$A$2:$A$15,0)),"UNMAPPED")</f>
        <v>Gujarat</v>
      </c>
      <c r="F278" s="0" t="str">
        <f aca="false">IFERROR(INDEX(Location_Map!$C$2:$C$15,MATCH(C278,Location_Map!$A$2:$A$15,0)),"UNMAPPED")</f>
        <v>West</v>
      </c>
      <c r="G278" s="0" t="str">
        <f aca="false">IFERROR(INDEX(Location_Map!$B$2:$B$15,MATCH(D278,Location_Map!$A$2:$A$15,0)),"UNMAPPED")</f>
        <v>Maharashtra</v>
      </c>
      <c r="H278" s="0" t="str">
        <f aca="false">IFERROR(INDEX(Location_Map!$C$2:$C$15,MATCH(D278,Location_Map!$A$2:$A$15,0)),"UNMAPPED")</f>
        <v>West</v>
      </c>
      <c r="I278" s="0" t="str">
        <f aca="false">Raw!E278</f>
        <v>Finished Yarn</v>
      </c>
      <c r="J278" s="28" t="n">
        <f aca="false">Raw!F278</f>
        <v>10.04</v>
      </c>
      <c r="K278" s="30" t="n">
        <f aca="false">DATE(LEFT(Raw!G278,4),MID(Raw!G278,6,2),MID(Raw!G278,9,2))</f>
        <v>45691</v>
      </c>
      <c r="L278" s="30" t="n">
        <f aca="false">DATE(LEFT(Raw!H278,4),MID(Raw!H278,6,2),MID(Raw!H278,9,2))</f>
        <v>45694</v>
      </c>
      <c r="M278" s="30" t="n">
        <f aca="false">DATE(LEFT(Raw!I278,4),MID(Raw!I278,6,2),MID(Raw!I278,9,2))</f>
        <v>45698</v>
      </c>
      <c r="N278" s="31" t="n">
        <f aca="false">DATE(LEFT(Raw!J278,4),MID(Raw!J278,6,2),MID(Raw!J278,9,2))+TIME(MID(Raw!J278,12,2),MID(Raw!J278,15,2),MID(Raw!J278,18,2))</f>
        <v>45694.125</v>
      </c>
      <c r="O278" s="31" t="n">
        <f aca="false">DATE(LEFT(Raw!K278,4),MID(Raw!K278,6,2),MID(Raw!K278,9,2))+TIME(MID(Raw!K278,12,2),MID(Raw!K278,15,2),MID(Raw!K278,18,2))</f>
        <v>45698.5</v>
      </c>
      <c r="P278" s="32" t="n">
        <f aca="false">L278-K278</f>
        <v>3</v>
      </c>
      <c r="Q278" s="32" t="n">
        <f aca="false">M278-L278</f>
        <v>4</v>
      </c>
      <c r="R278" s="32" t="n">
        <f aca="false">O278-N278</f>
        <v>4.375</v>
      </c>
      <c r="S278" s="32" t="n">
        <f aca="false">Raw!L278</f>
        <v>0.5</v>
      </c>
      <c r="T278" s="32" t="n">
        <f aca="false">O278-M278</f>
        <v>0.5</v>
      </c>
      <c r="U278" s="0" t="str">
        <f aca="false">IF(ABS(T278-S278)&lt;0.01,"OK","MISMATCH")</f>
        <v>OK</v>
      </c>
      <c r="V278" s="33" t="n">
        <f aca="false">Raw!M278</f>
        <v>1</v>
      </c>
      <c r="W278" s="0" t="str">
        <f aca="false">IF((S278&gt;0)=(V278=1),"OK","MISMATCH")</f>
        <v>OK</v>
      </c>
      <c r="X278" s="0" t="str">
        <f aca="false">_xlfn.IFS(S278&lt;=0,"Early/On time",S278&lt;=2,"Minor (up to 2 days)",S278&lt;=5,"Moderate (2-5 days)",TRUE(),"Severe (over 5 days)")</f>
        <v>Minor (up to 2 days)</v>
      </c>
      <c r="Y278" s="0" t="str">
        <f aca="false">YEAR(K278)&amp;"-"&amp;TEXT(MONTH(K278),"00")</f>
        <v>2025-02</v>
      </c>
      <c r="Z278" s="0" t="str">
        <f aca="false">C278&amp;" → "&amp;D278</f>
        <v>Surat → Mumbai</v>
      </c>
      <c r="AA278" s="0" t="str">
        <f aca="false">Raw!Q278</f>
        <v>TCI Express</v>
      </c>
      <c r="AB278" s="0" t="str">
        <f aca="false">Raw!R278</f>
        <v>No</v>
      </c>
      <c r="AC278" s="0" t="str">
        <f aca="false">Raw!S278</f>
        <v>Held at warehouse</v>
      </c>
      <c r="AD278" s="29" t="n">
        <f aca="false">Raw!N278</f>
        <v>4233.61</v>
      </c>
      <c r="AE278" s="29" t="n">
        <f aca="false">Raw!O278</f>
        <v>2663.19</v>
      </c>
      <c r="AF278" s="29" t="n">
        <f aca="false">Raw!P278</f>
        <v>1219.65</v>
      </c>
      <c r="AG278" s="29" t="n">
        <f aca="false">AD278/J278</f>
        <v>421.674302788845</v>
      </c>
    </row>
    <row r="279" customFormat="false" ht="15" hidden="false" customHeight="false" outlineLevel="0" collapsed="false">
      <c r="A279" s="0" t="str">
        <f aca="false">Raw!A279</f>
        <v>SHP0278</v>
      </c>
      <c r="B279" s="0" t="str">
        <f aca="false">Raw!B279</f>
        <v>Outbound</v>
      </c>
      <c r="C279" s="0" t="str">
        <f aca="false">Raw!C279</f>
        <v>Surat</v>
      </c>
      <c r="D279" s="0" t="str">
        <f aca="false">Raw!D279</f>
        <v>West Bengal</v>
      </c>
      <c r="E279" s="0" t="str">
        <f aca="false">IFERROR(INDEX(Location_Map!$B$2:$B$15,MATCH(C279,Location_Map!$A$2:$A$15,0)),"UNMAPPED")</f>
        <v>Gujarat</v>
      </c>
      <c r="F279" s="0" t="str">
        <f aca="false">IFERROR(INDEX(Location_Map!$C$2:$C$15,MATCH(C279,Location_Map!$A$2:$A$15,0)),"UNMAPPED")</f>
        <v>West</v>
      </c>
      <c r="G279" s="0" t="str">
        <f aca="false">IFERROR(INDEX(Location_Map!$B$2:$B$15,MATCH(D279,Location_Map!$A$2:$A$15,0)),"UNMAPPED")</f>
        <v>West Bengal</v>
      </c>
      <c r="H279" s="0" t="str">
        <f aca="false">IFERROR(INDEX(Location_Map!$C$2:$C$15,MATCH(D279,Location_Map!$A$2:$A$15,0)),"UNMAPPED")</f>
        <v>East</v>
      </c>
      <c r="I279" s="0" t="str">
        <f aca="false">Raw!E279</f>
        <v>Raw Yarn</v>
      </c>
      <c r="J279" s="28" t="n">
        <f aca="false">Raw!F279</f>
        <v>8.05</v>
      </c>
      <c r="K279" s="30" t="n">
        <f aca="false">DATE(LEFT(Raw!G279,4),MID(Raw!G279,6,2),MID(Raw!G279,9,2))</f>
        <v>45918</v>
      </c>
      <c r="L279" s="30" t="n">
        <f aca="false">DATE(LEFT(Raw!H279,4),MID(Raw!H279,6,2),MID(Raw!H279,9,2))</f>
        <v>45921</v>
      </c>
      <c r="M279" s="30" t="n">
        <f aca="false">DATE(LEFT(Raw!I279,4),MID(Raw!I279,6,2),MID(Raw!I279,9,2))</f>
        <v>45923</v>
      </c>
      <c r="N279" s="31" t="n">
        <f aca="false">DATE(LEFT(Raw!J279,4),MID(Raw!J279,6,2),MID(Raw!J279,9,2))+TIME(MID(Raw!J279,12,2),MID(Raw!J279,15,2),MID(Raw!J279,18,2))</f>
        <v>45920.9166666667</v>
      </c>
      <c r="O279" s="31" t="n">
        <f aca="false">DATE(LEFT(Raw!K279,4),MID(Raw!K279,6,2),MID(Raw!K279,9,2))+TIME(MID(Raw!K279,12,2),MID(Raw!K279,15,2),MID(Raw!K279,18,2))</f>
        <v>45924.6</v>
      </c>
      <c r="P279" s="32" t="n">
        <f aca="false">L279-K279</f>
        <v>3</v>
      </c>
      <c r="Q279" s="32" t="n">
        <f aca="false">M279-L279</f>
        <v>2</v>
      </c>
      <c r="R279" s="32" t="n">
        <f aca="false">O279-N279</f>
        <v>3.68333333333333</v>
      </c>
      <c r="S279" s="32" t="n">
        <f aca="false">Raw!L279</f>
        <v>1.6</v>
      </c>
      <c r="T279" s="32" t="n">
        <f aca="false">O279-M279</f>
        <v>1.6</v>
      </c>
      <c r="U279" s="0" t="str">
        <f aca="false">IF(ABS(T279-S279)&lt;0.01,"OK","MISMATCH")</f>
        <v>OK</v>
      </c>
      <c r="V279" s="33" t="n">
        <f aca="false">Raw!M279</f>
        <v>1</v>
      </c>
      <c r="W279" s="0" t="str">
        <f aca="false">IF((S279&gt;0)=(V279=1),"OK","MISMATCH")</f>
        <v>OK</v>
      </c>
      <c r="X279" s="0" t="str">
        <f aca="false">_xlfn.IFS(S279&lt;=0,"Early/On time",S279&lt;=2,"Minor (up to 2 days)",S279&lt;=5,"Moderate (2-5 days)",TRUE(),"Severe (over 5 days)")</f>
        <v>Minor (up to 2 days)</v>
      </c>
      <c r="Y279" s="0" t="str">
        <f aca="false">YEAR(K279)&amp;"-"&amp;TEXT(MONTH(K279),"00")</f>
        <v>2025-09</v>
      </c>
      <c r="Z279" s="0" t="str">
        <f aca="false">C279&amp;" → "&amp;D279</f>
        <v>Surat → West Bengal</v>
      </c>
      <c r="AA279" s="0" t="str">
        <f aca="false">Raw!Q279</f>
        <v>BlueDart</v>
      </c>
      <c r="AB279" s="0" t="str">
        <f aca="false">Raw!R279</f>
        <v>Yes</v>
      </c>
      <c r="AC279" s="0" t="str">
        <f aca="false">Raw!S279</f>
        <v>Normal</v>
      </c>
      <c r="AD279" s="29" t="n">
        <f aca="false">Raw!N279</f>
        <v>5204.29</v>
      </c>
      <c r="AE279" s="29" t="n">
        <f aca="false">Raw!O279</f>
        <v>2181.21</v>
      </c>
      <c r="AF279" s="29" t="n">
        <f aca="false">Raw!P279</f>
        <v>636.6</v>
      </c>
      <c r="AG279" s="29" t="n">
        <f aca="false">AD279/J279</f>
        <v>646.495652173913</v>
      </c>
    </row>
    <row r="280" customFormat="false" ht="15" hidden="false" customHeight="false" outlineLevel="0" collapsed="false">
      <c r="A280" s="0" t="str">
        <f aca="false">Raw!A280</f>
        <v>SHP0279</v>
      </c>
      <c r="B280" s="0" t="str">
        <f aca="false">Raw!B280</f>
        <v>Outbound</v>
      </c>
      <c r="C280" s="0" t="str">
        <f aca="false">Raw!C280</f>
        <v>Surat</v>
      </c>
      <c r="D280" s="0" t="str">
        <f aca="false">Raw!D280</f>
        <v>West Bengal</v>
      </c>
      <c r="E280" s="0" t="str">
        <f aca="false">IFERROR(INDEX(Location_Map!$B$2:$B$15,MATCH(C280,Location_Map!$A$2:$A$15,0)),"UNMAPPED")</f>
        <v>Gujarat</v>
      </c>
      <c r="F280" s="0" t="str">
        <f aca="false">IFERROR(INDEX(Location_Map!$C$2:$C$15,MATCH(C280,Location_Map!$A$2:$A$15,0)),"UNMAPPED")</f>
        <v>West</v>
      </c>
      <c r="G280" s="0" t="str">
        <f aca="false">IFERROR(INDEX(Location_Map!$B$2:$B$15,MATCH(D280,Location_Map!$A$2:$A$15,0)),"UNMAPPED")</f>
        <v>West Bengal</v>
      </c>
      <c r="H280" s="0" t="str">
        <f aca="false">IFERROR(INDEX(Location_Map!$C$2:$C$15,MATCH(D280,Location_Map!$A$2:$A$15,0)),"UNMAPPED")</f>
        <v>East</v>
      </c>
      <c r="I280" s="0" t="str">
        <f aca="false">Raw!E280</f>
        <v>Raw Yarn</v>
      </c>
      <c r="J280" s="28" t="n">
        <f aca="false">Raw!F280</f>
        <v>13.38</v>
      </c>
      <c r="K280" s="30" t="n">
        <f aca="false">DATE(LEFT(Raw!G280,4),MID(Raw!G280,6,2),MID(Raw!G280,9,2))</f>
        <v>45879</v>
      </c>
      <c r="L280" s="30" t="n">
        <f aca="false">DATE(LEFT(Raw!H280,4),MID(Raw!H280,6,2),MID(Raw!H280,9,2))</f>
        <v>45881</v>
      </c>
      <c r="M280" s="30" t="n">
        <f aca="false">DATE(LEFT(Raw!I280,4),MID(Raw!I280,6,2),MID(Raw!I280,9,2))</f>
        <v>45886</v>
      </c>
      <c r="N280" s="31" t="n">
        <f aca="false">DATE(LEFT(Raw!J280,4),MID(Raw!J280,6,2),MID(Raw!J280,9,2))+TIME(MID(Raw!J280,12,2),MID(Raw!J280,15,2),MID(Raw!J280,18,2))</f>
        <v>45881</v>
      </c>
      <c r="O280" s="31" t="n">
        <f aca="false">DATE(LEFT(Raw!K280,4),MID(Raw!K280,6,2),MID(Raw!K280,9,2))+TIME(MID(Raw!K280,12,2),MID(Raw!K280,15,2),MID(Raw!K280,18,2))</f>
        <v>45888.4</v>
      </c>
      <c r="P280" s="32" t="n">
        <f aca="false">L280-K280</f>
        <v>2</v>
      </c>
      <c r="Q280" s="32" t="n">
        <f aca="false">M280-L280</f>
        <v>5</v>
      </c>
      <c r="R280" s="32" t="n">
        <f aca="false">O280-N280</f>
        <v>7.4</v>
      </c>
      <c r="S280" s="32" t="n">
        <f aca="false">Raw!L280</f>
        <v>2.4</v>
      </c>
      <c r="T280" s="32" t="n">
        <f aca="false">O280-M280</f>
        <v>2.4</v>
      </c>
      <c r="U280" s="0" t="str">
        <f aca="false">IF(ABS(T280-S280)&lt;0.01,"OK","MISMATCH")</f>
        <v>OK</v>
      </c>
      <c r="V280" s="33" t="n">
        <f aca="false">Raw!M280</f>
        <v>1</v>
      </c>
      <c r="W280" s="0" t="str">
        <f aca="false">IF((S280&gt;0)=(V280=1),"OK","MISMATCH")</f>
        <v>OK</v>
      </c>
      <c r="X280" s="0" t="str">
        <f aca="false">_xlfn.IFS(S280&lt;=0,"Early/On time",S280&lt;=2,"Minor (up to 2 days)",S280&lt;=5,"Moderate (2-5 days)",TRUE(),"Severe (over 5 days)")</f>
        <v>Moderate (2-5 days)</v>
      </c>
      <c r="Y280" s="0" t="str">
        <f aca="false">YEAR(K280)&amp;"-"&amp;TEXT(MONTH(K280),"00")</f>
        <v>2025-08</v>
      </c>
      <c r="Z280" s="0" t="str">
        <f aca="false">C280&amp;" → "&amp;D280</f>
        <v>Surat → West Bengal</v>
      </c>
      <c r="AA280" s="0" t="str">
        <f aca="false">Raw!Q280</f>
        <v>GATI Logistics</v>
      </c>
      <c r="AB280" s="0" t="str">
        <f aca="false">Raw!R280</f>
        <v>No</v>
      </c>
      <c r="AC280" s="0" t="str">
        <f aca="false">Raw!S280</f>
        <v>Returned</v>
      </c>
      <c r="AD280" s="29" t="n">
        <f aca="false">Raw!N280</f>
        <v>6369.52</v>
      </c>
      <c r="AE280" s="29" t="n">
        <f aca="false">Raw!O280</f>
        <v>2149.64</v>
      </c>
      <c r="AF280" s="29" t="n">
        <f aca="false">Raw!P280</f>
        <v>867.79</v>
      </c>
      <c r="AG280" s="29" t="n">
        <f aca="false">AD280/J280</f>
        <v>476.047832585949</v>
      </c>
    </row>
    <row r="281" customFormat="false" ht="15" hidden="false" customHeight="false" outlineLevel="0" collapsed="false">
      <c r="A281" s="0" t="str">
        <f aca="false">Raw!A281</f>
        <v>SHP0280</v>
      </c>
      <c r="B281" s="0" t="str">
        <f aca="false">Raw!B281</f>
        <v>Inbound</v>
      </c>
      <c r="C281" s="0" t="str">
        <f aca="false">Raw!C281</f>
        <v>Chennai</v>
      </c>
      <c r="D281" s="0" t="str">
        <f aca="false">Raw!D281</f>
        <v>Surat</v>
      </c>
      <c r="E281" s="0" t="str">
        <f aca="false">IFERROR(INDEX(Location_Map!$B$2:$B$15,MATCH(C281,Location_Map!$A$2:$A$15,0)),"UNMAPPED")</f>
        <v>Tamil Nadu</v>
      </c>
      <c r="F281" s="0" t="str">
        <f aca="false">IFERROR(INDEX(Location_Map!$C$2:$C$15,MATCH(C281,Location_Map!$A$2:$A$15,0)),"UNMAPPED")</f>
        <v>South</v>
      </c>
      <c r="G281" s="0" t="str">
        <f aca="false">IFERROR(INDEX(Location_Map!$B$2:$B$15,MATCH(D281,Location_Map!$A$2:$A$15,0)),"UNMAPPED")</f>
        <v>Gujarat</v>
      </c>
      <c r="H281" s="0" t="str">
        <f aca="false">IFERROR(INDEX(Location_Map!$C$2:$C$15,MATCH(D281,Location_Map!$A$2:$A$15,0)),"UNMAPPED")</f>
        <v>West</v>
      </c>
      <c r="I281" s="0" t="str">
        <f aca="false">Raw!E281</f>
        <v>Finished Yarn</v>
      </c>
      <c r="J281" s="28" t="n">
        <f aca="false">Raw!F281</f>
        <v>2.1</v>
      </c>
      <c r="K281" s="30" t="n">
        <f aca="false">DATE(LEFT(Raw!G281,4),MID(Raw!G281,6,2),MID(Raw!G281,9,2))</f>
        <v>45691</v>
      </c>
      <c r="L281" s="30" t="n">
        <f aca="false">DATE(LEFT(Raw!H281,4),MID(Raw!H281,6,2),MID(Raw!H281,9,2))</f>
        <v>45694</v>
      </c>
      <c r="M281" s="30" t="n">
        <f aca="false">DATE(LEFT(Raw!I281,4),MID(Raw!I281,6,2),MID(Raw!I281,9,2))</f>
        <v>45699</v>
      </c>
      <c r="N281" s="31" t="n">
        <f aca="false">DATE(LEFT(Raw!J281,4),MID(Raw!J281,6,2),MID(Raw!J281,9,2))+TIME(MID(Raw!J281,12,2),MID(Raw!J281,15,2),MID(Raw!J281,18,2))</f>
        <v>45694.375</v>
      </c>
      <c r="O281" s="31" t="n">
        <f aca="false">DATE(LEFT(Raw!K281,4),MID(Raw!K281,6,2),MID(Raw!K281,9,2))+TIME(MID(Raw!K281,12,2),MID(Raw!K281,15,2),MID(Raw!K281,18,2))</f>
        <v>45700</v>
      </c>
      <c r="P281" s="32" t="n">
        <f aca="false">L281-K281</f>
        <v>3</v>
      </c>
      <c r="Q281" s="32" t="n">
        <f aca="false">M281-L281</f>
        <v>5</v>
      </c>
      <c r="R281" s="32" t="n">
        <f aca="false">O281-N281</f>
        <v>5.625</v>
      </c>
      <c r="S281" s="32" t="n">
        <f aca="false">Raw!L281</f>
        <v>1</v>
      </c>
      <c r="T281" s="32" t="n">
        <f aca="false">O281-M281</f>
        <v>1</v>
      </c>
      <c r="U281" s="0" t="str">
        <f aca="false">IF(ABS(T281-S281)&lt;0.01,"OK","MISMATCH")</f>
        <v>OK</v>
      </c>
      <c r="V281" s="33" t="n">
        <f aca="false">Raw!M281</f>
        <v>1</v>
      </c>
      <c r="W281" s="0" t="str">
        <f aca="false">IF((S281&gt;0)=(V281=1),"OK","MISMATCH")</f>
        <v>OK</v>
      </c>
      <c r="X281" s="0" t="str">
        <f aca="false">_xlfn.IFS(S281&lt;=0,"Early/On time",S281&lt;=2,"Minor (up to 2 days)",S281&lt;=5,"Moderate (2-5 days)",TRUE(),"Severe (over 5 days)")</f>
        <v>Minor (up to 2 days)</v>
      </c>
      <c r="Y281" s="0" t="str">
        <f aca="false">YEAR(K281)&amp;"-"&amp;TEXT(MONTH(K281),"00")</f>
        <v>2025-02</v>
      </c>
      <c r="Z281" s="0" t="str">
        <f aca="false">C281&amp;" → "&amp;D281</f>
        <v>Chennai → Surat</v>
      </c>
      <c r="AA281" s="0" t="str">
        <f aca="false">Raw!Q281</f>
        <v>TCI Express</v>
      </c>
      <c r="AB281" s="0" t="str">
        <f aca="false">Raw!R281</f>
        <v>No</v>
      </c>
      <c r="AC281" s="0" t="str">
        <f aca="false">Raw!S281</f>
        <v>Expedited</v>
      </c>
      <c r="AD281" s="29" t="n">
        <f aca="false">Raw!N281</f>
        <v>1577.1</v>
      </c>
      <c r="AE281" s="29" t="n">
        <f aca="false">Raw!O281</f>
        <v>2516.38</v>
      </c>
      <c r="AF281" s="29" t="n">
        <f aca="false">Raw!P281</f>
        <v>837.35</v>
      </c>
      <c r="AG281" s="29" t="n">
        <f aca="false">AD281/J281</f>
        <v>751</v>
      </c>
    </row>
    <row r="282" customFormat="false" ht="15" hidden="false" customHeight="false" outlineLevel="0" collapsed="false">
      <c r="A282" s="0" t="str">
        <f aca="false">Raw!A282</f>
        <v>SHP0281</v>
      </c>
      <c r="B282" s="0" t="str">
        <f aca="false">Raw!B282</f>
        <v>Outbound</v>
      </c>
      <c r="C282" s="0" t="str">
        <f aca="false">Raw!C282</f>
        <v>Surat</v>
      </c>
      <c r="D282" s="0" t="str">
        <f aca="false">Raw!D282</f>
        <v>Madhya Pradesh</v>
      </c>
      <c r="E282" s="0" t="str">
        <f aca="false">IFERROR(INDEX(Location_Map!$B$2:$B$15,MATCH(C282,Location_Map!$A$2:$A$15,0)),"UNMAPPED")</f>
        <v>Gujarat</v>
      </c>
      <c r="F282" s="0" t="str">
        <f aca="false">IFERROR(INDEX(Location_Map!$C$2:$C$15,MATCH(C282,Location_Map!$A$2:$A$15,0)),"UNMAPPED")</f>
        <v>West</v>
      </c>
      <c r="G282" s="0" t="str">
        <f aca="false">IFERROR(INDEX(Location_Map!$B$2:$B$15,MATCH(D282,Location_Map!$A$2:$A$15,0)),"UNMAPPED")</f>
        <v>Madhya Pradesh</v>
      </c>
      <c r="H282" s="0" t="str">
        <f aca="false">IFERROR(INDEX(Location_Map!$C$2:$C$15,MATCH(D282,Location_Map!$A$2:$A$15,0)),"UNMAPPED")</f>
        <v>Central</v>
      </c>
      <c r="I282" s="0" t="str">
        <f aca="false">Raw!E282</f>
        <v>Finished Yarn</v>
      </c>
      <c r="J282" s="28" t="n">
        <f aca="false">Raw!F282</f>
        <v>1.37</v>
      </c>
      <c r="K282" s="30" t="n">
        <f aca="false">DATE(LEFT(Raw!G282,4),MID(Raw!G282,6,2),MID(Raw!G282,9,2))</f>
        <v>45695</v>
      </c>
      <c r="L282" s="30" t="n">
        <f aca="false">DATE(LEFT(Raw!H282,4),MID(Raw!H282,6,2),MID(Raw!H282,9,2))</f>
        <v>45697</v>
      </c>
      <c r="M282" s="30" t="n">
        <f aca="false">DATE(LEFT(Raw!I282,4),MID(Raw!I282,6,2),MID(Raw!I282,9,2))</f>
        <v>45699</v>
      </c>
      <c r="N282" s="31" t="n">
        <f aca="false">DATE(LEFT(Raw!J282,4),MID(Raw!J282,6,2),MID(Raw!J282,9,2))+TIME(MID(Raw!J282,12,2),MID(Raw!J282,15,2),MID(Raw!J282,18,2))</f>
        <v>45697.25</v>
      </c>
      <c r="O282" s="31" t="n">
        <f aca="false">DATE(LEFT(Raw!K282,4),MID(Raw!K282,6,2),MID(Raw!K282,9,2))+TIME(MID(Raw!K282,12,2),MID(Raw!K282,15,2),MID(Raw!K282,18,2))</f>
        <v>45698.4</v>
      </c>
      <c r="P282" s="32" t="n">
        <f aca="false">L282-K282</f>
        <v>2</v>
      </c>
      <c r="Q282" s="32" t="n">
        <f aca="false">M282-L282</f>
        <v>2</v>
      </c>
      <c r="R282" s="32" t="n">
        <f aca="false">O282-N282</f>
        <v>1.15</v>
      </c>
      <c r="S282" s="32" t="n">
        <f aca="false">Raw!L282</f>
        <v>-0.6</v>
      </c>
      <c r="T282" s="32" t="n">
        <f aca="false">O282-M282</f>
        <v>-0.6</v>
      </c>
      <c r="U282" s="0" t="str">
        <f aca="false">IF(ABS(T282-S282)&lt;0.01,"OK","MISMATCH")</f>
        <v>OK</v>
      </c>
      <c r="V282" s="33" t="n">
        <f aca="false">Raw!M282</f>
        <v>0</v>
      </c>
      <c r="W282" s="0" t="str">
        <f aca="false">IF((S282&gt;0)=(V282=1),"OK","MISMATCH")</f>
        <v>OK</v>
      </c>
      <c r="X282" s="0" t="str">
        <f aca="false">_xlfn.IFS(S282&lt;=0,"Early/On time",S282&lt;=2,"Minor (up to 2 days)",S282&lt;=5,"Moderate (2-5 days)",TRUE(),"Severe (over 5 days)")</f>
        <v>Early/On time</v>
      </c>
      <c r="Y282" s="0" t="str">
        <f aca="false">YEAR(K282)&amp;"-"&amp;TEXT(MONTH(K282),"00")</f>
        <v>2025-02</v>
      </c>
      <c r="Z282" s="0" t="str">
        <f aca="false">C282&amp;" → "&amp;D282</f>
        <v>Surat → Madhya Pradesh</v>
      </c>
      <c r="AA282" s="0" t="str">
        <f aca="false">Raw!Q282</f>
        <v>TCI Express</v>
      </c>
      <c r="AB282" s="0" t="str">
        <f aca="false">Raw!R282</f>
        <v>Yes</v>
      </c>
      <c r="AC282" s="0" t="str">
        <f aca="false">Raw!S282</f>
        <v>Held at warehouse</v>
      </c>
      <c r="AD282" s="29" t="n">
        <f aca="false">Raw!N282</f>
        <v>1225.43</v>
      </c>
      <c r="AE282" s="29" t="n">
        <f aca="false">Raw!O282</f>
        <v>2856.38</v>
      </c>
      <c r="AF282" s="29" t="n">
        <f aca="false">Raw!P282</f>
        <v>1463.5</v>
      </c>
      <c r="AG282" s="29" t="n">
        <f aca="false">AD282/J282</f>
        <v>894.474452554745</v>
      </c>
    </row>
    <row r="283" customFormat="false" ht="15" hidden="false" customHeight="false" outlineLevel="0" collapsed="false">
      <c r="A283" s="0" t="str">
        <f aca="false">Raw!A283</f>
        <v>SHP0282</v>
      </c>
      <c r="B283" s="0" t="str">
        <f aca="false">Raw!B283</f>
        <v>Inbound</v>
      </c>
      <c r="C283" s="0" t="str">
        <f aca="false">Raw!C283</f>
        <v>Chennai</v>
      </c>
      <c r="D283" s="0" t="str">
        <f aca="false">Raw!D283</f>
        <v>Surat</v>
      </c>
      <c r="E283" s="0" t="str">
        <f aca="false">IFERROR(INDEX(Location_Map!$B$2:$B$15,MATCH(C283,Location_Map!$A$2:$A$15,0)),"UNMAPPED")</f>
        <v>Tamil Nadu</v>
      </c>
      <c r="F283" s="0" t="str">
        <f aca="false">IFERROR(INDEX(Location_Map!$C$2:$C$15,MATCH(C283,Location_Map!$A$2:$A$15,0)),"UNMAPPED")</f>
        <v>South</v>
      </c>
      <c r="G283" s="0" t="str">
        <f aca="false">IFERROR(INDEX(Location_Map!$B$2:$B$15,MATCH(D283,Location_Map!$A$2:$A$15,0)),"UNMAPPED")</f>
        <v>Gujarat</v>
      </c>
      <c r="H283" s="0" t="str">
        <f aca="false">IFERROR(INDEX(Location_Map!$C$2:$C$15,MATCH(D283,Location_Map!$A$2:$A$15,0)),"UNMAPPED")</f>
        <v>West</v>
      </c>
      <c r="I283" s="0" t="str">
        <f aca="false">Raw!E283</f>
        <v>Raw Yarn</v>
      </c>
      <c r="J283" s="28" t="n">
        <f aca="false">Raw!F283</f>
        <v>10.86</v>
      </c>
      <c r="K283" s="30" t="n">
        <f aca="false">DATE(LEFT(Raw!G283,4),MID(Raw!G283,6,2),MID(Raw!G283,9,2))</f>
        <v>45861</v>
      </c>
      <c r="L283" s="30" t="n">
        <f aca="false">DATE(LEFT(Raw!H283,4),MID(Raw!H283,6,2),MID(Raw!H283,9,2))</f>
        <v>45863</v>
      </c>
      <c r="M283" s="30" t="n">
        <f aca="false">DATE(LEFT(Raw!I283,4),MID(Raw!I283,6,2),MID(Raw!I283,9,2))</f>
        <v>45868</v>
      </c>
      <c r="N283" s="31" t="n">
        <f aca="false">DATE(LEFT(Raw!J283,4),MID(Raw!J283,6,2),MID(Raw!J283,9,2))+TIME(MID(Raw!J283,12,2),MID(Raw!J283,15,2),MID(Raw!J283,18,2))</f>
        <v>45863.375</v>
      </c>
      <c r="O283" s="31" t="n">
        <f aca="false">DATE(LEFT(Raw!K283,4),MID(Raw!K283,6,2),MID(Raw!K283,9,2))+TIME(MID(Raw!K283,12,2),MID(Raw!K283,15,2),MID(Raw!K283,18,2))</f>
        <v>45873.6</v>
      </c>
      <c r="P283" s="32" t="n">
        <f aca="false">L283-K283</f>
        <v>2</v>
      </c>
      <c r="Q283" s="32" t="n">
        <f aca="false">M283-L283</f>
        <v>5</v>
      </c>
      <c r="R283" s="32" t="n">
        <f aca="false">O283-N283</f>
        <v>10.225</v>
      </c>
      <c r="S283" s="32" t="n">
        <f aca="false">Raw!L283</f>
        <v>5.6</v>
      </c>
      <c r="T283" s="32" t="n">
        <f aca="false">O283-M283</f>
        <v>5.6</v>
      </c>
      <c r="U283" s="0" t="str">
        <f aca="false">IF(ABS(T283-S283)&lt;0.01,"OK","MISMATCH")</f>
        <v>OK</v>
      </c>
      <c r="V283" s="33" t="n">
        <f aca="false">Raw!M283</f>
        <v>1</v>
      </c>
      <c r="W283" s="0" t="str">
        <f aca="false">IF((S283&gt;0)=(V283=1),"OK","MISMATCH")</f>
        <v>OK</v>
      </c>
      <c r="X283" s="0" t="str">
        <f aca="false">_xlfn.IFS(S283&lt;=0,"Early/On time",S283&lt;=2,"Minor (up to 2 days)",S283&lt;=5,"Moderate (2-5 days)",TRUE(),"Severe (over 5 days)")</f>
        <v>Severe (over 5 days)</v>
      </c>
      <c r="Y283" s="0" t="str">
        <f aca="false">YEAR(K283)&amp;"-"&amp;TEXT(MONTH(K283),"00")</f>
        <v>2025-07</v>
      </c>
      <c r="Z283" s="0" t="str">
        <f aca="false">C283&amp;" → "&amp;D283</f>
        <v>Chennai → Surat</v>
      </c>
      <c r="AA283" s="0" t="str">
        <f aca="false">Raw!Q283</f>
        <v>BlueDart</v>
      </c>
      <c r="AB283" s="0" t="str">
        <f aca="false">Raw!R283</f>
        <v>No</v>
      </c>
      <c r="AC283" s="0" t="str">
        <f aca="false">Raw!S283</f>
        <v>Returned</v>
      </c>
      <c r="AD283" s="29" t="n">
        <f aca="false">Raw!N283</f>
        <v>3468.45</v>
      </c>
      <c r="AE283" s="29" t="n">
        <f aca="false">Raw!O283</f>
        <v>4428.52</v>
      </c>
      <c r="AF283" s="29" t="n">
        <f aca="false">Raw!P283</f>
        <v>1075.36</v>
      </c>
      <c r="AG283" s="29" t="n">
        <f aca="false">AD283/J283</f>
        <v>319.378453038674</v>
      </c>
    </row>
    <row r="284" customFormat="false" ht="15" hidden="false" customHeight="false" outlineLevel="0" collapsed="false">
      <c r="A284" s="0" t="str">
        <f aca="false">Raw!A284</f>
        <v>SHP0283</v>
      </c>
      <c r="B284" s="0" t="str">
        <f aca="false">Raw!B284</f>
        <v>Inbound</v>
      </c>
      <c r="C284" s="0" t="str">
        <f aca="false">Raw!C284</f>
        <v>Uttar Pradesh</v>
      </c>
      <c r="D284" s="0" t="str">
        <f aca="false">Raw!D284</f>
        <v>Surat</v>
      </c>
      <c r="E284" s="0" t="str">
        <f aca="false">IFERROR(INDEX(Location_Map!$B$2:$B$15,MATCH(C284,Location_Map!$A$2:$A$15,0)),"UNMAPPED")</f>
        <v>Uttar Pradesh</v>
      </c>
      <c r="F284" s="0" t="str">
        <f aca="false">IFERROR(INDEX(Location_Map!$C$2:$C$15,MATCH(C284,Location_Map!$A$2:$A$15,0)),"UNMAPPED")</f>
        <v>North</v>
      </c>
      <c r="G284" s="0" t="str">
        <f aca="false">IFERROR(INDEX(Location_Map!$B$2:$B$15,MATCH(D284,Location_Map!$A$2:$A$15,0)),"UNMAPPED")</f>
        <v>Gujarat</v>
      </c>
      <c r="H284" s="0" t="str">
        <f aca="false">IFERROR(INDEX(Location_Map!$C$2:$C$15,MATCH(D284,Location_Map!$A$2:$A$15,0)),"UNMAPPED")</f>
        <v>West</v>
      </c>
      <c r="I284" s="0" t="str">
        <f aca="false">Raw!E284</f>
        <v>Semi-Processed Yarn</v>
      </c>
      <c r="J284" s="28" t="n">
        <f aca="false">Raw!F284</f>
        <v>2.45</v>
      </c>
      <c r="K284" s="30" t="n">
        <f aca="false">DATE(LEFT(Raw!G284,4),MID(Raw!G284,6,2),MID(Raw!G284,9,2))</f>
        <v>45772</v>
      </c>
      <c r="L284" s="30" t="n">
        <f aca="false">DATE(LEFT(Raw!H284,4),MID(Raw!H284,6,2),MID(Raw!H284,9,2))</f>
        <v>45774</v>
      </c>
      <c r="M284" s="30" t="n">
        <f aca="false">DATE(LEFT(Raw!I284,4),MID(Raw!I284,6,2),MID(Raw!I284,9,2))</f>
        <v>45780</v>
      </c>
      <c r="N284" s="31" t="n">
        <f aca="false">DATE(LEFT(Raw!J284,4),MID(Raw!J284,6,2),MID(Raw!J284,9,2))+TIME(MID(Raw!J284,12,2),MID(Raw!J284,15,2),MID(Raw!J284,18,2))</f>
        <v>45774.1666666667</v>
      </c>
      <c r="O284" s="31" t="n">
        <f aca="false">DATE(LEFT(Raw!K284,4),MID(Raw!K284,6,2),MID(Raw!K284,9,2))+TIME(MID(Raw!K284,12,2),MID(Raw!K284,15,2),MID(Raw!K284,18,2))</f>
        <v>45784.9</v>
      </c>
      <c r="P284" s="32" t="n">
        <f aca="false">L284-K284</f>
        <v>2</v>
      </c>
      <c r="Q284" s="32" t="n">
        <f aca="false">M284-L284</f>
        <v>6</v>
      </c>
      <c r="R284" s="32" t="n">
        <f aca="false">O284-N284</f>
        <v>10.7333333333333</v>
      </c>
      <c r="S284" s="32" t="n">
        <f aca="false">Raw!L284</f>
        <v>4.9</v>
      </c>
      <c r="T284" s="32" t="n">
        <f aca="false">O284-M284</f>
        <v>4.9</v>
      </c>
      <c r="U284" s="0" t="str">
        <f aca="false">IF(ABS(T284-S284)&lt;0.01,"OK","MISMATCH")</f>
        <v>OK</v>
      </c>
      <c r="V284" s="33" t="n">
        <f aca="false">Raw!M284</f>
        <v>1</v>
      </c>
      <c r="W284" s="0" t="str">
        <f aca="false">IF((S284&gt;0)=(V284=1),"OK","MISMATCH")</f>
        <v>OK</v>
      </c>
      <c r="X284" s="0" t="str">
        <f aca="false">_xlfn.IFS(S284&lt;=0,"Early/On time",S284&lt;=2,"Minor (up to 2 days)",S284&lt;=5,"Moderate (2-5 days)",TRUE(),"Severe (over 5 days)")</f>
        <v>Moderate (2-5 days)</v>
      </c>
      <c r="Y284" s="0" t="str">
        <f aca="false">YEAR(K284)&amp;"-"&amp;TEXT(MONTH(K284),"00")</f>
        <v>2025-04</v>
      </c>
      <c r="Z284" s="0" t="str">
        <f aca="false">C284&amp;" → "&amp;D284</f>
        <v>Uttar Pradesh → Surat</v>
      </c>
      <c r="AA284" s="0" t="str">
        <f aca="false">Raw!Q284</f>
        <v>BlueDart</v>
      </c>
      <c r="AB284" s="0" t="str">
        <f aca="false">Raw!R284</f>
        <v>Yes</v>
      </c>
      <c r="AC284" s="0" t="str">
        <f aca="false">Raw!S284</f>
        <v>Expedited</v>
      </c>
      <c r="AD284" s="29" t="n">
        <f aca="false">Raw!N284</f>
        <v>2066.47</v>
      </c>
      <c r="AE284" s="29" t="n">
        <f aca="false">Raw!O284</f>
        <v>3282.6</v>
      </c>
      <c r="AF284" s="29" t="n">
        <f aca="false">Raw!P284</f>
        <v>1068.09</v>
      </c>
      <c r="AG284" s="29" t="n">
        <f aca="false">AD284/J284</f>
        <v>843.457142857143</v>
      </c>
    </row>
    <row r="285" customFormat="false" ht="15" hidden="false" customHeight="false" outlineLevel="0" collapsed="false">
      <c r="A285" s="0" t="str">
        <f aca="false">Raw!A285</f>
        <v>SHP0284</v>
      </c>
      <c r="B285" s="0" t="str">
        <f aca="false">Raw!B285</f>
        <v>Inbound</v>
      </c>
      <c r="C285" s="0" t="str">
        <f aca="false">Raw!C285</f>
        <v>Gujarat</v>
      </c>
      <c r="D285" s="0" t="str">
        <f aca="false">Raw!D285</f>
        <v>Surat</v>
      </c>
      <c r="E285" s="0" t="str">
        <f aca="false">IFERROR(INDEX(Location_Map!$B$2:$B$15,MATCH(C285,Location_Map!$A$2:$A$15,0)),"UNMAPPED")</f>
        <v>Gujarat</v>
      </c>
      <c r="F285" s="0" t="str">
        <f aca="false">IFERROR(INDEX(Location_Map!$C$2:$C$15,MATCH(C285,Location_Map!$A$2:$A$15,0)),"UNMAPPED")</f>
        <v>West</v>
      </c>
      <c r="G285" s="0" t="str">
        <f aca="false">IFERROR(INDEX(Location_Map!$B$2:$B$15,MATCH(D285,Location_Map!$A$2:$A$15,0)),"UNMAPPED")</f>
        <v>Gujarat</v>
      </c>
      <c r="H285" s="0" t="str">
        <f aca="false">IFERROR(INDEX(Location_Map!$C$2:$C$15,MATCH(D285,Location_Map!$A$2:$A$15,0)),"UNMAPPED")</f>
        <v>West</v>
      </c>
      <c r="I285" s="0" t="str">
        <f aca="false">Raw!E285</f>
        <v>Finished Yarn</v>
      </c>
      <c r="J285" s="28" t="n">
        <f aca="false">Raw!F285</f>
        <v>13.6</v>
      </c>
      <c r="K285" s="30" t="n">
        <f aca="false">DATE(LEFT(Raw!G285,4),MID(Raw!G285,6,2),MID(Raw!G285,9,2))</f>
        <v>45822</v>
      </c>
      <c r="L285" s="30" t="n">
        <f aca="false">DATE(LEFT(Raw!H285,4),MID(Raw!H285,6,2),MID(Raw!H285,9,2))</f>
        <v>45826</v>
      </c>
      <c r="M285" s="30" t="n">
        <f aca="false">DATE(LEFT(Raw!I285,4),MID(Raw!I285,6,2),MID(Raw!I285,9,2))</f>
        <v>45830</v>
      </c>
      <c r="N285" s="31" t="n">
        <f aca="false">DATE(LEFT(Raw!J285,4),MID(Raw!J285,6,2),MID(Raw!J285,9,2))+TIME(MID(Raw!J285,12,2),MID(Raw!J285,15,2),MID(Raw!J285,18,2))</f>
        <v>45826.125</v>
      </c>
      <c r="O285" s="31" t="n">
        <f aca="false">DATE(LEFT(Raw!K285,4),MID(Raw!K285,6,2),MID(Raw!K285,9,2))+TIME(MID(Raw!K285,12,2),MID(Raw!K285,15,2),MID(Raw!K285,18,2))</f>
        <v>45829.8</v>
      </c>
      <c r="P285" s="32" t="n">
        <f aca="false">L285-K285</f>
        <v>4</v>
      </c>
      <c r="Q285" s="32" t="n">
        <f aca="false">M285-L285</f>
        <v>4</v>
      </c>
      <c r="R285" s="32" t="n">
        <f aca="false">O285-N285</f>
        <v>3.675</v>
      </c>
      <c r="S285" s="32" t="n">
        <f aca="false">Raw!L285</f>
        <v>-0.2</v>
      </c>
      <c r="T285" s="32" t="n">
        <f aca="false">O285-M285</f>
        <v>-0.2</v>
      </c>
      <c r="U285" s="0" t="str">
        <f aca="false">IF(ABS(T285-S285)&lt;0.01,"OK","MISMATCH")</f>
        <v>OK</v>
      </c>
      <c r="V285" s="33" t="n">
        <f aca="false">Raw!M285</f>
        <v>0</v>
      </c>
      <c r="W285" s="0" t="str">
        <f aca="false">IF((S285&gt;0)=(V285=1),"OK","MISMATCH")</f>
        <v>OK</v>
      </c>
      <c r="X285" s="0" t="str">
        <f aca="false">_xlfn.IFS(S285&lt;=0,"Early/On time",S285&lt;=2,"Minor (up to 2 days)",S285&lt;=5,"Moderate (2-5 days)",TRUE(),"Severe (over 5 days)")</f>
        <v>Early/On time</v>
      </c>
      <c r="Y285" s="0" t="str">
        <f aca="false">YEAR(K285)&amp;"-"&amp;TEXT(MONTH(K285),"00")</f>
        <v>2025-06</v>
      </c>
      <c r="Z285" s="0" t="str">
        <f aca="false">C285&amp;" → "&amp;D285</f>
        <v>Gujarat → Surat</v>
      </c>
      <c r="AA285" s="0" t="str">
        <f aca="false">Raw!Q285</f>
        <v>BlueDart</v>
      </c>
      <c r="AB285" s="0" t="str">
        <f aca="false">Raw!R285</f>
        <v>No</v>
      </c>
      <c r="AC285" s="0" t="str">
        <f aca="false">Raw!S285</f>
        <v>Normal</v>
      </c>
      <c r="AD285" s="29" t="n">
        <f aca="false">Raw!N285</f>
        <v>8218.19</v>
      </c>
      <c r="AE285" s="29" t="n">
        <f aca="false">Raw!O285</f>
        <v>3424.59</v>
      </c>
      <c r="AF285" s="29" t="n">
        <f aca="false">Raw!P285</f>
        <v>791.14</v>
      </c>
      <c r="AG285" s="29" t="n">
        <f aca="false">AD285/J285</f>
        <v>604.278676470588</v>
      </c>
    </row>
    <row r="286" customFormat="false" ht="15" hidden="false" customHeight="false" outlineLevel="0" collapsed="false">
      <c r="A286" s="0" t="str">
        <f aca="false">Raw!A286</f>
        <v>SHP0285</v>
      </c>
      <c r="B286" s="0" t="str">
        <f aca="false">Raw!B286</f>
        <v>Outbound</v>
      </c>
      <c r="C286" s="0" t="str">
        <f aca="false">Raw!C286</f>
        <v>Surat</v>
      </c>
      <c r="D286" s="0" t="str">
        <f aca="false">Raw!D286</f>
        <v>Karnataka</v>
      </c>
      <c r="E286" s="0" t="str">
        <f aca="false">IFERROR(INDEX(Location_Map!$B$2:$B$15,MATCH(C286,Location_Map!$A$2:$A$15,0)),"UNMAPPED")</f>
        <v>Gujarat</v>
      </c>
      <c r="F286" s="0" t="str">
        <f aca="false">IFERROR(INDEX(Location_Map!$C$2:$C$15,MATCH(C286,Location_Map!$A$2:$A$15,0)),"UNMAPPED")</f>
        <v>West</v>
      </c>
      <c r="G286" s="0" t="str">
        <f aca="false">IFERROR(INDEX(Location_Map!$B$2:$B$15,MATCH(D286,Location_Map!$A$2:$A$15,0)),"UNMAPPED")</f>
        <v>Karnataka</v>
      </c>
      <c r="H286" s="0" t="str">
        <f aca="false">IFERROR(INDEX(Location_Map!$C$2:$C$15,MATCH(D286,Location_Map!$A$2:$A$15,0)),"UNMAPPED")</f>
        <v>South</v>
      </c>
      <c r="I286" s="0" t="str">
        <f aca="false">Raw!E286</f>
        <v>Semi-Processed Yarn</v>
      </c>
      <c r="J286" s="28" t="n">
        <f aca="false">Raw!F286</f>
        <v>4.93</v>
      </c>
      <c r="K286" s="30" t="n">
        <f aca="false">DATE(LEFT(Raw!G286,4),MID(Raw!G286,6,2),MID(Raw!G286,9,2))</f>
        <v>45703</v>
      </c>
      <c r="L286" s="30" t="n">
        <f aca="false">DATE(LEFT(Raw!H286,4),MID(Raw!H286,6,2),MID(Raw!H286,9,2))</f>
        <v>45707</v>
      </c>
      <c r="M286" s="30" t="n">
        <f aca="false">DATE(LEFT(Raw!I286,4),MID(Raw!I286,6,2),MID(Raw!I286,9,2))</f>
        <v>45713</v>
      </c>
      <c r="N286" s="31" t="n">
        <f aca="false">DATE(LEFT(Raw!J286,4),MID(Raw!J286,6,2),MID(Raw!J286,9,2))+TIME(MID(Raw!J286,12,2),MID(Raw!J286,15,2),MID(Raw!J286,18,2))</f>
        <v>45707.25</v>
      </c>
      <c r="O286" s="31" t="n">
        <f aca="false">DATE(LEFT(Raw!K286,4),MID(Raw!K286,6,2),MID(Raw!K286,9,2))+TIME(MID(Raw!K286,12,2),MID(Raw!K286,15,2),MID(Raw!K286,18,2))</f>
        <v>45712.8</v>
      </c>
      <c r="P286" s="32" t="n">
        <f aca="false">L286-K286</f>
        <v>4</v>
      </c>
      <c r="Q286" s="32" t="n">
        <f aca="false">M286-L286</f>
        <v>6</v>
      </c>
      <c r="R286" s="32" t="n">
        <f aca="false">O286-N286</f>
        <v>5.55</v>
      </c>
      <c r="S286" s="32" t="n">
        <f aca="false">Raw!L286</f>
        <v>-0.2</v>
      </c>
      <c r="T286" s="32" t="n">
        <f aca="false">O286-M286</f>
        <v>-0.2</v>
      </c>
      <c r="U286" s="0" t="str">
        <f aca="false">IF(ABS(T286-S286)&lt;0.01,"OK","MISMATCH")</f>
        <v>OK</v>
      </c>
      <c r="V286" s="33" t="n">
        <f aca="false">Raw!M286</f>
        <v>0</v>
      </c>
      <c r="W286" s="0" t="str">
        <f aca="false">IF((S286&gt;0)=(V286=1),"OK","MISMATCH")</f>
        <v>OK</v>
      </c>
      <c r="X286" s="0" t="str">
        <f aca="false">_xlfn.IFS(S286&lt;=0,"Early/On time",S286&lt;=2,"Minor (up to 2 days)",S286&lt;=5,"Moderate (2-5 days)",TRUE(),"Severe (over 5 days)")</f>
        <v>Early/On time</v>
      </c>
      <c r="Y286" s="0" t="str">
        <f aca="false">YEAR(K286)&amp;"-"&amp;TEXT(MONTH(K286),"00")</f>
        <v>2025-02</v>
      </c>
      <c r="Z286" s="0" t="str">
        <f aca="false">C286&amp;" → "&amp;D286</f>
        <v>Surat → Karnataka</v>
      </c>
      <c r="AA286" s="0" t="str">
        <f aca="false">Raw!Q286</f>
        <v>TCI Express</v>
      </c>
      <c r="AB286" s="0" t="str">
        <f aca="false">Raw!R286</f>
        <v>No</v>
      </c>
      <c r="AC286" s="0" t="str">
        <f aca="false">Raw!S286</f>
        <v>Held at warehouse</v>
      </c>
      <c r="AD286" s="29" t="n">
        <f aca="false">Raw!N286</f>
        <v>2261.21</v>
      </c>
      <c r="AE286" s="29" t="n">
        <f aca="false">Raw!O286</f>
        <v>3686.57</v>
      </c>
      <c r="AF286" s="29" t="n">
        <f aca="false">Raw!P286</f>
        <v>1082.21</v>
      </c>
      <c r="AG286" s="29" t="n">
        <f aca="false">AD286/J286</f>
        <v>458.663286004057</v>
      </c>
    </row>
    <row r="287" customFormat="false" ht="15" hidden="false" customHeight="false" outlineLevel="0" collapsed="false">
      <c r="A287" s="0" t="str">
        <f aca="false">Raw!A287</f>
        <v>SHP0286</v>
      </c>
      <c r="B287" s="0" t="str">
        <f aca="false">Raw!B287</f>
        <v>Outbound</v>
      </c>
      <c r="C287" s="0" t="str">
        <f aca="false">Raw!C287</f>
        <v>Surat</v>
      </c>
      <c r="D287" s="0" t="str">
        <f aca="false">Raw!D287</f>
        <v>Jaipur</v>
      </c>
      <c r="E287" s="0" t="str">
        <f aca="false">IFERROR(INDEX(Location_Map!$B$2:$B$15,MATCH(C287,Location_Map!$A$2:$A$15,0)),"UNMAPPED")</f>
        <v>Gujarat</v>
      </c>
      <c r="F287" s="0" t="str">
        <f aca="false">IFERROR(INDEX(Location_Map!$C$2:$C$15,MATCH(C287,Location_Map!$A$2:$A$15,0)),"UNMAPPED")</f>
        <v>West</v>
      </c>
      <c r="G287" s="0" t="str">
        <f aca="false">IFERROR(INDEX(Location_Map!$B$2:$B$15,MATCH(D287,Location_Map!$A$2:$A$15,0)),"UNMAPPED")</f>
        <v>Rajasthan</v>
      </c>
      <c r="H287" s="0" t="str">
        <f aca="false">IFERROR(INDEX(Location_Map!$C$2:$C$15,MATCH(D287,Location_Map!$A$2:$A$15,0)),"UNMAPPED")</f>
        <v>North</v>
      </c>
      <c r="I287" s="0" t="str">
        <f aca="false">Raw!E287</f>
        <v>Finished Yarn</v>
      </c>
      <c r="J287" s="28" t="n">
        <f aca="false">Raw!F287</f>
        <v>19.81</v>
      </c>
      <c r="K287" s="30" t="n">
        <f aca="false">DATE(LEFT(Raw!G287,4),MID(Raw!G287,6,2),MID(Raw!G287,9,2))</f>
        <v>45729</v>
      </c>
      <c r="L287" s="30" t="n">
        <f aca="false">DATE(LEFT(Raw!H287,4),MID(Raw!H287,6,2),MID(Raw!H287,9,2))</f>
        <v>45732</v>
      </c>
      <c r="M287" s="30" t="n">
        <f aca="false">DATE(LEFT(Raw!I287,4),MID(Raw!I287,6,2),MID(Raw!I287,9,2))</f>
        <v>45737</v>
      </c>
      <c r="N287" s="31" t="n">
        <f aca="false">DATE(LEFT(Raw!J287,4),MID(Raw!J287,6,2),MID(Raw!J287,9,2))+TIME(MID(Raw!J287,12,2),MID(Raw!J287,15,2),MID(Raw!J287,18,2))</f>
        <v>45731.8333333333</v>
      </c>
      <c r="O287" s="31" t="n">
        <f aca="false">DATE(LEFT(Raw!K287,4),MID(Raw!K287,6,2),MID(Raw!K287,9,2))+TIME(MID(Raw!K287,12,2),MID(Raw!K287,15,2),MID(Raw!K287,18,2))</f>
        <v>45736.6</v>
      </c>
      <c r="P287" s="32" t="n">
        <f aca="false">L287-K287</f>
        <v>3</v>
      </c>
      <c r="Q287" s="32" t="n">
        <f aca="false">M287-L287</f>
        <v>5</v>
      </c>
      <c r="R287" s="32" t="n">
        <f aca="false">O287-N287</f>
        <v>4.76666666666667</v>
      </c>
      <c r="S287" s="32" t="n">
        <f aca="false">Raw!L287</f>
        <v>-0.4</v>
      </c>
      <c r="T287" s="32" t="n">
        <f aca="false">O287-M287</f>
        <v>-0.400000000002917</v>
      </c>
      <c r="U287" s="0" t="str">
        <f aca="false">IF(ABS(T287-S287)&lt;0.01,"OK","MISMATCH")</f>
        <v>OK</v>
      </c>
      <c r="V287" s="33" t="n">
        <f aca="false">Raw!M287</f>
        <v>0</v>
      </c>
      <c r="W287" s="0" t="str">
        <f aca="false">IF((S287&gt;0)=(V287=1),"OK","MISMATCH")</f>
        <v>OK</v>
      </c>
      <c r="X287" s="0" t="str">
        <f aca="false">_xlfn.IFS(S287&lt;=0,"Early/On time",S287&lt;=2,"Minor (up to 2 days)",S287&lt;=5,"Moderate (2-5 days)",TRUE(),"Severe (over 5 days)")</f>
        <v>Early/On time</v>
      </c>
      <c r="Y287" s="0" t="str">
        <f aca="false">YEAR(K287)&amp;"-"&amp;TEXT(MONTH(K287),"00")</f>
        <v>2025-03</v>
      </c>
      <c r="Z287" s="0" t="str">
        <f aca="false">C287&amp;" → "&amp;D287</f>
        <v>Surat → Jaipur</v>
      </c>
      <c r="AA287" s="0" t="str">
        <f aca="false">Raw!Q287</f>
        <v>TCI Express</v>
      </c>
      <c r="AB287" s="0" t="str">
        <f aca="false">Raw!R287</f>
        <v>No</v>
      </c>
      <c r="AC287" s="0" t="str">
        <f aca="false">Raw!S287</f>
        <v>Returned</v>
      </c>
      <c r="AD287" s="29" t="n">
        <f aca="false">Raw!N287</f>
        <v>10488.99</v>
      </c>
      <c r="AE287" s="29" t="n">
        <f aca="false">Raw!O287</f>
        <v>4107.71</v>
      </c>
      <c r="AF287" s="29" t="n">
        <f aca="false">Raw!P287</f>
        <v>704.98</v>
      </c>
      <c r="AG287" s="29" t="n">
        <f aca="false">AD287/J287</f>
        <v>529.479555779909</v>
      </c>
    </row>
    <row r="288" customFormat="false" ht="15" hidden="false" customHeight="false" outlineLevel="0" collapsed="false">
      <c r="A288" s="0" t="str">
        <f aca="false">Raw!A288</f>
        <v>SHP0287</v>
      </c>
      <c r="B288" s="0" t="str">
        <f aca="false">Raw!B288</f>
        <v>Inbound</v>
      </c>
      <c r="C288" s="0" t="str">
        <f aca="false">Raw!C288</f>
        <v>Gujarat</v>
      </c>
      <c r="D288" s="0" t="str">
        <f aca="false">Raw!D288</f>
        <v>Surat</v>
      </c>
      <c r="E288" s="0" t="str">
        <f aca="false">IFERROR(INDEX(Location_Map!$B$2:$B$15,MATCH(C288,Location_Map!$A$2:$A$15,0)),"UNMAPPED")</f>
        <v>Gujarat</v>
      </c>
      <c r="F288" s="0" t="str">
        <f aca="false">IFERROR(INDEX(Location_Map!$C$2:$C$15,MATCH(C288,Location_Map!$A$2:$A$15,0)),"UNMAPPED")</f>
        <v>West</v>
      </c>
      <c r="G288" s="0" t="str">
        <f aca="false">IFERROR(INDEX(Location_Map!$B$2:$B$15,MATCH(D288,Location_Map!$A$2:$A$15,0)),"UNMAPPED")</f>
        <v>Gujarat</v>
      </c>
      <c r="H288" s="0" t="str">
        <f aca="false">IFERROR(INDEX(Location_Map!$C$2:$C$15,MATCH(D288,Location_Map!$A$2:$A$15,0)),"UNMAPPED")</f>
        <v>West</v>
      </c>
      <c r="I288" s="0" t="str">
        <f aca="false">Raw!E288</f>
        <v>Finished Yarn</v>
      </c>
      <c r="J288" s="28" t="n">
        <f aca="false">Raw!F288</f>
        <v>14.79</v>
      </c>
      <c r="K288" s="30" t="n">
        <f aca="false">DATE(LEFT(Raw!G288,4),MID(Raw!G288,6,2),MID(Raw!G288,9,2))</f>
        <v>45843</v>
      </c>
      <c r="L288" s="30" t="n">
        <f aca="false">DATE(LEFT(Raw!H288,4),MID(Raw!H288,6,2),MID(Raw!H288,9,2))</f>
        <v>45847</v>
      </c>
      <c r="M288" s="30" t="n">
        <f aca="false">DATE(LEFT(Raw!I288,4),MID(Raw!I288,6,2),MID(Raw!I288,9,2))</f>
        <v>45849</v>
      </c>
      <c r="N288" s="31" t="n">
        <f aca="false">DATE(LEFT(Raw!J288,4),MID(Raw!J288,6,2),MID(Raw!J288,9,2))+TIME(MID(Raw!J288,12,2),MID(Raw!J288,15,2),MID(Raw!J288,18,2))</f>
        <v>45847.2083333333</v>
      </c>
      <c r="O288" s="31" t="n">
        <f aca="false">DATE(LEFT(Raw!K288,4),MID(Raw!K288,6,2),MID(Raw!K288,9,2))+TIME(MID(Raw!K288,12,2),MID(Raw!K288,15,2),MID(Raw!K288,18,2))</f>
        <v>45852.2</v>
      </c>
      <c r="P288" s="32" t="n">
        <f aca="false">L288-K288</f>
        <v>4</v>
      </c>
      <c r="Q288" s="32" t="n">
        <f aca="false">M288-L288</f>
        <v>2</v>
      </c>
      <c r="R288" s="32" t="n">
        <f aca="false">O288-N288</f>
        <v>4.99166666666667</v>
      </c>
      <c r="S288" s="32" t="n">
        <f aca="false">Raw!L288</f>
        <v>3.2</v>
      </c>
      <c r="T288" s="32" t="n">
        <f aca="false">O288-M288</f>
        <v>3.2</v>
      </c>
      <c r="U288" s="0" t="str">
        <f aca="false">IF(ABS(T288-S288)&lt;0.01,"OK","MISMATCH")</f>
        <v>OK</v>
      </c>
      <c r="V288" s="33" t="n">
        <f aca="false">Raw!M288</f>
        <v>1</v>
      </c>
      <c r="W288" s="0" t="str">
        <f aca="false">IF((S288&gt;0)=(V288=1),"OK","MISMATCH")</f>
        <v>OK</v>
      </c>
      <c r="X288" s="0" t="str">
        <f aca="false">_xlfn.IFS(S288&lt;=0,"Early/On time",S288&lt;=2,"Minor (up to 2 days)",S288&lt;=5,"Moderate (2-5 days)",TRUE(),"Severe (over 5 days)")</f>
        <v>Moderate (2-5 days)</v>
      </c>
      <c r="Y288" s="0" t="str">
        <f aca="false">YEAR(K288)&amp;"-"&amp;TEXT(MONTH(K288),"00")</f>
        <v>2025-07</v>
      </c>
      <c r="Z288" s="0" t="str">
        <f aca="false">C288&amp;" → "&amp;D288</f>
        <v>Gujarat → Surat</v>
      </c>
      <c r="AA288" s="0" t="str">
        <f aca="false">Raw!Q288</f>
        <v>TCI Express</v>
      </c>
      <c r="AB288" s="0" t="str">
        <f aca="false">Raw!R288</f>
        <v>Yes</v>
      </c>
      <c r="AC288" s="0" t="str">
        <f aca="false">Raw!S288</f>
        <v>Damaged</v>
      </c>
      <c r="AD288" s="29" t="n">
        <f aca="false">Raw!N288</f>
        <v>9719.31</v>
      </c>
      <c r="AE288" s="29" t="n">
        <f aca="false">Raw!O288</f>
        <v>4625.68</v>
      </c>
      <c r="AF288" s="29" t="n">
        <f aca="false">Raw!P288</f>
        <v>663.88</v>
      </c>
      <c r="AG288" s="29" t="n">
        <f aca="false">AD288/J288</f>
        <v>657.15415821501</v>
      </c>
    </row>
    <row r="289" customFormat="false" ht="15" hidden="false" customHeight="false" outlineLevel="0" collapsed="false">
      <c r="A289" s="0" t="str">
        <f aca="false">Raw!A289</f>
        <v>SHP0288</v>
      </c>
      <c r="B289" s="0" t="str">
        <f aca="false">Raw!B289</f>
        <v>Outbound</v>
      </c>
      <c r="C289" s="0" t="str">
        <f aca="false">Raw!C289</f>
        <v>Surat</v>
      </c>
      <c r="D289" s="0" t="str">
        <f aca="false">Raw!D289</f>
        <v>Assam</v>
      </c>
      <c r="E289" s="0" t="str">
        <f aca="false">IFERROR(INDEX(Location_Map!$B$2:$B$15,MATCH(C289,Location_Map!$A$2:$A$15,0)),"UNMAPPED")</f>
        <v>Gujarat</v>
      </c>
      <c r="F289" s="0" t="str">
        <f aca="false">IFERROR(INDEX(Location_Map!$C$2:$C$15,MATCH(C289,Location_Map!$A$2:$A$15,0)),"UNMAPPED")</f>
        <v>West</v>
      </c>
      <c r="G289" s="0" t="str">
        <f aca="false">IFERROR(INDEX(Location_Map!$B$2:$B$15,MATCH(D289,Location_Map!$A$2:$A$15,0)),"UNMAPPED")</f>
        <v>Assam</v>
      </c>
      <c r="H289" s="0" t="str">
        <f aca="false">IFERROR(INDEX(Location_Map!$C$2:$C$15,MATCH(D289,Location_Map!$A$2:$A$15,0)),"UNMAPPED")</f>
        <v>North-East</v>
      </c>
      <c r="I289" s="0" t="str">
        <f aca="false">Raw!E289</f>
        <v>Finished Yarn</v>
      </c>
      <c r="J289" s="28" t="n">
        <f aca="false">Raw!F289</f>
        <v>13.21</v>
      </c>
      <c r="K289" s="30" t="n">
        <f aca="false">DATE(LEFT(Raw!G289,4),MID(Raw!G289,6,2),MID(Raw!G289,9,2))</f>
        <v>45900</v>
      </c>
      <c r="L289" s="30" t="n">
        <f aca="false">DATE(LEFT(Raw!H289,4),MID(Raw!H289,6,2),MID(Raw!H289,9,2))</f>
        <v>45904</v>
      </c>
      <c r="M289" s="30" t="n">
        <f aca="false">DATE(LEFT(Raw!I289,4),MID(Raw!I289,6,2),MID(Raw!I289,9,2))</f>
        <v>45909</v>
      </c>
      <c r="N289" s="31" t="n">
        <f aca="false">DATE(LEFT(Raw!J289,4),MID(Raw!J289,6,2),MID(Raw!J289,9,2))+TIME(MID(Raw!J289,12,2),MID(Raw!J289,15,2),MID(Raw!J289,18,2))</f>
        <v>45904.125</v>
      </c>
      <c r="O289" s="31" t="n">
        <f aca="false">DATE(LEFT(Raw!K289,4),MID(Raw!K289,6,2),MID(Raw!K289,9,2))+TIME(MID(Raw!K289,12,2),MID(Raw!K289,15,2),MID(Raw!K289,18,2))</f>
        <v>45915.2</v>
      </c>
      <c r="P289" s="32" t="n">
        <f aca="false">L289-K289</f>
        <v>4</v>
      </c>
      <c r="Q289" s="32" t="n">
        <f aca="false">M289-L289</f>
        <v>5</v>
      </c>
      <c r="R289" s="32" t="n">
        <f aca="false">O289-N289</f>
        <v>11.075</v>
      </c>
      <c r="S289" s="32" t="n">
        <f aca="false">Raw!L289</f>
        <v>6.2</v>
      </c>
      <c r="T289" s="32" t="n">
        <f aca="false">O289-M289</f>
        <v>6.2</v>
      </c>
      <c r="U289" s="0" t="str">
        <f aca="false">IF(ABS(T289-S289)&lt;0.01,"OK","MISMATCH")</f>
        <v>OK</v>
      </c>
      <c r="V289" s="33" t="n">
        <f aca="false">Raw!M289</f>
        <v>1</v>
      </c>
      <c r="W289" s="0" t="str">
        <f aca="false">IF((S289&gt;0)=(V289=1),"OK","MISMATCH")</f>
        <v>OK</v>
      </c>
      <c r="X289" s="0" t="str">
        <f aca="false">_xlfn.IFS(S289&lt;=0,"Early/On time",S289&lt;=2,"Minor (up to 2 days)",S289&lt;=5,"Moderate (2-5 days)",TRUE(),"Severe (over 5 days)")</f>
        <v>Severe (over 5 days)</v>
      </c>
      <c r="Y289" s="0" t="str">
        <f aca="false">YEAR(K289)&amp;"-"&amp;TEXT(MONTH(K289),"00")</f>
        <v>2025-08</v>
      </c>
      <c r="Z289" s="0" t="str">
        <f aca="false">C289&amp;" → "&amp;D289</f>
        <v>Surat → Assam</v>
      </c>
      <c r="AA289" s="0" t="str">
        <f aca="false">Raw!Q289</f>
        <v>BlueDart</v>
      </c>
      <c r="AB289" s="0" t="str">
        <f aca="false">Raw!R289</f>
        <v>No</v>
      </c>
      <c r="AC289" s="0" t="str">
        <f aca="false">Raw!S289</f>
        <v>Normal</v>
      </c>
      <c r="AD289" s="29" t="n">
        <f aca="false">Raw!N289</f>
        <v>9287.57</v>
      </c>
      <c r="AE289" s="29" t="n">
        <f aca="false">Raw!O289</f>
        <v>1248.81</v>
      </c>
      <c r="AF289" s="29" t="n">
        <f aca="false">Raw!P289</f>
        <v>647.3</v>
      </c>
      <c r="AG289" s="29" t="n">
        <f aca="false">AD289/J289</f>
        <v>703.071158213475</v>
      </c>
    </row>
    <row r="290" customFormat="false" ht="15" hidden="false" customHeight="false" outlineLevel="0" collapsed="false">
      <c r="A290" s="0" t="str">
        <f aca="false">Raw!A290</f>
        <v>SHP0289</v>
      </c>
      <c r="B290" s="0" t="str">
        <f aca="false">Raw!B290</f>
        <v>Inbound</v>
      </c>
      <c r="C290" s="0" t="str">
        <f aca="false">Raw!C290</f>
        <v>Punjab</v>
      </c>
      <c r="D290" s="0" t="str">
        <f aca="false">Raw!D290</f>
        <v>Surat</v>
      </c>
      <c r="E290" s="0" t="str">
        <f aca="false">IFERROR(INDEX(Location_Map!$B$2:$B$15,MATCH(C290,Location_Map!$A$2:$A$15,0)),"UNMAPPED")</f>
        <v>Punjab</v>
      </c>
      <c r="F290" s="0" t="str">
        <f aca="false">IFERROR(INDEX(Location_Map!$C$2:$C$15,MATCH(C290,Location_Map!$A$2:$A$15,0)),"UNMAPPED")</f>
        <v>North</v>
      </c>
      <c r="G290" s="0" t="str">
        <f aca="false">IFERROR(INDEX(Location_Map!$B$2:$B$15,MATCH(D290,Location_Map!$A$2:$A$15,0)),"UNMAPPED")</f>
        <v>Gujarat</v>
      </c>
      <c r="H290" s="0" t="str">
        <f aca="false">IFERROR(INDEX(Location_Map!$C$2:$C$15,MATCH(D290,Location_Map!$A$2:$A$15,0)),"UNMAPPED")</f>
        <v>West</v>
      </c>
      <c r="I290" s="0" t="str">
        <f aca="false">Raw!E290</f>
        <v>Semi-Processed Yarn</v>
      </c>
      <c r="J290" s="28" t="n">
        <f aca="false">Raw!F290</f>
        <v>1.15</v>
      </c>
      <c r="K290" s="30" t="n">
        <f aca="false">DATE(LEFT(Raw!G290,4),MID(Raw!G290,6,2),MID(Raw!G290,9,2))</f>
        <v>45847</v>
      </c>
      <c r="L290" s="30" t="n">
        <f aca="false">DATE(LEFT(Raw!H290,4),MID(Raw!H290,6,2),MID(Raw!H290,9,2))</f>
        <v>45849</v>
      </c>
      <c r="M290" s="30" t="n">
        <f aca="false">DATE(LEFT(Raw!I290,4),MID(Raw!I290,6,2),MID(Raw!I290,9,2))</f>
        <v>45851</v>
      </c>
      <c r="N290" s="31" t="n">
        <f aca="false">DATE(LEFT(Raw!J290,4),MID(Raw!J290,6,2),MID(Raw!J290,9,2))+TIME(MID(Raw!J290,12,2),MID(Raw!J290,15,2),MID(Raw!J290,18,2))</f>
        <v>45849.375</v>
      </c>
      <c r="O290" s="31" t="n">
        <f aca="false">DATE(LEFT(Raw!K290,4),MID(Raw!K290,6,2),MID(Raw!K290,9,2))+TIME(MID(Raw!K290,12,2),MID(Raw!K290,15,2),MID(Raw!K290,18,2))</f>
        <v>45853.1</v>
      </c>
      <c r="P290" s="32" t="n">
        <f aca="false">L290-K290</f>
        <v>2</v>
      </c>
      <c r="Q290" s="32" t="n">
        <f aca="false">M290-L290</f>
        <v>2</v>
      </c>
      <c r="R290" s="32" t="n">
        <f aca="false">O290-N290</f>
        <v>3.725</v>
      </c>
      <c r="S290" s="32" t="n">
        <f aca="false">Raw!L290</f>
        <v>2.1</v>
      </c>
      <c r="T290" s="32" t="n">
        <f aca="false">O290-M290</f>
        <v>2.1</v>
      </c>
      <c r="U290" s="0" t="str">
        <f aca="false">IF(ABS(T290-S290)&lt;0.01,"OK","MISMATCH")</f>
        <v>OK</v>
      </c>
      <c r="V290" s="33" t="n">
        <f aca="false">Raw!M290</f>
        <v>1</v>
      </c>
      <c r="W290" s="0" t="str">
        <f aca="false">IF((S290&gt;0)=(V290=1),"OK","MISMATCH")</f>
        <v>OK</v>
      </c>
      <c r="X290" s="0" t="str">
        <f aca="false">_xlfn.IFS(S290&lt;=0,"Early/On time",S290&lt;=2,"Minor (up to 2 days)",S290&lt;=5,"Moderate (2-5 days)",TRUE(),"Severe (over 5 days)")</f>
        <v>Moderate (2-5 days)</v>
      </c>
      <c r="Y290" s="0" t="str">
        <f aca="false">YEAR(K290)&amp;"-"&amp;TEXT(MONTH(K290),"00")</f>
        <v>2025-07</v>
      </c>
      <c r="Z290" s="0" t="str">
        <f aca="false">C290&amp;" → "&amp;D290</f>
        <v>Punjab → Surat</v>
      </c>
      <c r="AA290" s="0" t="str">
        <f aca="false">Raw!Q290</f>
        <v>TCI Express</v>
      </c>
      <c r="AB290" s="0" t="str">
        <f aca="false">Raw!R290</f>
        <v>No</v>
      </c>
      <c r="AC290" s="0" t="str">
        <f aca="false">Raw!S290</f>
        <v>Expedited</v>
      </c>
      <c r="AD290" s="29" t="n">
        <f aca="false">Raw!N290</f>
        <v>1980.13</v>
      </c>
      <c r="AE290" s="29" t="n">
        <f aca="false">Raw!O290</f>
        <v>4849.24</v>
      </c>
      <c r="AF290" s="29" t="n">
        <f aca="false">Raw!P290</f>
        <v>1120.91</v>
      </c>
      <c r="AG290" s="29" t="n">
        <f aca="false">AD290/J290</f>
        <v>1721.85217391304</v>
      </c>
    </row>
    <row r="291" customFormat="false" ht="15" hidden="false" customHeight="false" outlineLevel="0" collapsed="false">
      <c r="A291" s="0" t="str">
        <f aca="false">Raw!A291</f>
        <v>SHP0290</v>
      </c>
      <c r="B291" s="0" t="str">
        <f aca="false">Raw!B291</f>
        <v>Outbound</v>
      </c>
      <c r="C291" s="0" t="str">
        <f aca="false">Raw!C291</f>
        <v>Surat</v>
      </c>
      <c r="D291" s="0" t="str">
        <f aca="false">Raw!D291</f>
        <v>West Bengal</v>
      </c>
      <c r="E291" s="0" t="str">
        <f aca="false">IFERROR(INDEX(Location_Map!$B$2:$B$15,MATCH(C291,Location_Map!$A$2:$A$15,0)),"UNMAPPED")</f>
        <v>Gujarat</v>
      </c>
      <c r="F291" s="0" t="str">
        <f aca="false">IFERROR(INDEX(Location_Map!$C$2:$C$15,MATCH(C291,Location_Map!$A$2:$A$15,0)),"UNMAPPED")</f>
        <v>West</v>
      </c>
      <c r="G291" s="0" t="str">
        <f aca="false">IFERROR(INDEX(Location_Map!$B$2:$B$15,MATCH(D291,Location_Map!$A$2:$A$15,0)),"UNMAPPED")</f>
        <v>West Bengal</v>
      </c>
      <c r="H291" s="0" t="str">
        <f aca="false">IFERROR(INDEX(Location_Map!$C$2:$C$15,MATCH(D291,Location_Map!$A$2:$A$15,0)),"UNMAPPED")</f>
        <v>East</v>
      </c>
      <c r="I291" s="0" t="str">
        <f aca="false">Raw!E291</f>
        <v>Semi-Processed Yarn</v>
      </c>
      <c r="J291" s="28" t="n">
        <f aca="false">Raw!F291</f>
        <v>18.64</v>
      </c>
      <c r="K291" s="30" t="n">
        <f aca="false">DATE(LEFT(Raw!G291,4),MID(Raw!G291,6,2),MID(Raw!G291,9,2))</f>
        <v>45886</v>
      </c>
      <c r="L291" s="30" t="n">
        <f aca="false">DATE(LEFT(Raw!H291,4),MID(Raw!H291,6,2),MID(Raw!H291,9,2))</f>
        <v>45889</v>
      </c>
      <c r="M291" s="30" t="n">
        <f aca="false">DATE(LEFT(Raw!I291,4),MID(Raw!I291,6,2),MID(Raw!I291,9,2))</f>
        <v>45895</v>
      </c>
      <c r="N291" s="31" t="n">
        <f aca="false">DATE(LEFT(Raw!J291,4),MID(Raw!J291,6,2),MID(Raw!J291,9,2))+TIME(MID(Raw!J291,12,2),MID(Raw!J291,15,2),MID(Raw!J291,18,2))</f>
        <v>45889.375</v>
      </c>
      <c r="O291" s="31" t="n">
        <f aca="false">DATE(LEFT(Raw!K291,4),MID(Raw!K291,6,2),MID(Raw!K291,9,2))+TIME(MID(Raw!K291,12,2),MID(Raw!K291,15,2),MID(Raw!K291,18,2))</f>
        <v>45898.8</v>
      </c>
      <c r="P291" s="32" t="n">
        <f aca="false">L291-K291</f>
        <v>3</v>
      </c>
      <c r="Q291" s="32" t="n">
        <f aca="false">M291-L291</f>
        <v>6</v>
      </c>
      <c r="R291" s="32" t="n">
        <f aca="false">O291-N291</f>
        <v>9.425</v>
      </c>
      <c r="S291" s="32" t="n">
        <f aca="false">Raw!L291</f>
        <v>3.8</v>
      </c>
      <c r="T291" s="32" t="n">
        <f aca="false">O291-M291</f>
        <v>3.8</v>
      </c>
      <c r="U291" s="0" t="str">
        <f aca="false">IF(ABS(T291-S291)&lt;0.01,"OK","MISMATCH")</f>
        <v>OK</v>
      </c>
      <c r="V291" s="33" t="n">
        <f aca="false">Raw!M291</f>
        <v>1</v>
      </c>
      <c r="W291" s="0" t="str">
        <f aca="false">IF((S291&gt;0)=(V291=1),"OK","MISMATCH")</f>
        <v>OK</v>
      </c>
      <c r="X291" s="0" t="str">
        <f aca="false">_xlfn.IFS(S291&lt;=0,"Early/On time",S291&lt;=2,"Minor (up to 2 days)",S291&lt;=5,"Moderate (2-5 days)",TRUE(),"Severe (over 5 days)")</f>
        <v>Moderate (2-5 days)</v>
      </c>
      <c r="Y291" s="0" t="str">
        <f aca="false">YEAR(K291)&amp;"-"&amp;TEXT(MONTH(K291),"00")</f>
        <v>2025-08</v>
      </c>
      <c r="Z291" s="0" t="str">
        <f aca="false">C291&amp;" → "&amp;D291</f>
        <v>Surat → West Bengal</v>
      </c>
      <c r="AA291" s="0" t="str">
        <f aca="false">Raw!Q291</f>
        <v>GATI Logistics</v>
      </c>
      <c r="AB291" s="0" t="str">
        <f aca="false">Raw!R291</f>
        <v>No</v>
      </c>
      <c r="AC291" s="0" t="str">
        <f aca="false">Raw!S291</f>
        <v>Returned</v>
      </c>
      <c r="AD291" s="29" t="n">
        <f aca="false">Raw!N291</f>
        <v>4555.84</v>
      </c>
      <c r="AE291" s="29" t="n">
        <f aca="false">Raw!O291</f>
        <v>2782.17</v>
      </c>
      <c r="AF291" s="29" t="n">
        <f aca="false">Raw!P291</f>
        <v>709.19</v>
      </c>
      <c r="AG291" s="29" t="n">
        <f aca="false">AD291/J291</f>
        <v>244.412017167382</v>
      </c>
    </row>
    <row r="292" customFormat="false" ht="15" hidden="false" customHeight="false" outlineLevel="0" collapsed="false">
      <c r="A292" s="0" t="str">
        <f aca="false">Raw!A292</f>
        <v>SHP0291</v>
      </c>
      <c r="B292" s="0" t="str">
        <f aca="false">Raw!B292</f>
        <v>Outbound</v>
      </c>
      <c r="C292" s="0" t="str">
        <f aca="false">Raw!C292</f>
        <v>Surat</v>
      </c>
      <c r="D292" s="0" t="str">
        <f aca="false">Raw!D292</f>
        <v>Kerala</v>
      </c>
      <c r="E292" s="0" t="str">
        <f aca="false">IFERROR(INDEX(Location_Map!$B$2:$B$15,MATCH(C292,Location_Map!$A$2:$A$15,0)),"UNMAPPED")</f>
        <v>Gujarat</v>
      </c>
      <c r="F292" s="0" t="str">
        <f aca="false">IFERROR(INDEX(Location_Map!$C$2:$C$15,MATCH(C292,Location_Map!$A$2:$A$15,0)),"UNMAPPED")</f>
        <v>West</v>
      </c>
      <c r="G292" s="0" t="str">
        <f aca="false">IFERROR(INDEX(Location_Map!$B$2:$B$15,MATCH(D292,Location_Map!$A$2:$A$15,0)),"UNMAPPED")</f>
        <v>Kerala</v>
      </c>
      <c r="H292" s="0" t="str">
        <f aca="false">IFERROR(INDEX(Location_Map!$C$2:$C$15,MATCH(D292,Location_Map!$A$2:$A$15,0)),"UNMAPPED")</f>
        <v>South</v>
      </c>
      <c r="I292" s="0" t="str">
        <f aca="false">Raw!E292</f>
        <v>Finished Yarn</v>
      </c>
      <c r="J292" s="28" t="n">
        <f aca="false">Raw!F292</f>
        <v>1.95</v>
      </c>
      <c r="K292" s="30" t="n">
        <f aca="false">DATE(LEFT(Raw!G292,4),MID(Raw!G292,6,2),MID(Raw!G292,9,2))</f>
        <v>45911</v>
      </c>
      <c r="L292" s="30" t="n">
        <f aca="false">DATE(LEFT(Raw!H292,4),MID(Raw!H292,6,2),MID(Raw!H292,9,2))</f>
        <v>45915</v>
      </c>
      <c r="M292" s="30" t="n">
        <f aca="false">DATE(LEFT(Raw!I292,4),MID(Raw!I292,6,2),MID(Raw!I292,9,2))</f>
        <v>45921</v>
      </c>
      <c r="N292" s="31" t="n">
        <f aca="false">DATE(LEFT(Raw!J292,4),MID(Raw!J292,6,2),MID(Raw!J292,9,2))+TIME(MID(Raw!J292,12,2),MID(Raw!J292,15,2),MID(Raw!J292,18,2))</f>
        <v>45915.25</v>
      </c>
      <c r="O292" s="31" t="n">
        <f aca="false">DATE(LEFT(Raw!K292,4),MID(Raw!K292,6,2),MID(Raw!K292,9,2))+TIME(MID(Raw!K292,12,2),MID(Raw!K292,15,2),MID(Raw!K292,18,2))</f>
        <v>45920</v>
      </c>
      <c r="P292" s="32" t="n">
        <f aca="false">L292-K292</f>
        <v>4</v>
      </c>
      <c r="Q292" s="32" t="n">
        <f aca="false">M292-L292</f>
        <v>6</v>
      </c>
      <c r="R292" s="32" t="n">
        <f aca="false">O292-N292</f>
        <v>4.75</v>
      </c>
      <c r="S292" s="32" t="n">
        <f aca="false">Raw!L292</f>
        <v>-1</v>
      </c>
      <c r="T292" s="32" t="n">
        <f aca="false">O292-M292</f>
        <v>-1</v>
      </c>
      <c r="U292" s="0" t="str">
        <f aca="false">IF(ABS(T292-S292)&lt;0.01,"OK","MISMATCH")</f>
        <v>OK</v>
      </c>
      <c r="V292" s="33" t="n">
        <f aca="false">Raw!M292</f>
        <v>0</v>
      </c>
      <c r="W292" s="0" t="str">
        <f aca="false">IF((S292&gt;0)=(V292=1),"OK","MISMATCH")</f>
        <v>OK</v>
      </c>
      <c r="X292" s="0" t="str">
        <f aca="false">_xlfn.IFS(S292&lt;=0,"Early/On time",S292&lt;=2,"Minor (up to 2 days)",S292&lt;=5,"Moderate (2-5 days)",TRUE(),"Severe (over 5 days)")</f>
        <v>Early/On time</v>
      </c>
      <c r="Y292" s="0" t="str">
        <f aca="false">YEAR(K292)&amp;"-"&amp;TEXT(MONTH(K292),"00")</f>
        <v>2025-09</v>
      </c>
      <c r="Z292" s="0" t="str">
        <f aca="false">C292&amp;" → "&amp;D292</f>
        <v>Surat → Kerala</v>
      </c>
      <c r="AA292" s="0" t="str">
        <f aca="false">Raw!Q292</f>
        <v>GATI Logistics</v>
      </c>
      <c r="AB292" s="0" t="str">
        <f aca="false">Raw!R292</f>
        <v>Yes</v>
      </c>
      <c r="AC292" s="0" t="str">
        <f aca="false">Raw!S292</f>
        <v>Damaged</v>
      </c>
      <c r="AD292" s="29" t="n">
        <f aca="false">Raw!N292</f>
        <v>1830.65</v>
      </c>
      <c r="AE292" s="29" t="n">
        <f aca="false">Raw!O292</f>
        <v>4805.72</v>
      </c>
      <c r="AF292" s="29" t="n">
        <f aca="false">Raw!P292</f>
        <v>1494.82</v>
      </c>
      <c r="AG292" s="29" t="n">
        <f aca="false">AD292/J292</f>
        <v>938.794871794872</v>
      </c>
    </row>
    <row r="293" customFormat="false" ht="15" hidden="false" customHeight="false" outlineLevel="0" collapsed="false">
      <c r="A293" s="0" t="str">
        <f aca="false">Raw!A293</f>
        <v>SHP0292</v>
      </c>
      <c r="B293" s="0" t="str">
        <f aca="false">Raw!B293</f>
        <v>Inbound</v>
      </c>
      <c r="C293" s="0" t="str">
        <f aca="false">Raw!C293</f>
        <v>Chennai</v>
      </c>
      <c r="D293" s="0" t="str">
        <f aca="false">Raw!D293</f>
        <v>Surat</v>
      </c>
      <c r="E293" s="0" t="str">
        <f aca="false">IFERROR(INDEX(Location_Map!$B$2:$B$15,MATCH(C293,Location_Map!$A$2:$A$15,0)),"UNMAPPED")</f>
        <v>Tamil Nadu</v>
      </c>
      <c r="F293" s="0" t="str">
        <f aca="false">IFERROR(INDEX(Location_Map!$C$2:$C$15,MATCH(C293,Location_Map!$A$2:$A$15,0)),"UNMAPPED")</f>
        <v>South</v>
      </c>
      <c r="G293" s="0" t="str">
        <f aca="false">IFERROR(INDEX(Location_Map!$B$2:$B$15,MATCH(D293,Location_Map!$A$2:$A$15,0)),"UNMAPPED")</f>
        <v>Gujarat</v>
      </c>
      <c r="H293" s="0" t="str">
        <f aca="false">IFERROR(INDEX(Location_Map!$C$2:$C$15,MATCH(D293,Location_Map!$A$2:$A$15,0)),"UNMAPPED")</f>
        <v>West</v>
      </c>
      <c r="I293" s="0" t="str">
        <f aca="false">Raw!E293</f>
        <v>Raw Yarn</v>
      </c>
      <c r="J293" s="28" t="n">
        <f aca="false">Raw!F293</f>
        <v>14.52</v>
      </c>
      <c r="K293" s="30" t="n">
        <f aca="false">DATE(LEFT(Raw!G293,4),MID(Raw!G293,6,2),MID(Raw!G293,9,2))</f>
        <v>45952</v>
      </c>
      <c r="L293" s="30" t="n">
        <f aca="false">DATE(LEFT(Raw!H293,4),MID(Raw!H293,6,2),MID(Raw!H293,9,2))</f>
        <v>45955</v>
      </c>
      <c r="M293" s="30" t="n">
        <f aca="false">DATE(LEFT(Raw!I293,4),MID(Raw!I293,6,2),MID(Raw!I293,9,2))</f>
        <v>45959</v>
      </c>
      <c r="N293" s="31" t="n">
        <f aca="false">DATE(LEFT(Raw!J293,4),MID(Raw!J293,6,2),MID(Raw!J293,9,2))+TIME(MID(Raw!J293,12,2),MID(Raw!J293,15,2),MID(Raw!J293,18,2))</f>
        <v>45954.9583333333</v>
      </c>
      <c r="O293" s="31" t="n">
        <f aca="false">DATE(LEFT(Raw!K293,4),MID(Raw!K293,6,2),MID(Raw!K293,9,2))+TIME(MID(Raw!K293,12,2),MID(Raw!K293,15,2),MID(Raw!K293,18,2))</f>
        <v>45962.8</v>
      </c>
      <c r="P293" s="32" t="n">
        <f aca="false">L293-K293</f>
        <v>3</v>
      </c>
      <c r="Q293" s="32" t="n">
        <f aca="false">M293-L293</f>
        <v>4</v>
      </c>
      <c r="R293" s="32" t="n">
        <f aca="false">O293-N293</f>
        <v>7.84166666666667</v>
      </c>
      <c r="S293" s="32" t="n">
        <f aca="false">Raw!L293</f>
        <v>3.8</v>
      </c>
      <c r="T293" s="32" t="n">
        <f aca="false">O293-M293</f>
        <v>3.8</v>
      </c>
      <c r="U293" s="0" t="str">
        <f aca="false">IF(ABS(T293-S293)&lt;0.01,"OK","MISMATCH")</f>
        <v>OK</v>
      </c>
      <c r="V293" s="33" t="n">
        <f aca="false">Raw!M293</f>
        <v>1</v>
      </c>
      <c r="W293" s="0" t="str">
        <f aca="false">IF((S293&gt;0)=(V293=1),"OK","MISMATCH")</f>
        <v>OK</v>
      </c>
      <c r="X293" s="0" t="str">
        <f aca="false">_xlfn.IFS(S293&lt;=0,"Early/On time",S293&lt;=2,"Minor (up to 2 days)",S293&lt;=5,"Moderate (2-5 days)",TRUE(),"Severe (over 5 days)")</f>
        <v>Moderate (2-5 days)</v>
      </c>
      <c r="Y293" s="0" t="str">
        <f aca="false">YEAR(K293)&amp;"-"&amp;TEXT(MONTH(K293),"00")</f>
        <v>2025-10</v>
      </c>
      <c r="Z293" s="0" t="str">
        <f aca="false">C293&amp;" → "&amp;D293</f>
        <v>Chennai → Surat</v>
      </c>
      <c r="AA293" s="0" t="str">
        <f aca="false">Raw!Q293</f>
        <v>VRL Cargo</v>
      </c>
      <c r="AB293" s="0" t="str">
        <f aca="false">Raw!R293</f>
        <v>No</v>
      </c>
      <c r="AC293" s="0" t="str">
        <f aca="false">Raw!S293</f>
        <v>Normal</v>
      </c>
      <c r="AD293" s="29" t="n">
        <f aca="false">Raw!N293</f>
        <v>7059.04</v>
      </c>
      <c r="AE293" s="29" t="n">
        <f aca="false">Raw!O293</f>
        <v>1292.33</v>
      </c>
      <c r="AF293" s="29" t="n">
        <f aca="false">Raw!P293</f>
        <v>1122.34</v>
      </c>
      <c r="AG293" s="29" t="n">
        <f aca="false">AD293/J293</f>
        <v>486.159779614325</v>
      </c>
    </row>
    <row r="294" customFormat="false" ht="15" hidden="false" customHeight="false" outlineLevel="0" collapsed="false">
      <c r="A294" s="0" t="str">
        <f aca="false">Raw!A294</f>
        <v>SHP0293</v>
      </c>
      <c r="B294" s="0" t="str">
        <f aca="false">Raw!B294</f>
        <v>Inbound</v>
      </c>
      <c r="C294" s="0" t="str">
        <f aca="false">Raw!C294</f>
        <v>Chennai</v>
      </c>
      <c r="D294" s="0" t="str">
        <f aca="false">Raw!D294</f>
        <v>Surat</v>
      </c>
      <c r="E294" s="0" t="str">
        <f aca="false">IFERROR(INDEX(Location_Map!$B$2:$B$15,MATCH(C294,Location_Map!$A$2:$A$15,0)),"UNMAPPED")</f>
        <v>Tamil Nadu</v>
      </c>
      <c r="F294" s="0" t="str">
        <f aca="false">IFERROR(INDEX(Location_Map!$C$2:$C$15,MATCH(C294,Location_Map!$A$2:$A$15,0)),"UNMAPPED")</f>
        <v>South</v>
      </c>
      <c r="G294" s="0" t="str">
        <f aca="false">IFERROR(INDEX(Location_Map!$B$2:$B$15,MATCH(D294,Location_Map!$A$2:$A$15,0)),"UNMAPPED")</f>
        <v>Gujarat</v>
      </c>
      <c r="H294" s="0" t="str">
        <f aca="false">IFERROR(INDEX(Location_Map!$C$2:$C$15,MATCH(D294,Location_Map!$A$2:$A$15,0)),"UNMAPPED")</f>
        <v>West</v>
      </c>
      <c r="I294" s="0" t="str">
        <f aca="false">Raw!E294</f>
        <v>Finished Yarn</v>
      </c>
      <c r="J294" s="28" t="n">
        <f aca="false">Raw!F294</f>
        <v>19.64</v>
      </c>
      <c r="K294" s="30" t="n">
        <f aca="false">DATE(LEFT(Raw!G294,4),MID(Raw!G294,6,2),MID(Raw!G294,9,2))</f>
        <v>45715</v>
      </c>
      <c r="L294" s="30" t="n">
        <f aca="false">DATE(LEFT(Raw!H294,4),MID(Raw!H294,6,2),MID(Raw!H294,9,2))</f>
        <v>45719</v>
      </c>
      <c r="M294" s="30" t="n">
        <f aca="false">DATE(LEFT(Raw!I294,4),MID(Raw!I294,6,2),MID(Raw!I294,9,2))</f>
        <v>45723</v>
      </c>
      <c r="N294" s="31" t="n">
        <f aca="false">DATE(LEFT(Raw!J294,4),MID(Raw!J294,6,2),MID(Raw!J294,9,2))+TIME(MID(Raw!J294,12,2),MID(Raw!J294,15,2),MID(Raw!J294,18,2))</f>
        <v>45719.2083333333</v>
      </c>
      <c r="O294" s="31" t="n">
        <f aca="false">DATE(LEFT(Raw!K294,4),MID(Raw!K294,6,2),MID(Raw!K294,9,2))+TIME(MID(Raw!K294,12,2),MID(Raw!K294,15,2),MID(Raw!K294,18,2))</f>
        <v>45729.1</v>
      </c>
      <c r="P294" s="32" t="n">
        <f aca="false">L294-K294</f>
        <v>4</v>
      </c>
      <c r="Q294" s="32" t="n">
        <f aca="false">M294-L294</f>
        <v>4</v>
      </c>
      <c r="R294" s="32" t="n">
        <f aca="false">O294-N294</f>
        <v>9.89166666666667</v>
      </c>
      <c r="S294" s="32" t="n">
        <f aca="false">Raw!L294</f>
        <v>6.1</v>
      </c>
      <c r="T294" s="32" t="n">
        <f aca="false">O294-M294</f>
        <v>6.1</v>
      </c>
      <c r="U294" s="0" t="str">
        <f aca="false">IF(ABS(T294-S294)&lt;0.01,"OK","MISMATCH")</f>
        <v>OK</v>
      </c>
      <c r="V294" s="33" t="n">
        <f aca="false">Raw!M294</f>
        <v>1</v>
      </c>
      <c r="W294" s="0" t="str">
        <f aca="false">IF((S294&gt;0)=(V294=1),"OK","MISMATCH")</f>
        <v>OK</v>
      </c>
      <c r="X294" s="0" t="str">
        <f aca="false">_xlfn.IFS(S294&lt;=0,"Early/On time",S294&lt;=2,"Minor (up to 2 days)",S294&lt;=5,"Moderate (2-5 days)",TRUE(),"Severe (over 5 days)")</f>
        <v>Severe (over 5 days)</v>
      </c>
      <c r="Y294" s="0" t="str">
        <f aca="false">YEAR(K294)&amp;"-"&amp;TEXT(MONTH(K294),"00")</f>
        <v>2025-02</v>
      </c>
      <c r="Z294" s="0" t="str">
        <f aca="false">C294&amp;" → "&amp;D294</f>
        <v>Chennai → Surat</v>
      </c>
      <c r="AA294" s="0" t="str">
        <f aca="false">Raw!Q294</f>
        <v>BlueDart</v>
      </c>
      <c r="AB294" s="0" t="str">
        <f aca="false">Raw!R294</f>
        <v>No</v>
      </c>
      <c r="AC294" s="0" t="str">
        <f aca="false">Raw!S294</f>
        <v>Damaged</v>
      </c>
      <c r="AD294" s="29" t="n">
        <f aca="false">Raw!N294</f>
        <v>11873.58</v>
      </c>
      <c r="AE294" s="29" t="n">
        <f aca="false">Raw!O294</f>
        <v>4029.24</v>
      </c>
      <c r="AF294" s="29" t="n">
        <f aca="false">Raw!P294</f>
        <v>661.67</v>
      </c>
      <c r="AG294" s="29" t="n">
        <f aca="false">AD294/J294</f>
        <v>604.561099796334</v>
      </c>
    </row>
    <row r="295" customFormat="false" ht="15" hidden="false" customHeight="false" outlineLevel="0" collapsed="false">
      <c r="A295" s="0" t="str">
        <f aca="false">Raw!A295</f>
        <v>SHP0294</v>
      </c>
      <c r="B295" s="0" t="str">
        <f aca="false">Raw!B295</f>
        <v>Outbound</v>
      </c>
      <c r="C295" s="0" t="str">
        <f aca="false">Raw!C295</f>
        <v>Surat</v>
      </c>
      <c r="D295" s="0" t="str">
        <f aca="false">Raw!D295</f>
        <v>Mumbai</v>
      </c>
      <c r="E295" s="0" t="str">
        <f aca="false">IFERROR(INDEX(Location_Map!$B$2:$B$15,MATCH(C295,Location_Map!$A$2:$A$15,0)),"UNMAPPED")</f>
        <v>Gujarat</v>
      </c>
      <c r="F295" s="0" t="str">
        <f aca="false">IFERROR(INDEX(Location_Map!$C$2:$C$15,MATCH(C295,Location_Map!$A$2:$A$15,0)),"UNMAPPED")</f>
        <v>West</v>
      </c>
      <c r="G295" s="0" t="str">
        <f aca="false">IFERROR(INDEX(Location_Map!$B$2:$B$15,MATCH(D295,Location_Map!$A$2:$A$15,0)),"UNMAPPED")</f>
        <v>Maharashtra</v>
      </c>
      <c r="H295" s="0" t="str">
        <f aca="false">IFERROR(INDEX(Location_Map!$C$2:$C$15,MATCH(D295,Location_Map!$A$2:$A$15,0)),"UNMAPPED")</f>
        <v>West</v>
      </c>
      <c r="I295" s="0" t="str">
        <f aca="false">Raw!E295</f>
        <v>Finished Yarn</v>
      </c>
      <c r="J295" s="28" t="n">
        <f aca="false">Raw!F295</f>
        <v>10.06</v>
      </c>
      <c r="K295" s="30" t="n">
        <f aca="false">DATE(LEFT(Raw!G295,4),MID(Raw!G295,6,2),MID(Raw!G295,9,2))</f>
        <v>45873</v>
      </c>
      <c r="L295" s="30" t="n">
        <f aca="false">DATE(LEFT(Raw!H295,4),MID(Raw!H295,6,2),MID(Raw!H295,9,2))</f>
        <v>45874</v>
      </c>
      <c r="M295" s="30" t="n">
        <f aca="false">DATE(LEFT(Raw!I295,4),MID(Raw!I295,6,2),MID(Raw!I295,9,2))</f>
        <v>45876</v>
      </c>
      <c r="N295" s="31" t="n">
        <f aca="false">DATE(LEFT(Raw!J295,4),MID(Raw!J295,6,2),MID(Raw!J295,9,2))+TIME(MID(Raw!J295,12,2),MID(Raw!J295,15,2),MID(Raw!J295,18,2))</f>
        <v>45874.2083333333</v>
      </c>
      <c r="O295" s="31" t="n">
        <f aca="false">DATE(LEFT(Raw!K295,4),MID(Raw!K295,6,2),MID(Raw!K295,9,2))+TIME(MID(Raw!K295,12,2),MID(Raw!K295,15,2),MID(Raw!K295,18,2))</f>
        <v>45875</v>
      </c>
      <c r="P295" s="32" t="n">
        <f aca="false">L295-K295</f>
        <v>1</v>
      </c>
      <c r="Q295" s="32" t="n">
        <f aca="false">M295-L295</f>
        <v>2</v>
      </c>
      <c r="R295" s="32" t="n">
        <f aca="false">O295-N295</f>
        <v>0.791666666666667</v>
      </c>
      <c r="S295" s="32" t="n">
        <f aca="false">Raw!L295</f>
        <v>-1</v>
      </c>
      <c r="T295" s="32" t="n">
        <f aca="false">O295-M295</f>
        <v>-1</v>
      </c>
      <c r="U295" s="0" t="str">
        <f aca="false">IF(ABS(T295-S295)&lt;0.01,"OK","MISMATCH")</f>
        <v>OK</v>
      </c>
      <c r="V295" s="33" t="n">
        <f aca="false">Raw!M295</f>
        <v>0</v>
      </c>
      <c r="W295" s="0" t="str">
        <f aca="false">IF((S295&gt;0)=(V295=1),"OK","MISMATCH")</f>
        <v>OK</v>
      </c>
      <c r="X295" s="0" t="str">
        <f aca="false">_xlfn.IFS(S295&lt;=0,"Early/On time",S295&lt;=2,"Minor (up to 2 days)",S295&lt;=5,"Moderate (2-5 days)",TRUE(),"Severe (over 5 days)")</f>
        <v>Early/On time</v>
      </c>
      <c r="Y295" s="0" t="str">
        <f aca="false">YEAR(K295)&amp;"-"&amp;TEXT(MONTH(K295),"00")</f>
        <v>2025-08</v>
      </c>
      <c r="Z295" s="0" t="str">
        <f aca="false">C295&amp;" → "&amp;D295</f>
        <v>Surat → Mumbai</v>
      </c>
      <c r="AA295" s="0" t="str">
        <f aca="false">Raw!Q295</f>
        <v>VRL Cargo</v>
      </c>
      <c r="AB295" s="0" t="str">
        <f aca="false">Raw!R295</f>
        <v>No</v>
      </c>
      <c r="AC295" s="0" t="str">
        <f aca="false">Raw!S295</f>
        <v>Held at warehouse</v>
      </c>
      <c r="AD295" s="29" t="n">
        <f aca="false">Raw!N295</f>
        <v>4591.2</v>
      </c>
      <c r="AE295" s="29" t="n">
        <f aca="false">Raw!O295</f>
        <v>3260.34</v>
      </c>
      <c r="AF295" s="29" t="n">
        <f aca="false">Raw!P295</f>
        <v>1271.63</v>
      </c>
      <c r="AG295" s="29" t="n">
        <f aca="false">AD295/J295</f>
        <v>456.381709741551</v>
      </c>
    </row>
    <row r="296" customFormat="false" ht="15" hidden="false" customHeight="false" outlineLevel="0" collapsed="false">
      <c r="A296" s="0" t="str">
        <f aca="false">Raw!A296</f>
        <v>SHP0295</v>
      </c>
      <c r="B296" s="0" t="str">
        <f aca="false">Raw!B296</f>
        <v>Inbound</v>
      </c>
      <c r="C296" s="0" t="str">
        <f aca="false">Raw!C296</f>
        <v>Gujarat</v>
      </c>
      <c r="D296" s="0" t="str">
        <f aca="false">Raw!D296</f>
        <v>Surat</v>
      </c>
      <c r="E296" s="0" t="str">
        <f aca="false">IFERROR(INDEX(Location_Map!$B$2:$B$15,MATCH(C296,Location_Map!$A$2:$A$15,0)),"UNMAPPED")</f>
        <v>Gujarat</v>
      </c>
      <c r="F296" s="0" t="str">
        <f aca="false">IFERROR(INDEX(Location_Map!$C$2:$C$15,MATCH(C296,Location_Map!$A$2:$A$15,0)),"UNMAPPED")</f>
        <v>West</v>
      </c>
      <c r="G296" s="0" t="str">
        <f aca="false">IFERROR(INDEX(Location_Map!$B$2:$B$15,MATCH(D296,Location_Map!$A$2:$A$15,0)),"UNMAPPED")</f>
        <v>Gujarat</v>
      </c>
      <c r="H296" s="0" t="str">
        <f aca="false">IFERROR(INDEX(Location_Map!$C$2:$C$15,MATCH(D296,Location_Map!$A$2:$A$15,0)),"UNMAPPED")</f>
        <v>West</v>
      </c>
      <c r="I296" s="0" t="str">
        <f aca="false">Raw!E296</f>
        <v>Finished Yarn</v>
      </c>
      <c r="J296" s="28" t="n">
        <f aca="false">Raw!F296</f>
        <v>10.48</v>
      </c>
      <c r="K296" s="30" t="n">
        <f aca="false">DATE(LEFT(Raw!G296,4),MID(Raw!G296,6,2),MID(Raw!G296,9,2))</f>
        <v>45661</v>
      </c>
      <c r="L296" s="30" t="n">
        <f aca="false">DATE(LEFT(Raw!H296,4),MID(Raw!H296,6,2),MID(Raw!H296,9,2))</f>
        <v>45662</v>
      </c>
      <c r="M296" s="30" t="n">
        <f aca="false">DATE(LEFT(Raw!I296,4),MID(Raw!I296,6,2),MID(Raw!I296,9,2))</f>
        <v>45668</v>
      </c>
      <c r="N296" s="31" t="n">
        <f aca="false">DATE(LEFT(Raw!J296,4),MID(Raw!J296,6,2),MID(Raw!J296,9,2))+TIME(MID(Raw!J296,12,2),MID(Raw!J296,15,2),MID(Raw!J296,18,2))</f>
        <v>45662.375</v>
      </c>
      <c r="O296" s="31" t="n">
        <f aca="false">DATE(LEFT(Raw!K296,4),MID(Raw!K296,6,2),MID(Raw!K296,9,2))+TIME(MID(Raw!K296,12,2),MID(Raw!K296,15,2),MID(Raw!K296,18,2))</f>
        <v>45672.7</v>
      </c>
      <c r="P296" s="32" t="n">
        <f aca="false">L296-K296</f>
        <v>1</v>
      </c>
      <c r="Q296" s="32" t="n">
        <f aca="false">M296-L296</f>
        <v>6</v>
      </c>
      <c r="R296" s="32" t="n">
        <f aca="false">O296-N296</f>
        <v>10.325</v>
      </c>
      <c r="S296" s="32" t="n">
        <f aca="false">Raw!L296</f>
        <v>4.7</v>
      </c>
      <c r="T296" s="32" t="n">
        <f aca="false">O296-M296</f>
        <v>4.7</v>
      </c>
      <c r="U296" s="0" t="str">
        <f aca="false">IF(ABS(T296-S296)&lt;0.01,"OK","MISMATCH")</f>
        <v>OK</v>
      </c>
      <c r="V296" s="33" t="n">
        <f aca="false">Raw!M296</f>
        <v>1</v>
      </c>
      <c r="W296" s="0" t="str">
        <f aca="false">IF((S296&gt;0)=(V296=1),"OK","MISMATCH")</f>
        <v>OK</v>
      </c>
      <c r="X296" s="0" t="str">
        <f aca="false">_xlfn.IFS(S296&lt;=0,"Early/On time",S296&lt;=2,"Minor (up to 2 days)",S296&lt;=5,"Moderate (2-5 days)",TRUE(),"Severe (over 5 days)")</f>
        <v>Moderate (2-5 days)</v>
      </c>
      <c r="Y296" s="0" t="str">
        <f aca="false">YEAR(K296)&amp;"-"&amp;TEXT(MONTH(K296),"00")</f>
        <v>2025-01</v>
      </c>
      <c r="Z296" s="0" t="str">
        <f aca="false">C296&amp;" → "&amp;D296</f>
        <v>Gujarat → Surat</v>
      </c>
      <c r="AA296" s="0" t="str">
        <f aca="false">Raw!Q296</f>
        <v>VRL Cargo</v>
      </c>
      <c r="AB296" s="0" t="str">
        <f aca="false">Raw!R296</f>
        <v>No</v>
      </c>
      <c r="AC296" s="0" t="str">
        <f aca="false">Raw!S296</f>
        <v>Damaged</v>
      </c>
      <c r="AD296" s="29" t="n">
        <f aca="false">Raw!N296</f>
        <v>4863.68</v>
      </c>
      <c r="AE296" s="29" t="n">
        <f aca="false">Raw!O296</f>
        <v>2286.68</v>
      </c>
      <c r="AF296" s="29" t="n">
        <f aca="false">Raw!P296</f>
        <v>1348.04</v>
      </c>
      <c r="AG296" s="29" t="n">
        <f aca="false">AD296/J296</f>
        <v>464.091603053435</v>
      </c>
    </row>
    <row r="297" customFormat="false" ht="15" hidden="false" customHeight="false" outlineLevel="0" collapsed="false">
      <c r="A297" s="0" t="str">
        <f aca="false">Raw!A297</f>
        <v>SHP0296</v>
      </c>
      <c r="B297" s="0" t="str">
        <f aca="false">Raw!B297</f>
        <v>Inbound</v>
      </c>
      <c r="C297" s="0" t="str">
        <f aca="false">Raw!C297</f>
        <v>Punjab</v>
      </c>
      <c r="D297" s="0" t="str">
        <f aca="false">Raw!D297</f>
        <v>Surat</v>
      </c>
      <c r="E297" s="0" t="str">
        <f aca="false">IFERROR(INDEX(Location_Map!$B$2:$B$15,MATCH(C297,Location_Map!$A$2:$A$15,0)),"UNMAPPED")</f>
        <v>Punjab</v>
      </c>
      <c r="F297" s="0" t="str">
        <f aca="false">IFERROR(INDEX(Location_Map!$C$2:$C$15,MATCH(C297,Location_Map!$A$2:$A$15,0)),"UNMAPPED")</f>
        <v>North</v>
      </c>
      <c r="G297" s="0" t="str">
        <f aca="false">IFERROR(INDEX(Location_Map!$B$2:$B$15,MATCH(D297,Location_Map!$A$2:$A$15,0)),"UNMAPPED")</f>
        <v>Gujarat</v>
      </c>
      <c r="H297" s="0" t="str">
        <f aca="false">IFERROR(INDEX(Location_Map!$C$2:$C$15,MATCH(D297,Location_Map!$A$2:$A$15,0)),"UNMAPPED")</f>
        <v>West</v>
      </c>
      <c r="I297" s="0" t="str">
        <f aca="false">Raw!E297</f>
        <v>Raw Yarn</v>
      </c>
      <c r="J297" s="28" t="n">
        <f aca="false">Raw!F297</f>
        <v>14.85</v>
      </c>
      <c r="K297" s="30" t="n">
        <f aca="false">DATE(LEFT(Raw!G297,4),MID(Raw!G297,6,2),MID(Raw!G297,9,2))</f>
        <v>45686</v>
      </c>
      <c r="L297" s="30" t="n">
        <f aca="false">DATE(LEFT(Raw!H297,4),MID(Raw!H297,6,2),MID(Raw!H297,9,2))</f>
        <v>45688</v>
      </c>
      <c r="M297" s="30" t="n">
        <f aca="false">DATE(LEFT(Raw!I297,4),MID(Raw!I297,6,2),MID(Raw!I297,9,2))</f>
        <v>45690</v>
      </c>
      <c r="N297" s="31" t="n">
        <f aca="false">DATE(LEFT(Raw!J297,4),MID(Raw!J297,6,2),MID(Raw!J297,9,2))+TIME(MID(Raw!J297,12,2),MID(Raw!J297,15,2),MID(Raw!J297,18,2))</f>
        <v>45688.2916666667</v>
      </c>
      <c r="O297" s="31" t="n">
        <f aca="false">DATE(LEFT(Raw!K297,4),MID(Raw!K297,6,2),MID(Raw!K297,9,2))+TIME(MID(Raw!K297,12,2),MID(Raw!K297,15,2),MID(Raw!K297,18,2))</f>
        <v>45689</v>
      </c>
      <c r="P297" s="32" t="n">
        <f aca="false">L297-K297</f>
        <v>2</v>
      </c>
      <c r="Q297" s="32" t="n">
        <f aca="false">M297-L297</f>
        <v>2</v>
      </c>
      <c r="R297" s="32" t="n">
        <f aca="false">O297-N297</f>
        <v>0.708333333333333</v>
      </c>
      <c r="S297" s="32" t="n">
        <f aca="false">Raw!L297</f>
        <v>-1</v>
      </c>
      <c r="T297" s="32" t="n">
        <f aca="false">O297-M297</f>
        <v>-1</v>
      </c>
      <c r="U297" s="0" t="str">
        <f aca="false">IF(ABS(T297-S297)&lt;0.01,"OK","MISMATCH")</f>
        <v>OK</v>
      </c>
      <c r="V297" s="33" t="n">
        <f aca="false">Raw!M297</f>
        <v>0</v>
      </c>
      <c r="W297" s="0" t="str">
        <f aca="false">IF((S297&gt;0)=(V297=1),"OK","MISMATCH")</f>
        <v>OK</v>
      </c>
      <c r="X297" s="0" t="str">
        <f aca="false">_xlfn.IFS(S297&lt;=0,"Early/On time",S297&lt;=2,"Minor (up to 2 days)",S297&lt;=5,"Moderate (2-5 days)",TRUE(),"Severe (over 5 days)")</f>
        <v>Early/On time</v>
      </c>
      <c r="Y297" s="0" t="str">
        <f aca="false">YEAR(K297)&amp;"-"&amp;TEXT(MONTH(K297),"00")</f>
        <v>2025-01</v>
      </c>
      <c r="Z297" s="0" t="str">
        <f aca="false">C297&amp;" → "&amp;D297</f>
        <v>Punjab → Surat</v>
      </c>
      <c r="AA297" s="0" t="str">
        <f aca="false">Raw!Q297</f>
        <v>GATI Logistics</v>
      </c>
      <c r="AB297" s="0" t="str">
        <f aca="false">Raw!R297</f>
        <v>Yes</v>
      </c>
      <c r="AC297" s="0" t="str">
        <f aca="false">Raw!S297</f>
        <v>Expedited</v>
      </c>
      <c r="AD297" s="29" t="n">
        <f aca="false">Raw!N297</f>
        <v>7724.22</v>
      </c>
      <c r="AE297" s="29" t="n">
        <f aca="false">Raw!O297</f>
        <v>1474.01</v>
      </c>
      <c r="AF297" s="29" t="n">
        <f aca="false">Raw!P297</f>
        <v>788.88</v>
      </c>
      <c r="AG297" s="29" t="n">
        <f aca="false">AD297/J297</f>
        <v>520.149494949495</v>
      </c>
    </row>
    <row r="298" customFormat="false" ht="15" hidden="false" customHeight="false" outlineLevel="0" collapsed="false">
      <c r="A298" s="0" t="str">
        <f aca="false">Raw!A298</f>
        <v>SHP0297</v>
      </c>
      <c r="B298" s="0" t="str">
        <f aca="false">Raw!B298</f>
        <v>Inbound</v>
      </c>
      <c r="C298" s="0" t="str">
        <f aca="false">Raw!C298</f>
        <v>Rajasthan</v>
      </c>
      <c r="D298" s="0" t="str">
        <f aca="false">Raw!D298</f>
        <v>Surat</v>
      </c>
      <c r="E298" s="0" t="str">
        <f aca="false">IFERROR(INDEX(Location_Map!$B$2:$B$15,MATCH(C298,Location_Map!$A$2:$A$15,0)),"UNMAPPED")</f>
        <v>Rajasthan</v>
      </c>
      <c r="F298" s="0" t="str">
        <f aca="false">IFERROR(INDEX(Location_Map!$C$2:$C$15,MATCH(C298,Location_Map!$A$2:$A$15,0)),"UNMAPPED")</f>
        <v>North</v>
      </c>
      <c r="G298" s="0" t="str">
        <f aca="false">IFERROR(INDEX(Location_Map!$B$2:$B$15,MATCH(D298,Location_Map!$A$2:$A$15,0)),"UNMAPPED")</f>
        <v>Gujarat</v>
      </c>
      <c r="H298" s="0" t="str">
        <f aca="false">IFERROR(INDEX(Location_Map!$C$2:$C$15,MATCH(D298,Location_Map!$A$2:$A$15,0)),"UNMAPPED")</f>
        <v>West</v>
      </c>
      <c r="I298" s="0" t="str">
        <f aca="false">Raw!E298</f>
        <v>Finished Yarn</v>
      </c>
      <c r="J298" s="28" t="n">
        <f aca="false">Raw!F298</f>
        <v>8.56</v>
      </c>
      <c r="K298" s="30" t="n">
        <f aca="false">DATE(LEFT(Raw!G298,4),MID(Raw!G298,6,2),MID(Raw!G298,9,2))</f>
        <v>45933</v>
      </c>
      <c r="L298" s="30" t="n">
        <f aca="false">DATE(LEFT(Raw!H298,4),MID(Raw!H298,6,2),MID(Raw!H298,9,2))</f>
        <v>45937</v>
      </c>
      <c r="M298" s="30" t="n">
        <f aca="false">DATE(LEFT(Raw!I298,4),MID(Raw!I298,6,2),MID(Raw!I298,9,2))</f>
        <v>45939</v>
      </c>
      <c r="N298" s="31" t="n">
        <f aca="false">DATE(LEFT(Raw!J298,4),MID(Raw!J298,6,2),MID(Raw!J298,9,2))+TIME(MID(Raw!J298,12,2),MID(Raw!J298,15,2),MID(Raw!J298,18,2))</f>
        <v>45936.9166666667</v>
      </c>
      <c r="O298" s="31" t="n">
        <f aca="false">DATE(LEFT(Raw!K298,4),MID(Raw!K298,6,2),MID(Raw!K298,9,2))+TIME(MID(Raw!K298,12,2),MID(Raw!K298,15,2),MID(Raw!K298,18,2))</f>
        <v>45939.1</v>
      </c>
      <c r="P298" s="32" t="n">
        <f aca="false">L298-K298</f>
        <v>4</v>
      </c>
      <c r="Q298" s="32" t="n">
        <f aca="false">M298-L298</f>
        <v>2</v>
      </c>
      <c r="R298" s="32" t="n">
        <f aca="false">O298-N298</f>
        <v>2.18333333333333</v>
      </c>
      <c r="S298" s="32" t="n">
        <f aca="false">Raw!L298</f>
        <v>0.1</v>
      </c>
      <c r="T298" s="32" t="n">
        <f aca="false">O298-M298</f>
        <v>0.1</v>
      </c>
      <c r="U298" s="0" t="str">
        <f aca="false">IF(ABS(T298-S298)&lt;0.01,"OK","MISMATCH")</f>
        <v>OK</v>
      </c>
      <c r="V298" s="33" t="n">
        <f aca="false">Raw!M298</f>
        <v>1</v>
      </c>
      <c r="W298" s="0" t="str">
        <f aca="false">IF((S298&gt;0)=(V298=1),"OK","MISMATCH")</f>
        <v>OK</v>
      </c>
      <c r="X298" s="0" t="str">
        <f aca="false">_xlfn.IFS(S298&lt;=0,"Early/On time",S298&lt;=2,"Minor (up to 2 days)",S298&lt;=5,"Moderate (2-5 days)",TRUE(),"Severe (over 5 days)")</f>
        <v>Minor (up to 2 days)</v>
      </c>
      <c r="Y298" s="0" t="str">
        <f aca="false">YEAR(K298)&amp;"-"&amp;TEXT(MONTH(K298),"00")</f>
        <v>2025-10</v>
      </c>
      <c r="Z298" s="0" t="str">
        <f aca="false">C298&amp;" → "&amp;D298</f>
        <v>Rajasthan → Surat</v>
      </c>
      <c r="AA298" s="0" t="str">
        <f aca="false">Raw!Q298</f>
        <v>GATI Logistics</v>
      </c>
      <c r="AB298" s="0" t="str">
        <f aca="false">Raw!R298</f>
        <v>No</v>
      </c>
      <c r="AC298" s="0" t="str">
        <f aca="false">Raw!S298</f>
        <v>Held at warehouse</v>
      </c>
      <c r="AD298" s="29" t="n">
        <f aca="false">Raw!N298</f>
        <v>2423.22</v>
      </c>
      <c r="AE298" s="29" t="n">
        <f aca="false">Raw!O298</f>
        <v>1230.81</v>
      </c>
      <c r="AF298" s="29" t="n">
        <f aca="false">Raw!P298</f>
        <v>944.37</v>
      </c>
      <c r="AG298" s="29" t="n">
        <f aca="false">AD298/J298</f>
        <v>283.086448598131</v>
      </c>
    </row>
    <row r="299" customFormat="false" ht="15" hidden="false" customHeight="false" outlineLevel="0" collapsed="false">
      <c r="A299" s="0" t="str">
        <f aca="false">Raw!A299</f>
        <v>SHP0298</v>
      </c>
      <c r="B299" s="0" t="str">
        <f aca="false">Raw!B299</f>
        <v>Outbound</v>
      </c>
      <c r="C299" s="0" t="str">
        <f aca="false">Raw!C299</f>
        <v>Surat</v>
      </c>
      <c r="D299" s="0" t="str">
        <f aca="false">Raw!D299</f>
        <v>Gujarat</v>
      </c>
      <c r="E299" s="0" t="str">
        <f aca="false">IFERROR(INDEX(Location_Map!$B$2:$B$15,MATCH(C299,Location_Map!$A$2:$A$15,0)),"UNMAPPED")</f>
        <v>Gujarat</v>
      </c>
      <c r="F299" s="0" t="str">
        <f aca="false">IFERROR(INDEX(Location_Map!$C$2:$C$15,MATCH(C299,Location_Map!$A$2:$A$15,0)),"UNMAPPED")</f>
        <v>West</v>
      </c>
      <c r="G299" s="0" t="str">
        <f aca="false">IFERROR(INDEX(Location_Map!$B$2:$B$15,MATCH(D299,Location_Map!$A$2:$A$15,0)),"UNMAPPED")</f>
        <v>Gujarat</v>
      </c>
      <c r="H299" s="0" t="str">
        <f aca="false">IFERROR(INDEX(Location_Map!$C$2:$C$15,MATCH(D299,Location_Map!$A$2:$A$15,0)),"UNMAPPED")</f>
        <v>West</v>
      </c>
      <c r="I299" s="0" t="str">
        <f aca="false">Raw!E299</f>
        <v>Finished Yarn</v>
      </c>
      <c r="J299" s="28" t="n">
        <f aca="false">Raw!F299</f>
        <v>6.24</v>
      </c>
      <c r="K299" s="30" t="n">
        <f aca="false">DATE(LEFT(Raw!G299,4),MID(Raw!G299,6,2),MID(Raw!G299,9,2))</f>
        <v>45844</v>
      </c>
      <c r="L299" s="30" t="n">
        <f aca="false">DATE(LEFT(Raw!H299,4),MID(Raw!H299,6,2),MID(Raw!H299,9,2))</f>
        <v>45848</v>
      </c>
      <c r="M299" s="30" t="n">
        <f aca="false">DATE(LEFT(Raw!I299,4),MID(Raw!I299,6,2),MID(Raw!I299,9,2))</f>
        <v>45854</v>
      </c>
      <c r="N299" s="31" t="n">
        <f aca="false">DATE(LEFT(Raw!J299,4),MID(Raw!J299,6,2),MID(Raw!J299,9,2))+TIME(MID(Raw!J299,12,2),MID(Raw!J299,15,2),MID(Raw!J299,18,2))</f>
        <v>45847.9166666667</v>
      </c>
      <c r="O299" s="31" t="n">
        <f aca="false">DATE(LEFT(Raw!K299,4),MID(Raw!K299,6,2),MID(Raw!K299,9,2))+TIME(MID(Raw!K299,12,2),MID(Raw!K299,15,2),MID(Raw!K299,18,2))</f>
        <v>45860</v>
      </c>
      <c r="P299" s="32" t="n">
        <f aca="false">L299-K299</f>
        <v>4</v>
      </c>
      <c r="Q299" s="32" t="n">
        <f aca="false">M299-L299</f>
        <v>6</v>
      </c>
      <c r="R299" s="32" t="n">
        <f aca="false">O299-N299</f>
        <v>12.0833333333333</v>
      </c>
      <c r="S299" s="32" t="n">
        <f aca="false">Raw!L299</f>
        <v>6</v>
      </c>
      <c r="T299" s="32" t="n">
        <f aca="false">O299-M299</f>
        <v>6</v>
      </c>
      <c r="U299" s="0" t="str">
        <f aca="false">IF(ABS(T299-S299)&lt;0.01,"OK","MISMATCH")</f>
        <v>OK</v>
      </c>
      <c r="V299" s="33" t="n">
        <f aca="false">Raw!M299</f>
        <v>1</v>
      </c>
      <c r="W299" s="0" t="str">
        <f aca="false">IF((S299&gt;0)=(V299=1),"OK","MISMATCH")</f>
        <v>OK</v>
      </c>
      <c r="X299" s="0" t="str">
        <f aca="false">_xlfn.IFS(S299&lt;=0,"Early/On time",S299&lt;=2,"Minor (up to 2 days)",S299&lt;=5,"Moderate (2-5 days)",TRUE(),"Severe (over 5 days)")</f>
        <v>Severe (over 5 days)</v>
      </c>
      <c r="Y299" s="0" t="str">
        <f aca="false">YEAR(K299)&amp;"-"&amp;TEXT(MONTH(K299),"00")</f>
        <v>2025-07</v>
      </c>
      <c r="Z299" s="0" t="str">
        <f aca="false">C299&amp;" → "&amp;D299</f>
        <v>Surat → Gujarat</v>
      </c>
      <c r="AA299" s="0" t="str">
        <f aca="false">Raw!Q299</f>
        <v>BlueDart</v>
      </c>
      <c r="AB299" s="0" t="str">
        <f aca="false">Raw!R299</f>
        <v>No</v>
      </c>
      <c r="AC299" s="0" t="str">
        <f aca="false">Raw!S299</f>
        <v>Expedited</v>
      </c>
      <c r="AD299" s="29" t="n">
        <f aca="false">Raw!N299</f>
        <v>3624.3</v>
      </c>
      <c r="AE299" s="29" t="n">
        <f aca="false">Raw!O299</f>
        <v>4389.09</v>
      </c>
      <c r="AF299" s="29" t="n">
        <f aca="false">Raw!P299</f>
        <v>1402.24</v>
      </c>
      <c r="AG299" s="29" t="n">
        <f aca="false">AD299/J299</f>
        <v>580.817307692308</v>
      </c>
    </row>
    <row r="300" customFormat="false" ht="15" hidden="false" customHeight="false" outlineLevel="0" collapsed="false">
      <c r="A300" s="0" t="str">
        <f aca="false">Raw!A300</f>
        <v>SHP0299</v>
      </c>
      <c r="B300" s="0" t="str">
        <f aca="false">Raw!B300</f>
        <v>Inbound</v>
      </c>
      <c r="C300" s="0" t="str">
        <f aca="false">Raw!C300</f>
        <v>Gujarat</v>
      </c>
      <c r="D300" s="0" t="str">
        <f aca="false">Raw!D300</f>
        <v>Surat</v>
      </c>
      <c r="E300" s="0" t="str">
        <f aca="false">IFERROR(INDEX(Location_Map!$B$2:$B$15,MATCH(C300,Location_Map!$A$2:$A$15,0)),"UNMAPPED")</f>
        <v>Gujarat</v>
      </c>
      <c r="F300" s="0" t="str">
        <f aca="false">IFERROR(INDEX(Location_Map!$C$2:$C$15,MATCH(C300,Location_Map!$A$2:$A$15,0)),"UNMAPPED")</f>
        <v>West</v>
      </c>
      <c r="G300" s="0" t="str">
        <f aca="false">IFERROR(INDEX(Location_Map!$B$2:$B$15,MATCH(D300,Location_Map!$A$2:$A$15,0)),"UNMAPPED")</f>
        <v>Gujarat</v>
      </c>
      <c r="H300" s="0" t="str">
        <f aca="false">IFERROR(INDEX(Location_Map!$C$2:$C$15,MATCH(D300,Location_Map!$A$2:$A$15,0)),"UNMAPPED")</f>
        <v>West</v>
      </c>
      <c r="I300" s="0" t="str">
        <f aca="false">Raw!E300</f>
        <v>Semi-Processed Yarn</v>
      </c>
      <c r="J300" s="28" t="n">
        <f aca="false">Raw!F300</f>
        <v>17.67</v>
      </c>
      <c r="K300" s="30" t="n">
        <f aca="false">DATE(LEFT(Raw!G300,4),MID(Raw!G300,6,2),MID(Raw!G300,9,2))</f>
        <v>45950</v>
      </c>
      <c r="L300" s="30" t="n">
        <f aca="false">DATE(LEFT(Raw!H300,4),MID(Raw!H300,6,2),MID(Raw!H300,9,2))</f>
        <v>45951</v>
      </c>
      <c r="M300" s="30" t="n">
        <f aca="false">DATE(LEFT(Raw!I300,4),MID(Raw!I300,6,2),MID(Raw!I300,9,2))</f>
        <v>45955</v>
      </c>
      <c r="N300" s="31" t="n">
        <f aca="false">DATE(LEFT(Raw!J300,4),MID(Raw!J300,6,2),MID(Raw!J300,9,2))+TIME(MID(Raw!J300,12,2),MID(Raw!J300,15,2),MID(Raw!J300,18,2))</f>
        <v>45951.2916666667</v>
      </c>
      <c r="O300" s="31" t="n">
        <f aca="false">DATE(LEFT(Raw!K300,4),MID(Raw!K300,6,2),MID(Raw!K300,9,2))+TIME(MID(Raw!K300,12,2),MID(Raw!K300,15,2),MID(Raw!K300,18,2))</f>
        <v>45955.8</v>
      </c>
      <c r="P300" s="32" t="n">
        <f aca="false">L300-K300</f>
        <v>1</v>
      </c>
      <c r="Q300" s="32" t="n">
        <f aca="false">M300-L300</f>
        <v>4</v>
      </c>
      <c r="R300" s="32" t="n">
        <f aca="false">O300-N300</f>
        <v>4.50833333333333</v>
      </c>
      <c r="S300" s="32" t="n">
        <f aca="false">Raw!L300</f>
        <v>0.8</v>
      </c>
      <c r="T300" s="32" t="n">
        <f aca="false">O300-M300</f>
        <v>0.8</v>
      </c>
      <c r="U300" s="0" t="str">
        <f aca="false">IF(ABS(T300-S300)&lt;0.01,"OK","MISMATCH")</f>
        <v>OK</v>
      </c>
      <c r="V300" s="33" t="n">
        <f aca="false">Raw!M300</f>
        <v>1</v>
      </c>
      <c r="W300" s="0" t="str">
        <f aca="false">IF((S300&gt;0)=(V300=1),"OK","MISMATCH")</f>
        <v>OK</v>
      </c>
      <c r="X300" s="0" t="str">
        <f aca="false">_xlfn.IFS(S300&lt;=0,"Early/On time",S300&lt;=2,"Minor (up to 2 days)",S300&lt;=5,"Moderate (2-5 days)",TRUE(),"Severe (over 5 days)")</f>
        <v>Minor (up to 2 days)</v>
      </c>
      <c r="Y300" s="0" t="str">
        <f aca="false">YEAR(K300)&amp;"-"&amp;TEXT(MONTH(K300),"00")</f>
        <v>2025-10</v>
      </c>
      <c r="Z300" s="0" t="str">
        <f aca="false">C300&amp;" → "&amp;D300</f>
        <v>Gujarat → Surat</v>
      </c>
      <c r="AA300" s="0" t="str">
        <f aca="false">Raw!Q300</f>
        <v>VRL Cargo</v>
      </c>
      <c r="AB300" s="0" t="str">
        <f aca="false">Raw!R300</f>
        <v>No</v>
      </c>
      <c r="AC300" s="0" t="str">
        <f aca="false">Raw!S300</f>
        <v>Normal</v>
      </c>
      <c r="AD300" s="29" t="n">
        <f aca="false">Raw!N300</f>
        <v>8890.25</v>
      </c>
      <c r="AE300" s="29" t="n">
        <f aca="false">Raw!O300</f>
        <v>3253.3</v>
      </c>
      <c r="AF300" s="29" t="n">
        <f aca="false">Raw!P300</f>
        <v>927.5</v>
      </c>
      <c r="AG300" s="29" t="n">
        <f aca="false">AD300/J300</f>
        <v>503.126768534239</v>
      </c>
    </row>
    <row r="301" customFormat="false" ht="15" hidden="false" customHeight="false" outlineLevel="0" collapsed="false">
      <c r="A301" s="0" t="str">
        <f aca="false">Raw!A301</f>
        <v>SHP0300</v>
      </c>
      <c r="B301" s="0" t="str">
        <f aca="false">Raw!B301</f>
        <v>Outbound</v>
      </c>
      <c r="C301" s="0" t="str">
        <f aca="false">Raw!C301</f>
        <v>Surat</v>
      </c>
      <c r="D301" s="0" t="str">
        <f aca="false">Raw!D301</f>
        <v>West Bengal</v>
      </c>
      <c r="E301" s="0" t="str">
        <f aca="false">IFERROR(INDEX(Location_Map!$B$2:$B$15,MATCH(C301,Location_Map!$A$2:$A$15,0)),"UNMAPPED")</f>
        <v>Gujarat</v>
      </c>
      <c r="F301" s="0" t="str">
        <f aca="false">IFERROR(INDEX(Location_Map!$C$2:$C$15,MATCH(C301,Location_Map!$A$2:$A$15,0)),"UNMAPPED")</f>
        <v>West</v>
      </c>
      <c r="G301" s="0" t="str">
        <f aca="false">IFERROR(INDEX(Location_Map!$B$2:$B$15,MATCH(D301,Location_Map!$A$2:$A$15,0)),"UNMAPPED")</f>
        <v>West Bengal</v>
      </c>
      <c r="H301" s="0" t="str">
        <f aca="false">IFERROR(INDEX(Location_Map!$C$2:$C$15,MATCH(D301,Location_Map!$A$2:$A$15,0)),"UNMAPPED")</f>
        <v>East</v>
      </c>
      <c r="I301" s="0" t="str">
        <f aca="false">Raw!E301</f>
        <v>Finished Yarn</v>
      </c>
      <c r="J301" s="28" t="n">
        <f aca="false">Raw!F301</f>
        <v>7.2</v>
      </c>
      <c r="K301" s="30" t="n">
        <f aca="false">DATE(LEFT(Raw!G301,4),MID(Raw!G301,6,2),MID(Raw!G301,9,2))</f>
        <v>45909</v>
      </c>
      <c r="L301" s="30" t="n">
        <f aca="false">DATE(LEFT(Raw!H301,4),MID(Raw!H301,6,2),MID(Raw!H301,9,2))</f>
        <v>45910</v>
      </c>
      <c r="M301" s="30" t="n">
        <f aca="false">DATE(LEFT(Raw!I301,4),MID(Raw!I301,6,2),MID(Raw!I301,9,2))</f>
        <v>45913</v>
      </c>
      <c r="N301" s="31" t="n">
        <f aca="false">DATE(LEFT(Raw!J301,4),MID(Raw!J301,6,2),MID(Raw!J301,9,2))+TIME(MID(Raw!J301,12,2),MID(Raw!J301,15,2),MID(Raw!J301,18,2))</f>
        <v>45910.0833333333</v>
      </c>
      <c r="O301" s="31" t="n">
        <f aca="false">DATE(LEFT(Raw!K301,4),MID(Raw!K301,6,2),MID(Raw!K301,9,2))+TIME(MID(Raw!K301,12,2),MID(Raw!K301,15,2),MID(Raw!K301,18,2))</f>
        <v>45917.1</v>
      </c>
      <c r="P301" s="32" t="n">
        <f aca="false">L301-K301</f>
        <v>1</v>
      </c>
      <c r="Q301" s="32" t="n">
        <f aca="false">M301-L301</f>
        <v>3</v>
      </c>
      <c r="R301" s="32" t="n">
        <f aca="false">O301-N301</f>
        <v>7.01666666666667</v>
      </c>
      <c r="S301" s="32" t="n">
        <f aca="false">Raw!L301</f>
        <v>4.1</v>
      </c>
      <c r="T301" s="32" t="n">
        <f aca="false">O301-M301</f>
        <v>4.1</v>
      </c>
      <c r="U301" s="0" t="str">
        <f aca="false">IF(ABS(T301-S301)&lt;0.01,"OK","MISMATCH")</f>
        <v>OK</v>
      </c>
      <c r="V301" s="33" t="n">
        <f aca="false">Raw!M301</f>
        <v>1</v>
      </c>
      <c r="W301" s="0" t="str">
        <f aca="false">IF((S301&gt;0)=(V301=1),"OK","MISMATCH")</f>
        <v>OK</v>
      </c>
      <c r="X301" s="0" t="str">
        <f aca="false">_xlfn.IFS(S301&lt;=0,"Early/On time",S301&lt;=2,"Minor (up to 2 days)",S301&lt;=5,"Moderate (2-5 days)",TRUE(),"Severe (over 5 days)")</f>
        <v>Moderate (2-5 days)</v>
      </c>
      <c r="Y301" s="0" t="str">
        <f aca="false">YEAR(K301)&amp;"-"&amp;TEXT(MONTH(K301),"00")</f>
        <v>2025-09</v>
      </c>
      <c r="Z301" s="0" t="str">
        <f aca="false">C301&amp;" → "&amp;D301</f>
        <v>Surat → West Bengal</v>
      </c>
      <c r="AA301" s="0" t="str">
        <f aca="false">Raw!Q301</f>
        <v>BlueDart</v>
      </c>
      <c r="AB301" s="0" t="str">
        <f aca="false">Raw!R301</f>
        <v>Yes</v>
      </c>
      <c r="AC301" s="0" t="str">
        <f aca="false">Raw!S301</f>
        <v>Returned</v>
      </c>
      <c r="AD301" s="29" t="n">
        <f aca="false">Raw!N301</f>
        <v>4410.83</v>
      </c>
      <c r="AE301" s="29" t="n">
        <f aca="false">Raw!O301</f>
        <v>4292.64</v>
      </c>
      <c r="AF301" s="29" t="n">
        <f aca="false">Raw!P301</f>
        <v>1388.89</v>
      </c>
      <c r="AG301" s="29" t="n">
        <f aca="false">AD301/J301</f>
        <v>612.615277777778</v>
      </c>
    </row>
    <row r="302" customFormat="false" ht="15" hidden="false" customHeight="false" outlineLevel="0" collapsed="false">
      <c r="A302" s="0" t="str">
        <f aca="false">Raw!A302</f>
        <v>SHP0301</v>
      </c>
      <c r="B302" s="0" t="str">
        <f aca="false">Raw!B302</f>
        <v>Inbound</v>
      </c>
      <c r="C302" s="0" t="str">
        <f aca="false">Raw!C302</f>
        <v>Punjab</v>
      </c>
      <c r="D302" s="0" t="str">
        <f aca="false">Raw!D302</f>
        <v>Surat</v>
      </c>
      <c r="E302" s="0" t="str">
        <f aca="false">IFERROR(INDEX(Location_Map!$B$2:$B$15,MATCH(C302,Location_Map!$A$2:$A$15,0)),"UNMAPPED")</f>
        <v>Punjab</v>
      </c>
      <c r="F302" s="0" t="str">
        <f aca="false">IFERROR(INDEX(Location_Map!$C$2:$C$15,MATCH(C302,Location_Map!$A$2:$A$15,0)),"UNMAPPED")</f>
        <v>North</v>
      </c>
      <c r="G302" s="0" t="str">
        <f aca="false">IFERROR(INDEX(Location_Map!$B$2:$B$15,MATCH(D302,Location_Map!$A$2:$A$15,0)),"UNMAPPED")</f>
        <v>Gujarat</v>
      </c>
      <c r="H302" s="0" t="str">
        <f aca="false">IFERROR(INDEX(Location_Map!$C$2:$C$15,MATCH(D302,Location_Map!$A$2:$A$15,0)),"UNMAPPED")</f>
        <v>West</v>
      </c>
      <c r="I302" s="0" t="str">
        <f aca="false">Raw!E302</f>
        <v>Raw Yarn</v>
      </c>
      <c r="J302" s="28" t="n">
        <f aca="false">Raw!F302</f>
        <v>11.35</v>
      </c>
      <c r="K302" s="30" t="n">
        <f aca="false">DATE(LEFT(Raw!G302,4),MID(Raw!G302,6,2),MID(Raw!G302,9,2))</f>
        <v>45719</v>
      </c>
      <c r="L302" s="30" t="n">
        <f aca="false">DATE(LEFT(Raw!H302,4),MID(Raw!H302,6,2),MID(Raw!H302,9,2))</f>
        <v>45721</v>
      </c>
      <c r="M302" s="30" t="n">
        <f aca="false">DATE(LEFT(Raw!I302,4),MID(Raw!I302,6,2),MID(Raw!I302,9,2))</f>
        <v>45725</v>
      </c>
      <c r="N302" s="31" t="n">
        <f aca="false">DATE(LEFT(Raw!J302,4),MID(Raw!J302,6,2),MID(Raw!J302,9,2))+TIME(MID(Raw!J302,12,2),MID(Raw!J302,15,2),MID(Raw!J302,18,2))</f>
        <v>45721.3333333333</v>
      </c>
      <c r="O302" s="31" t="n">
        <f aca="false">DATE(LEFT(Raw!K302,4),MID(Raw!K302,6,2),MID(Raw!K302,9,2))+TIME(MID(Raw!K302,12,2),MID(Raw!K302,15,2),MID(Raw!K302,18,2))</f>
        <v>45725.7</v>
      </c>
      <c r="P302" s="32" t="n">
        <f aca="false">L302-K302</f>
        <v>2</v>
      </c>
      <c r="Q302" s="32" t="n">
        <f aca="false">M302-L302</f>
        <v>4</v>
      </c>
      <c r="R302" s="32" t="n">
        <f aca="false">O302-N302</f>
        <v>4.36666666666667</v>
      </c>
      <c r="S302" s="32" t="n">
        <f aca="false">Raw!L302</f>
        <v>0.7</v>
      </c>
      <c r="T302" s="32" t="n">
        <f aca="false">O302-M302</f>
        <v>0.7</v>
      </c>
      <c r="U302" s="0" t="str">
        <f aca="false">IF(ABS(T302-S302)&lt;0.01,"OK","MISMATCH")</f>
        <v>OK</v>
      </c>
      <c r="V302" s="33" t="n">
        <f aca="false">Raw!M302</f>
        <v>1</v>
      </c>
      <c r="W302" s="0" t="str">
        <f aca="false">IF((S302&gt;0)=(V302=1),"OK","MISMATCH")</f>
        <v>OK</v>
      </c>
      <c r="X302" s="0" t="str">
        <f aca="false">_xlfn.IFS(S302&lt;=0,"Early/On time",S302&lt;=2,"Minor (up to 2 days)",S302&lt;=5,"Moderate (2-5 days)",TRUE(),"Severe (over 5 days)")</f>
        <v>Minor (up to 2 days)</v>
      </c>
      <c r="Y302" s="0" t="str">
        <f aca="false">YEAR(K302)&amp;"-"&amp;TEXT(MONTH(K302),"00")</f>
        <v>2025-03</v>
      </c>
      <c r="Z302" s="0" t="str">
        <f aca="false">C302&amp;" → "&amp;D302</f>
        <v>Punjab → Surat</v>
      </c>
      <c r="AA302" s="0" t="str">
        <f aca="false">Raw!Q302</f>
        <v>VRL Cargo</v>
      </c>
      <c r="AB302" s="0" t="str">
        <f aca="false">Raw!R302</f>
        <v>No</v>
      </c>
      <c r="AC302" s="0" t="str">
        <f aca="false">Raw!S302</f>
        <v>Returned</v>
      </c>
      <c r="AD302" s="29" t="n">
        <f aca="false">Raw!N302</f>
        <v>2979.5</v>
      </c>
      <c r="AE302" s="29" t="n">
        <f aca="false">Raw!O302</f>
        <v>4763.14</v>
      </c>
      <c r="AF302" s="29" t="n">
        <f aca="false">Raw!P302</f>
        <v>1006.92</v>
      </c>
      <c r="AG302" s="29" t="n">
        <f aca="false">AD302/J302</f>
        <v>262.511013215859</v>
      </c>
    </row>
    <row r="303" customFormat="false" ht="15" hidden="false" customHeight="false" outlineLevel="0" collapsed="false">
      <c r="A303" s="0" t="str">
        <f aca="false">Raw!A303</f>
        <v>SHP0302</v>
      </c>
      <c r="B303" s="0" t="str">
        <f aca="false">Raw!B303</f>
        <v>Inbound</v>
      </c>
      <c r="C303" s="0" t="str">
        <f aca="false">Raw!C303</f>
        <v>Chennai</v>
      </c>
      <c r="D303" s="0" t="str">
        <f aca="false">Raw!D303</f>
        <v>Surat</v>
      </c>
      <c r="E303" s="0" t="str">
        <f aca="false">IFERROR(INDEX(Location_Map!$B$2:$B$15,MATCH(C303,Location_Map!$A$2:$A$15,0)),"UNMAPPED")</f>
        <v>Tamil Nadu</v>
      </c>
      <c r="F303" s="0" t="str">
        <f aca="false">IFERROR(INDEX(Location_Map!$C$2:$C$15,MATCH(C303,Location_Map!$A$2:$A$15,0)),"UNMAPPED")</f>
        <v>South</v>
      </c>
      <c r="G303" s="0" t="str">
        <f aca="false">IFERROR(INDEX(Location_Map!$B$2:$B$15,MATCH(D303,Location_Map!$A$2:$A$15,0)),"UNMAPPED")</f>
        <v>Gujarat</v>
      </c>
      <c r="H303" s="0" t="str">
        <f aca="false">IFERROR(INDEX(Location_Map!$C$2:$C$15,MATCH(D303,Location_Map!$A$2:$A$15,0)),"UNMAPPED")</f>
        <v>West</v>
      </c>
      <c r="I303" s="0" t="str">
        <f aca="false">Raw!E303</f>
        <v>Raw Yarn</v>
      </c>
      <c r="J303" s="28" t="n">
        <f aca="false">Raw!F303</f>
        <v>8.78</v>
      </c>
      <c r="K303" s="30" t="n">
        <f aca="false">DATE(LEFT(Raw!G303,4),MID(Raw!G303,6,2),MID(Raw!G303,9,2))</f>
        <v>45901</v>
      </c>
      <c r="L303" s="30" t="n">
        <f aca="false">DATE(LEFT(Raw!H303,4),MID(Raw!H303,6,2),MID(Raw!H303,9,2))</f>
        <v>45905</v>
      </c>
      <c r="M303" s="30" t="n">
        <f aca="false">DATE(LEFT(Raw!I303,4),MID(Raw!I303,6,2),MID(Raw!I303,9,2))</f>
        <v>45911</v>
      </c>
      <c r="N303" s="31" t="n">
        <f aca="false">DATE(LEFT(Raw!J303,4),MID(Raw!J303,6,2),MID(Raw!J303,9,2))+TIME(MID(Raw!J303,12,2),MID(Raw!J303,15,2),MID(Raw!J303,18,2))</f>
        <v>45904.9166666667</v>
      </c>
      <c r="O303" s="31" t="n">
        <f aca="false">DATE(LEFT(Raw!K303,4),MID(Raw!K303,6,2),MID(Raw!K303,9,2))+TIME(MID(Raw!K303,12,2),MID(Raw!K303,15,2),MID(Raw!K303,18,2))</f>
        <v>45913.3</v>
      </c>
      <c r="P303" s="32" t="n">
        <f aca="false">L303-K303</f>
        <v>4</v>
      </c>
      <c r="Q303" s="32" t="n">
        <f aca="false">M303-L303</f>
        <v>6</v>
      </c>
      <c r="R303" s="32" t="n">
        <f aca="false">O303-N303</f>
        <v>8.38333333333333</v>
      </c>
      <c r="S303" s="32" t="n">
        <f aca="false">Raw!L303</f>
        <v>2.3</v>
      </c>
      <c r="T303" s="32" t="n">
        <f aca="false">O303-M303</f>
        <v>2.3</v>
      </c>
      <c r="U303" s="0" t="str">
        <f aca="false">IF(ABS(T303-S303)&lt;0.01,"OK","MISMATCH")</f>
        <v>OK</v>
      </c>
      <c r="V303" s="33" t="n">
        <f aca="false">Raw!M303</f>
        <v>1</v>
      </c>
      <c r="W303" s="0" t="str">
        <f aca="false">IF((S303&gt;0)=(V303=1),"OK","MISMATCH")</f>
        <v>OK</v>
      </c>
      <c r="X303" s="0" t="str">
        <f aca="false">_xlfn.IFS(S303&lt;=0,"Early/On time",S303&lt;=2,"Minor (up to 2 days)",S303&lt;=5,"Moderate (2-5 days)",TRUE(),"Severe (over 5 days)")</f>
        <v>Moderate (2-5 days)</v>
      </c>
      <c r="Y303" s="0" t="str">
        <f aca="false">YEAR(K303)&amp;"-"&amp;TEXT(MONTH(K303),"00")</f>
        <v>2025-09</v>
      </c>
      <c r="Z303" s="0" t="str">
        <f aca="false">C303&amp;" → "&amp;D303</f>
        <v>Chennai → Surat</v>
      </c>
      <c r="AA303" s="0" t="str">
        <f aca="false">Raw!Q303</f>
        <v>VRL Cargo</v>
      </c>
      <c r="AB303" s="0" t="str">
        <f aca="false">Raw!R303</f>
        <v>No</v>
      </c>
      <c r="AC303" s="0" t="str">
        <f aca="false">Raw!S303</f>
        <v>Normal</v>
      </c>
      <c r="AD303" s="29" t="n">
        <f aca="false">Raw!N303</f>
        <v>6140.23</v>
      </c>
      <c r="AE303" s="29" t="n">
        <f aca="false">Raw!O303</f>
        <v>3618.6</v>
      </c>
      <c r="AF303" s="29" t="n">
        <f aca="false">Raw!P303</f>
        <v>651.6</v>
      </c>
      <c r="AG303" s="29" t="n">
        <f aca="false">AD303/J303</f>
        <v>699.342824601367</v>
      </c>
    </row>
    <row r="304" customFormat="false" ht="15" hidden="false" customHeight="false" outlineLevel="0" collapsed="false">
      <c r="A304" s="0" t="str">
        <f aca="false">Raw!A304</f>
        <v>SHP0303</v>
      </c>
      <c r="B304" s="0" t="str">
        <f aca="false">Raw!B304</f>
        <v>Inbound</v>
      </c>
      <c r="C304" s="0" t="str">
        <f aca="false">Raw!C304</f>
        <v>Uttar Pradesh</v>
      </c>
      <c r="D304" s="0" t="str">
        <f aca="false">Raw!D304</f>
        <v>Surat</v>
      </c>
      <c r="E304" s="0" t="str">
        <f aca="false">IFERROR(INDEX(Location_Map!$B$2:$B$15,MATCH(C304,Location_Map!$A$2:$A$15,0)),"UNMAPPED")</f>
        <v>Uttar Pradesh</v>
      </c>
      <c r="F304" s="0" t="str">
        <f aca="false">IFERROR(INDEX(Location_Map!$C$2:$C$15,MATCH(C304,Location_Map!$A$2:$A$15,0)),"UNMAPPED")</f>
        <v>North</v>
      </c>
      <c r="G304" s="0" t="str">
        <f aca="false">IFERROR(INDEX(Location_Map!$B$2:$B$15,MATCH(D304,Location_Map!$A$2:$A$15,0)),"UNMAPPED")</f>
        <v>Gujarat</v>
      </c>
      <c r="H304" s="0" t="str">
        <f aca="false">IFERROR(INDEX(Location_Map!$C$2:$C$15,MATCH(D304,Location_Map!$A$2:$A$15,0)),"UNMAPPED")</f>
        <v>West</v>
      </c>
      <c r="I304" s="0" t="str">
        <f aca="false">Raw!E304</f>
        <v>Semi-Processed Yarn</v>
      </c>
      <c r="J304" s="28" t="n">
        <f aca="false">Raw!F304</f>
        <v>17.64</v>
      </c>
      <c r="K304" s="30" t="n">
        <f aca="false">DATE(LEFT(Raw!G304,4),MID(Raw!G304,6,2),MID(Raw!G304,9,2))</f>
        <v>45819</v>
      </c>
      <c r="L304" s="30" t="n">
        <f aca="false">DATE(LEFT(Raw!H304,4),MID(Raw!H304,6,2),MID(Raw!H304,9,2))</f>
        <v>45821</v>
      </c>
      <c r="M304" s="30" t="n">
        <f aca="false">DATE(LEFT(Raw!I304,4),MID(Raw!I304,6,2),MID(Raw!I304,9,2))</f>
        <v>45827</v>
      </c>
      <c r="N304" s="31" t="n">
        <f aca="false">DATE(LEFT(Raw!J304,4),MID(Raw!J304,6,2),MID(Raw!J304,9,2))+TIME(MID(Raw!J304,12,2),MID(Raw!J304,15,2),MID(Raw!J304,18,2))</f>
        <v>45820.9583333333</v>
      </c>
      <c r="O304" s="31" t="n">
        <f aca="false">DATE(LEFT(Raw!K304,4),MID(Raw!K304,6,2),MID(Raw!K304,9,2))+TIME(MID(Raw!K304,12,2),MID(Raw!K304,15,2),MID(Raw!K304,18,2))</f>
        <v>45831.1</v>
      </c>
      <c r="P304" s="32" t="n">
        <f aca="false">L304-K304</f>
        <v>2</v>
      </c>
      <c r="Q304" s="32" t="n">
        <f aca="false">M304-L304</f>
        <v>6</v>
      </c>
      <c r="R304" s="32" t="n">
        <f aca="false">O304-N304</f>
        <v>10.1416666666667</v>
      </c>
      <c r="S304" s="32" t="n">
        <f aca="false">Raw!L304</f>
        <v>4.1</v>
      </c>
      <c r="T304" s="32" t="n">
        <f aca="false">O304-M304</f>
        <v>4.1</v>
      </c>
      <c r="U304" s="0" t="str">
        <f aca="false">IF(ABS(T304-S304)&lt;0.01,"OK","MISMATCH")</f>
        <v>OK</v>
      </c>
      <c r="V304" s="33" t="n">
        <f aca="false">Raw!M304</f>
        <v>1</v>
      </c>
      <c r="W304" s="0" t="str">
        <f aca="false">IF((S304&gt;0)=(V304=1),"OK","MISMATCH")</f>
        <v>OK</v>
      </c>
      <c r="X304" s="0" t="str">
        <f aca="false">_xlfn.IFS(S304&lt;=0,"Early/On time",S304&lt;=2,"Minor (up to 2 days)",S304&lt;=5,"Moderate (2-5 days)",TRUE(),"Severe (over 5 days)")</f>
        <v>Moderate (2-5 days)</v>
      </c>
      <c r="Y304" s="0" t="str">
        <f aca="false">YEAR(K304)&amp;"-"&amp;TEXT(MONTH(K304),"00")</f>
        <v>2025-06</v>
      </c>
      <c r="Z304" s="0" t="str">
        <f aca="false">C304&amp;" → "&amp;D304</f>
        <v>Uttar Pradesh → Surat</v>
      </c>
      <c r="AA304" s="0" t="str">
        <f aca="false">Raw!Q304</f>
        <v>TCI Express</v>
      </c>
      <c r="AB304" s="0" t="str">
        <f aca="false">Raw!R304</f>
        <v>Yes</v>
      </c>
      <c r="AC304" s="0" t="str">
        <f aca="false">Raw!S304</f>
        <v>Returned</v>
      </c>
      <c r="AD304" s="29" t="n">
        <f aca="false">Raw!N304</f>
        <v>7856.78</v>
      </c>
      <c r="AE304" s="29" t="n">
        <f aca="false">Raw!O304</f>
        <v>1814.31</v>
      </c>
      <c r="AF304" s="29" t="n">
        <f aca="false">Raw!P304</f>
        <v>510.09</v>
      </c>
      <c r="AG304" s="29" t="n">
        <f aca="false">AD304/J304</f>
        <v>445.395691609977</v>
      </c>
    </row>
    <row r="305" customFormat="false" ht="15" hidden="false" customHeight="false" outlineLevel="0" collapsed="false">
      <c r="A305" s="0" t="str">
        <f aca="false">Raw!A305</f>
        <v>SHP0304</v>
      </c>
      <c r="B305" s="0" t="str">
        <f aca="false">Raw!B305</f>
        <v>Outbound</v>
      </c>
      <c r="C305" s="0" t="str">
        <f aca="false">Raw!C305</f>
        <v>Surat</v>
      </c>
      <c r="D305" s="0" t="str">
        <f aca="false">Raw!D305</f>
        <v>Madhya Pradesh</v>
      </c>
      <c r="E305" s="0" t="str">
        <f aca="false">IFERROR(INDEX(Location_Map!$B$2:$B$15,MATCH(C305,Location_Map!$A$2:$A$15,0)),"UNMAPPED")</f>
        <v>Gujarat</v>
      </c>
      <c r="F305" s="0" t="str">
        <f aca="false">IFERROR(INDEX(Location_Map!$C$2:$C$15,MATCH(C305,Location_Map!$A$2:$A$15,0)),"UNMAPPED")</f>
        <v>West</v>
      </c>
      <c r="G305" s="0" t="str">
        <f aca="false">IFERROR(INDEX(Location_Map!$B$2:$B$15,MATCH(D305,Location_Map!$A$2:$A$15,0)),"UNMAPPED")</f>
        <v>Madhya Pradesh</v>
      </c>
      <c r="H305" s="0" t="str">
        <f aca="false">IFERROR(INDEX(Location_Map!$C$2:$C$15,MATCH(D305,Location_Map!$A$2:$A$15,0)),"UNMAPPED")</f>
        <v>Central</v>
      </c>
      <c r="I305" s="0" t="str">
        <f aca="false">Raw!E305</f>
        <v>Semi-Processed Yarn</v>
      </c>
      <c r="J305" s="28" t="n">
        <f aca="false">Raw!F305</f>
        <v>9.31</v>
      </c>
      <c r="K305" s="30" t="n">
        <f aca="false">DATE(LEFT(Raw!G305,4),MID(Raw!G305,6,2),MID(Raw!G305,9,2))</f>
        <v>45922</v>
      </c>
      <c r="L305" s="30" t="n">
        <f aca="false">DATE(LEFT(Raw!H305,4),MID(Raw!H305,6,2),MID(Raw!H305,9,2))</f>
        <v>45923</v>
      </c>
      <c r="M305" s="30" t="n">
        <f aca="false">DATE(LEFT(Raw!I305,4),MID(Raw!I305,6,2),MID(Raw!I305,9,2))</f>
        <v>45928</v>
      </c>
      <c r="N305" s="31" t="n">
        <f aca="false">DATE(LEFT(Raw!J305,4),MID(Raw!J305,6,2),MID(Raw!J305,9,2))+TIME(MID(Raw!J305,12,2),MID(Raw!J305,15,2),MID(Raw!J305,18,2))</f>
        <v>45923.25</v>
      </c>
      <c r="O305" s="31" t="n">
        <f aca="false">DATE(LEFT(Raw!K305,4),MID(Raw!K305,6,2),MID(Raw!K305,9,2))+TIME(MID(Raw!K305,12,2),MID(Raw!K305,15,2),MID(Raw!K305,18,2))</f>
        <v>45927</v>
      </c>
      <c r="P305" s="32" t="n">
        <f aca="false">L305-K305</f>
        <v>1</v>
      </c>
      <c r="Q305" s="32" t="n">
        <f aca="false">M305-L305</f>
        <v>5</v>
      </c>
      <c r="R305" s="32" t="n">
        <f aca="false">O305-N305</f>
        <v>3.75</v>
      </c>
      <c r="S305" s="32" t="n">
        <f aca="false">Raw!L305</f>
        <v>-1</v>
      </c>
      <c r="T305" s="32" t="n">
        <f aca="false">O305-M305</f>
        <v>-1</v>
      </c>
      <c r="U305" s="0" t="str">
        <f aca="false">IF(ABS(T305-S305)&lt;0.01,"OK","MISMATCH")</f>
        <v>OK</v>
      </c>
      <c r="V305" s="33" t="n">
        <f aca="false">Raw!M305</f>
        <v>0</v>
      </c>
      <c r="W305" s="0" t="str">
        <f aca="false">IF((S305&gt;0)=(V305=1),"OK","MISMATCH")</f>
        <v>OK</v>
      </c>
      <c r="X305" s="0" t="str">
        <f aca="false">_xlfn.IFS(S305&lt;=0,"Early/On time",S305&lt;=2,"Minor (up to 2 days)",S305&lt;=5,"Moderate (2-5 days)",TRUE(),"Severe (over 5 days)")</f>
        <v>Early/On time</v>
      </c>
      <c r="Y305" s="0" t="str">
        <f aca="false">YEAR(K305)&amp;"-"&amp;TEXT(MONTH(K305),"00")</f>
        <v>2025-09</v>
      </c>
      <c r="Z305" s="0" t="str">
        <f aca="false">C305&amp;" → "&amp;D305</f>
        <v>Surat → Madhya Pradesh</v>
      </c>
      <c r="AA305" s="0" t="str">
        <f aca="false">Raw!Q305</f>
        <v>TCI Express</v>
      </c>
      <c r="AB305" s="0" t="str">
        <f aca="false">Raw!R305</f>
        <v>No</v>
      </c>
      <c r="AC305" s="0" t="str">
        <f aca="false">Raw!S305</f>
        <v>Returned</v>
      </c>
      <c r="AD305" s="29" t="n">
        <f aca="false">Raw!N305</f>
        <v>4892</v>
      </c>
      <c r="AE305" s="29" t="n">
        <f aca="false">Raw!O305</f>
        <v>3562.54</v>
      </c>
      <c r="AF305" s="29" t="n">
        <f aca="false">Raw!P305</f>
        <v>915.94</v>
      </c>
      <c r="AG305" s="29" t="n">
        <f aca="false">AD305/J305</f>
        <v>525.456498388829</v>
      </c>
    </row>
    <row r="306" customFormat="false" ht="15" hidden="false" customHeight="false" outlineLevel="0" collapsed="false">
      <c r="A306" s="0" t="str">
        <f aca="false">Raw!A306</f>
        <v>SHP0305</v>
      </c>
      <c r="B306" s="0" t="str">
        <f aca="false">Raw!B306</f>
        <v>Inbound</v>
      </c>
      <c r="C306" s="0" t="str">
        <f aca="false">Raw!C306</f>
        <v>Rajasthan</v>
      </c>
      <c r="D306" s="0" t="str">
        <f aca="false">Raw!D306</f>
        <v>Surat</v>
      </c>
      <c r="E306" s="0" t="str">
        <f aca="false">IFERROR(INDEX(Location_Map!$B$2:$B$15,MATCH(C306,Location_Map!$A$2:$A$15,0)),"UNMAPPED")</f>
        <v>Rajasthan</v>
      </c>
      <c r="F306" s="0" t="str">
        <f aca="false">IFERROR(INDEX(Location_Map!$C$2:$C$15,MATCH(C306,Location_Map!$A$2:$A$15,0)),"UNMAPPED")</f>
        <v>North</v>
      </c>
      <c r="G306" s="0" t="str">
        <f aca="false">IFERROR(INDEX(Location_Map!$B$2:$B$15,MATCH(D306,Location_Map!$A$2:$A$15,0)),"UNMAPPED")</f>
        <v>Gujarat</v>
      </c>
      <c r="H306" s="0" t="str">
        <f aca="false">IFERROR(INDEX(Location_Map!$C$2:$C$15,MATCH(D306,Location_Map!$A$2:$A$15,0)),"UNMAPPED")</f>
        <v>West</v>
      </c>
      <c r="I306" s="0" t="str">
        <f aca="false">Raw!E306</f>
        <v>Finished Yarn</v>
      </c>
      <c r="J306" s="28" t="n">
        <f aca="false">Raw!F306</f>
        <v>15.42</v>
      </c>
      <c r="K306" s="30" t="n">
        <f aca="false">DATE(LEFT(Raw!G306,4),MID(Raw!G306,6,2),MID(Raw!G306,9,2))</f>
        <v>45840</v>
      </c>
      <c r="L306" s="30" t="n">
        <f aca="false">DATE(LEFT(Raw!H306,4),MID(Raw!H306,6,2),MID(Raw!H306,9,2))</f>
        <v>45844</v>
      </c>
      <c r="M306" s="30" t="n">
        <f aca="false">DATE(LEFT(Raw!I306,4),MID(Raw!I306,6,2),MID(Raw!I306,9,2))</f>
        <v>45850</v>
      </c>
      <c r="N306" s="31" t="n">
        <f aca="false">DATE(LEFT(Raw!J306,4),MID(Raw!J306,6,2),MID(Raw!J306,9,2))+TIME(MID(Raw!J306,12,2),MID(Raw!J306,15,2),MID(Raw!J306,18,2))</f>
        <v>45844.3333333333</v>
      </c>
      <c r="O306" s="31" t="n">
        <f aca="false">DATE(LEFT(Raw!K306,4),MID(Raw!K306,6,2),MID(Raw!K306,9,2))+TIME(MID(Raw!K306,12,2),MID(Raw!K306,15,2),MID(Raw!K306,18,2))</f>
        <v>45854.6</v>
      </c>
      <c r="P306" s="32" t="n">
        <f aca="false">L306-K306</f>
        <v>4</v>
      </c>
      <c r="Q306" s="32" t="n">
        <f aca="false">M306-L306</f>
        <v>6</v>
      </c>
      <c r="R306" s="32" t="n">
        <f aca="false">O306-N306</f>
        <v>10.2666666666667</v>
      </c>
      <c r="S306" s="32" t="n">
        <f aca="false">Raw!L306</f>
        <v>4.6</v>
      </c>
      <c r="T306" s="32" t="n">
        <f aca="false">O306-M306</f>
        <v>4.6</v>
      </c>
      <c r="U306" s="0" t="str">
        <f aca="false">IF(ABS(T306-S306)&lt;0.01,"OK","MISMATCH")</f>
        <v>OK</v>
      </c>
      <c r="V306" s="33" t="n">
        <f aca="false">Raw!M306</f>
        <v>1</v>
      </c>
      <c r="W306" s="0" t="str">
        <f aca="false">IF((S306&gt;0)=(V306=1),"OK","MISMATCH")</f>
        <v>OK</v>
      </c>
      <c r="X306" s="0" t="str">
        <f aca="false">_xlfn.IFS(S306&lt;=0,"Early/On time",S306&lt;=2,"Minor (up to 2 days)",S306&lt;=5,"Moderate (2-5 days)",TRUE(),"Severe (over 5 days)")</f>
        <v>Moderate (2-5 days)</v>
      </c>
      <c r="Y306" s="0" t="str">
        <f aca="false">YEAR(K306)&amp;"-"&amp;TEXT(MONTH(K306),"00")</f>
        <v>2025-07</v>
      </c>
      <c r="Z306" s="0" t="str">
        <f aca="false">C306&amp;" → "&amp;D306</f>
        <v>Rajasthan → Surat</v>
      </c>
      <c r="AA306" s="0" t="str">
        <f aca="false">Raw!Q306</f>
        <v>GATI Logistics</v>
      </c>
      <c r="AB306" s="0" t="str">
        <f aca="false">Raw!R306</f>
        <v>Yes</v>
      </c>
      <c r="AC306" s="0" t="str">
        <f aca="false">Raw!S306</f>
        <v>Held at warehouse</v>
      </c>
      <c r="AD306" s="29" t="n">
        <f aca="false">Raw!N306</f>
        <v>4831.22</v>
      </c>
      <c r="AE306" s="29" t="n">
        <f aca="false">Raw!O306</f>
        <v>4998.18</v>
      </c>
      <c r="AF306" s="29" t="n">
        <f aca="false">Raw!P306</f>
        <v>905.75</v>
      </c>
      <c r="AG306" s="29" t="n">
        <f aca="false">AD306/J306</f>
        <v>313.30869001297</v>
      </c>
    </row>
    <row r="307" customFormat="false" ht="15" hidden="false" customHeight="false" outlineLevel="0" collapsed="false">
      <c r="A307" s="0" t="str">
        <f aca="false">Raw!A307</f>
        <v>SHP0306</v>
      </c>
      <c r="B307" s="0" t="str">
        <f aca="false">Raw!B307</f>
        <v>Outbound</v>
      </c>
      <c r="C307" s="0" t="str">
        <f aca="false">Raw!C307</f>
        <v>Surat</v>
      </c>
      <c r="D307" s="0" t="str">
        <f aca="false">Raw!D307</f>
        <v>Jaipur</v>
      </c>
      <c r="E307" s="0" t="str">
        <f aca="false">IFERROR(INDEX(Location_Map!$B$2:$B$15,MATCH(C307,Location_Map!$A$2:$A$15,0)),"UNMAPPED")</f>
        <v>Gujarat</v>
      </c>
      <c r="F307" s="0" t="str">
        <f aca="false">IFERROR(INDEX(Location_Map!$C$2:$C$15,MATCH(C307,Location_Map!$A$2:$A$15,0)),"UNMAPPED")</f>
        <v>West</v>
      </c>
      <c r="G307" s="0" t="str">
        <f aca="false">IFERROR(INDEX(Location_Map!$B$2:$B$15,MATCH(D307,Location_Map!$A$2:$A$15,0)),"UNMAPPED")</f>
        <v>Rajasthan</v>
      </c>
      <c r="H307" s="0" t="str">
        <f aca="false">IFERROR(INDEX(Location_Map!$C$2:$C$15,MATCH(D307,Location_Map!$A$2:$A$15,0)),"UNMAPPED")</f>
        <v>North</v>
      </c>
      <c r="I307" s="0" t="str">
        <f aca="false">Raw!E307</f>
        <v>Semi-Processed Yarn</v>
      </c>
      <c r="J307" s="28" t="n">
        <f aca="false">Raw!F307</f>
        <v>5.19</v>
      </c>
      <c r="K307" s="30" t="n">
        <f aca="false">DATE(LEFT(Raw!G307,4),MID(Raw!G307,6,2),MID(Raw!G307,9,2))</f>
        <v>45886</v>
      </c>
      <c r="L307" s="30" t="n">
        <f aca="false">DATE(LEFT(Raw!H307,4),MID(Raw!H307,6,2),MID(Raw!H307,9,2))</f>
        <v>45889</v>
      </c>
      <c r="M307" s="30" t="n">
        <f aca="false">DATE(LEFT(Raw!I307,4),MID(Raw!I307,6,2),MID(Raw!I307,9,2))</f>
        <v>45891</v>
      </c>
      <c r="N307" s="31" t="n">
        <f aca="false">DATE(LEFT(Raw!J307,4),MID(Raw!J307,6,2),MID(Raw!J307,9,2))+TIME(MID(Raw!J307,12,2),MID(Raw!J307,15,2),MID(Raw!J307,18,2))</f>
        <v>45889.2083333333</v>
      </c>
      <c r="O307" s="31" t="n">
        <f aca="false">DATE(LEFT(Raw!K307,4),MID(Raw!K307,6,2),MID(Raw!K307,9,2))+TIME(MID(Raw!K307,12,2),MID(Raw!K307,15,2),MID(Raw!K307,18,2))</f>
        <v>45894.7</v>
      </c>
      <c r="P307" s="32" t="n">
        <f aca="false">L307-K307</f>
        <v>3</v>
      </c>
      <c r="Q307" s="32" t="n">
        <f aca="false">M307-L307</f>
        <v>2</v>
      </c>
      <c r="R307" s="32" t="n">
        <f aca="false">O307-N307</f>
        <v>5.49166666666667</v>
      </c>
      <c r="S307" s="32" t="n">
        <f aca="false">Raw!L307</f>
        <v>3.7</v>
      </c>
      <c r="T307" s="32" t="n">
        <f aca="false">O307-M307</f>
        <v>3.7</v>
      </c>
      <c r="U307" s="0" t="str">
        <f aca="false">IF(ABS(T307-S307)&lt;0.01,"OK","MISMATCH")</f>
        <v>OK</v>
      </c>
      <c r="V307" s="33" t="n">
        <f aca="false">Raw!M307</f>
        <v>1</v>
      </c>
      <c r="W307" s="0" t="str">
        <f aca="false">IF((S307&gt;0)=(V307=1),"OK","MISMATCH")</f>
        <v>OK</v>
      </c>
      <c r="X307" s="0" t="str">
        <f aca="false">_xlfn.IFS(S307&lt;=0,"Early/On time",S307&lt;=2,"Minor (up to 2 days)",S307&lt;=5,"Moderate (2-5 days)",TRUE(),"Severe (over 5 days)")</f>
        <v>Moderate (2-5 days)</v>
      </c>
      <c r="Y307" s="0" t="str">
        <f aca="false">YEAR(K307)&amp;"-"&amp;TEXT(MONTH(K307),"00")</f>
        <v>2025-08</v>
      </c>
      <c r="Z307" s="0" t="str">
        <f aca="false">C307&amp;" → "&amp;D307</f>
        <v>Surat → Jaipur</v>
      </c>
      <c r="AA307" s="0" t="str">
        <f aca="false">Raw!Q307</f>
        <v>Delhivery</v>
      </c>
      <c r="AB307" s="0" t="str">
        <f aca="false">Raw!R307</f>
        <v>No</v>
      </c>
      <c r="AC307" s="0" t="str">
        <f aca="false">Raw!S307</f>
        <v>Expedited</v>
      </c>
      <c r="AD307" s="29" t="n">
        <f aca="false">Raw!N307</f>
        <v>3562.6</v>
      </c>
      <c r="AE307" s="29" t="n">
        <f aca="false">Raw!O307</f>
        <v>1082.69</v>
      </c>
      <c r="AF307" s="29" t="n">
        <f aca="false">Raw!P307</f>
        <v>769.02</v>
      </c>
      <c r="AG307" s="29" t="n">
        <f aca="false">AD307/J307</f>
        <v>686.435452793834</v>
      </c>
    </row>
    <row r="308" customFormat="false" ht="15" hidden="false" customHeight="false" outlineLevel="0" collapsed="false">
      <c r="A308" s="0" t="str">
        <f aca="false">Raw!A308</f>
        <v>SHP0307</v>
      </c>
      <c r="B308" s="0" t="str">
        <f aca="false">Raw!B308</f>
        <v>Outbound</v>
      </c>
      <c r="C308" s="0" t="str">
        <f aca="false">Raw!C308</f>
        <v>Surat</v>
      </c>
      <c r="D308" s="0" t="str">
        <f aca="false">Raw!D308</f>
        <v>Uttarakhand</v>
      </c>
      <c r="E308" s="0" t="str">
        <f aca="false">IFERROR(INDEX(Location_Map!$B$2:$B$15,MATCH(C308,Location_Map!$A$2:$A$15,0)),"UNMAPPED")</f>
        <v>Gujarat</v>
      </c>
      <c r="F308" s="0" t="str">
        <f aca="false">IFERROR(INDEX(Location_Map!$C$2:$C$15,MATCH(C308,Location_Map!$A$2:$A$15,0)),"UNMAPPED")</f>
        <v>West</v>
      </c>
      <c r="G308" s="0" t="str">
        <f aca="false">IFERROR(INDEX(Location_Map!$B$2:$B$15,MATCH(D308,Location_Map!$A$2:$A$15,0)),"UNMAPPED")</f>
        <v>Uttarakhand</v>
      </c>
      <c r="H308" s="0" t="str">
        <f aca="false">IFERROR(INDEX(Location_Map!$C$2:$C$15,MATCH(D308,Location_Map!$A$2:$A$15,0)),"UNMAPPED")</f>
        <v>North</v>
      </c>
      <c r="I308" s="0" t="str">
        <f aca="false">Raw!E308</f>
        <v>Finished Yarn</v>
      </c>
      <c r="J308" s="28" t="n">
        <f aca="false">Raw!F308</f>
        <v>10.83</v>
      </c>
      <c r="K308" s="30" t="n">
        <f aca="false">DATE(LEFT(Raw!G308,4),MID(Raw!G308,6,2),MID(Raw!G308,9,2))</f>
        <v>45738</v>
      </c>
      <c r="L308" s="30" t="n">
        <f aca="false">DATE(LEFT(Raw!H308,4),MID(Raw!H308,6,2),MID(Raw!H308,9,2))</f>
        <v>45741</v>
      </c>
      <c r="M308" s="30" t="n">
        <f aca="false">DATE(LEFT(Raw!I308,4),MID(Raw!I308,6,2),MID(Raw!I308,9,2))</f>
        <v>45743</v>
      </c>
      <c r="N308" s="31" t="n">
        <f aca="false">DATE(LEFT(Raw!J308,4),MID(Raw!J308,6,2),MID(Raw!J308,9,2))+TIME(MID(Raw!J308,12,2),MID(Raw!J308,15,2),MID(Raw!J308,18,2))</f>
        <v>45741.375</v>
      </c>
      <c r="O308" s="31" t="n">
        <f aca="false">DATE(LEFT(Raw!K308,4),MID(Raw!K308,6,2),MID(Raw!K308,9,2))+TIME(MID(Raw!K308,12,2),MID(Raw!K308,15,2),MID(Raw!K308,18,2))</f>
        <v>45746.4</v>
      </c>
      <c r="P308" s="32" t="n">
        <f aca="false">L308-K308</f>
        <v>3</v>
      </c>
      <c r="Q308" s="32" t="n">
        <f aca="false">M308-L308</f>
        <v>2</v>
      </c>
      <c r="R308" s="32" t="n">
        <f aca="false">O308-N308</f>
        <v>5.025</v>
      </c>
      <c r="S308" s="32" t="n">
        <f aca="false">Raw!L308</f>
        <v>3.4</v>
      </c>
      <c r="T308" s="32" t="n">
        <f aca="false">O308-M308</f>
        <v>3.4</v>
      </c>
      <c r="U308" s="0" t="str">
        <f aca="false">IF(ABS(T308-S308)&lt;0.01,"OK","MISMATCH")</f>
        <v>OK</v>
      </c>
      <c r="V308" s="33" t="n">
        <f aca="false">Raw!M308</f>
        <v>1</v>
      </c>
      <c r="W308" s="0" t="str">
        <f aca="false">IF((S308&gt;0)=(V308=1),"OK","MISMATCH")</f>
        <v>OK</v>
      </c>
      <c r="X308" s="0" t="str">
        <f aca="false">_xlfn.IFS(S308&lt;=0,"Early/On time",S308&lt;=2,"Minor (up to 2 days)",S308&lt;=5,"Moderate (2-5 days)",TRUE(),"Severe (over 5 days)")</f>
        <v>Moderate (2-5 days)</v>
      </c>
      <c r="Y308" s="0" t="str">
        <f aca="false">YEAR(K308)&amp;"-"&amp;TEXT(MONTH(K308),"00")</f>
        <v>2025-03</v>
      </c>
      <c r="Z308" s="0" t="str">
        <f aca="false">C308&amp;" → "&amp;D308</f>
        <v>Surat → Uttarakhand</v>
      </c>
      <c r="AA308" s="0" t="str">
        <f aca="false">Raw!Q308</f>
        <v>Delhivery</v>
      </c>
      <c r="AB308" s="0" t="str">
        <f aca="false">Raw!R308</f>
        <v>Yes</v>
      </c>
      <c r="AC308" s="0" t="str">
        <f aca="false">Raw!S308</f>
        <v>Expedited</v>
      </c>
      <c r="AD308" s="29" t="n">
        <f aca="false">Raw!N308</f>
        <v>7305.08</v>
      </c>
      <c r="AE308" s="29" t="n">
        <f aca="false">Raw!O308</f>
        <v>1410.06</v>
      </c>
      <c r="AF308" s="29" t="n">
        <f aca="false">Raw!P308</f>
        <v>1013.85</v>
      </c>
      <c r="AG308" s="29" t="n">
        <f aca="false">AD308/J308</f>
        <v>674.522622345337</v>
      </c>
    </row>
    <row r="309" customFormat="false" ht="15" hidden="false" customHeight="false" outlineLevel="0" collapsed="false">
      <c r="A309" s="0" t="str">
        <f aca="false">Raw!A309</f>
        <v>SHP0308</v>
      </c>
      <c r="B309" s="0" t="str">
        <f aca="false">Raw!B309</f>
        <v>Inbound</v>
      </c>
      <c r="C309" s="0" t="str">
        <f aca="false">Raw!C309</f>
        <v>Gujarat</v>
      </c>
      <c r="D309" s="0" t="str">
        <f aca="false">Raw!D309</f>
        <v>Surat</v>
      </c>
      <c r="E309" s="0" t="str">
        <f aca="false">IFERROR(INDEX(Location_Map!$B$2:$B$15,MATCH(C309,Location_Map!$A$2:$A$15,0)),"UNMAPPED")</f>
        <v>Gujarat</v>
      </c>
      <c r="F309" s="0" t="str">
        <f aca="false">IFERROR(INDEX(Location_Map!$C$2:$C$15,MATCH(C309,Location_Map!$A$2:$A$15,0)),"UNMAPPED")</f>
        <v>West</v>
      </c>
      <c r="G309" s="0" t="str">
        <f aca="false">IFERROR(INDEX(Location_Map!$B$2:$B$15,MATCH(D309,Location_Map!$A$2:$A$15,0)),"UNMAPPED")</f>
        <v>Gujarat</v>
      </c>
      <c r="H309" s="0" t="str">
        <f aca="false">IFERROR(INDEX(Location_Map!$C$2:$C$15,MATCH(D309,Location_Map!$A$2:$A$15,0)),"UNMAPPED")</f>
        <v>West</v>
      </c>
      <c r="I309" s="0" t="str">
        <f aca="false">Raw!E309</f>
        <v>Raw Yarn</v>
      </c>
      <c r="J309" s="28" t="n">
        <f aca="false">Raw!F309</f>
        <v>10.67</v>
      </c>
      <c r="K309" s="30" t="n">
        <f aca="false">DATE(LEFT(Raw!G309,4),MID(Raw!G309,6,2),MID(Raw!G309,9,2))</f>
        <v>45768</v>
      </c>
      <c r="L309" s="30" t="n">
        <f aca="false">DATE(LEFT(Raw!H309,4),MID(Raw!H309,6,2),MID(Raw!H309,9,2))</f>
        <v>45772</v>
      </c>
      <c r="M309" s="30" t="n">
        <f aca="false">DATE(LEFT(Raw!I309,4),MID(Raw!I309,6,2),MID(Raw!I309,9,2))</f>
        <v>45775</v>
      </c>
      <c r="N309" s="31" t="n">
        <f aca="false">DATE(LEFT(Raw!J309,4),MID(Raw!J309,6,2),MID(Raw!J309,9,2))+TIME(MID(Raw!J309,12,2),MID(Raw!J309,15,2),MID(Raw!J309,18,2))</f>
        <v>45772.0833333333</v>
      </c>
      <c r="O309" s="31" t="n">
        <f aca="false">DATE(LEFT(Raw!K309,4),MID(Raw!K309,6,2),MID(Raw!K309,9,2))+TIME(MID(Raw!K309,12,2),MID(Raw!K309,15,2),MID(Raw!K309,18,2))</f>
        <v>45776.6</v>
      </c>
      <c r="P309" s="32" t="n">
        <f aca="false">L309-K309</f>
        <v>4</v>
      </c>
      <c r="Q309" s="32" t="n">
        <f aca="false">M309-L309</f>
        <v>3</v>
      </c>
      <c r="R309" s="32" t="n">
        <f aca="false">O309-N309</f>
        <v>4.51666666666667</v>
      </c>
      <c r="S309" s="32" t="n">
        <f aca="false">Raw!L309</f>
        <v>1.6</v>
      </c>
      <c r="T309" s="32" t="n">
        <f aca="false">O309-M309</f>
        <v>1.6</v>
      </c>
      <c r="U309" s="0" t="str">
        <f aca="false">IF(ABS(T309-S309)&lt;0.01,"OK","MISMATCH")</f>
        <v>OK</v>
      </c>
      <c r="V309" s="33" t="n">
        <f aca="false">Raw!M309</f>
        <v>1</v>
      </c>
      <c r="W309" s="0" t="str">
        <f aca="false">IF((S309&gt;0)=(V309=1),"OK","MISMATCH")</f>
        <v>OK</v>
      </c>
      <c r="X309" s="0" t="str">
        <f aca="false">_xlfn.IFS(S309&lt;=0,"Early/On time",S309&lt;=2,"Minor (up to 2 days)",S309&lt;=5,"Moderate (2-5 days)",TRUE(),"Severe (over 5 days)")</f>
        <v>Minor (up to 2 days)</v>
      </c>
      <c r="Y309" s="0" t="str">
        <f aca="false">YEAR(K309)&amp;"-"&amp;TEXT(MONTH(K309),"00")</f>
        <v>2025-04</v>
      </c>
      <c r="Z309" s="0" t="str">
        <f aca="false">C309&amp;" → "&amp;D309</f>
        <v>Gujarat → Surat</v>
      </c>
      <c r="AA309" s="0" t="str">
        <f aca="false">Raw!Q309</f>
        <v>Delhivery</v>
      </c>
      <c r="AB309" s="0" t="str">
        <f aca="false">Raw!R309</f>
        <v>Yes</v>
      </c>
      <c r="AC309" s="0" t="str">
        <f aca="false">Raw!S309</f>
        <v>Held at warehouse</v>
      </c>
      <c r="AD309" s="29" t="n">
        <f aca="false">Raw!N309</f>
        <v>3223.82</v>
      </c>
      <c r="AE309" s="29" t="n">
        <f aca="false">Raw!O309</f>
        <v>4214.07</v>
      </c>
      <c r="AF309" s="29" t="n">
        <f aca="false">Raw!P309</f>
        <v>622.03</v>
      </c>
      <c r="AG309" s="29" t="n">
        <f aca="false">AD309/J309</f>
        <v>302.138706654171</v>
      </c>
    </row>
    <row r="310" customFormat="false" ht="15" hidden="false" customHeight="false" outlineLevel="0" collapsed="false">
      <c r="A310" s="0" t="str">
        <f aca="false">Raw!A310</f>
        <v>SHP0309</v>
      </c>
      <c r="B310" s="0" t="str">
        <f aca="false">Raw!B310</f>
        <v>Inbound</v>
      </c>
      <c r="C310" s="0" t="str">
        <f aca="false">Raw!C310</f>
        <v>Punjab</v>
      </c>
      <c r="D310" s="0" t="str">
        <f aca="false">Raw!D310</f>
        <v>Surat</v>
      </c>
      <c r="E310" s="0" t="str">
        <f aca="false">IFERROR(INDEX(Location_Map!$B$2:$B$15,MATCH(C310,Location_Map!$A$2:$A$15,0)),"UNMAPPED")</f>
        <v>Punjab</v>
      </c>
      <c r="F310" s="0" t="str">
        <f aca="false">IFERROR(INDEX(Location_Map!$C$2:$C$15,MATCH(C310,Location_Map!$A$2:$A$15,0)),"UNMAPPED")</f>
        <v>North</v>
      </c>
      <c r="G310" s="0" t="str">
        <f aca="false">IFERROR(INDEX(Location_Map!$B$2:$B$15,MATCH(D310,Location_Map!$A$2:$A$15,0)),"UNMAPPED")</f>
        <v>Gujarat</v>
      </c>
      <c r="H310" s="0" t="str">
        <f aca="false">IFERROR(INDEX(Location_Map!$C$2:$C$15,MATCH(D310,Location_Map!$A$2:$A$15,0)),"UNMAPPED")</f>
        <v>West</v>
      </c>
      <c r="I310" s="0" t="str">
        <f aca="false">Raw!E310</f>
        <v>Finished Yarn</v>
      </c>
      <c r="J310" s="28" t="n">
        <f aca="false">Raw!F310</f>
        <v>3.38</v>
      </c>
      <c r="K310" s="30" t="n">
        <f aca="false">DATE(LEFT(Raw!G310,4),MID(Raw!G310,6,2),MID(Raw!G310,9,2))</f>
        <v>45913</v>
      </c>
      <c r="L310" s="30" t="n">
        <f aca="false">DATE(LEFT(Raw!H310,4),MID(Raw!H310,6,2),MID(Raw!H310,9,2))</f>
        <v>45915</v>
      </c>
      <c r="M310" s="30" t="n">
        <f aca="false">DATE(LEFT(Raw!I310,4),MID(Raw!I310,6,2),MID(Raw!I310,9,2))</f>
        <v>45918</v>
      </c>
      <c r="N310" s="31" t="n">
        <f aca="false">DATE(LEFT(Raw!J310,4),MID(Raw!J310,6,2),MID(Raw!J310,9,2))+TIME(MID(Raw!J310,12,2),MID(Raw!J310,15,2),MID(Raw!J310,18,2))</f>
        <v>45915.2916666667</v>
      </c>
      <c r="O310" s="31" t="n">
        <f aca="false">DATE(LEFT(Raw!K310,4),MID(Raw!K310,6,2),MID(Raw!K310,9,2))+TIME(MID(Raw!K310,12,2),MID(Raw!K310,15,2),MID(Raw!K310,18,2))</f>
        <v>45918.4</v>
      </c>
      <c r="P310" s="32" t="n">
        <f aca="false">L310-K310</f>
        <v>2</v>
      </c>
      <c r="Q310" s="32" t="n">
        <f aca="false">M310-L310</f>
        <v>3</v>
      </c>
      <c r="R310" s="32" t="n">
        <f aca="false">O310-N310</f>
        <v>3.10833333333333</v>
      </c>
      <c r="S310" s="32" t="n">
        <f aca="false">Raw!L310</f>
        <v>0.4</v>
      </c>
      <c r="T310" s="32" t="n">
        <f aca="false">O310-M310</f>
        <v>0.4</v>
      </c>
      <c r="U310" s="0" t="str">
        <f aca="false">IF(ABS(T310-S310)&lt;0.01,"OK","MISMATCH")</f>
        <v>OK</v>
      </c>
      <c r="V310" s="33" t="n">
        <f aca="false">Raw!M310</f>
        <v>1</v>
      </c>
      <c r="W310" s="0" t="str">
        <f aca="false">IF((S310&gt;0)=(V310=1),"OK","MISMATCH")</f>
        <v>OK</v>
      </c>
      <c r="X310" s="0" t="str">
        <f aca="false">_xlfn.IFS(S310&lt;=0,"Early/On time",S310&lt;=2,"Minor (up to 2 days)",S310&lt;=5,"Moderate (2-5 days)",TRUE(),"Severe (over 5 days)")</f>
        <v>Minor (up to 2 days)</v>
      </c>
      <c r="Y310" s="0" t="str">
        <f aca="false">YEAR(K310)&amp;"-"&amp;TEXT(MONTH(K310),"00")</f>
        <v>2025-09</v>
      </c>
      <c r="Z310" s="0" t="str">
        <f aca="false">C310&amp;" → "&amp;D310</f>
        <v>Punjab → Surat</v>
      </c>
      <c r="AA310" s="0" t="str">
        <f aca="false">Raw!Q310</f>
        <v>VRL Cargo</v>
      </c>
      <c r="AB310" s="0" t="str">
        <f aca="false">Raw!R310</f>
        <v>No</v>
      </c>
      <c r="AC310" s="0" t="str">
        <f aca="false">Raw!S310</f>
        <v>Returned</v>
      </c>
      <c r="AD310" s="29" t="n">
        <f aca="false">Raw!N310</f>
        <v>2395</v>
      </c>
      <c r="AE310" s="29" t="n">
        <f aca="false">Raw!O310</f>
        <v>1629.31</v>
      </c>
      <c r="AF310" s="29" t="n">
        <f aca="false">Raw!P310</f>
        <v>618.87</v>
      </c>
      <c r="AG310" s="29" t="n">
        <f aca="false">AD310/J310</f>
        <v>708.579881656805</v>
      </c>
    </row>
    <row r="311" customFormat="false" ht="15" hidden="false" customHeight="false" outlineLevel="0" collapsed="false">
      <c r="A311" s="0" t="str">
        <f aca="false">Raw!A311</f>
        <v>SHP0310</v>
      </c>
      <c r="B311" s="0" t="str">
        <f aca="false">Raw!B311</f>
        <v>Outbound</v>
      </c>
      <c r="C311" s="0" t="str">
        <f aca="false">Raw!C311</f>
        <v>Surat</v>
      </c>
      <c r="D311" s="0" t="str">
        <f aca="false">Raw!D311</f>
        <v>Madhya Pradesh</v>
      </c>
      <c r="E311" s="0" t="str">
        <f aca="false">IFERROR(INDEX(Location_Map!$B$2:$B$15,MATCH(C311,Location_Map!$A$2:$A$15,0)),"UNMAPPED")</f>
        <v>Gujarat</v>
      </c>
      <c r="F311" s="0" t="str">
        <f aca="false">IFERROR(INDEX(Location_Map!$C$2:$C$15,MATCH(C311,Location_Map!$A$2:$A$15,0)),"UNMAPPED")</f>
        <v>West</v>
      </c>
      <c r="G311" s="0" t="str">
        <f aca="false">IFERROR(INDEX(Location_Map!$B$2:$B$15,MATCH(D311,Location_Map!$A$2:$A$15,0)),"UNMAPPED")</f>
        <v>Madhya Pradesh</v>
      </c>
      <c r="H311" s="0" t="str">
        <f aca="false">IFERROR(INDEX(Location_Map!$C$2:$C$15,MATCH(D311,Location_Map!$A$2:$A$15,0)),"UNMAPPED")</f>
        <v>Central</v>
      </c>
      <c r="I311" s="0" t="str">
        <f aca="false">Raw!E311</f>
        <v>Semi-Processed Yarn</v>
      </c>
      <c r="J311" s="28" t="n">
        <f aca="false">Raw!F311</f>
        <v>15.53</v>
      </c>
      <c r="K311" s="30" t="n">
        <f aca="false">DATE(LEFT(Raw!G311,4),MID(Raw!G311,6,2),MID(Raw!G311,9,2))</f>
        <v>45859</v>
      </c>
      <c r="L311" s="30" t="n">
        <f aca="false">DATE(LEFT(Raw!H311,4),MID(Raw!H311,6,2),MID(Raw!H311,9,2))</f>
        <v>45861</v>
      </c>
      <c r="M311" s="30" t="n">
        <f aca="false">DATE(LEFT(Raw!I311,4),MID(Raw!I311,6,2),MID(Raw!I311,9,2))</f>
        <v>45863</v>
      </c>
      <c r="N311" s="31" t="n">
        <f aca="false">DATE(LEFT(Raw!J311,4),MID(Raw!J311,6,2),MID(Raw!J311,9,2))+TIME(MID(Raw!J311,12,2),MID(Raw!J311,15,2),MID(Raw!J311,18,2))</f>
        <v>45860.7916666667</v>
      </c>
      <c r="O311" s="31" t="n">
        <f aca="false">DATE(LEFT(Raw!K311,4),MID(Raw!K311,6,2),MID(Raw!K311,9,2))+TIME(MID(Raw!K311,12,2),MID(Raw!K311,15,2),MID(Raw!K311,18,2))</f>
        <v>45866.6</v>
      </c>
      <c r="P311" s="32" t="n">
        <f aca="false">L311-K311</f>
        <v>2</v>
      </c>
      <c r="Q311" s="32" t="n">
        <f aca="false">M311-L311</f>
        <v>2</v>
      </c>
      <c r="R311" s="32" t="n">
        <f aca="false">O311-N311</f>
        <v>5.80833333333333</v>
      </c>
      <c r="S311" s="32" t="n">
        <f aca="false">Raw!L311</f>
        <v>3.6</v>
      </c>
      <c r="T311" s="32" t="n">
        <f aca="false">O311-M311</f>
        <v>3.6</v>
      </c>
      <c r="U311" s="0" t="str">
        <f aca="false">IF(ABS(T311-S311)&lt;0.01,"OK","MISMATCH")</f>
        <v>OK</v>
      </c>
      <c r="V311" s="33" t="n">
        <f aca="false">Raw!M311</f>
        <v>1</v>
      </c>
      <c r="W311" s="0" t="str">
        <f aca="false">IF((S311&gt;0)=(V311=1),"OK","MISMATCH")</f>
        <v>OK</v>
      </c>
      <c r="X311" s="0" t="str">
        <f aca="false">_xlfn.IFS(S311&lt;=0,"Early/On time",S311&lt;=2,"Minor (up to 2 days)",S311&lt;=5,"Moderate (2-5 days)",TRUE(),"Severe (over 5 days)")</f>
        <v>Moderate (2-5 days)</v>
      </c>
      <c r="Y311" s="0" t="str">
        <f aca="false">YEAR(K311)&amp;"-"&amp;TEXT(MONTH(K311),"00")</f>
        <v>2025-07</v>
      </c>
      <c r="Z311" s="0" t="str">
        <f aca="false">C311&amp;" → "&amp;D311</f>
        <v>Surat → Madhya Pradesh</v>
      </c>
      <c r="AA311" s="0" t="str">
        <f aca="false">Raw!Q311</f>
        <v>VRL Cargo</v>
      </c>
      <c r="AB311" s="0" t="str">
        <f aca="false">Raw!R311</f>
        <v>No</v>
      </c>
      <c r="AC311" s="0" t="str">
        <f aca="false">Raw!S311</f>
        <v>Expedited</v>
      </c>
      <c r="AD311" s="29" t="n">
        <f aca="false">Raw!N311</f>
        <v>5373.99</v>
      </c>
      <c r="AE311" s="29" t="n">
        <f aca="false">Raw!O311</f>
        <v>4144.82</v>
      </c>
      <c r="AF311" s="29" t="n">
        <f aca="false">Raw!P311</f>
        <v>1234.44</v>
      </c>
      <c r="AG311" s="29" t="n">
        <f aca="false">AD311/J311</f>
        <v>346.039278815196</v>
      </c>
    </row>
    <row r="312" customFormat="false" ht="15" hidden="false" customHeight="false" outlineLevel="0" collapsed="false">
      <c r="A312" s="0" t="str">
        <f aca="false">Raw!A312</f>
        <v>SHP0311</v>
      </c>
      <c r="B312" s="0" t="str">
        <f aca="false">Raw!B312</f>
        <v>Outbound</v>
      </c>
      <c r="C312" s="0" t="str">
        <f aca="false">Raw!C312</f>
        <v>Surat</v>
      </c>
      <c r="D312" s="0" t="str">
        <f aca="false">Raw!D312</f>
        <v>Uttarakhand</v>
      </c>
      <c r="E312" s="0" t="str">
        <f aca="false">IFERROR(INDEX(Location_Map!$B$2:$B$15,MATCH(C312,Location_Map!$A$2:$A$15,0)),"UNMAPPED")</f>
        <v>Gujarat</v>
      </c>
      <c r="F312" s="0" t="str">
        <f aca="false">IFERROR(INDEX(Location_Map!$C$2:$C$15,MATCH(C312,Location_Map!$A$2:$A$15,0)),"UNMAPPED")</f>
        <v>West</v>
      </c>
      <c r="G312" s="0" t="str">
        <f aca="false">IFERROR(INDEX(Location_Map!$B$2:$B$15,MATCH(D312,Location_Map!$A$2:$A$15,0)),"UNMAPPED")</f>
        <v>Uttarakhand</v>
      </c>
      <c r="H312" s="0" t="str">
        <f aca="false">IFERROR(INDEX(Location_Map!$C$2:$C$15,MATCH(D312,Location_Map!$A$2:$A$15,0)),"UNMAPPED")</f>
        <v>North</v>
      </c>
      <c r="I312" s="0" t="str">
        <f aca="false">Raw!E312</f>
        <v>Raw Yarn</v>
      </c>
      <c r="J312" s="28" t="n">
        <f aca="false">Raw!F312</f>
        <v>8.3</v>
      </c>
      <c r="K312" s="30" t="n">
        <f aca="false">DATE(LEFT(Raw!G312,4),MID(Raw!G312,6,2),MID(Raw!G312,9,2))</f>
        <v>45665</v>
      </c>
      <c r="L312" s="30" t="n">
        <f aca="false">DATE(LEFT(Raw!H312,4),MID(Raw!H312,6,2),MID(Raw!H312,9,2))</f>
        <v>45669</v>
      </c>
      <c r="M312" s="30" t="n">
        <f aca="false">DATE(LEFT(Raw!I312,4),MID(Raw!I312,6,2),MID(Raw!I312,9,2))</f>
        <v>45672</v>
      </c>
      <c r="N312" s="31" t="n">
        <f aca="false">DATE(LEFT(Raw!J312,4),MID(Raw!J312,6,2),MID(Raw!J312,9,2))+TIME(MID(Raw!J312,12,2),MID(Raw!J312,15,2),MID(Raw!J312,18,2))</f>
        <v>45669.0416666667</v>
      </c>
      <c r="O312" s="31" t="n">
        <f aca="false">DATE(LEFT(Raw!K312,4),MID(Raw!K312,6,2),MID(Raw!K312,9,2))+TIME(MID(Raw!K312,12,2),MID(Raw!K312,15,2),MID(Raw!K312,18,2))</f>
        <v>45677.2</v>
      </c>
      <c r="P312" s="32" t="n">
        <f aca="false">L312-K312</f>
        <v>4</v>
      </c>
      <c r="Q312" s="32" t="n">
        <f aca="false">M312-L312</f>
        <v>3</v>
      </c>
      <c r="R312" s="32" t="n">
        <f aca="false">O312-N312</f>
        <v>8.15833333333333</v>
      </c>
      <c r="S312" s="32" t="n">
        <f aca="false">Raw!L312</f>
        <v>5.2</v>
      </c>
      <c r="T312" s="32" t="n">
        <f aca="false">O312-M312</f>
        <v>5.2</v>
      </c>
      <c r="U312" s="0" t="str">
        <f aca="false">IF(ABS(T312-S312)&lt;0.01,"OK","MISMATCH")</f>
        <v>OK</v>
      </c>
      <c r="V312" s="33" t="n">
        <f aca="false">Raw!M312</f>
        <v>1</v>
      </c>
      <c r="W312" s="0" t="str">
        <f aca="false">IF((S312&gt;0)=(V312=1),"OK","MISMATCH")</f>
        <v>OK</v>
      </c>
      <c r="X312" s="0" t="str">
        <f aca="false">_xlfn.IFS(S312&lt;=0,"Early/On time",S312&lt;=2,"Minor (up to 2 days)",S312&lt;=5,"Moderate (2-5 days)",TRUE(),"Severe (over 5 days)")</f>
        <v>Severe (over 5 days)</v>
      </c>
      <c r="Y312" s="0" t="str">
        <f aca="false">YEAR(K312)&amp;"-"&amp;TEXT(MONTH(K312),"00")</f>
        <v>2025-01</v>
      </c>
      <c r="Z312" s="0" t="str">
        <f aca="false">C312&amp;" → "&amp;D312</f>
        <v>Surat → Uttarakhand</v>
      </c>
      <c r="AA312" s="0" t="str">
        <f aca="false">Raw!Q312</f>
        <v>Delhivery</v>
      </c>
      <c r="AB312" s="0" t="str">
        <f aca="false">Raw!R312</f>
        <v>Yes</v>
      </c>
      <c r="AC312" s="0" t="str">
        <f aca="false">Raw!S312</f>
        <v>Returned</v>
      </c>
      <c r="AD312" s="29" t="n">
        <f aca="false">Raw!N312</f>
        <v>4197.22</v>
      </c>
      <c r="AE312" s="29" t="n">
        <f aca="false">Raw!O312</f>
        <v>4268.51</v>
      </c>
      <c r="AF312" s="29" t="n">
        <f aca="false">Raw!P312</f>
        <v>1046.43</v>
      </c>
      <c r="AG312" s="29" t="n">
        <f aca="false">AD312/J312</f>
        <v>505.689156626506</v>
      </c>
    </row>
    <row r="313" customFormat="false" ht="15" hidden="false" customHeight="false" outlineLevel="0" collapsed="false">
      <c r="A313" s="0" t="str">
        <f aca="false">Raw!A313</f>
        <v>SHP0312</v>
      </c>
      <c r="B313" s="0" t="str">
        <f aca="false">Raw!B313</f>
        <v>Outbound</v>
      </c>
      <c r="C313" s="0" t="str">
        <f aca="false">Raw!C313</f>
        <v>Surat</v>
      </c>
      <c r="D313" s="0" t="str">
        <f aca="false">Raw!D313</f>
        <v>Assam</v>
      </c>
      <c r="E313" s="0" t="str">
        <f aca="false">IFERROR(INDEX(Location_Map!$B$2:$B$15,MATCH(C313,Location_Map!$A$2:$A$15,0)),"UNMAPPED")</f>
        <v>Gujarat</v>
      </c>
      <c r="F313" s="0" t="str">
        <f aca="false">IFERROR(INDEX(Location_Map!$C$2:$C$15,MATCH(C313,Location_Map!$A$2:$A$15,0)),"UNMAPPED")</f>
        <v>West</v>
      </c>
      <c r="G313" s="0" t="str">
        <f aca="false">IFERROR(INDEX(Location_Map!$B$2:$B$15,MATCH(D313,Location_Map!$A$2:$A$15,0)),"UNMAPPED")</f>
        <v>Assam</v>
      </c>
      <c r="H313" s="0" t="str">
        <f aca="false">IFERROR(INDEX(Location_Map!$C$2:$C$15,MATCH(D313,Location_Map!$A$2:$A$15,0)),"UNMAPPED")</f>
        <v>North-East</v>
      </c>
      <c r="I313" s="0" t="str">
        <f aca="false">Raw!E313</f>
        <v>Raw Yarn</v>
      </c>
      <c r="J313" s="28" t="n">
        <f aca="false">Raw!F313</f>
        <v>19.37</v>
      </c>
      <c r="K313" s="30" t="n">
        <f aca="false">DATE(LEFT(Raw!G313,4),MID(Raw!G313,6,2),MID(Raw!G313,9,2))</f>
        <v>45673</v>
      </c>
      <c r="L313" s="30" t="n">
        <f aca="false">DATE(LEFT(Raw!H313,4),MID(Raw!H313,6,2),MID(Raw!H313,9,2))</f>
        <v>45676</v>
      </c>
      <c r="M313" s="30" t="n">
        <f aca="false">DATE(LEFT(Raw!I313,4),MID(Raw!I313,6,2),MID(Raw!I313,9,2))</f>
        <v>45680</v>
      </c>
      <c r="N313" s="31" t="n">
        <f aca="false">DATE(LEFT(Raw!J313,4),MID(Raw!J313,6,2),MID(Raw!J313,9,2))+TIME(MID(Raw!J313,12,2),MID(Raw!J313,15,2),MID(Raw!J313,18,2))</f>
        <v>45676</v>
      </c>
      <c r="O313" s="31" t="n">
        <f aca="false">DATE(LEFT(Raw!K313,4),MID(Raw!K313,6,2),MID(Raw!K313,9,2))+TIME(MID(Raw!K313,12,2),MID(Raw!K313,15,2),MID(Raw!K313,18,2))</f>
        <v>45683.1</v>
      </c>
      <c r="P313" s="32" t="n">
        <f aca="false">L313-K313</f>
        <v>3</v>
      </c>
      <c r="Q313" s="32" t="n">
        <f aca="false">M313-L313</f>
        <v>4</v>
      </c>
      <c r="R313" s="32" t="n">
        <f aca="false">O313-N313</f>
        <v>7.1</v>
      </c>
      <c r="S313" s="32" t="n">
        <f aca="false">Raw!L313</f>
        <v>3.1</v>
      </c>
      <c r="T313" s="32" t="n">
        <f aca="false">O313-M313</f>
        <v>3.1</v>
      </c>
      <c r="U313" s="0" t="str">
        <f aca="false">IF(ABS(T313-S313)&lt;0.01,"OK","MISMATCH")</f>
        <v>OK</v>
      </c>
      <c r="V313" s="33" t="n">
        <f aca="false">Raw!M313</f>
        <v>1</v>
      </c>
      <c r="W313" s="0" t="str">
        <f aca="false">IF((S313&gt;0)=(V313=1),"OK","MISMATCH")</f>
        <v>OK</v>
      </c>
      <c r="X313" s="0" t="str">
        <f aca="false">_xlfn.IFS(S313&lt;=0,"Early/On time",S313&lt;=2,"Minor (up to 2 days)",S313&lt;=5,"Moderate (2-5 days)",TRUE(),"Severe (over 5 days)")</f>
        <v>Moderate (2-5 days)</v>
      </c>
      <c r="Y313" s="0" t="str">
        <f aca="false">YEAR(K313)&amp;"-"&amp;TEXT(MONTH(K313),"00")</f>
        <v>2025-01</v>
      </c>
      <c r="Z313" s="0" t="str">
        <f aca="false">C313&amp;" → "&amp;D313</f>
        <v>Surat → Assam</v>
      </c>
      <c r="AA313" s="0" t="str">
        <f aca="false">Raw!Q313</f>
        <v>Delhivery</v>
      </c>
      <c r="AB313" s="0" t="str">
        <f aca="false">Raw!R313</f>
        <v>No</v>
      </c>
      <c r="AC313" s="0" t="str">
        <f aca="false">Raw!S313</f>
        <v>Returned</v>
      </c>
      <c r="AD313" s="29" t="n">
        <f aca="false">Raw!N313</f>
        <v>8193.98</v>
      </c>
      <c r="AE313" s="29" t="n">
        <f aca="false">Raw!O313</f>
        <v>3857.64</v>
      </c>
      <c r="AF313" s="29" t="n">
        <f aca="false">Raw!P313</f>
        <v>1452.47</v>
      </c>
      <c r="AG313" s="29" t="n">
        <f aca="false">AD313/J313</f>
        <v>423.024264326278</v>
      </c>
    </row>
    <row r="314" customFormat="false" ht="15" hidden="false" customHeight="false" outlineLevel="0" collapsed="false">
      <c r="A314" s="0" t="str">
        <f aca="false">Raw!A314</f>
        <v>SHP0313</v>
      </c>
      <c r="B314" s="0" t="str">
        <f aca="false">Raw!B314</f>
        <v>Inbound</v>
      </c>
      <c r="C314" s="0" t="str">
        <f aca="false">Raw!C314</f>
        <v>Gujarat</v>
      </c>
      <c r="D314" s="0" t="str">
        <f aca="false">Raw!D314</f>
        <v>Surat</v>
      </c>
      <c r="E314" s="0" t="str">
        <f aca="false">IFERROR(INDEX(Location_Map!$B$2:$B$15,MATCH(C314,Location_Map!$A$2:$A$15,0)),"UNMAPPED")</f>
        <v>Gujarat</v>
      </c>
      <c r="F314" s="0" t="str">
        <f aca="false">IFERROR(INDEX(Location_Map!$C$2:$C$15,MATCH(C314,Location_Map!$A$2:$A$15,0)),"UNMAPPED")</f>
        <v>West</v>
      </c>
      <c r="G314" s="0" t="str">
        <f aca="false">IFERROR(INDEX(Location_Map!$B$2:$B$15,MATCH(D314,Location_Map!$A$2:$A$15,0)),"UNMAPPED")</f>
        <v>Gujarat</v>
      </c>
      <c r="H314" s="0" t="str">
        <f aca="false">IFERROR(INDEX(Location_Map!$C$2:$C$15,MATCH(D314,Location_Map!$A$2:$A$15,0)),"UNMAPPED")</f>
        <v>West</v>
      </c>
      <c r="I314" s="0" t="str">
        <f aca="false">Raw!E314</f>
        <v>Raw Yarn</v>
      </c>
      <c r="J314" s="28" t="n">
        <f aca="false">Raw!F314</f>
        <v>5.31</v>
      </c>
      <c r="K314" s="30" t="n">
        <f aca="false">DATE(LEFT(Raw!G314,4),MID(Raw!G314,6,2),MID(Raw!G314,9,2))</f>
        <v>45921</v>
      </c>
      <c r="L314" s="30" t="n">
        <f aca="false">DATE(LEFT(Raw!H314,4),MID(Raw!H314,6,2),MID(Raw!H314,9,2))</f>
        <v>45925</v>
      </c>
      <c r="M314" s="30" t="n">
        <f aca="false">DATE(LEFT(Raw!I314,4),MID(Raw!I314,6,2),MID(Raw!I314,9,2))</f>
        <v>45930</v>
      </c>
      <c r="N314" s="31" t="n">
        <f aca="false">DATE(LEFT(Raw!J314,4),MID(Raw!J314,6,2),MID(Raw!J314,9,2))+TIME(MID(Raw!J314,12,2),MID(Raw!J314,15,2),MID(Raw!J314,18,2))</f>
        <v>45925</v>
      </c>
      <c r="O314" s="31" t="n">
        <f aca="false">DATE(LEFT(Raw!K314,4),MID(Raw!K314,6,2),MID(Raw!K314,9,2))+TIME(MID(Raw!K314,12,2),MID(Raw!K314,15,2),MID(Raw!K314,18,2))</f>
        <v>45929</v>
      </c>
      <c r="P314" s="32" t="n">
        <f aca="false">L314-K314</f>
        <v>4</v>
      </c>
      <c r="Q314" s="32" t="n">
        <f aca="false">M314-L314</f>
        <v>5</v>
      </c>
      <c r="R314" s="32" t="n">
        <f aca="false">O314-N314</f>
        <v>4</v>
      </c>
      <c r="S314" s="32" t="n">
        <f aca="false">Raw!L314</f>
        <v>-1</v>
      </c>
      <c r="T314" s="32" t="n">
        <f aca="false">O314-M314</f>
        <v>-1</v>
      </c>
      <c r="U314" s="0" t="str">
        <f aca="false">IF(ABS(T314-S314)&lt;0.01,"OK","MISMATCH")</f>
        <v>OK</v>
      </c>
      <c r="V314" s="33" t="n">
        <f aca="false">Raw!M314</f>
        <v>0</v>
      </c>
      <c r="W314" s="0" t="str">
        <f aca="false">IF((S314&gt;0)=(V314=1),"OK","MISMATCH")</f>
        <v>OK</v>
      </c>
      <c r="X314" s="0" t="str">
        <f aca="false">_xlfn.IFS(S314&lt;=0,"Early/On time",S314&lt;=2,"Minor (up to 2 days)",S314&lt;=5,"Moderate (2-5 days)",TRUE(),"Severe (over 5 days)")</f>
        <v>Early/On time</v>
      </c>
      <c r="Y314" s="0" t="str">
        <f aca="false">YEAR(K314)&amp;"-"&amp;TEXT(MONTH(K314),"00")</f>
        <v>2025-09</v>
      </c>
      <c r="Z314" s="0" t="str">
        <f aca="false">C314&amp;" → "&amp;D314</f>
        <v>Gujarat → Surat</v>
      </c>
      <c r="AA314" s="0" t="str">
        <f aca="false">Raw!Q314</f>
        <v>GATI Logistics</v>
      </c>
      <c r="AB314" s="0" t="str">
        <f aca="false">Raw!R314</f>
        <v>No</v>
      </c>
      <c r="AC314" s="0" t="str">
        <f aca="false">Raw!S314</f>
        <v>Expedited</v>
      </c>
      <c r="AD314" s="29" t="n">
        <f aca="false">Raw!N314</f>
        <v>4254.44</v>
      </c>
      <c r="AE314" s="29" t="n">
        <f aca="false">Raw!O314</f>
        <v>2001.87</v>
      </c>
      <c r="AF314" s="29" t="n">
        <f aca="false">Raw!P314</f>
        <v>1124.87</v>
      </c>
      <c r="AG314" s="29" t="n">
        <f aca="false">AD314/J314</f>
        <v>801.212806026365</v>
      </c>
    </row>
    <row r="315" customFormat="false" ht="15" hidden="false" customHeight="false" outlineLevel="0" collapsed="false">
      <c r="A315" s="0" t="str">
        <f aca="false">Raw!A315</f>
        <v>SHP0314</v>
      </c>
      <c r="B315" s="0" t="str">
        <f aca="false">Raw!B315</f>
        <v>Outbound</v>
      </c>
      <c r="C315" s="0" t="str">
        <f aca="false">Raw!C315</f>
        <v>Surat</v>
      </c>
      <c r="D315" s="0" t="str">
        <f aca="false">Raw!D315</f>
        <v>Karnataka</v>
      </c>
      <c r="E315" s="0" t="str">
        <f aca="false">IFERROR(INDEX(Location_Map!$B$2:$B$15,MATCH(C315,Location_Map!$A$2:$A$15,0)),"UNMAPPED")</f>
        <v>Gujarat</v>
      </c>
      <c r="F315" s="0" t="str">
        <f aca="false">IFERROR(INDEX(Location_Map!$C$2:$C$15,MATCH(C315,Location_Map!$A$2:$A$15,0)),"UNMAPPED")</f>
        <v>West</v>
      </c>
      <c r="G315" s="0" t="str">
        <f aca="false">IFERROR(INDEX(Location_Map!$B$2:$B$15,MATCH(D315,Location_Map!$A$2:$A$15,0)),"UNMAPPED")</f>
        <v>Karnataka</v>
      </c>
      <c r="H315" s="0" t="str">
        <f aca="false">IFERROR(INDEX(Location_Map!$C$2:$C$15,MATCH(D315,Location_Map!$A$2:$A$15,0)),"UNMAPPED")</f>
        <v>South</v>
      </c>
      <c r="I315" s="0" t="str">
        <f aca="false">Raw!E315</f>
        <v>Finished Yarn</v>
      </c>
      <c r="J315" s="28" t="n">
        <f aca="false">Raw!F315</f>
        <v>11.86</v>
      </c>
      <c r="K315" s="30" t="n">
        <f aca="false">DATE(LEFT(Raw!G315,4),MID(Raw!G315,6,2),MID(Raw!G315,9,2))</f>
        <v>45907</v>
      </c>
      <c r="L315" s="30" t="n">
        <f aca="false">DATE(LEFT(Raw!H315,4),MID(Raw!H315,6,2),MID(Raw!H315,9,2))</f>
        <v>45911</v>
      </c>
      <c r="M315" s="30" t="n">
        <f aca="false">DATE(LEFT(Raw!I315,4),MID(Raw!I315,6,2),MID(Raw!I315,9,2))</f>
        <v>45914</v>
      </c>
      <c r="N315" s="31" t="n">
        <f aca="false">DATE(LEFT(Raw!J315,4),MID(Raw!J315,6,2),MID(Raw!J315,9,2))+TIME(MID(Raw!J315,12,2),MID(Raw!J315,15,2),MID(Raw!J315,18,2))</f>
        <v>45910.9166666667</v>
      </c>
      <c r="O315" s="31" t="n">
        <f aca="false">DATE(LEFT(Raw!K315,4),MID(Raw!K315,6,2),MID(Raw!K315,9,2))+TIME(MID(Raw!K315,12,2),MID(Raw!K315,15,2),MID(Raw!K315,18,2))</f>
        <v>45919</v>
      </c>
      <c r="P315" s="32" t="n">
        <f aca="false">L315-K315</f>
        <v>4</v>
      </c>
      <c r="Q315" s="32" t="n">
        <f aca="false">M315-L315</f>
        <v>3</v>
      </c>
      <c r="R315" s="32" t="n">
        <f aca="false">O315-N315</f>
        <v>8.08333333333333</v>
      </c>
      <c r="S315" s="32" t="n">
        <f aca="false">Raw!L315</f>
        <v>5</v>
      </c>
      <c r="T315" s="32" t="n">
        <f aca="false">O315-M315</f>
        <v>5</v>
      </c>
      <c r="U315" s="0" t="str">
        <f aca="false">IF(ABS(T315-S315)&lt;0.01,"OK","MISMATCH")</f>
        <v>OK</v>
      </c>
      <c r="V315" s="33" t="n">
        <f aca="false">Raw!M315</f>
        <v>1</v>
      </c>
      <c r="W315" s="0" t="str">
        <f aca="false">IF((S315&gt;0)=(V315=1),"OK","MISMATCH")</f>
        <v>OK</v>
      </c>
      <c r="X315" s="0" t="str">
        <f aca="false">_xlfn.IFS(S315&lt;=0,"Early/On time",S315&lt;=2,"Minor (up to 2 days)",S315&lt;=5,"Moderate (2-5 days)",TRUE(),"Severe (over 5 days)")</f>
        <v>Moderate (2-5 days)</v>
      </c>
      <c r="Y315" s="0" t="str">
        <f aca="false">YEAR(K315)&amp;"-"&amp;TEXT(MONTH(K315),"00")</f>
        <v>2025-09</v>
      </c>
      <c r="Z315" s="0" t="str">
        <f aca="false">C315&amp;" → "&amp;D315</f>
        <v>Surat → Karnataka</v>
      </c>
      <c r="AA315" s="0" t="str">
        <f aca="false">Raw!Q315</f>
        <v>GATI Logistics</v>
      </c>
      <c r="AB315" s="0" t="str">
        <f aca="false">Raw!R315</f>
        <v>No</v>
      </c>
      <c r="AC315" s="0" t="str">
        <f aca="false">Raw!S315</f>
        <v>Returned</v>
      </c>
      <c r="AD315" s="29" t="n">
        <f aca="false">Raw!N315</f>
        <v>4825.5</v>
      </c>
      <c r="AE315" s="29" t="n">
        <f aca="false">Raw!O315</f>
        <v>3195.43</v>
      </c>
      <c r="AF315" s="29" t="n">
        <f aca="false">Raw!P315</f>
        <v>787.63</v>
      </c>
      <c r="AG315" s="29" t="n">
        <f aca="false">AD315/J315</f>
        <v>406.871838111299</v>
      </c>
    </row>
    <row r="316" customFormat="false" ht="15" hidden="false" customHeight="false" outlineLevel="0" collapsed="false">
      <c r="A316" s="0" t="str">
        <f aca="false">Raw!A316</f>
        <v>SHP0315</v>
      </c>
      <c r="B316" s="0" t="str">
        <f aca="false">Raw!B316</f>
        <v>Inbound</v>
      </c>
      <c r="C316" s="0" t="str">
        <f aca="false">Raw!C316</f>
        <v>Punjab</v>
      </c>
      <c r="D316" s="0" t="str">
        <f aca="false">Raw!D316</f>
        <v>Surat</v>
      </c>
      <c r="E316" s="0" t="str">
        <f aca="false">IFERROR(INDEX(Location_Map!$B$2:$B$15,MATCH(C316,Location_Map!$A$2:$A$15,0)),"UNMAPPED")</f>
        <v>Punjab</v>
      </c>
      <c r="F316" s="0" t="str">
        <f aca="false">IFERROR(INDEX(Location_Map!$C$2:$C$15,MATCH(C316,Location_Map!$A$2:$A$15,0)),"UNMAPPED")</f>
        <v>North</v>
      </c>
      <c r="G316" s="0" t="str">
        <f aca="false">IFERROR(INDEX(Location_Map!$B$2:$B$15,MATCH(D316,Location_Map!$A$2:$A$15,0)),"UNMAPPED")</f>
        <v>Gujarat</v>
      </c>
      <c r="H316" s="0" t="str">
        <f aca="false">IFERROR(INDEX(Location_Map!$C$2:$C$15,MATCH(D316,Location_Map!$A$2:$A$15,0)),"UNMAPPED")</f>
        <v>West</v>
      </c>
      <c r="I316" s="0" t="str">
        <f aca="false">Raw!E316</f>
        <v>Semi-Processed Yarn</v>
      </c>
      <c r="J316" s="28" t="n">
        <f aca="false">Raw!F316</f>
        <v>6.83</v>
      </c>
      <c r="K316" s="30" t="n">
        <f aca="false">DATE(LEFT(Raw!G316,4),MID(Raw!G316,6,2),MID(Raw!G316,9,2))</f>
        <v>45763</v>
      </c>
      <c r="L316" s="30" t="n">
        <f aca="false">DATE(LEFT(Raw!H316,4),MID(Raw!H316,6,2),MID(Raw!H316,9,2))</f>
        <v>45766</v>
      </c>
      <c r="M316" s="30" t="n">
        <f aca="false">DATE(LEFT(Raw!I316,4),MID(Raw!I316,6,2),MID(Raw!I316,9,2))</f>
        <v>45768</v>
      </c>
      <c r="N316" s="31" t="n">
        <f aca="false">DATE(LEFT(Raw!J316,4),MID(Raw!J316,6,2),MID(Raw!J316,9,2))+TIME(MID(Raw!J316,12,2),MID(Raw!J316,15,2),MID(Raw!J316,18,2))</f>
        <v>45765.9583333333</v>
      </c>
      <c r="O316" s="31" t="n">
        <f aca="false">DATE(LEFT(Raw!K316,4),MID(Raw!K316,6,2),MID(Raw!K316,9,2))+TIME(MID(Raw!K316,12,2),MID(Raw!K316,15,2),MID(Raw!K316,18,2))</f>
        <v>45773</v>
      </c>
      <c r="P316" s="32" t="n">
        <f aca="false">L316-K316</f>
        <v>3</v>
      </c>
      <c r="Q316" s="32" t="n">
        <f aca="false">M316-L316</f>
        <v>2</v>
      </c>
      <c r="R316" s="32" t="n">
        <f aca="false">O316-N316</f>
        <v>7.04166666666667</v>
      </c>
      <c r="S316" s="32" t="n">
        <f aca="false">Raw!L316</f>
        <v>5</v>
      </c>
      <c r="T316" s="32" t="n">
        <f aca="false">O316-M316</f>
        <v>5</v>
      </c>
      <c r="U316" s="0" t="str">
        <f aca="false">IF(ABS(T316-S316)&lt;0.01,"OK","MISMATCH")</f>
        <v>OK</v>
      </c>
      <c r="V316" s="33" t="n">
        <f aca="false">Raw!M316</f>
        <v>1</v>
      </c>
      <c r="W316" s="0" t="str">
        <f aca="false">IF((S316&gt;0)=(V316=1),"OK","MISMATCH")</f>
        <v>OK</v>
      </c>
      <c r="X316" s="0" t="str">
        <f aca="false">_xlfn.IFS(S316&lt;=0,"Early/On time",S316&lt;=2,"Minor (up to 2 days)",S316&lt;=5,"Moderate (2-5 days)",TRUE(),"Severe (over 5 days)")</f>
        <v>Moderate (2-5 days)</v>
      </c>
      <c r="Y316" s="0" t="str">
        <f aca="false">YEAR(K316)&amp;"-"&amp;TEXT(MONTH(K316),"00")</f>
        <v>2025-04</v>
      </c>
      <c r="Z316" s="0" t="str">
        <f aca="false">C316&amp;" → "&amp;D316</f>
        <v>Punjab → Surat</v>
      </c>
      <c r="AA316" s="0" t="str">
        <f aca="false">Raw!Q316</f>
        <v>VRL Cargo</v>
      </c>
      <c r="AB316" s="0" t="str">
        <f aca="false">Raw!R316</f>
        <v>No</v>
      </c>
      <c r="AC316" s="0" t="str">
        <f aca="false">Raw!S316</f>
        <v>Held at warehouse</v>
      </c>
      <c r="AD316" s="29" t="n">
        <f aca="false">Raw!N316</f>
        <v>3379.75</v>
      </c>
      <c r="AE316" s="29" t="n">
        <f aca="false">Raw!O316</f>
        <v>2143.03</v>
      </c>
      <c r="AF316" s="29" t="n">
        <f aca="false">Raw!P316</f>
        <v>932.77</v>
      </c>
      <c r="AG316" s="29" t="n">
        <f aca="false">AD316/J316</f>
        <v>494.838945827233</v>
      </c>
    </row>
    <row r="317" customFormat="false" ht="15" hidden="false" customHeight="false" outlineLevel="0" collapsed="false">
      <c r="A317" s="0" t="str">
        <f aca="false">Raw!A317</f>
        <v>SHP0316</v>
      </c>
      <c r="B317" s="0" t="str">
        <f aca="false">Raw!B317</f>
        <v>Inbound</v>
      </c>
      <c r="C317" s="0" t="str">
        <f aca="false">Raw!C317</f>
        <v>Gujarat</v>
      </c>
      <c r="D317" s="0" t="str">
        <f aca="false">Raw!D317</f>
        <v>Surat</v>
      </c>
      <c r="E317" s="0" t="str">
        <f aca="false">IFERROR(INDEX(Location_Map!$B$2:$B$15,MATCH(C317,Location_Map!$A$2:$A$15,0)),"UNMAPPED")</f>
        <v>Gujarat</v>
      </c>
      <c r="F317" s="0" t="str">
        <f aca="false">IFERROR(INDEX(Location_Map!$C$2:$C$15,MATCH(C317,Location_Map!$A$2:$A$15,0)),"UNMAPPED")</f>
        <v>West</v>
      </c>
      <c r="G317" s="0" t="str">
        <f aca="false">IFERROR(INDEX(Location_Map!$B$2:$B$15,MATCH(D317,Location_Map!$A$2:$A$15,0)),"UNMAPPED")</f>
        <v>Gujarat</v>
      </c>
      <c r="H317" s="0" t="str">
        <f aca="false">IFERROR(INDEX(Location_Map!$C$2:$C$15,MATCH(D317,Location_Map!$A$2:$A$15,0)),"UNMAPPED")</f>
        <v>West</v>
      </c>
      <c r="I317" s="0" t="str">
        <f aca="false">Raw!E317</f>
        <v>Raw Yarn</v>
      </c>
      <c r="J317" s="28" t="n">
        <f aca="false">Raw!F317</f>
        <v>14.02</v>
      </c>
      <c r="K317" s="30" t="n">
        <f aca="false">DATE(LEFT(Raw!G317,4),MID(Raw!G317,6,2),MID(Raw!G317,9,2))</f>
        <v>45757</v>
      </c>
      <c r="L317" s="30" t="n">
        <f aca="false">DATE(LEFT(Raw!H317,4),MID(Raw!H317,6,2),MID(Raw!H317,9,2))</f>
        <v>45758</v>
      </c>
      <c r="M317" s="30" t="n">
        <f aca="false">DATE(LEFT(Raw!I317,4),MID(Raw!I317,6,2),MID(Raw!I317,9,2))</f>
        <v>45763</v>
      </c>
      <c r="N317" s="31" t="n">
        <f aca="false">DATE(LEFT(Raw!J317,4),MID(Raw!J317,6,2),MID(Raw!J317,9,2))+TIME(MID(Raw!J317,12,2),MID(Raw!J317,15,2),MID(Raw!J317,18,2))</f>
        <v>45757.7916666667</v>
      </c>
      <c r="O317" s="31" t="n">
        <f aca="false">DATE(LEFT(Raw!K317,4),MID(Raw!K317,6,2),MID(Raw!K317,9,2))+TIME(MID(Raw!K317,12,2),MID(Raw!K317,15,2),MID(Raw!K317,18,2))</f>
        <v>45764.4</v>
      </c>
      <c r="P317" s="32" t="n">
        <f aca="false">L317-K317</f>
        <v>1</v>
      </c>
      <c r="Q317" s="32" t="n">
        <f aca="false">M317-L317</f>
        <v>5</v>
      </c>
      <c r="R317" s="32" t="n">
        <f aca="false">O317-N317</f>
        <v>6.60833333333333</v>
      </c>
      <c r="S317" s="32" t="n">
        <f aca="false">Raw!L317</f>
        <v>1.4</v>
      </c>
      <c r="T317" s="32" t="n">
        <f aca="false">O317-M317</f>
        <v>1.4</v>
      </c>
      <c r="U317" s="0" t="str">
        <f aca="false">IF(ABS(T317-S317)&lt;0.01,"OK","MISMATCH")</f>
        <v>OK</v>
      </c>
      <c r="V317" s="33" t="n">
        <f aca="false">Raw!M317</f>
        <v>1</v>
      </c>
      <c r="W317" s="0" t="str">
        <f aca="false">IF((S317&gt;0)=(V317=1),"OK","MISMATCH")</f>
        <v>OK</v>
      </c>
      <c r="X317" s="0" t="str">
        <f aca="false">_xlfn.IFS(S317&lt;=0,"Early/On time",S317&lt;=2,"Minor (up to 2 days)",S317&lt;=5,"Moderate (2-5 days)",TRUE(),"Severe (over 5 days)")</f>
        <v>Minor (up to 2 days)</v>
      </c>
      <c r="Y317" s="0" t="str">
        <f aca="false">YEAR(K317)&amp;"-"&amp;TEXT(MONTH(K317),"00")</f>
        <v>2025-04</v>
      </c>
      <c r="Z317" s="0" t="str">
        <f aca="false">C317&amp;" → "&amp;D317</f>
        <v>Gujarat → Surat</v>
      </c>
      <c r="AA317" s="0" t="str">
        <f aca="false">Raw!Q317</f>
        <v>TCI Express</v>
      </c>
      <c r="AB317" s="0" t="str">
        <f aca="false">Raw!R317</f>
        <v>No</v>
      </c>
      <c r="AC317" s="0" t="str">
        <f aca="false">Raw!S317</f>
        <v>Damaged</v>
      </c>
      <c r="AD317" s="29" t="n">
        <f aca="false">Raw!N317</f>
        <v>8259.21</v>
      </c>
      <c r="AE317" s="29" t="n">
        <f aca="false">Raw!O317</f>
        <v>3529.13</v>
      </c>
      <c r="AF317" s="29" t="n">
        <f aca="false">Raw!P317</f>
        <v>698.99</v>
      </c>
      <c r="AG317" s="29" t="n">
        <f aca="false">AD317/J317</f>
        <v>589.101997146933</v>
      </c>
    </row>
    <row r="318" customFormat="false" ht="15" hidden="false" customHeight="false" outlineLevel="0" collapsed="false">
      <c r="A318" s="0" t="str">
        <f aca="false">Raw!A318</f>
        <v>SHP0317</v>
      </c>
      <c r="B318" s="0" t="str">
        <f aca="false">Raw!B318</f>
        <v>Inbound</v>
      </c>
      <c r="C318" s="0" t="str">
        <f aca="false">Raw!C318</f>
        <v>Punjab</v>
      </c>
      <c r="D318" s="0" t="str">
        <f aca="false">Raw!D318</f>
        <v>Surat</v>
      </c>
      <c r="E318" s="0" t="str">
        <f aca="false">IFERROR(INDEX(Location_Map!$B$2:$B$15,MATCH(C318,Location_Map!$A$2:$A$15,0)),"UNMAPPED")</f>
        <v>Punjab</v>
      </c>
      <c r="F318" s="0" t="str">
        <f aca="false">IFERROR(INDEX(Location_Map!$C$2:$C$15,MATCH(C318,Location_Map!$A$2:$A$15,0)),"UNMAPPED")</f>
        <v>North</v>
      </c>
      <c r="G318" s="0" t="str">
        <f aca="false">IFERROR(INDEX(Location_Map!$B$2:$B$15,MATCH(D318,Location_Map!$A$2:$A$15,0)),"UNMAPPED")</f>
        <v>Gujarat</v>
      </c>
      <c r="H318" s="0" t="str">
        <f aca="false">IFERROR(INDEX(Location_Map!$C$2:$C$15,MATCH(D318,Location_Map!$A$2:$A$15,0)),"UNMAPPED")</f>
        <v>West</v>
      </c>
      <c r="I318" s="0" t="str">
        <f aca="false">Raw!E318</f>
        <v>Finished Yarn</v>
      </c>
      <c r="J318" s="28" t="n">
        <f aca="false">Raw!F318</f>
        <v>8.95</v>
      </c>
      <c r="K318" s="30" t="n">
        <f aca="false">DATE(LEFT(Raw!G318,4),MID(Raw!G318,6,2),MID(Raw!G318,9,2))</f>
        <v>45883</v>
      </c>
      <c r="L318" s="30" t="n">
        <f aca="false">DATE(LEFT(Raw!H318,4),MID(Raw!H318,6,2),MID(Raw!H318,9,2))</f>
        <v>45884</v>
      </c>
      <c r="M318" s="30" t="n">
        <f aca="false">DATE(LEFT(Raw!I318,4),MID(Raw!I318,6,2),MID(Raw!I318,9,2))</f>
        <v>45890</v>
      </c>
      <c r="N318" s="31" t="n">
        <f aca="false">DATE(LEFT(Raw!J318,4),MID(Raw!J318,6,2),MID(Raw!J318,9,2))+TIME(MID(Raw!J318,12,2),MID(Raw!J318,15,2),MID(Raw!J318,18,2))</f>
        <v>45884.125</v>
      </c>
      <c r="O318" s="31" t="n">
        <f aca="false">DATE(LEFT(Raw!K318,4),MID(Raw!K318,6,2),MID(Raw!K318,9,2))+TIME(MID(Raw!K318,12,2),MID(Raw!K318,15,2),MID(Raw!K318,18,2))</f>
        <v>45893.3</v>
      </c>
      <c r="P318" s="32" t="n">
        <f aca="false">L318-K318</f>
        <v>1</v>
      </c>
      <c r="Q318" s="32" t="n">
        <f aca="false">M318-L318</f>
        <v>6</v>
      </c>
      <c r="R318" s="32" t="n">
        <f aca="false">O318-N318</f>
        <v>9.175</v>
      </c>
      <c r="S318" s="32" t="n">
        <f aca="false">Raw!L318</f>
        <v>3.3</v>
      </c>
      <c r="T318" s="32" t="n">
        <f aca="false">O318-M318</f>
        <v>3.3</v>
      </c>
      <c r="U318" s="0" t="str">
        <f aca="false">IF(ABS(T318-S318)&lt;0.01,"OK","MISMATCH")</f>
        <v>OK</v>
      </c>
      <c r="V318" s="33" t="n">
        <f aca="false">Raw!M318</f>
        <v>1</v>
      </c>
      <c r="W318" s="0" t="str">
        <f aca="false">IF((S318&gt;0)=(V318=1),"OK","MISMATCH")</f>
        <v>OK</v>
      </c>
      <c r="X318" s="0" t="str">
        <f aca="false">_xlfn.IFS(S318&lt;=0,"Early/On time",S318&lt;=2,"Minor (up to 2 days)",S318&lt;=5,"Moderate (2-5 days)",TRUE(),"Severe (over 5 days)")</f>
        <v>Moderate (2-5 days)</v>
      </c>
      <c r="Y318" s="0" t="str">
        <f aca="false">YEAR(K318)&amp;"-"&amp;TEXT(MONTH(K318),"00")</f>
        <v>2025-08</v>
      </c>
      <c r="Z318" s="0" t="str">
        <f aca="false">C318&amp;" → "&amp;D318</f>
        <v>Punjab → Surat</v>
      </c>
      <c r="AA318" s="0" t="str">
        <f aca="false">Raw!Q318</f>
        <v>VRL Cargo</v>
      </c>
      <c r="AB318" s="0" t="str">
        <f aca="false">Raw!R318</f>
        <v>No</v>
      </c>
      <c r="AC318" s="0" t="str">
        <f aca="false">Raw!S318</f>
        <v>Held at warehouse</v>
      </c>
      <c r="AD318" s="29" t="n">
        <f aca="false">Raw!N318</f>
        <v>4594.04</v>
      </c>
      <c r="AE318" s="29" t="n">
        <f aca="false">Raw!O318</f>
        <v>3074.8</v>
      </c>
      <c r="AF318" s="29" t="n">
        <f aca="false">Raw!P318</f>
        <v>679.36</v>
      </c>
      <c r="AG318" s="29" t="n">
        <f aca="false">AD318/J318</f>
        <v>513.300558659218</v>
      </c>
    </row>
    <row r="319" customFormat="false" ht="15" hidden="false" customHeight="false" outlineLevel="0" collapsed="false">
      <c r="A319" s="0" t="str">
        <f aca="false">Raw!A319</f>
        <v>SHP0318</v>
      </c>
      <c r="B319" s="0" t="str">
        <f aca="false">Raw!B319</f>
        <v>Outbound</v>
      </c>
      <c r="C319" s="0" t="str">
        <f aca="false">Raw!C319</f>
        <v>Surat</v>
      </c>
      <c r="D319" s="0" t="str">
        <f aca="false">Raw!D319</f>
        <v>West Bengal</v>
      </c>
      <c r="E319" s="0" t="str">
        <f aca="false">IFERROR(INDEX(Location_Map!$B$2:$B$15,MATCH(C319,Location_Map!$A$2:$A$15,0)),"UNMAPPED")</f>
        <v>Gujarat</v>
      </c>
      <c r="F319" s="0" t="str">
        <f aca="false">IFERROR(INDEX(Location_Map!$C$2:$C$15,MATCH(C319,Location_Map!$A$2:$A$15,0)),"UNMAPPED")</f>
        <v>West</v>
      </c>
      <c r="G319" s="0" t="str">
        <f aca="false">IFERROR(INDEX(Location_Map!$B$2:$B$15,MATCH(D319,Location_Map!$A$2:$A$15,0)),"UNMAPPED")</f>
        <v>West Bengal</v>
      </c>
      <c r="H319" s="0" t="str">
        <f aca="false">IFERROR(INDEX(Location_Map!$C$2:$C$15,MATCH(D319,Location_Map!$A$2:$A$15,0)),"UNMAPPED")</f>
        <v>East</v>
      </c>
      <c r="I319" s="0" t="str">
        <f aca="false">Raw!E319</f>
        <v>Semi-Processed Yarn</v>
      </c>
      <c r="J319" s="28" t="n">
        <f aca="false">Raw!F319</f>
        <v>19.44</v>
      </c>
      <c r="K319" s="30" t="n">
        <f aca="false">DATE(LEFT(Raw!G319,4),MID(Raw!G319,6,2),MID(Raw!G319,9,2))</f>
        <v>45691</v>
      </c>
      <c r="L319" s="30" t="n">
        <f aca="false">DATE(LEFT(Raw!H319,4),MID(Raw!H319,6,2),MID(Raw!H319,9,2))</f>
        <v>45693</v>
      </c>
      <c r="M319" s="30" t="n">
        <f aca="false">DATE(LEFT(Raw!I319,4),MID(Raw!I319,6,2),MID(Raw!I319,9,2))</f>
        <v>45699</v>
      </c>
      <c r="N319" s="31" t="n">
        <f aca="false">DATE(LEFT(Raw!J319,4),MID(Raw!J319,6,2),MID(Raw!J319,9,2))+TIME(MID(Raw!J319,12,2),MID(Raw!J319,15,2),MID(Raw!J319,18,2))</f>
        <v>45692.8333333333</v>
      </c>
      <c r="O319" s="31" t="n">
        <f aca="false">DATE(LEFT(Raw!K319,4),MID(Raw!K319,6,2),MID(Raw!K319,9,2))+TIME(MID(Raw!K319,12,2),MID(Raw!K319,15,2),MID(Raw!K319,18,2))</f>
        <v>45700.5</v>
      </c>
      <c r="P319" s="32" t="n">
        <f aca="false">L319-K319</f>
        <v>2</v>
      </c>
      <c r="Q319" s="32" t="n">
        <f aca="false">M319-L319</f>
        <v>6</v>
      </c>
      <c r="R319" s="32" t="n">
        <f aca="false">O319-N319</f>
        <v>7.66666666666667</v>
      </c>
      <c r="S319" s="32" t="n">
        <f aca="false">Raw!L319</f>
        <v>1.5</v>
      </c>
      <c r="T319" s="32" t="n">
        <f aca="false">O319-M319</f>
        <v>1.5</v>
      </c>
      <c r="U319" s="0" t="str">
        <f aca="false">IF(ABS(T319-S319)&lt;0.01,"OK","MISMATCH")</f>
        <v>OK</v>
      </c>
      <c r="V319" s="33" t="n">
        <f aca="false">Raw!M319</f>
        <v>1</v>
      </c>
      <c r="W319" s="0" t="str">
        <f aca="false">IF((S319&gt;0)=(V319=1),"OK","MISMATCH")</f>
        <v>OK</v>
      </c>
      <c r="X319" s="0" t="str">
        <f aca="false">_xlfn.IFS(S319&lt;=0,"Early/On time",S319&lt;=2,"Minor (up to 2 days)",S319&lt;=5,"Moderate (2-5 days)",TRUE(),"Severe (over 5 days)")</f>
        <v>Minor (up to 2 days)</v>
      </c>
      <c r="Y319" s="0" t="str">
        <f aca="false">YEAR(K319)&amp;"-"&amp;TEXT(MONTH(K319),"00")</f>
        <v>2025-02</v>
      </c>
      <c r="Z319" s="0" t="str">
        <f aca="false">C319&amp;" → "&amp;D319</f>
        <v>Surat → West Bengal</v>
      </c>
      <c r="AA319" s="0" t="str">
        <f aca="false">Raw!Q319</f>
        <v>VRL Cargo</v>
      </c>
      <c r="AB319" s="0" t="str">
        <f aca="false">Raw!R319</f>
        <v>No</v>
      </c>
      <c r="AC319" s="0" t="str">
        <f aca="false">Raw!S319</f>
        <v>Returned</v>
      </c>
      <c r="AD319" s="29" t="n">
        <f aca="false">Raw!N319</f>
        <v>9859.86</v>
      </c>
      <c r="AE319" s="29" t="n">
        <f aca="false">Raw!O319</f>
        <v>2386.1</v>
      </c>
      <c r="AF319" s="29" t="n">
        <f aca="false">Raw!P319</f>
        <v>897.61</v>
      </c>
      <c r="AG319" s="29" t="n">
        <f aca="false">AD319/J319</f>
        <v>507.194444444444</v>
      </c>
    </row>
    <row r="320" customFormat="false" ht="15" hidden="false" customHeight="false" outlineLevel="0" collapsed="false">
      <c r="A320" s="0" t="str">
        <f aca="false">Raw!A320</f>
        <v>SHP0319</v>
      </c>
      <c r="B320" s="0" t="str">
        <f aca="false">Raw!B320</f>
        <v>Inbound</v>
      </c>
      <c r="C320" s="0" t="str">
        <f aca="false">Raw!C320</f>
        <v>Punjab</v>
      </c>
      <c r="D320" s="0" t="str">
        <f aca="false">Raw!D320</f>
        <v>Surat</v>
      </c>
      <c r="E320" s="0" t="str">
        <f aca="false">IFERROR(INDEX(Location_Map!$B$2:$B$15,MATCH(C320,Location_Map!$A$2:$A$15,0)),"UNMAPPED")</f>
        <v>Punjab</v>
      </c>
      <c r="F320" s="0" t="str">
        <f aca="false">IFERROR(INDEX(Location_Map!$C$2:$C$15,MATCH(C320,Location_Map!$A$2:$A$15,0)),"UNMAPPED")</f>
        <v>North</v>
      </c>
      <c r="G320" s="0" t="str">
        <f aca="false">IFERROR(INDEX(Location_Map!$B$2:$B$15,MATCH(D320,Location_Map!$A$2:$A$15,0)),"UNMAPPED")</f>
        <v>Gujarat</v>
      </c>
      <c r="H320" s="0" t="str">
        <f aca="false">IFERROR(INDEX(Location_Map!$C$2:$C$15,MATCH(D320,Location_Map!$A$2:$A$15,0)),"UNMAPPED")</f>
        <v>West</v>
      </c>
      <c r="I320" s="0" t="str">
        <f aca="false">Raw!E320</f>
        <v>Raw Yarn</v>
      </c>
      <c r="J320" s="28" t="n">
        <f aca="false">Raw!F320</f>
        <v>6.02</v>
      </c>
      <c r="K320" s="30" t="n">
        <f aca="false">DATE(LEFT(Raw!G320,4),MID(Raw!G320,6,2),MID(Raw!G320,9,2))</f>
        <v>45719</v>
      </c>
      <c r="L320" s="30" t="n">
        <f aca="false">DATE(LEFT(Raw!H320,4),MID(Raw!H320,6,2),MID(Raw!H320,9,2))</f>
        <v>45721</v>
      </c>
      <c r="M320" s="30" t="n">
        <f aca="false">DATE(LEFT(Raw!I320,4),MID(Raw!I320,6,2),MID(Raw!I320,9,2))</f>
        <v>45724</v>
      </c>
      <c r="N320" s="31" t="n">
        <f aca="false">DATE(LEFT(Raw!J320,4),MID(Raw!J320,6,2),MID(Raw!J320,9,2))+TIME(MID(Raw!J320,12,2),MID(Raw!J320,15,2),MID(Raw!J320,18,2))</f>
        <v>45721</v>
      </c>
      <c r="O320" s="31" t="n">
        <f aca="false">DATE(LEFT(Raw!K320,4),MID(Raw!K320,6,2),MID(Raw!K320,9,2))+TIME(MID(Raw!K320,12,2),MID(Raw!K320,15,2),MID(Raw!K320,18,2))</f>
        <v>45728.8</v>
      </c>
      <c r="P320" s="32" t="n">
        <f aca="false">L320-K320</f>
        <v>2</v>
      </c>
      <c r="Q320" s="32" t="n">
        <f aca="false">M320-L320</f>
        <v>3</v>
      </c>
      <c r="R320" s="32" t="n">
        <f aca="false">O320-N320</f>
        <v>7.8</v>
      </c>
      <c r="S320" s="32" t="n">
        <f aca="false">Raw!L320</f>
        <v>4.8</v>
      </c>
      <c r="T320" s="32" t="n">
        <f aca="false">O320-M320</f>
        <v>4.8</v>
      </c>
      <c r="U320" s="0" t="str">
        <f aca="false">IF(ABS(T320-S320)&lt;0.01,"OK","MISMATCH")</f>
        <v>OK</v>
      </c>
      <c r="V320" s="33" t="n">
        <f aca="false">Raw!M320</f>
        <v>1</v>
      </c>
      <c r="W320" s="0" t="str">
        <f aca="false">IF((S320&gt;0)=(V320=1),"OK","MISMATCH")</f>
        <v>OK</v>
      </c>
      <c r="X320" s="0" t="str">
        <f aca="false">_xlfn.IFS(S320&lt;=0,"Early/On time",S320&lt;=2,"Minor (up to 2 days)",S320&lt;=5,"Moderate (2-5 days)",TRUE(),"Severe (over 5 days)")</f>
        <v>Moderate (2-5 days)</v>
      </c>
      <c r="Y320" s="0" t="str">
        <f aca="false">YEAR(K320)&amp;"-"&amp;TEXT(MONTH(K320),"00")</f>
        <v>2025-03</v>
      </c>
      <c r="Z320" s="0" t="str">
        <f aca="false">C320&amp;" → "&amp;D320</f>
        <v>Punjab → Surat</v>
      </c>
      <c r="AA320" s="0" t="str">
        <f aca="false">Raw!Q320</f>
        <v>TCI Express</v>
      </c>
      <c r="AB320" s="0" t="str">
        <f aca="false">Raw!R320</f>
        <v>Yes</v>
      </c>
      <c r="AC320" s="0" t="str">
        <f aca="false">Raw!S320</f>
        <v>Held at warehouse</v>
      </c>
      <c r="AD320" s="29" t="n">
        <f aca="false">Raw!N320</f>
        <v>2998.03</v>
      </c>
      <c r="AE320" s="29" t="n">
        <f aca="false">Raw!O320</f>
        <v>1688.44</v>
      </c>
      <c r="AF320" s="29" t="n">
        <f aca="false">Raw!P320</f>
        <v>1425.52</v>
      </c>
      <c r="AG320" s="29" t="n">
        <f aca="false">AD320/J320</f>
        <v>498.011627906977</v>
      </c>
    </row>
    <row r="321" customFormat="false" ht="15" hidden="false" customHeight="false" outlineLevel="0" collapsed="false">
      <c r="A321" s="0" t="str">
        <f aca="false">Raw!A321</f>
        <v>SHP0320</v>
      </c>
      <c r="B321" s="0" t="str">
        <f aca="false">Raw!B321</f>
        <v>Inbound</v>
      </c>
      <c r="C321" s="0" t="str">
        <f aca="false">Raw!C321</f>
        <v>Chennai</v>
      </c>
      <c r="D321" s="0" t="str">
        <f aca="false">Raw!D321</f>
        <v>Surat</v>
      </c>
      <c r="E321" s="0" t="str">
        <f aca="false">IFERROR(INDEX(Location_Map!$B$2:$B$15,MATCH(C321,Location_Map!$A$2:$A$15,0)),"UNMAPPED")</f>
        <v>Tamil Nadu</v>
      </c>
      <c r="F321" s="0" t="str">
        <f aca="false">IFERROR(INDEX(Location_Map!$C$2:$C$15,MATCH(C321,Location_Map!$A$2:$A$15,0)),"UNMAPPED")</f>
        <v>South</v>
      </c>
      <c r="G321" s="0" t="str">
        <f aca="false">IFERROR(INDEX(Location_Map!$B$2:$B$15,MATCH(D321,Location_Map!$A$2:$A$15,0)),"UNMAPPED")</f>
        <v>Gujarat</v>
      </c>
      <c r="H321" s="0" t="str">
        <f aca="false">IFERROR(INDEX(Location_Map!$C$2:$C$15,MATCH(D321,Location_Map!$A$2:$A$15,0)),"UNMAPPED")</f>
        <v>West</v>
      </c>
      <c r="I321" s="0" t="str">
        <f aca="false">Raw!E321</f>
        <v>Raw Yarn</v>
      </c>
      <c r="J321" s="28" t="n">
        <f aca="false">Raw!F321</f>
        <v>2.3</v>
      </c>
      <c r="K321" s="30" t="n">
        <f aca="false">DATE(LEFT(Raw!G321,4),MID(Raw!G321,6,2),MID(Raw!G321,9,2))</f>
        <v>45787</v>
      </c>
      <c r="L321" s="30" t="n">
        <f aca="false">DATE(LEFT(Raw!H321,4),MID(Raw!H321,6,2),MID(Raw!H321,9,2))</f>
        <v>45790</v>
      </c>
      <c r="M321" s="30" t="n">
        <f aca="false">DATE(LEFT(Raw!I321,4),MID(Raw!I321,6,2),MID(Raw!I321,9,2))</f>
        <v>45794</v>
      </c>
      <c r="N321" s="31" t="n">
        <f aca="false">DATE(LEFT(Raw!J321,4),MID(Raw!J321,6,2),MID(Raw!J321,9,2))+TIME(MID(Raw!J321,12,2),MID(Raw!J321,15,2),MID(Raw!J321,18,2))</f>
        <v>45789.9166666667</v>
      </c>
      <c r="O321" s="31" t="n">
        <f aca="false">DATE(LEFT(Raw!K321,4),MID(Raw!K321,6,2),MID(Raw!K321,9,2))+TIME(MID(Raw!K321,12,2),MID(Raw!K321,15,2),MID(Raw!K321,18,2))</f>
        <v>45793</v>
      </c>
      <c r="P321" s="32" t="n">
        <f aca="false">L321-K321</f>
        <v>3</v>
      </c>
      <c r="Q321" s="32" t="n">
        <f aca="false">M321-L321</f>
        <v>4</v>
      </c>
      <c r="R321" s="32" t="n">
        <f aca="false">O321-N321</f>
        <v>3.08333333333333</v>
      </c>
      <c r="S321" s="32" t="n">
        <f aca="false">Raw!L321</f>
        <v>-1</v>
      </c>
      <c r="T321" s="32" t="n">
        <f aca="false">O321-M321</f>
        <v>-1</v>
      </c>
      <c r="U321" s="0" t="str">
        <f aca="false">IF(ABS(T321-S321)&lt;0.01,"OK","MISMATCH")</f>
        <v>OK</v>
      </c>
      <c r="V321" s="33" t="n">
        <f aca="false">Raw!M321</f>
        <v>0</v>
      </c>
      <c r="W321" s="0" t="str">
        <f aca="false">IF((S321&gt;0)=(V321=1),"OK","MISMATCH")</f>
        <v>OK</v>
      </c>
      <c r="X321" s="0" t="str">
        <f aca="false">_xlfn.IFS(S321&lt;=0,"Early/On time",S321&lt;=2,"Minor (up to 2 days)",S321&lt;=5,"Moderate (2-5 days)",TRUE(),"Severe (over 5 days)")</f>
        <v>Early/On time</v>
      </c>
      <c r="Y321" s="0" t="str">
        <f aca="false">YEAR(K321)&amp;"-"&amp;TEXT(MONTH(K321),"00")</f>
        <v>2025-05</v>
      </c>
      <c r="Z321" s="0" t="str">
        <f aca="false">C321&amp;" → "&amp;D321</f>
        <v>Chennai → Surat</v>
      </c>
      <c r="AA321" s="0" t="str">
        <f aca="false">Raw!Q321</f>
        <v>GATI Logistics</v>
      </c>
      <c r="AB321" s="0" t="str">
        <f aca="false">Raw!R321</f>
        <v>No</v>
      </c>
      <c r="AC321" s="0" t="str">
        <f aca="false">Raw!S321</f>
        <v>Damaged</v>
      </c>
      <c r="AD321" s="29" t="n">
        <f aca="false">Raw!N321</f>
        <v>1809.01</v>
      </c>
      <c r="AE321" s="29" t="n">
        <f aca="false">Raw!O321</f>
        <v>3566.53</v>
      </c>
      <c r="AF321" s="29" t="n">
        <f aca="false">Raw!P321</f>
        <v>1203.79</v>
      </c>
      <c r="AG321" s="29" t="n">
        <f aca="false">AD321/J321</f>
        <v>786.526086956522</v>
      </c>
    </row>
    <row r="322" customFormat="false" ht="15" hidden="false" customHeight="false" outlineLevel="0" collapsed="false">
      <c r="A322" s="0" t="str">
        <f aca="false">Raw!A322</f>
        <v>SHP0321</v>
      </c>
      <c r="B322" s="0" t="str">
        <f aca="false">Raw!B322</f>
        <v>Outbound</v>
      </c>
      <c r="C322" s="0" t="str">
        <f aca="false">Raw!C322</f>
        <v>Surat</v>
      </c>
      <c r="D322" s="0" t="str">
        <f aca="false">Raw!D322</f>
        <v>Karnataka</v>
      </c>
      <c r="E322" s="0" t="str">
        <f aca="false">IFERROR(INDEX(Location_Map!$B$2:$B$15,MATCH(C322,Location_Map!$A$2:$A$15,0)),"UNMAPPED")</f>
        <v>Gujarat</v>
      </c>
      <c r="F322" s="0" t="str">
        <f aca="false">IFERROR(INDEX(Location_Map!$C$2:$C$15,MATCH(C322,Location_Map!$A$2:$A$15,0)),"UNMAPPED")</f>
        <v>West</v>
      </c>
      <c r="G322" s="0" t="str">
        <f aca="false">IFERROR(INDEX(Location_Map!$B$2:$B$15,MATCH(D322,Location_Map!$A$2:$A$15,0)),"UNMAPPED")</f>
        <v>Karnataka</v>
      </c>
      <c r="H322" s="0" t="str">
        <f aca="false">IFERROR(INDEX(Location_Map!$C$2:$C$15,MATCH(D322,Location_Map!$A$2:$A$15,0)),"UNMAPPED")</f>
        <v>South</v>
      </c>
      <c r="I322" s="0" t="str">
        <f aca="false">Raw!E322</f>
        <v>Raw Yarn</v>
      </c>
      <c r="J322" s="28" t="n">
        <f aca="false">Raw!F322</f>
        <v>8.09</v>
      </c>
      <c r="K322" s="30" t="n">
        <f aca="false">DATE(LEFT(Raw!G322,4),MID(Raw!G322,6,2),MID(Raw!G322,9,2))</f>
        <v>45827</v>
      </c>
      <c r="L322" s="30" t="n">
        <f aca="false">DATE(LEFT(Raw!H322,4),MID(Raw!H322,6,2),MID(Raw!H322,9,2))</f>
        <v>45829</v>
      </c>
      <c r="M322" s="30" t="n">
        <f aca="false">DATE(LEFT(Raw!I322,4),MID(Raw!I322,6,2),MID(Raw!I322,9,2))</f>
        <v>45831</v>
      </c>
      <c r="N322" s="31" t="n">
        <f aca="false">DATE(LEFT(Raw!J322,4),MID(Raw!J322,6,2),MID(Raw!J322,9,2))+TIME(MID(Raw!J322,12,2),MID(Raw!J322,15,2),MID(Raw!J322,18,2))</f>
        <v>45828.8333333333</v>
      </c>
      <c r="O322" s="31" t="n">
        <f aca="false">DATE(LEFT(Raw!K322,4),MID(Raw!K322,6,2),MID(Raw!K322,9,2))+TIME(MID(Raw!K322,12,2),MID(Raw!K322,15,2),MID(Raw!K322,18,2))</f>
        <v>45830</v>
      </c>
      <c r="P322" s="32" t="n">
        <f aca="false">L322-K322</f>
        <v>2</v>
      </c>
      <c r="Q322" s="32" t="n">
        <f aca="false">M322-L322</f>
        <v>2</v>
      </c>
      <c r="R322" s="32" t="n">
        <f aca="false">O322-N322</f>
        <v>1.16666666666667</v>
      </c>
      <c r="S322" s="32" t="n">
        <f aca="false">Raw!L322</f>
        <v>-1</v>
      </c>
      <c r="T322" s="32" t="n">
        <f aca="false">O322-M322</f>
        <v>-1</v>
      </c>
      <c r="U322" s="0" t="str">
        <f aca="false">IF(ABS(T322-S322)&lt;0.01,"OK","MISMATCH")</f>
        <v>OK</v>
      </c>
      <c r="V322" s="33" t="n">
        <f aca="false">Raw!M322</f>
        <v>0</v>
      </c>
      <c r="W322" s="0" t="str">
        <f aca="false">IF((S322&gt;0)=(V322=1),"OK","MISMATCH")</f>
        <v>OK</v>
      </c>
      <c r="X322" s="0" t="str">
        <f aca="false">_xlfn.IFS(S322&lt;=0,"Early/On time",S322&lt;=2,"Minor (up to 2 days)",S322&lt;=5,"Moderate (2-5 days)",TRUE(),"Severe (over 5 days)")</f>
        <v>Early/On time</v>
      </c>
      <c r="Y322" s="0" t="str">
        <f aca="false">YEAR(K322)&amp;"-"&amp;TEXT(MONTH(K322),"00")</f>
        <v>2025-06</v>
      </c>
      <c r="Z322" s="0" t="str">
        <f aca="false">C322&amp;" → "&amp;D322</f>
        <v>Surat → Karnataka</v>
      </c>
      <c r="AA322" s="0" t="str">
        <f aca="false">Raw!Q322</f>
        <v>VRL Cargo</v>
      </c>
      <c r="AB322" s="0" t="str">
        <f aca="false">Raw!R322</f>
        <v>No</v>
      </c>
      <c r="AC322" s="0" t="str">
        <f aca="false">Raw!S322</f>
        <v>Returned</v>
      </c>
      <c r="AD322" s="29" t="n">
        <f aca="false">Raw!N322</f>
        <v>6904.03</v>
      </c>
      <c r="AE322" s="29" t="n">
        <f aca="false">Raw!O322</f>
        <v>1423.62</v>
      </c>
      <c r="AF322" s="29" t="n">
        <f aca="false">Raw!P322</f>
        <v>654.83</v>
      </c>
      <c r="AG322" s="29" t="n">
        <f aca="false">AD322/J322</f>
        <v>853.402966625464</v>
      </c>
    </row>
    <row r="323" customFormat="false" ht="15" hidden="false" customHeight="false" outlineLevel="0" collapsed="false">
      <c r="A323" s="0" t="str">
        <f aca="false">Raw!A323</f>
        <v>SHP0322</v>
      </c>
      <c r="B323" s="0" t="str">
        <f aca="false">Raw!B323</f>
        <v>Outbound</v>
      </c>
      <c r="C323" s="0" t="str">
        <f aca="false">Raw!C323</f>
        <v>Surat</v>
      </c>
      <c r="D323" s="0" t="str">
        <f aca="false">Raw!D323</f>
        <v>Gujarat</v>
      </c>
      <c r="E323" s="0" t="str">
        <f aca="false">IFERROR(INDEX(Location_Map!$B$2:$B$15,MATCH(C323,Location_Map!$A$2:$A$15,0)),"UNMAPPED")</f>
        <v>Gujarat</v>
      </c>
      <c r="F323" s="0" t="str">
        <f aca="false">IFERROR(INDEX(Location_Map!$C$2:$C$15,MATCH(C323,Location_Map!$A$2:$A$15,0)),"UNMAPPED")</f>
        <v>West</v>
      </c>
      <c r="G323" s="0" t="str">
        <f aca="false">IFERROR(INDEX(Location_Map!$B$2:$B$15,MATCH(D323,Location_Map!$A$2:$A$15,0)),"UNMAPPED")</f>
        <v>Gujarat</v>
      </c>
      <c r="H323" s="0" t="str">
        <f aca="false">IFERROR(INDEX(Location_Map!$C$2:$C$15,MATCH(D323,Location_Map!$A$2:$A$15,0)),"UNMAPPED")</f>
        <v>West</v>
      </c>
      <c r="I323" s="0" t="str">
        <f aca="false">Raw!E323</f>
        <v>Raw Yarn</v>
      </c>
      <c r="J323" s="28" t="n">
        <f aca="false">Raw!F323</f>
        <v>18.95</v>
      </c>
      <c r="K323" s="30" t="n">
        <f aca="false">DATE(LEFT(Raw!G323,4),MID(Raw!G323,6,2),MID(Raw!G323,9,2))</f>
        <v>45878</v>
      </c>
      <c r="L323" s="30" t="n">
        <f aca="false">DATE(LEFT(Raw!H323,4),MID(Raw!H323,6,2),MID(Raw!H323,9,2))</f>
        <v>45882</v>
      </c>
      <c r="M323" s="30" t="n">
        <f aca="false">DATE(LEFT(Raw!I323,4),MID(Raw!I323,6,2),MID(Raw!I323,9,2))</f>
        <v>45886</v>
      </c>
      <c r="N323" s="31" t="n">
        <f aca="false">DATE(LEFT(Raw!J323,4),MID(Raw!J323,6,2),MID(Raw!J323,9,2))+TIME(MID(Raw!J323,12,2),MID(Raw!J323,15,2),MID(Raw!J323,18,2))</f>
        <v>45882.0833333333</v>
      </c>
      <c r="O323" s="31" t="n">
        <f aca="false">DATE(LEFT(Raw!K323,4),MID(Raw!K323,6,2),MID(Raw!K323,9,2))+TIME(MID(Raw!K323,12,2),MID(Raw!K323,15,2),MID(Raw!K323,18,2))</f>
        <v>45888.5</v>
      </c>
      <c r="P323" s="32" t="n">
        <f aca="false">L323-K323</f>
        <v>4</v>
      </c>
      <c r="Q323" s="32" t="n">
        <f aca="false">M323-L323</f>
        <v>4</v>
      </c>
      <c r="R323" s="32" t="n">
        <f aca="false">O323-N323</f>
        <v>6.41666666666667</v>
      </c>
      <c r="S323" s="32" t="n">
        <f aca="false">Raw!L323</f>
        <v>2.5</v>
      </c>
      <c r="T323" s="32" t="n">
        <f aca="false">O323-M323</f>
        <v>2.5</v>
      </c>
      <c r="U323" s="0" t="str">
        <f aca="false">IF(ABS(T323-S323)&lt;0.01,"OK","MISMATCH")</f>
        <v>OK</v>
      </c>
      <c r="V323" s="33" t="n">
        <f aca="false">Raw!M323</f>
        <v>1</v>
      </c>
      <c r="W323" s="0" t="str">
        <f aca="false">IF((S323&gt;0)=(V323=1),"OK","MISMATCH")</f>
        <v>OK</v>
      </c>
      <c r="X323" s="0" t="str">
        <f aca="false">_xlfn.IFS(S323&lt;=0,"Early/On time",S323&lt;=2,"Minor (up to 2 days)",S323&lt;=5,"Moderate (2-5 days)",TRUE(),"Severe (over 5 days)")</f>
        <v>Moderate (2-5 days)</v>
      </c>
      <c r="Y323" s="0" t="str">
        <f aca="false">YEAR(K323)&amp;"-"&amp;TEXT(MONTH(K323),"00")</f>
        <v>2025-08</v>
      </c>
      <c r="Z323" s="0" t="str">
        <f aca="false">C323&amp;" → "&amp;D323</f>
        <v>Surat → Gujarat</v>
      </c>
      <c r="AA323" s="0" t="str">
        <f aca="false">Raw!Q323</f>
        <v>TCI Express</v>
      </c>
      <c r="AB323" s="0" t="str">
        <f aca="false">Raw!R323</f>
        <v>No</v>
      </c>
      <c r="AC323" s="0" t="str">
        <f aca="false">Raw!S323</f>
        <v>Damaged</v>
      </c>
      <c r="AD323" s="29" t="n">
        <f aca="false">Raw!N323</f>
        <v>10494.73</v>
      </c>
      <c r="AE323" s="29" t="n">
        <f aca="false">Raw!O323</f>
        <v>3720.45</v>
      </c>
      <c r="AF323" s="29" t="n">
        <f aca="false">Raw!P323</f>
        <v>908.15</v>
      </c>
      <c r="AG323" s="29" t="n">
        <f aca="false">AD323/J323</f>
        <v>553.811609498681</v>
      </c>
    </row>
    <row r="324" customFormat="false" ht="15" hidden="false" customHeight="false" outlineLevel="0" collapsed="false">
      <c r="A324" s="0" t="str">
        <f aca="false">Raw!A324</f>
        <v>SHP0323</v>
      </c>
      <c r="B324" s="0" t="str">
        <f aca="false">Raw!B324</f>
        <v>Outbound</v>
      </c>
      <c r="C324" s="0" t="str">
        <f aca="false">Raw!C324</f>
        <v>Surat</v>
      </c>
      <c r="D324" s="0" t="str">
        <f aca="false">Raw!D324</f>
        <v>Jaipur</v>
      </c>
      <c r="E324" s="0" t="str">
        <f aca="false">IFERROR(INDEX(Location_Map!$B$2:$B$15,MATCH(C324,Location_Map!$A$2:$A$15,0)),"UNMAPPED")</f>
        <v>Gujarat</v>
      </c>
      <c r="F324" s="0" t="str">
        <f aca="false">IFERROR(INDEX(Location_Map!$C$2:$C$15,MATCH(C324,Location_Map!$A$2:$A$15,0)),"UNMAPPED")</f>
        <v>West</v>
      </c>
      <c r="G324" s="0" t="str">
        <f aca="false">IFERROR(INDEX(Location_Map!$B$2:$B$15,MATCH(D324,Location_Map!$A$2:$A$15,0)),"UNMAPPED")</f>
        <v>Rajasthan</v>
      </c>
      <c r="H324" s="0" t="str">
        <f aca="false">IFERROR(INDEX(Location_Map!$C$2:$C$15,MATCH(D324,Location_Map!$A$2:$A$15,0)),"UNMAPPED")</f>
        <v>North</v>
      </c>
      <c r="I324" s="0" t="str">
        <f aca="false">Raw!E324</f>
        <v>Raw Yarn</v>
      </c>
      <c r="J324" s="28" t="n">
        <f aca="false">Raw!F324</f>
        <v>1.29</v>
      </c>
      <c r="K324" s="30" t="n">
        <f aca="false">DATE(LEFT(Raw!G324,4),MID(Raw!G324,6,2),MID(Raw!G324,9,2))</f>
        <v>45832</v>
      </c>
      <c r="L324" s="30" t="n">
        <f aca="false">DATE(LEFT(Raw!H324,4),MID(Raw!H324,6,2),MID(Raw!H324,9,2))</f>
        <v>45834</v>
      </c>
      <c r="M324" s="30" t="n">
        <f aca="false">DATE(LEFT(Raw!I324,4),MID(Raw!I324,6,2),MID(Raw!I324,9,2))</f>
        <v>45839</v>
      </c>
      <c r="N324" s="31" t="n">
        <f aca="false">DATE(LEFT(Raw!J324,4),MID(Raw!J324,6,2),MID(Raw!J324,9,2))+TIME(MID(Raw!J324,12,2),MID(Raw!J324,15,2),MID(Raw!J324,18,2))</f>
        <v>45834</v>
      </c>
      <c r="O324" s="31" t="n">
        <f aca="false">DATE(LEFT(Raw!K324,4),MID(Raw!K324,6,2),MID(Raw!K324,9,2))+TIME(MID(Raw!K324,12,2),MID(Raw!K324,15,2),MID(Raw!K324,18,2))</f>
        <v>45843.3</v>
      </c>
      <c r="P324" s="32" t="n">
        <f aca="false">L324-K324</f>
        <v>2</v>
      </c>
      <c r="Q324" s="32" t="n">
        <f aca="false">M324-L324</f>
        <v>5</v>
      </c>
      <c r="R324" s="32" t="n">
        <f aca="false">O324-N324</f>
        <v>9.3</v>
      </c>
      <c r="S324" s="32" t="n">
        <f aca="false">Raw!L324</f>
        <v>4.3</v>
      </c>
      <c r="T324" s="32" t="n">
        <f aca="false">O324-M324</f>
        <v>4.3</v>
      </c>
      <c r="U324" s="0" t="str">
        <f aca="false">IF(ABS(T324-S324)&lt;0.01,"OK","MISMATCH")</f>
        <v>OK</v>
      </c>
      <c r="V324" s="33" t="n">
        <f aca="false">Raw!M324</f>
        <v>1</v>
      </c>
      <c r="W324" s="0" t="str">
        <f aca="false">IF((S324&gt;0)=(V324=1),"OK","MISMATCH")</f>
        <v>OK</v>
      </c>
      <c r="X324" s="0" t="str">
        <f aca="false">_xlfn.IFS(S324&lt;=0,"Early/On time",S324&lt;=2,"Minor (up to 2 days)",S324&lt;=5,"Moderate (2-5 days)",TRUE(),"Severe (over 5 days)")</f>
        <v>Moderate (2-5 days)</v>
      </c>
      <c r="Y324" s="0" t="str">
        <f aca="false">YEAR(K324)&amp;"-"&amp;TEXT(MONTH(K324),"00")</f>
        <v>2025-06</v>
      </c>
      <c r="Z324" s="0" t="str">
        <f aca="false">C324&amp;" → "&amp;D324</f>
        <v>Surat → Jaipur</v>
      </c>
      <c r="AA324" s="0" t="str">
        <f aca="false">Raw!Q324</f>
        <v>GATI Logistics</v>
      </c>
      <c r="AB324" s="0" t="str">
        <f aca="false">Raw!R324</f>
        <v>No</v>
      </c>
      <c r="AC324" s="0" t="str">
        <f aca="false">Raw!S324</f>
        <v>Returned</v>
      </c>
      <c r="AD324" s="29" t="n">
        <f aca="false">Raw!N324</f>
        <v>1425.58</v>
      </c>
      <c r="AE324" s="29" t="n">
        <f aca="false">Raw!O324</f>
        <v>1033.28</v>
      </c>
      <c r="AF324" s="29" t="n">
        <f aca="false">Raw!P324</f>
        <v>933.58</v>
      </c>
      <c r="AG324" s="29" t="n">
        <f aca="false">AD324/J324</f>
        <v>1105.1007751938</v>
      </c>
    </row>
    <row r="325" customFormat="false" ht="15" hidden="false" customHeight="false" outlineLevel="0" collapsed="false">
      <c r="A325" s="0" t="str">
        <f aca="false">Raw!A325</f>
        <v>SHP0324</v>
      </c>
      <c r="B325" s="0" t="str">
        <f aca="false">Raw!B325</f>
        <v>Inbound</v>
      </c>
      <c r="C325" s="0" t="str">
        <f aca="false">Raw!C325</f>
        <v>Chennai</v>
      </c>
      <c r="D325" s="0" t="str">
        <f aca="false">Raw!D325</f>
        <v>Surat</v>
      </c>
      <c r="E325" s="0" t="str">
        <f aca="false">IFERROR(INDEX(Location_Map!$B$2:$B$15,MATCH(C325,Location_Map!$A$2:$A$15,0)),"UNMAPPED")</f>
        <v>Tamil Nadu</v>
      </c>
      <c r="F325" s="0" t="str">
        <f aca="false">IFERROR(INDEX(Location_Map!$C$2:$C$15,MATCH(C325,Location_Map!$A$2:$A$15,0)),"UNMAPPED")</f>
        <v>South</v>
      </c>
      <c r="G325" s="0" t="str">
        <f aca="false">IFERROR(INDEX(Location_Map!$B$2:$B$15,MATCH(D325,Location_Map!$A$2:$A$15,0)),"UNMAPPED")</f>
        <v>Gujarat</v>
      </c>
      <c r="H325" s="0" t="str">
        <f aca="false">IFERROR(INDEX(Location_Map!$C$2:$C$15,MATCH(D325,Location_Map!$A$2:$A$15,0)),"UNMAPPED")</f>
        <v>West</v>
      </c>
      <c r="I325" s="0" t="str">
        <f aca="false">Raw!E325</f>
        <v>Raw Yarn</v>
      </c>
      <c r="J325" s="28" t="n">
        <f aca="false">Raw!F325</f>
        <v>2.76</v>
      </c>
      <c r="K325" s="30" t="n">
        <f aca="false">DATE(LEFT(Raw!G325,4),MID(Raw!G325,6,2),MID(Raw!G325,9,2))</f>
        <v>45882</v>
      </c>
      <c r="L325" s="30" t="n">
        <f aca="false">DATE(LEFT(Raw!H325,4),MID(Raw!H325,6,2),MID(Raw!H325,9,2))</f>
        <v>45886</v>
      </c>
      <c r="M325" s="30" t="n">
        <f aca="false">DATE(LEFT(Raw!I325,4),MID(Raw!I325,6,2),MID(Raw!I325,9,2))</f>
        <v>45891</v>
      </c>
      <c r="N325" s="31" t="n">
        <f aca="false">DATE(LEFT(Raw!J325,4),MID(Raw!J325,6,2),MID(Raw!J325,9,2))+TIME(MID(Raw!J325,12,2),MID(Raw!J325,15,2),MID(Raw!J325,18,2))</f>
        <v>45886.375</v>
      </c>
      <c r="O325" s="31" t="n">
        <f aca="false">DATE(LEFT(Raw!K325,4),MID(Raw!K325,6,2),MID(Raw!K325,9,2))+TIME(MID(Raw!K325,12,2),MID(Raw!K325,15,2),MID(Raw!K325,18,2))</f>
        <v>45897.4</v>
      </c>
      <c r="P325" s="32" t="n">
        <f aca="false">L325-K325</f>
        <v>4</v>
      </c>
      <c r="Q325" s="32" t="n">
        <f aca="false">M325-L325</f>
        <v>5</v>
      </c>
      <c r="R325" s="32" t="n">
        <f aca="false">O325-N325</f>
        <v>11.025</v>
      </c>
      <c r="S325" s="32" t="n">
        <f aca="false">Raw!L325</f>
        <v>6.4</v>
      </c>
      <c r="T325" s="32" t="n">
        <f aca="false">O325-M325</f>
        <v>6.4</v>
      </c>
      <c r="U325" s="0" t="str">
        <f aca="false">IF(ABS(T325-S325)&lt;0.01,"OK","MISMATCH")</f>
        <v>OK</v>
      </c>
      <c r="V325" s="33" t="n">
        <f aca="false">Raw!M325</f>
        <v>1</v>
      </c>
      <c r="W325" s="0" t="str">
        <f aca="false">IF((S325&gt;0)=(V325=1),"OK","MISMATCH")</f>
        <v>OK</v>
      </c>
      <c r="X325" s="0" t="str">
        <f aca="false">_xlfn.IFS(S325&lt;=0,"Early/On time",S325&lt;=2,"Minor (up to 2 days)",S325&lt;=5,"Moderate (2-5 days)",TRUE(),"Severe (over 5 days)")</f>
        <v>Severe (over 5 days)</v>
      </c>
      <c r="Y325" s="0" t="str">
        <f aca="false">YEAR(K325)&amp;"-"&amp;TEXT(MONTH(K325),"00")</f>
        <v>2025-08</v>
      </c>
      <c r="Z325" s="0" t="str">
        <f aca="false">C325&amp;" → "&amp;D325</f>
        <v>Chennai → Surat</v>
      </c>
      <c r="AA325" s="0" t="str">
        <f aca="false">Raw!Q325</f>
        <v>Delhivery</v>
      </c>
      <c r="AB325" s="0" t="str">
        <f aca="false">Raw!R325</f>
        <v>No</v>
      </c>
      <c r="AC325" s="0" t="str">
        <f aca="false">Raw!S325</f>
        <v>Normal</v>
      </c>
      <c r="AD325" s="29" t="n">
        <f aca="false">Raw!N325</f>
        <v>1950.04</v>
      </c>
      <c r="AE325" s="29" t="n">
        <f aca="false">Raw!O325</f>
        <v>3893.79</v>
      </c>
      <c r="AF325" s="29" t="n">
        <f aca="false">Raw!P325</f>
        <v>509.05</v>
      </c>
      <c r="AG325" s="29" t="n">
        <f aca="false">AD325/J325</f>
        <v>706.536231884058</v>
      </c>
    </row>
    <row r="326" customFormat="false" ht="15" hidden="false" customHeight="false" outlineLevel="0" collapsed="false">
      <c r="A326" s="0" t="str">
        <f aca="false">Raw!A326</f>
        <v>SHP0325</v>
      </c>
      <c r="B326" s="0" t="str">
        <f aca="false">Raw!B326</f>
        <v>Inbound</v>
      </c>
      <c r="C326" s="0" t="str">
        <f aca="false">Raw!C326</f>
        <v>Rajasthan</v>
      </c>
      <c r="D326" s="0" t="str">
        <f aca="false">Raw!D326</f>
        <v>Surat</v>
      </c>
      <c r="E326" s="0" t="str">
        <f aca="false">IFERROR(INDEX(Location_Map!$B$2:$B$15,MATCH(C326,Location_Map!$A$2:$A$15,0)),"UNMAPPED")</f>
        <v>Rajasthan</v>
      </c>
      <c r="F326" s="0" t="str">
        <f aca="false">IFERROR(INDEX(Location_Map!$C$2:$C$15,MATCH(C326,Location_Map!$A$2:$A$15,0)),"UNMAPPED")</f>
        <v>North</v>
      </c>
      <c r="G326" s="0" t="str">
        <f aca="false">IFERROR(INDEX(Location_Map!$B$2:$B$15,MATCH(D326,Location_Map!$A$2:$A$15,0)),"UNMAPPED")</f>
        <v>Gujarat</v>
      </c>
      <c r="H326" s="0" t="str">
        <f aca="false">IFERROR(INDEX(Location_Map!$C$2:$C$15,MATCH(D326,Location_Map!$A$2:$A$15,0)),"UNMAPPED")</f>
        <v>West</v>
      </c>
      <c r="I326" s="0" t="str">
        <f aca="false">Raw!E326</f>
        <v>Finished Yarn</v>
      </c>
      <c r="J326" s="28" t="n">
        <f aca="false">Raw!F326</f>
        <v>12.2</v>
      </c>
      <c r="K326" s="30" t="n">
        <f aca="false">DATE(LEFT(Raw!G326,4),MID(Raw!G326,6,2),MID(Raw!G326,9,2))</f>
        <v>45841</v>
      </c>
      <c r="L326" s="30" t="n">
        <f aca="false">DATE(LEFT(Raw!H326,4),MID(Raw!H326,6,2),MID(Raw!H326,9,2))</f>
        <v>45844</v>
      </c>
      <c r="M326" s="30" t="n">
        <f aca="false">DATE(LEFT(Raw!I326,4),MID(Raw!I326,6,2),MID(Raw!I326,9,2))</f>
        <v>45847</v>
      </c>
      <c r="N326" s="31" t="n">
        <f aca="false">DATE(LEFT(Raw!J326,4),MID(Raw!J326,6,2),MID(Raw!J326,9,2))+TIME(MID(Raw!J326,12,2),MID(Raw!J326,15,2),MID(Raw!J326,18,2))</f>
        <v>45844.0416666667</v>
      </c>
      <c r="O326" s="31" t="n">
        <f aca="false">DATE(LEFT(Raw!K326,4),MID(Raw!K326,6,2),MID(Raw!K326,9,2))+TIME(MID(Raw!K326,12,2),MID(Raw!K326,15,2),MID(Raw!K326,18,2))</f>
        <v>45846.1</v>
      </c>
      <c r="P326" s="32" t="n">
        <f aca="false">L326-K326</f>
        <v>3</v>
      </c>
      <c r="Q326" s="32" t="n">
        <f aca="false">M326-L326</f>
        <v>3</v>
      </c>
      <c r="R326" s="32" t="n">
        <f aca="false">O326-N326</f>
        <v>2.05833333333333</v>
      </c>
      <c r="S326" s="32" t="n">
        <f aca="false">Raw!L326</f>
        <v>-0.9</v>
      </c>
      <c r="T326" s="32" t="n">
        <f aca="false">O326-M326</f>
        <v>-0.900000000002917</v>
      </c>
      <c r="U326" s="0" t="str">
        <f aca="false">IF(ABS(T326-S326)&lt;0.01,"OK","MISMATCH")</f>
        <v>OK</v>
      </c>
      <c r="V326" s="33" t="n">
        <f aca="false">Raw!M326</f>
        <v>0</v>
      </c>
      <c r="W326" s="0" t="str">
        <f aca="false">IF((S326&gt;0)=(V326=1),"OK","MISMATCH")</f>
        <v>OK</v>
      </c>
      <c r="X326" s="0" t="str">
        <f aca="false">_xlfn.IFS(S326&lt;=0,"Early/On time",S326&lt;=2,"Minor (up to 2 days)",S326&lt;=5,"Moderate (2-5 days)",TRUE(),"Severe (over 5 days)")</f>
        <v>Early/On time</v>
      </c>
      <c r="Y326" s="0" t="str">
        <f aca="false">YEAR(K326)&amp;"-"&amp;TEXT(MONTH(K326),"00")</f>
        <v>2025-07</v>
      </c>
      <c r="Z326" s="0" t="str">
        <f aca="false">C326&amp;" → "&amp;D326</f>
        <v>Rajasthan → Surat</v>
      </c>
      <c r="AA326" s="0" t="str">
        <f aca="false">Raw!Q326</f>
        <v>TCI Express</v>
      </c>
      <c r="AB326" s="0" t="str">
        <f aca="false">Raw!R326</f>
        <v>No</v>
      </c>
      <c r="AC326" s="0" t="str">
        <f aca="false">Raw!S326</f>
        <v>Returned</v>
      </c>
      <c r="AD326" s="29" t="n">
        <f aca="false">Raw!N326</f>
        <v>5896.39</v>
      </c>
      <c r="AE326" s="29" t="n">
        <f aca="false">Raw!O326</f>
        <v>3954.89</v>
      </c>
      <c r="AF326" s="29" t="n">
        <f aca="false">Raw!P326</f>
        <v>513.75</v>
      </c>
      <c r="AG326" s="29" t="n">
        <f aca="false">AD326/J326</f>
        <v>483.310655737705</v>
      </c>
    </row>
    <row r="327" customFormat="false" ht="15" hidden="false" customHeight="false" outlineLevel="0" collapsed="false">
      <c r="A327" s="0" t="str">
        <f aca="false">Raw!A327</f>
        <v>SHP0326</v>
      </c>
      <c r="B327" s="0" t="str">
        <f aca="false">Raw!B327</f>
        <v>Inbound</v>
      </c>
      <c r="C327" s="0" t="str">
        <f aca="false">Raw!C327</f>
        <v>Gujarat</v>
      </c>
      <c r="D327" s="0" t="str">
        <f aca="false">Raw!D327</f>
        <v>Surat</v>
      </c>
      <c r="E327" s="0" t="str">
        <f aca="false">IFERROR(INDEX(Location_Map!$B$2:$B$15,MATCH(C327,Location_Map!$A$2:$A$15,0)),"UNMAPPED")</f>
        <v>Gujarat</v>
      </c>
      <c r="F327" s="0" t="str">
        <f aca="false">IFERROR(INDEX(Location_Map!$C$2:$C$15,MATCH(C327,Location_Map!$A$2:$A$15,0)),"UNMAPPED")</f>
        <v>West</v>
      </c>
      <c r="G327" s="0" t="str">
        <f aca="false">IFERROR(INDEX(Location_Map!$B$2:$B$15,MATCH(D327,Location_Map!$A$2:$A$15,0)),"UNMAPPED")</f>
        <v>Gujarat</v>
      </c>
      <c r="H327" s="0" t="str">
        <f aca="false">IFERROR(INDEX(Location_Map!$C$2:$C$15,MATCH(D327,Location_Map!$A$2:$A$15,0)),"UNMAPPED")</f>
        <v>West</v>
      </c>
      <c r="I327" s="0" t="str">
        <f aca="false">Raw!E327</f>
        <v>Semi-Processed Yarn</v>
      </c>
      <c r="J327" s="28" t="n">
        <f aca="false">Raw!F327</f>
        <v>5.72</v>
      </c>
      <c r="K327" s="30" t="n">
        <f aca="false">DATE(LEFT(Raw!G327,4),MID(Raw!G327,6,2),MID(Raw!G327,9,2))</f>
        <v>45722</v>
      </c>
      <c r="L327" s="30" t="n">
        <f aca="false">DATE(LEFT(Raw!H327,4),MID(Raw!H327,6,2),MID(Raw!H327,9,2))</f>
        <v>45724</v>
      </c>
      <c r="M327" s="30" t="n">
        <f aca="false">DATE(LEFT(Raw!I327,4),MID(Raw!I327,6,2),MID(Raw!I327,9,2))</f>
        <v>45727</v>
      </c>
      <c r="N327" s="31" t="n">
        <f aca="false">DATE(LEFT(Raw!J327,4),MID(Raw!J327,6,2),MID(Raw!J327,9,2))+TIME(MID(Raw!J327,12,2),MID(Raw!J327,15,2),MID(Raw!J327,18,2))</f>
        <v>45724.0833333333</v>
      </c>
      <c r="O327" s="31" t="n">
        <f aca="false">DATE(LEFT(Raw!K327,4),MID(Raw!K327,6,2),MID(Raw!K327,9,2))+TIME(MID(Raw!K327,12,2),MID(Raw!K327,15,2),MID(Raw!K327,18,2))</f>
        <v>45730.9</v>
      </c>
      <c r="P327" s="32" t="n">
        <f aca="false">L327-K327</f>
        <v>2</v>
      </c>
      <c r="Q327" s="32" t="n">
        <f aca="false">M327-L327</f>
        <v>3</v>
      </c>
      <c r="R327" s="32" t="n">
        <f aca="false">O327-N327</f>
        <v>6.81666666666667</v>
      </c>
      <c r="S327" s="32" t="n">
        <f aca="false">Raw!L327</f>
        <v>3.9</v>
      </c>
      <c r="T327" s="32" t="n">
        <f aca="false">O327-M327</f>
        <v>3.9</v>
      </c>
      <c r="U327" s="0" t="str">
        <f aca="false">IF(ABS(T327-S327)&lt;0.01,"OK","MISMATCH")</f>
        <v>OK</v>
      </c>
      <c r="V327" s="33" t="n">
        <f aca="false">Raw!M327</f>
        <v>1</v>
      </c>
      <c r="W327" s="0" t="str">
        <f aca="false">IF((S327&gt;0)=(V327=1),"OK","MISMATCH")</f>
        <v>OK</v>
      </c>
      <c r="X327" s="0" t="str">
        <f aca="false">_xlfn.IFS(S327&lt;=0,"Early/On time",S327&lt;=2,"Minor (up to 2 days)",S327&lt;=5,"Moderate (2-5 days)",TRUE(),"Severe (over 5 days)")</f>
        <v>Moderate (2-5 days)</v>
      </c>
      <c r="Y327" s="0" t="str">
        <f aca="false">YEAR(K327)&amp;"-"&amp;TEXT(MONTH(K327),"00")</f>
        <v>2025-03</v>
      </c>
      <c r="Z327" s="0" t="str">
        <f aca="false">C327&amp;" → "&amp;D327</f>
        <v>Gujarat → Surat</v>
      </c>
      <c r="AA327" s="0" t="str">
        <f aca="false">Raw!Q327</f>
        <v>VRL Cargo</v>
      </c>
      <c r="AB327" s="0" t="str">
        <f aca="false">Raw!R327</f>
        <v>No</v>
      </c>
      <c r="AC327" s="0" t="str">
        <f aca="false">Raw!S327</f>
        <v>Held at warehouse</v>
      </c>
      <c r="AD327" s="29" t="n">
        <f aca="false">Raw!N327</f>
        <v>3020.91</v>
      </c>
      <c r="AE327" s="29" t="n">
        <f aca="false">Raw!O327</f>
        <v>1861.38</v>
      </c>
      <c r="AF327" s="29" t="n">
        <f aca="false">Raw!P327</f>
        <v>1097.1</v>
      </c>
      <c r="AG327" s="29" t="n">
        <f aca="false">AD327/J327</f>
        <v>528.131118881119</v>
      </c>
    </row>
    <row r="328" customFormat="false" ht="15" hidden="false" customHeight="false" outlineLevel="0" collapsed="false">
      <c r="A328" s="0" t="str">
        <f aca="false">Raw!A328</f>
        <v>SHP0327</v>
      </c>
      <c r="B328" s="0" t="str">
        <f aca="false">Raw!B328</f>
        <v>Outbound</v>
      </c>
      <c r="C328" s="0" t="str">
        <f aca="false">Raw!C328</f>
        <v>Surat</v>
      </c>
      <c r="D328" s="0" t="str">
        <f aca="false">Raw!D328</f>
        <v>West Bengal</v>
      </c>
      <c r="E328" s="0" t="str">
        <f aca="false">IFERROR(INDEX(Location_Map!$B$2:$B$15,MATCH(C328,Location_Map!$A$2:$A$15,0)),"UNMAPPED")</f>
        <v>Gujarat</v>
      </c>
      <c r="F328" s="0" t="str">
        <f aca="false">IFERROR(INDEX(Location_Map!$C$2:$C$15,MATCH(C328,Location_Map!$A$2:$A$15,0)),"UNMAPPED")</f>
        <v>West</v>
      </c>
      <c r="G328" s="0" t="str">
        <f aca="false">IFERROR(INDEX(Location_Map!$B$2:$B$15,MATCH(D328,Location_Map!$A$2:$A$15,0)),"UNMAPPED")</f>
        <v>West Bengal</v>
      </c>
      <c r="H328" s="0" t="str">
        <f aca="false">IFERROR(INDEX(Location_Map!$C$2:$C$15,MATCH(D328,Location_Map!$A$2:$A$15,0)),"UNMAPPED")</f>
        <v>East</v>
      </c>
      <c r="I328" s="0" t="str">
        <f aca="false">Raw!E328</f>
        <v>Raw Yarn</v>
      </c>
      <c r="J328" s="28" t="n">
        <f aca="false">Raw!F328</f>
        <v>12.3</v>
      </c>
      <c r="K328" s="30" t="n">
        <f aca="false">DATE(LEFT(Raw!G328,4),MID(Raw!G328,6,2),MID(Raw!G328,9,2))</f>
        <v>45769</v>
      </c>
      <c r="L328" s="30" t="n">
        <f aca="false">DATE(LEFT(Raw!H328,4),MID(Raw!H328,6,2),MID(Raw!H328,9,2))</f>
        <v>45771</v>
      </c>
      <c r="M328" s="30" t="n">
        <f aca="false">DATE(LEFT(Raw!I328,4),MID(Raw!I328,6,2),MID(Raw!I328,9,2))</f>
        <v>45774</v>
      </c>
      <c r="N328" s="31" t="n">
        <f aca="false">DATE(LEFT(Raw!J328,4),MID(Raw!J328,6,2),MID(Raw!J328,9,2))+TIME(MID(Raw!J328,12,2),MID(Raw!J328,15,2),MID(Raw!J328,18,2))</f>
        <v>45771.2083333333</v>
      </c>
      <c r="O328" s="31" t="n">
        <f aca="false">DATE(LEFT(Raw!K328,4),MID(Raw!K328,6,2),MID(Raw!K328,9,2))+TIME(MID(Raw!K328,12,2),MID(Raw!K328,15,2),MID(Raw!K328,18,2))</f>
        <v>45777.5</v>
      </c>
      <c r="P328" s="32" t="n">
        <f aca="false">L328-K328</f>
        <v>2</v>
      </c>
      <c r="Q328" s="32" t="n">
        <f aca="false">M328-L328</f>
        <v>3</v>
      </c>
      <c r="R328" s="32" t="n">
        <f aca="false">O328-N328</f>
        <v>6.29166666666667</v>
      </c>
      <c r="S328" s="32" t="n">
        <f aca="false">Raw!L328</f>
        <v>3.5</v>
      </c>
      <c r="T328" s="32" t="n">
        <f aca="false">O328-M328</f>
        <v>3.5</v>
      </c>
      <c r="U328" s="0" t="str">
        <f aca="false">IF(ABS(T328-S328)&lt;0.01,"OK","MISMATCH")</f>
        <v>OK</v>
      </c>
      <c r="V328" s="33" t="n">
        <f aca="false">Raw!M328</f>
        <v>1</v>
      </c>
      <c r="W328" s="0" t="str">
        <f aca="false">IF((S328&gt;0)=(V328=1),"OK","MISMATCH")</f>
        <v>OK</v>
      </c>
      <c r="X328" s="0" t="str">
        <f aca="false">_xlfn.IFS(S328&lt;=0,"Early/On time",S328&lt;=2,"Minor (up to 2 days)",S328&lt;=5,"Moderate (2-5 days)",TRUE(),"Severe (over 5 days)")</f>
        <v>Moderate (2-5 days)</v>
      </c>
      <c r="Y328" s="0" t="str">
        <f aca="false">YEAR(K328)&amp;"-"&amp;TEXT(MONTH(K328),"00")</f>
        <v>2025-04</v>
      </c>
      <c r="Z328" s="0" t="str">
        <f aca="false">C328&amp;" → "&amp;D328</f>
        <v>Surat → West Bengal</v>
      </c>
      <c r="AA328" s="0" t="str">
        <f aca="false">Raw!Q328</f>
        <v>TCI Express</v>
      </c>
      <c r="AB328" s="0" t="str">
        <f aca="false">Raw!R328</f>
        <v>Yes</v>
      </c>
      <c r="AC328" s="0" t="str">
        <f aca="false">Raw!S328</f>
        <v>Returned</v>
      </c>
      <c r="AD328" s="29" t="n">
        <f aca="false">Raw!N328</f>
        <v>6085.61</v>
      </c>
      <c r="AE328" s="29" t="n">
        <f aca="false">Raw!O328</f>
        <v>2589.79</v>
      </c>
      <c r="AF328" s="29" t="n">
        <f aca="false">Raw!P328</f>
        <v>1013.61</v>
      </c>
      <c r="AG328" s="29" t="n">
        <f aca="false">AD328/J328</f>
        <v>494.765040650406</v>
      </c>
    </row>
    <row r="329" customFormat="false" ht="15" hidden="false" customHeight="false" outlineLevel="0" collapsed="false">
      <c r="A329" s="0" t="str">
        <f aca="false">Raw!A329</f>
        <v>SHP0328</v>
      </c>
      <c r="B329" s="0" t="str">
        <f aca="false">Raw!B329</f>
        <v>Inbound</v>
      </c>
      <c r="C329" s="0" t="str">
        <f aca="false">Raw!C329</f>
        <v>Punjab</v>
      </c>
      <c r="D329" s="0" t="str">
        <f aca="false">Raw!D329</f>
        <v>Surat</v>
      </c>
      <c r="E329" s="0" t="str">
        <f aca="false">IFERROR(INDEX(Location_Map!$B$2:$B$15,MATCH(C329,Location_Map!$A$2:$A$15,0)),"UNMAPPED")</f>
        <v>Punjab</v>
      </c>
      <c r="F329" s="0" t="str">
        <f aca="false">IFERROR(INDEX(Location_Map!$C$2:$C$15,MATCH(C329,Location_Map!$A$2:$A$15,0)),"UNMAPPED")</f>
        <v>North</v>
      </c>
      <c r="G329" s="0" t="str">
        <f aca="false">IFERROR(INDEX(Location_Map!$B$2:$B$15,MATCH(D329,Location_Map!$A$2:$A$15,0)),"UNMAPPED")</f>
        <v>Gujarat</v>
      </c>
      <c r="H329" s="0" t="str">
        <f aca="false">IFERROR(INDEX(Location_Map!$C$2:$C$15,MATCH(D329,Location_Map!$A$2:$A$15,0)),"UNMAPPED")</f>
        <v>West</v>
      </c>
      <c r="I329" s="0" t="str">
        <f aca="false">Raw!E329</f>
        <v>Finished Yarn</v>
      </c>
      <c r="J329" s="28" t="n">
        <f aca="false">Raw!F329</f>
        <v>5.81</v>
      </c>
      <c r="K329" s="30" t="n">
        <f aca="false">DATE(LEFT(Raw!G329,4),MID(Raw!G329,6,2),MID(Raw!G329,9,2))</f>
        <v>45954</v>
      </c>
      <c r="L329" s="30" t="n">
        <f aca="false">DATE(LEFT(Raw!H329,4),MID(Raw!H329,6,2),MID(Raw!H329,9,2))</f>
        <v>45956</v>
      </c>
      <c r="M329" s="30" t="n">
        <f aca="false">DATE(LEFT(Raw!I329,4),MID(Raw!I329,6,2),MID(Raw!I329,9,2))</f>
        <v>45959</v>
      </c>
      <c r="N329" s="31" t="n">
        <f aca="false">DATE(LEFT(Raw!J329,4),MID(Raw!J329,6,2),MID(Raw!J329,9,2))+TIME(MID(Raw!J329,12,2),MID(Raw!J329,15,2),MID(Raw!J329,18,2))</f>
        <v>45955.7916666667</v>
      </c>
      <c r="O329" s="31" t="n">
        <f aca="false">DATE(LEFT(Raw!K329,4),MID(Raw!K329,6,2),MID(Raw!K329,9,2))+TIME(MID(Raw!K329,12,2),MID(Raw!K329,15,2),MID(Raw!K329,18,2))</f>
        <v>45962.4</v>
      </c>
      <c r="P329" s="32" t="n">
        <f aca="false">L329-K329</f>
        <v>2</v>
      </c>
      <c r="Q329" s="32" t="n">
        <f aca="false">M329-L329</f>
        <v>3</v>
      </c>
      <c r="R329" s="32" t="n">
        <f aca="false">O329-N329</f>
        <v>6.60833333333333</v>
      </c>
      <c r="S329" s="32" t="n">
        <f aca="false">Raw!L329</f>
        <v>3.4</v>
      </c>
      <c r="T329" s="32" t="n">
        <f aca="false">O329-M329</f>
        <v>3.4</v>
      </c>
      <c r="U329" s="0" t="str">
        <f aca="false">IF(ABS(T329-S329)&lt;0.01,"OK","MISMATCH")</f>
        <v>OK</v>
      </c>
      <c r="V329" s="33" t="n">
        <f aca="false">Raw!M329</f>
        <v>1</v>
      </c>
      <c r="W329" s="0" t="str">
        <f aca="false">IF((S329&gt;0)=(V329=1),"OK","MISMATCH")</f>
        <v>OK</v>
      </c>
      <c r="X329" s="0" t="str">
        <f aca="false">_xlfn.IFS(S329&lt;=0,"Early/On time",S329&lt;=2,"Minor (up to 2 days)",S329&lt;=5,"Moderate (2-5 days)",TRUE(),"Severe (over 5 days)")</f>
        <v>Moderate (2-5 days)</v>
      </c>
      <c r="Y329" s="0" t="str">
        <f aca="false">YEAR(K329)&amp;"-"&amp;TEXT(MONTH(K329),"00")</f>
        <v>2025-10</v>
      </c>
      <c r="Z329" s="0" t="str">
        <f aca="false">C329&amp;" → "&amp;D329</f>
        <v>Punjab → Surat</v>
      </c>
      <c r="AA329" s="0" t="str">
        <f aca="false">Raw!Q329</f>
        <v>BlueDart</v>
      </c>
      <c r="AB329" s="0" t="str">
        <f aca="false">Raw!R329</f>
        <v>Yes</v>
      </c>
      <c r="AC329" s="0" t="str">
        <f aca="false">Raw!S329</f>
        <v>Damaged</v>
      </c>
      <c r="AD329" s="29" t="n">
        <f aca="false">Raw!N329</f>
        <v>4554.61</v>
      </c>
      <c r="AE329" s="29" t="n">
        <f aca="false">Raw!O329</f>
        <v>3153.33</v>
      </c>
      <c r="AF329" s="29" t="n">
        <f aca="false">Raw!P329</f>
        <v>768.85</v>
      </c>
      <c r="AG329" s="29" t="n">
        <f aca="false">AD329/J329</f>
        <v>783.925989672978</v>
      </c>
    </row>
    <row r="330" customFormat="false" ht="15" hidden="false" customHeight="false" outlineLevel="0" collapsed="false">
      <c r="A330" s="0" t="str">
        <f aca="false">Raw!A330</f>
        <v>SHP0329</v>
      </c>
      <c r="B330" s="0" t="str">
        <f aca="false">Raw!B330</f>
        <v>Inbound</v>
      </c>
      <c r="C330" s="0" t="str">
        <f aca="false">Raw!C330</f>
        <v>Uttar Pradesh</v>
      </c>
      <c r="D330" s="0" t="str">
        <f aca="false">Raw!D330</f>
        <v>Surat</v>
      </c>
      <c r="E330" s="0" t="str">
        <f aca="false">IFERROR(INDEX(Location_Map!$B$2:$B$15,MATCH(C330,Location_Map!$A$2:$A$15,0)),"UNMAPPED")</f>
        <v>Uttar Pradesh</v>
      </c>
      <c r="F330" s="0" t="str">
        <f aca="false">IFERROR(INDEX(Location_Map!$C$2:$C$15,MATCH(C330,Location_Map!$A$2:$A$15,0)),"UNMAPPED")</f>
        <v>North</v>
      </c>
      <c r="G330" s="0" t="str">
        <f aca="false">IFERROR(INDEX(Location_Map!$B$2:$B$15,MATCH(D330,Location_Map!$A$2:$A$15,0)),"UNMAPPED")</f>
        <v>Gujarat</v>
      </c>
      <c r="H330" s="0" t="str">
        <f aca="false">IFERROR(INDEX(Location_Map!$C$2:$C$15,MATCH(D330,Location_Map!$A$2:$A$15,0)),"UNMAPPED")</f>
        <v>West</v>
      </c>
      <c r="I330" s="0" t="str">
        <f aca="false">Raw!E330</f>
        <v>Semi-Processed Yarn</v>
      </c>
      <c r="J330" s="28" t="n">
        <f aca="false">Raw!F330</f>
        <v>8</v>
      </c>
      <c r="K330" s="30" t="n">
        <f aca="false">DATE(LEFT(Raw!G330,4),MID(Raw!G330,6,2),MID(Raw!G330,9,2))</f>
        <v>45926</v>
      </c>
      <c r="L330" s="30" t="n">
        <f aca="false">DATE(LEFT(Raw!H330,4),MID(Raw!H330,6,2),MID(Raw!H330,9,2))</f>
        <v>45929</v>
      </c>
      <c r="M330" s="30" t="n">
        <f aca="false">DATE(LEFT(Raw!I330,4),MID(Raw!I330,6,2),MID(Raw!I330,9,2))</f>
        <v>45933</v>
      </c>
      <c r="N330" s="31" t="n">
        <f aca="false">DATE(LEFT(Raw!J330,4),MID(Raw!J330,6,2),MID(Raw!J330,9,2))+TIME(MID(Raw!J330,12,2),MID(Raw!J330,15,2),MID(Raw!J330,18,2))</f>
        <v>45929.2083333333</v>
      </c>
      <c r="O330" s="31" t="n">
        <f aca="false">DATE(LEFT(Raw!K330,4),MID(Raw!K330,6,2),MID(Raw!K330,9,2))+TIME(MID(Raw!K330,12,2),MID(Raw!K330,15,2),MID(Raw!K330,18,2))</f>
        <v>45941.4</v>
      </c>
      <c r="P330" s="32" t="n">
        <f aca="false">L330-K330</f>
        <v>3</v>
      </c>
      <c r="Q330" s="32" t="n">
        <f aca="false">M330-L330</f>
        <v>4</v>
      </c>
      <c r="R330" s="32" t="n">
        <f aca="false">O330-N330</f>
        <v>12.1916666666667</v>
      </c>
      <c r="S330" s="32" t="n">
        <f aca="false">Raw!L330</f>
        <v>8.4</v>
      </c>
      <c r="T330" s="32" t="n">
        <f aca="false">O330-M330</f>
        <v>8.4</v>
      </c>
      <c r="U330" s="0" t="str">
        <f aca="false">IF(ABS(T330-S330)&lt;0.01,"OK","MISMATCH")</f>
        <v>OK</v>
      </c>
      <c r="V330" s="33" t="n">
        <f aca="false">Raw!M330</f>
        <v>1</v>
      </c>
      <c r="W330" s="0" t="str">
        <f aca="false">IF((S330&gt;0)=(V330=1),"OK","MISMATCH")</f>
        <v>OK</v>
      </c>
      <c r="X330" s="0" t="str">
        <f aca="false">_xlfn.IFS(S330&lt;=0,"Early/On time",S330&lt;=2,"Minor (up to 2 days)",S330&lt;=5,"Moderate (2-5 days)",TRUE(),"Severe (over 5 days)")</f>
        <v>Severe (over 5 days)</v>
      </c>
      <c r="Y330" s="0" t="str">
        <f aca="false">YEAR(K330)&amp;"-"&amp;TEXT(MONTH(K330),"00")</f>
        <v>2025-09</v>
      </c>
      <c r="Z330" s="0" t="str">
        <f aca="false">C330&amp;" → "&amp;D330</f>
        <v>Uttar Pradesh → Surat</v>
      </c>
      <c r="AA330" s="0" t="str">
        <f aca="false">Raw!Q330</f>
        <v>Delhivery</v>
      </c>
      <c r="AB330" s="0" t="str">
        <f aca="false">Raw!R330</f>
        <v>Yes</v>
      </c>
      <c r="AC330" s="0" t="str">
        <f aca="false">Raw!S330</f>
        <v>Expedited</v>
      </c>
      <c r="AD330" s="29" t="n">
        <f aca="false">Raw!N330</f>
        <v>5715.57</v>
      </c>
      <c r="AE330" s="29" t="n">
        <f aca="false">Raw!O330</f>
        <v>2997.73</v>
      </c>
      <c r="AF330" s="29" t="n">
        <f aca="false">Raw!P330</f>
        <v>1035.03</v>
      </c>
      <c r="AG330" s="29" t="n">
        <f aca="false">AD330/J330</f>
        <v>714.44625</v>
      </c>
    </row>
    <row r="331" customFormat="false" ht="15" hidden="false" customHeight="false" outlineLevel="0" collapsed="false">
      <c r="A331" s="0" t="str">
        <f aca="false">Raw!A331</f>
        <v>SHP0330</v>
      </c>
      <c r="B331" s="0" t="str">
        <f aca="false">Raw!B331</f>
        <v>Outbound</v>
      </c>
      <c r="C331" s="0" t="str">
        <f aca="false">Raw!C331</f>
        <v>Surat</v>
      </c>
      <c r="D331" s="0" t="str">
        <f aca="false">Raw!D331</f>
        <v>Karnataka</v>
      </c>
      <c r="E331" s="0" t="str">
        <f aca="false">IFERROR(INDEX(Location_Map!$B$2:$B$15,MATCH(C331,Location_Map!$A$2:$A$15,0)),"UNMAPPED")</f>
        <v>Gujarat</v>
      </c>
      <c r="F331" s="0" t="str">
        <f aca="false">IFERROR(INDEX(Location_Map!$C$2:$C$15,MATCH(C331,Location_Map!$A$2:$A$15,0)),"UNMAPPED")</f>
        <v>West</v>
      </c>
      <c r="G331" s="0" t="str">
        <f aca="false">IFERROR(INDEX(Location_Map!$B$2:$B$15,MATCH(D331,Location_Map!$A$2:$A$15,0)),"UNMAPPED")</f>
        <v>Karnataka</v>
      </c>
      <c r="H331" s="0" t="str">
        <f aca="false">IFERROR(INDEX(Location_Map!$C$2:$C$15,MATCH(D331,Location_Map!$A$2:$A$15,0)),"UNMAPPED")</f>
        <v>South</v>
      </c>
      <c r="I331" s="0" t="str">
        <f aca="false">Raw!E331</f>
        <v>Semi-Processed Yarn</v>
      </c>
      <c r="J331" s="28" t="n">
        <f aca="false">Raw!F331</f>
        <v>3.74</v>
      </c>
      <c r="K331" s="30" t="n">
        <f aca="false">DATE(LEFT(Raw!G331,4),MID(Raw!G331,6,2),MID(Raw!G331,9,2))</f>
        <v>45893</v>
      </c>
      <c r="L331" s="30" t="n">
        <f aca="false">DATE(LEFT(Raw!H331,4),MID(Raw!H331,6,2),MID(Raw!H331,9,2))</f>
        <v>45895</v>
      </c>
      <c r="M331" s="30" t="n">
        <f aca="false">DATE(LEFT(Raw!I331,4),MID(Raw!I331,6,2),MID(Raw!I331,9,2))</f>
        <v>45899</v>
      </c>
      <c r="N331" s="31" t="n">
        <f aca="false">DATE(LEFT(Raw!J331,4),MID(Raw!J331,6,2),MID(Raw!J331,9,2))+TIME(MID(Raw!J331,12,2),MID(Raw!J331,15,2),MID(Raw!J331,18,2))</f>
        <v>45895.1666666667</v>
      </c>
      <c r="O331" s="31" t="n">
        <f aca="false">DATE(LEFT(Raw!K331,4),MID(Raw!K331,6,2),MID(Raw!K331,9,2))+TIME(MID(Raw!K331,12,2),MID(Raw!K331,15,2),MID(Raw!K331,18,2))</f>
        <v>45898.7</v>
      </c>
      <c r="P331" s="32" t="n">
        <f aca="false">L331-K331</f>
        <v>2</v>
      </c>
      <c r="Q331" s="32" t="n">
        <f aca="false">M331-L331</f>
        <v>4</v>
      </c>
      <c r="R331" s="32" t="n">
        <f aca="false">O331-N331</f>
        <v>3.53333333333333</v>
      </c>
      <c r="S331" s="32" t="n">
        <f aca="false">Raw!L331</f>
        <v>-0.3</v>
      </c>
      <c r="T331" s="32" t="n">
        <f aca="false">O331-M331</f>
        <v>-0.300000000005833</v>
      </c>
      <c r="U331" s="0" t="str">
        <f aca="false">IF(ABS(T331-S331)&lt;0.01,"OK","MISMATCH")</f>
        <v>OK</v>
      </c>
      <c r="V331" s="33" t="n">
        <f aca="false">Raw!M331</f>
        <v>0</v>
      </c>
      <c r="W331" s="0" t="str">
        <f aca="false">IF((S331&gt;0)=(V331=1),"OK","MISMATCH")</f>
        <v>OK</v>
      </c>
      <c r="X331" s="0" t="str">
        <f aca="false">_xlfn.IFS(S331&lt;=0,"Early/On time",S331&lt;=2,"Minor (up to 2 days)",S331&lt;=5,"Moderate (2-5 days)",TRUE(),"Severe (over 5 days)")</f>
        <v>Early/On time</v>
      </c>
      <c r="Y331" s="0" t="str">
        <f aca="false">YEAR(K331)&amp;"-"&amp;TEXT(MONTH(K331),"00")</f>
        <v>2025-08</v>
      </c>
      <c r="Z331" s="0" t="str">
        <f aca="false">C331&amp;" → "&amp;D331</f>
        <v>Surat → Karnataka</v>
      </c>
      <c r="AA331" s="0" t="str">
        <f aca="false">Raw!Q331</f>
        <v>BlueDart</v>
      </c>
      <c r="AB331" s="0" t="str">
        <f aca="false">Raw!R331</f>
        <v>No</v>
      </c>
      <c r="AC331" s="0" t="str">
        <f aca="false">Raw!S331</f>
        <v>Expedited</v>
      </c>
      <c r="AD331" s="29" t="n">
        <f aca="false">Raw!N331</f>
        <v>1791.61</v>
      </c>
      <c r="AE331" s="29" t="n">
        <f aca="false">Raw!O331</f>
        <v>3010.52</v>
      </c>
      <c r="AF331" s="29" t="n">
        <f aca="false">Raw!P331</f>
        <v>556.18</v>
      </c>
      <c r="AG331" s="29" t="n">
        <f aca="false">AD331/J331</f>
        <v>479.040106951872</v>
      </c>
    </row>
    <row r="332" customFormat="false" ht="15" hidden="false" customHeight="false" outlineLevel="0" collapsed="false">
      <c r="A332" s="0" t="str">
        <f aca="false">Raw!A332</f>
        <v>SHP0331</v>
      </c>
      <c r="B332" s="0" t="str">
        <f aca="false">Raw!B332</f>
        <v>Inbound</v>
      </c>
      <c r="C332" s="0" t="str">
        <f aca="false">Raw!C332</f>
        <v>Uttar Pradesh</v>
      </c>
      <c r="D332" s="0" t="str">
        <f aca="false">Raw!D332</f>
        <v>Surat</v>
      </c>
      <c r="E332" s="0" t="str">
        <f aca="false">IFERROR(INDEX(Location_Map!$B$2:$B$15,MATCH(C332,Location_Map!$A$2:$A$15,0)),"UNMAPPED")</f>
        <v>Uttar Pradesh</v>
      </c>
      <c r="F332" s="0" t="str">
        <f aca="false">IFERROR(INDEX(Location_Map!$C$2:$C$15,MATCH(C332,Location_Map!$A$2:$A$15,0)),"UNMAPPED")</f>
        <v>North</v>
      </c>
      <c r="G332" s="0" t="str">
        <f aca="false">IFERROR(INDEX(Location_Map!$B$2:$B$15,MATCH(D332,Location_Map!$A$2:$A$15,0)),"UNMAPPED")</f>
        <v>Gujarat</v>
      </c>
      <c r="H332" s="0" t="str">
        <f aca="false">IFERROR(INDEX(Location_Map!$C$2:$C$15,MATCH(D332,Location_Map!$A$2:$A$15,0)),"UNMAPPED")</f>
        <v>West</v>
      </c>
      <c r="I332" s="0" t="str">
        <f aca="false">Raw!E332</f>
        <v>Semi-Processed Yarn</v>
      </c>
      <c r="J332" s="28" t="n">
        <f aca="false">Raw!F332</f>
        <v>10.33</v>
      </c>
      <c r="K332" s="30" t="n">
        <f aca="false">DATE(LEFT(Raw!G332,4),MID(Raw!G332,6,2),MID(Raw!G332,9,2))</f>
        <v>45936</v>
      </c>
      <c r="L332" s="30" t="n">
        <f aca="false">DATE(LEFT(Raw!H332,4),MID(Raw!H332,6,2),MID(Raw!H332,9,2))</f>
        <v>45937</v>
      </c>
      <c r="M332" s="30" t="n">
        <f aca="false">DATE(LEFT(Raw!I332,4),MID(Raw!I332,6,2),MID(Raw!I332,9,2))</f>
        <v>45941</v>
      </c>
      <c r="N332" s="31" t="n">
        <f aca="false">DATE(LEFT(Raw!J332,4),MID(Raw!J332,6,2),MID(Raw!J332,9,2))+TIME(MID(Raw!J332,12,2),MID(Raw!J332,15,2),MID(Raw!J332,18,2))</f>
        <v>45936.7916666667</v>
      </c>
      <c r="O332" s="31" t="n">
        <f aca="false">DATE(LEFT(Raw!K332,4),MID(Raw!K332,6,2),MID(Raw!K332,9,2))+TIME(MID(Raw!K332,12,2),MID(Raw!K332,15,2),MID(Raw!K332,18,2))</f>
        <v>45948.2</v>
      </c>
      <c r="P332" s="32" t="n">
        <f aca="false">L332-K332</f>
        <v>1</v>
      </c>
      <c r="Q332" s="32" t="n">
        <f aca="false">M332-L332</f>
        <v>4</v>
      </c>
      <c r="R332" s="32" t="n">
        <f aca="false">O332-N332</f>
        <v>11.4083333333333</v>
      </c>
      <c r="S332" s="32" t="n">
        <f aca="false">Raw!L332</f>
        <v>7.2</v>
      </c>
      <c r="T332" s="32" t="n">
        <f aca="false">O332-M332</f>
        <v>7.2</v>
      </c>
      <c r="U332" s="0" t="str">
        <f aca="false">IF(ABS(T332-S332)&lt;0.01,"OK","MISMATCH")</f>
        <v>OK</v>
      </c>
      <c r="V332" s="33" t="n">
        <f aca="false">Raw!M332</f>
        <v>1</v>
      </c>
      <c r="W332" s="0" t="str">
        <f aca="false">IF((S332&gt;0)=(V332=1),"OK","MISMATCH")</f>
        <v>OK</v>
      </c>
      <c r="X332" s="0" t="str">
        <f aca="false">_xlfn.IFS(S332&lt;=0,"Early/On time",S332&lt;=2,"Minor (up to 2 days)",S332&lt;=5,"Moderate (2-5 days)",TRUE(),"Severe (over 5 days)")</f>
        <v>Severe (over 5 days)</v>
      </c>
      <c r="Y332" s="0" t="str">
        <f aca="false">YEAR(K332)&amp;"-"&amp;TEXT(MONTH(K332),"00")</f>
        <v>2025-10</v>
      </c>
      <c r="Z332" s="0" t="str">
        <f aca="false">C332&amp;" → "&amp;D332</f>
        <v>Uttar Pradesh → Surat</v>
      </c>
      <c r="AA332" s="0" t="str">
        <f aca="false">Raw!Q332</f>
        <v>Delhivery</v>
      </c>
      <c r="AB332" s="0" t="str">
        <f aca="false">Raw!R332</f>
        <v>Yes</v>
      </c>
      <c r="AC332" s="0" t="str">
        <f aca="false">Raw!S332</f>
        <v>Normal</v>
      </c>
      <c r="AD332" s="29" t="n">
        <f aca="false">Raw!N332</f>
        <v>5208.03</v>
      </c>
      <c r="AE332" s="29" t="n">
        <f aca="false">Raw!O332</f>
        <v>3065.7</v>
      </c>
      <c r="AF332" s="29" t="n">
        <f aca="false">Raw!P332</f>
        <v>1286.52</v>
      </c>
      <c r="AG332" s="29" t="n">
        <f aca="false">AD332/J332</f>
        <v>504.165537270087</v>
      </c>
    </row>
    <row r="333" customFormat="false" ht="15" hidden="false" customHeight="false" outlineLevel="0" collapsed="false">
      <c r="A333" s="0" t="str">
        <f aca="false">Raw!A333</f>
        <v>SHP0332</v>
      </c>
      <c r="B333" s="0" t="str">
        <f aca="false">Raw!B333</f>
        <v>Inbound</v>
      </c>
      <c r="C333" s="0" t="str">
        <f aca="false">Raw!C333</f>
        <v>Punjab</v>
      </c>
      <c r="D333" s="0" t="str">
        <f aca="false">Raw!D333</f>
        <v>Surat</v>
      </c>
      <c r="E333" s="0" t="str">
        <f aca="false">IFERROR(INDEX(Location_Map!$B$2:$B$15,MATCH(C333,Location_Map!$A$2:$A$15,0)),"UNMAPPED")</f>
        <v>Punjab</v>
      </c>
      <c r="F333" s="0" t="str">
        <f aca="false">IFERROR(INDEX(Location_Map!$C$2:$C$15,MATCH(C333,Location_Map!$A$2:$A$15,0)),"UNMAPPED")</f>
        <v>North</v>
      </c>
      <c r="G333" s="0" t="str">
        <f aca="false">IFERROR(INDEX(Location_Map!$B$2:$B$15,MATCH(D333,Location_Map!$A$2:$A$15,0)),"UNMAPPED")</f>
        <v>Gujarat</v>
      </c>
      <c r="H333" s="0" t="str">
        <f aca="false">IFERROR(INDEX(Location_Map!$C$2:$C$15,MATCH(D333,Location_Map!$A$2:$A$15,0)),"UNMAPPED")</f>
        <v>West</v>
      </c>
      <c r="I333" s="0" t="str">
        <f aca="false">Raw!E333</f>
        <v>Semi-Processed Yarn</v>
      </c>
      <c r="J333" s="28" t="n">
        <f aca="false">Raw!F333</f>
        <v>18.91</v>
      </c>
      <c r="K333" s="30" t="n">
        <f aca="false">DATE(LEFT(Raw!G333,4),MID(Raw!G333,6,2),MID(Raw!G333,9,2))</f>
        <v>45882</v>
      </c>
      <c r="L333" s="30" t="n">
        <f aca="false">DATE(LEFT(Raw!H333,4),MID(Raw!H333,6,2),MID(Raw!H333,9,2))</f>
        <v>45885</v>
      </c>
      <c r="M333" s="30" t="n">
        <f aca="false">DATE(LEFT(Raw!I333,4),MID(Raw!I333,6,2),MID(Raw!I333,9,2))</f>
        <v>45890</v>
      </c>
      <c r="N333" s="31" t="n">
        <f aca="false">DATE(LEFT(Raw!J333,4),MID(Raw!J333,6,2),MID(Raw!J333,9,2))+TIME(MID(Raw!J333,12,2),MID(Raw!J333,15,2),MID(Raw!J333,18,2))</f>
        <v>45884.875</v>
      </c>
      <c r="O333" s="31" t="n">
        <f aca="false">DATE(LEFT(Raw!K333,4),MID(Raw!K333,6,2),MID(Raw!K333,9,2))+TIME(MID(Raw!K333,12,2),MID(Raw!K333,15,2),MID(Raw!K333,18,2))</f>
        <v>45889</v>
      </c>
      <c r="P333" s="32" t="n">
        <f aca="false">L333-K333</f>
        <v>3</v>
      </c>
      <c r="Q333" s="32" t="n">
        <f aca="false">M333-L333</f>
        <v>5</v>
      </c>
      <c r="R333" s="32" t="n">
        <f aca="false">O333-N333</f>
        <v>4.125</v>
      </c>
      <c r="S333" s="32" t="n">
        <f aca="false">Raw!L333</f>
        <v>-1</v>
      </c>
      <c r="T333" s="32" t="n">
        <f aca="false">O333-M333</f>
        <v>-1</v>
      </c>
      <c r="U333" s="0" t="str">
        <f aca="false">IF(ABS(T333-S333)&lt;0.01,"OK","MISMATCH")</f>
        <v>OK</v>
      </c>
      <c r="V333" s="33" t="n">
        <f aca="false">Raw!M333</f>
        <v>0</v>
      </c>
      <c r="W333" s="0" t="str">
        <f aca="false">IF((S333&gt;0)=(V333=1),"OK","MISMATCH")</f>
        <v>OK</v>
      </c>
      <c r="X333" s="0" t="str">
        <f aca="false">_xlfn.IFS(S333&lt;=0,"Early/On time",S333&lt;=2,"Minor (up to 2 days)",S333&lt;=5,"Moderate (2-5 days)",TRUE(),"Severe (over 5 days)")</f>
        <v>Early/On time</v>
      </c>
      <c r="Y333" s="0" t="str">
        <f aca="false">YEAR(K333)&amp;"-"&amp;TEXT(MONTH(K333),"00")</f>
        <v>2025-08</v>
      </c>
      <c r="Z333" s="0" t="str">
        <f aca="false">C333&amp;" → "&amp;D333</f>
        <v>Punjab → Surat</v>
      </c>
      <c r="AA333" s="0" t="str">
        <f aca="false">Raw!Q333</f>
        <v>Delhivery</v>
      </c>
      <c r="AB333" s="0" t="str">
        <f aca="false">Raw!R333</f>
        <v>No</v>
      </c>
      <c r="AC333" s="0" t="str">
        <f aca="false">Raw!S333</f>
        <v>Expedited</v>
      </c>
      <c r="AD333" s="29" t="n">
        <f aca="false">Raw!N333</f>
        <v>5421.63</v>
      </c>
      <c r="AE333" s="29" t="n">
        <f aca="false">Raw!O333</f>
        <v>2239.23</v>
      </c>
      <c r="AF333" s="29" t="n">
        <f aca="false">Raw!P333</f>
        <v>749.96</v>
      </c>
      <c r="AG333" s="29" t="n">
        <f aca="false">AD333/J333</f>
        <v>286.707033315706</v>
      </c>
    </row>
    <row r="334" customFormat="false" ht="15" hidden="false" customHeight="false" outlineLevel="0" collapsed="false">
      <c r="A334" s="0" t="str">
        <f aca="false">Raw!A334</f>
        <v>SHP0333</v>
      </c>
      <c r="B334" s="0" t="str">
        <f aca="false">Raw!B334</f>
        <v>Outbound</v>
      </c>
      <c r="C334" s="0" t="str">
        <f aca="false">Raw!C334</f>
        <v>Surat</v>
      </c>
      <c r="D334" s="0" t="str">
        <f aca="false">Raw!D334</f>
        <v>Uttarakhand</v>
      </c>
      <c r="E334" s="0" t="str">
        <f aca="false">IFERROR(INDEX(Location_Map!$B$2:$B$15,MATCH(C334,Location_Map!$A$2:$A$15,0)),"UNMAPPED")</f>
        <v>Gujarat</v>
      </c>
      <c r="F334" s="0" t="str">
        <f aca="false">IFERROR(INDEX(Location_Map!$C$2:$C$15,MATCH(C334,Location_Map!$A$2:$A$15,0)),"UNMAPPED")</f>
        <v>West</v>
      </c>
      <c r="G334" s="0" t="str">
        <f aca="false">IFERROR(INDEX(Location_Map!$B$2:$B$15,MATCH(D334,Location_Map!$A$2:$A$15,0)),"UNMAPPED")</f>
        <v>Uttarakhand</v>
      </c>
      <c r="H334" s="0" t="str">
        <f aca="false">IFERROR(INDEX(Location_Map!$C$2:$C$15,MATCH(D334,Location_Map!$A$2:$A$15,0)),"UNMAPPED")</f>
        <v>North</v>
      </c>
      <c r="I334" s="0" t="str">
        <f aca="false">Raw!E334</f>
        <v>Raw Yarn</v>
      </c>
      <c r="J334" s="28" t="n">
        <f aca="false">Raw!F334</f>
        <v>10.79</v>
      </c>
      <c r="K334" s="30" t="n">
        <f aca="false">DATE(LEFT(Raw!G334,4),MID(Raw!G334,6,2),MID(Raw!G334,9,2))</f>
        <v>45818</v>
      </c>
      <c r="L334" s="30" t="n">
        <f aca="false">DATE(LEFT(Raw!H334,4),MID(Raw!H334,6,2),MID(Raw!H334,9,2))</f>
        <v>45820</v>
      </c>
      <c r="M334" s="30" t="n">
        <f aca="false">DATE(LEFT(Raw!I334,4),MID(Raw!I334,6,2),MID(Raw!I334,9,2))</f>
        <v>45823</v>
      </c>
      <c r="N334" s="31" t="n">
        <f aca="false">DATE(LEFT(Raw!J334,4),MID(Raw!J334,6,2),MID(Raw!J334,9,2))+TIME(MID(Raw!J334,12,2),MID(Raw!J334,15,2),MID(Raw!J334,18,2))</f>
        <v>45820.0416666667</v>
      </c>
      <c r="O334" s="31" t="n">
        <f aca="false">DATE(LEFT(Raw!K334,4),MID(Raw!K334,6,2),MID(Raw!K334,9,2))+TIME(MID(Raw!K334,12,2),MID(Raw!K334,15,2),MID(Raw!K334,18,2))</f>
        <v>45826.4</v>
      </c>
      <c r="P334" s="32" t="n">
        <f aca="false">L334-K334</f>
        <v>2</v>
      </c>
      <c r="Q334" s="32" t="n">
        <f aca="false">M334-L334</f>
        <v>3</v>
      </c>
      <c r="R334" s="32" t="n">
        <f aca="false">O334-N334</f>
        <v>6.35833333333333</v>
      </c>
      <c r="S334" s="32" t="n">
        <f aca="false">Raw!L334</f>
        <v>3.4</v>
      </c>
      <c r="T334" s="32" t="n">
        <f aca="false">O334-M334</f>
        <v>3.4</v>
      </c>
      <c r="U334" s="0" t="str">
        <f aca="false">IF(ABS(T334-S334)&lt;0.01,"OK","MISMATCH")</f>
        <v>OK</v>
      </c>
      <c r="V334" s="33" t="n">
        <f aca="false">Raw!M334</f>
        <v>1</v>
      </c>
      <c r="W334" s="0" t="str">
        <f aca="false">IF((S334&gt;0)=(V334=1),"OK","MISMATCH")</f>
        <v>OK</v>
      </c>
      <c r="X334" s="0" t="str">
        <f aca="false">_xlfn.IFS(S334&lt;=0,"Early/On time",S334&lt;=2,"Minor (up to 2 days)",S334&lt;=5,"Moderate (2-5 days)",TRUE(),"Severe (over 5 days)")</f>
        <v>Moderate (2-5 days)</v>
      </c>
      <c r="Y334" s="0" t="str">
        <f aca="false">YEAR(K334)&amp;"-"&amp;TEXT(MONTH(K334),"00")</f>
        <v>2025-06</v>
      </c>
      <c r="Z334" s="0" t="str">
        <f aca="false">C334&amp;" → "&amp;D334</f>
        <v>Surat → Uttarakhand</v>
      </c>
      <c r="AA334" s="0" t="str">
        <f aca="false">Raw!Q334</f>
        <v>BlueDart</v>
      </c>
      <c r="AB334" s="0" t="str">
        <f aca="false">Raw!R334</f>
        <v>No</v>
      </c>
      <c r="AC334" s="0" t="str">
        <f aca="false">Raw!S334</f>
        <v>Expedited</v>
      </c>
      <c r="AD334" s="29" t="n">
        <f aca="false">Raw!N334</f>
        <v>5271.22</v>
      </c>
      <c r="AE334" s="29" t="n">
        <f aca="false">Raw!O334</f>
        <v>4145.43</v>
      </c>
      <c r="AF334" s="29" t="n">
        <f aca="false">Raw!P334</f>
        <v>1132.22</v>
      </c>
      <c r="AG334" s="29" t="n">
        <f aca="false">AD334/J334</f>
        <v>488.528266913809</v>
      </c>
    </row>
    <row r="335" customFormat="false" ht="15" hidden="false" customHeight="false" outlineLevel="0" collapsed="false">
      <c r="A335" s="0" t="str">
        <f aca="false">Raw!A335</f>
        <v>SHP0334</v>
      </c>
      <c r="B335" s="0" t="str">
        <f aca="false">Raw!B335</f>
        <v>Inbound</v>
      </c>
      <c r="C335" s="0" t="str">
        <f aca="false">Raw!C335</f>
        <v>Uttar Pradesh</v>
      </c>
      <c r="D335" s="0" t="str">
        <f aca="false">Raw!D335</f>
        <v>Surat</v>
      </c>
      <c r="E335" s="0" t="str">
        <f aca="false">IFERROR(INDEX(Location_Map!$B$2:$B$15,MATCH(C335,Location_Map!$A$2:$A$15,0)),"UNMAPPED")</f>
        <v>Uttar Pradesh</v>
      </c>
      <c r="F335" s="0" t="str">
        <f aca="false">IFERROR(INDEX(Location_Map!$C$2:$C$15,MATCH(C335,Location_Map!$A$2:$A$15,0)),"UNMAPPED")</f>
        <v>North</v>
      </c>
      <c r="G335" s="0" t="str">
        <f aca="false">IFERROR(INDEX(Location_Map!$B$2:$B$15,MATCH(D335,Location_Map!$A$2:$A$15,0)),"UNMAPPED")</f>
        <v>Gujarat</v>
      </c>
      <c r="H335" s="0" t="str">
        <f aca="false">IFERROR(INDEX(Location_Map!$C$2:$C$15,MATCH(D335,Location_Map!$A$2:$A$15,0)),"UNMAPPED")</f>
        <v>West</v>
      </c>
      <c r="I335" s="0" t="str">
        <f aca="false">Raw!E335</f>
        <v>Finished Yarn</v>
      </c>
      <c r="J335" s="28" t="n">
        <f aca="false">Raw!F335</f>
        <v>8.1</v>
      </c>
      <c r="K335" s="30" t="n">
        <f aca="false">DATE(LEFT(Raw!G335,4),MID(Raw!G335,6,2),MID(Raw!G335,9,2))</f>
        <v>45739</v>
      </c>
      <c r="L335" s="30" t="n">
        <f aca="false">DATE(LEFT(Raw!H335,4),MID(Raw!H335,6,2),MID(Raw!H335,9,2))</f>
        <v>45740</v>
      </c>
      <c r="M335" s="30" t="n">
        <f aca="false">DATE(LEFT(Raw!I335,4),MID(Raw!I335,6,2),MID(Raw!I335,9,2))</f>
        <v>45742</v>
      </c>
      <c r="N335" s="31" t="n">
        <f aca="false">DATE(LEFT(Raw!J335,4),MID(Raw!J335,6,2),MID(Raw!J335,9,2))+TIME(MID(Raw!J335,12,2),MID(Raw!J335,15,2),MID(Raw!J335,18,2))</f>
        <v>45739.9583333333</v>
      </c>
      <c r="O335" s="31" t="n">
        <f aca="false">DATE(LEFT(Raw!K335,4),MID(Raw!K335,6,2),MID(Raw!K335,9,2))+TIME(MID(Raw!K335,12,2),MID(Raw!K335,15,2),MID(Raw!K335,18,2))</f>
        <v>45745.6</v>
      </c>
      <c r="P335" s="32" t="n">
        <f aca="false">L335-K335</f>
        <v>1</v>
      </c>
      <c r="Q335" s="32" t="n">
        <f aca="false">M335-L335</f>
        <v>2</v>
      </c>
      <c r="R335" s="32" t="n">
        <f aca="false">O335-N335</f>
        <v>5.64166666666667</v>
      </c>
      <c r="S335" s="32" t="n">
        <f aca="false">Raw!L335</f>
        <v>3.6</v>
      </c>
      <c r="T335" s="32" t="n">
        <f aca="false">O335-M335</f>
        <v>3.6</v>
      </c>
      <c r="U335" s="0" t="str">
        <f aca="false">IF(ABS(T335-S335)&lt;0.01,"OK","MISMATCH")</f>
        <v>OK</v>
      </c>
      <c r="V335" s="33" t="n">
        <f aca="false">Raw!M335</f>
        <v>1</v>
      </c>
      <c r="W335" s="0" t="str">
        <f aca="false">IF((S335&gt;0)=(V335=1),"OK","MISMATCH")</f>
        <v>OK</v>
      </c>
      <c r="X335" s="0" t="str">
        <f aca="false">_xlfn.IFS(S335&lt;=0,"Early/On time",S335&lt;=2,"Minor (up to 2 days)",S335&lt;=5,"Moderate (2-5 days)",TRUE(),"Severe (over 5 days)")</f>
        <v>Moderate (2-5 days)</v>
      </c>
      <c r="Y335" s="0" t="str">
        <f aca="false">YEAR(K335)&amp;"-"&amp;TEXT(MONTH(K335),"00")</f>
        <v>2025-03</v>
      </c>
      <c r="Z335" s="0" t="str">
        <f aca="false">C335&amp;" → "&amp;D335</f>
        <v>Uttar Pradesh → Surat</v>
      </c>
      <c r="AA335" s="0" t="str">
        <f aca="false">Raw!Q335</f>
        <v>BlueDart</v>
      </c>
      <c r="AB335" s="0" t="str">
        <f aca="false">Raw!R335</f>
        <v>No</v>
      </c>
      <c r="AC335" s="0" t="str">
        <f aca="false">Raw!S335</f>
        <v>Returned</v>
      </c>
      <c r="AD335" s="29" t="n">
        <f aca="false">Raw!N335</f>
        <v>4114.24</v>
      </c>
      <c r="AE335" s="29" t="n">
        <f aca="false">Raw!O335</f>
        <v>4315.49</v>
      </c>
      <c r="AF335" s="29" t="n">
        <f aca="false">Raw!P335</f>
        <v>848.89</v>
      </c>
      <c r="AG335" s="29" t="n">
        <f aca="false">AD335/J335</f>
        <v>507.930864197531</v>
      </c>
    </row>
    <row r="336" customFormat="false" ht="15" hidden="false" customHeight="false" outlineLevel="0" collapsed="false">
      <c r="A336" s="0" t="str">
        <f aca="false">Raw!A336</f>
        <v>SHP0335</v>
      </c>
      <c r="B336" s="0" t="str">
        <f aca="false">Raw!B336</f>
        <v>Outbound</v>
      </c>
      <c r="C336" s="0" t="str">
        <f aca="false">Raw!C336</f>
        <v>Surat</v>
      </c>
      <c r="D336" s="0" t="str">
        <f aca="false">Raw!D336</f>
        <v>Uttarakhand</v>
      </c>
      <c r="E336" s="0" t="str">
        <f aca="false">IFERROR(INDEX(Location_Map!$B$2:$B$15,MATCH(C336,Location_Map!$A$2:$A$15,0)),"UNMAPPED")</f>
        <v>Gujarat</v>
      </c>
      <c r="F336" s="0" t="str">
        <f aca="false">IFERROR(INDEX(Location_Map!$C$2:$C$15,MATCH(C336,Location_Map!$A$2:$A$15,0)),"UNMAPPED")</f>
        <v>West</v>
      </c>
      <c r="G336" s="0" t="str">
        <f aca="false">IFERROR(INDEX(Location_Map!$B$2:$B$15,MATCH(D336,Location_Map!$A$2:$A$15,0)),"UNMAPPED")</f>
        <v>Uttarakhand</v>
      </c>
      <c r="H336" s="0" t="str">
        <f aca="false">IFERROR(INDEX(Location_Map!$C$2:$C$15,MATCH(D336,Location_Map!$A$2:$A$15,0)),"UNMAPPED")</f>
        <v>North</v>
      </c>
      <c r="I336" s="0" t="str">
        <f aca="false">Raw!E336</f>
        <v>Semi-Processed Yarn</v>
      </c>
      <c r="J336" s="28" t="n">
        <f aca="false">Raw!F336</f>
        <v>10.91</v>
      </c>
      <c r="K336" s="30" t="n">
        <f aca="false">DATE(LEFT(Raw!G336,4),MID(Raw!G336,6,2),MID(Raw!G336,9,2))</f>
        <v>45896</v>
      </c>
      <c r="L336" s="30" t="n">
        <f aca="false">DATE(LEFT(Raw!H336,4),MID(Raw!H336,6,2),MID(Raw!H336,9,2))</f>
        <v>45900</v>
      </c>
      <c r="M336" s="30" t="n">
        <f aca="false">DATE(LEFT(Raw!I336,4),MID(Raw!I336,6,2),MID(Raw!I336,9,2))</f>
        <v>45905</v>
      </c>
      <c r="N336" s="31" t="n">
        <f aca="false">DATE(LEFT(Raw!J336,4),MID(Raw!J336,6,2),MID(Raw!J336,9,2))+TIME(MID(Raw!J336,12,2),MID(Raw!J336,15,2),MID(Raw!J336,18,2))</f>
        <v>45900.125</v>
      </c>
      <c r="O336" s="31" t="n">
        <f aca="false">DATE(LEFT(Raw!K336,4),MID(Raw!K336,6,2),MID(Raw!K336,9,2))+TIME(MID(Raw!K336,12,2),MID(Raw!K336,15,2),MID(Raw!K336,18,2))</f>
        <v>45908.3</v>
      </c>
      <c r="P336" s="32" t="n">
        <f aca="false">L336-K336</f>
        <v>4</v>
      </c>
      <c r="Q336" s="32" t="n">
        <f aca="false">M336-L336</f>
        <v>5</v>
      </c>
      <c r="R336" s="32" t="n">
        <f aca="false">O336-N336</f>
        <v>8.175</v>
      </c>
      <c r="S336" s="32" t="n">
        <f aca="false">Raw!L336</f>
        <v>3.3</v>
      </c>
      <c r="T336" s="32" t="n">
        <f aca="false">O336-M336</f>
        <v>3.3</v>
      </c>
      <c r="U336" s="0" t="str">
        <f aca="false">IF(ABS(T336-S336)&lt;0.01,"OK","MISMATCH")</f>
        <v>OK</v>
      </c>
      <c r="V336" s="33" t="n">
        <f aca="false">Raw!M336</f>
        <v>1</v>
      </c>
      <c r="W336" s="0" t="str">
        <f aca="false">IF((S336&gt;0)=(V336=1),"OK","MISMATCH")</f>
        <v>OK</v>
      </c>
      <c r="X336" s="0" t="str">
        <f aca="false">_xlfn.IFS(S336&lt;=0,"Early/On time",S336&lt;=2,"Minor (up to 2 days)",S336&lt;=5,"Moderate (2-5 days)",TRUE(),"Severe (over 5 days)")</f>
        <v>Moderate (2-5 days)</v>
      </c>
      <c r="Y336" s="0" t="str">
        <f aca="false">YEAR(K336)&amp;"-"&amp;TEXT(MONTH(K336),"00")</f>
        <v>2025-08</v>
      </c>
      <c r="Z336" s="0" t="str">
        <f aca="false">C336&amp;" → "&amp;D336</f>
        <v>Surat → Uttarakhand</v>
      </c>
      <c r="AA336" s="0" t="str">
        <f aca="false">Raw!Q336</f>
        <v>Delhivery</v>
      </c>
      <c r="AB336" s="0" t="str">
        <f aca="false">Raw!R336</f>
        <v>No</v>
      </c>
      <c r="AC336" s="0" t="str">
        <f aca="false">Raw!S336</f>
        <v>Damaged</v>
      </c>
      <c r="AD336" s="29" t="n">
        <f aca="false">Raw!N336</f>
        <v>3248.46</v>
      </c>
      <c r="AE336" s="29" t="n">
        <f aca="false">Raw!O336</f>
        <v>2836.76</v>
      </c>
      <c r="AF336" s="29" t="n">
        <f aca="false">Raw!P336</f>
        <v>911.09</v>
      </c>
      <c r="AG336" s="29" t="n">
        <f aca="false">AD336/J336</f>
        <v>297.750687442713</v>
      </c>
    </row>
    <row r="337" customFormat="false" ht="15" hidden="false" customHeight="false" outlineLevel="0" collapsed="false">
      <c r="A337" s="0" t="str">
        <f aca="false">Raw!A337</f>
        <v>SHP0336</v>
      </c>
      <c r="B337" s="0" t="str">
        <f aca="false">Raw!B337</f>
        <v>Outbound</v>
      </c>
      <c r="C337" s="0" t="str">
        <f aca="false">Raw!C337</f>
        <v>Surat</v>
      </c>
      <c r="D337" s="0" t="str">
        <f aca="false">Raw!D337</f>
        <v>West Bengal</v>
      </c>
      <c r="E337" s="0" t="str">
        <f aca="false">IFERROR(INDEX(Location_Map!$B$2:$B$15,MATCH(C337,Location_Map!$A$2:$A$15,0)),"UNMAPPED")</f>
        <v>Gujarat</v>
      </c>
      <c r="F337" s="0" t="str">
        <f aca="false">IFERROR(INDEX(Location_Map!$C$2:$C$15,MATCH(C337,Location_Map!$A$2:$A$15,0)),"UNMAPPED")</f>
        <v>West</v>
      </c>
      <c r="G337" s="0" t="str">
        <f aca="false">IFERROR(INDEX(Location_Map!$B$2:$B$15,MATCH(D337,Location_Map!$A$2:$A$15,0)),"UNMAPPED")</f>
        <v>West Bengal</v>
      </c>
      <c r="H337" s="0" t="str">
        <f aca="false">IFERROR(INDEX(Location_Map!$C$2:$C$15,MATCH(D337,Location_Map!$A$2:$A$15,0)),"UNMAPPED")</f>
        <v>East</v>
      </c>
      <c r="I337" s="0" t="str">
        <f aca="false">Raw!E337</f>
        <v>Semi-Processed Yarn</v>
      </c>
      <c r="J337" s="28" t="n">
        <f aca="false">Raw!F337</f>
        <v>14.72</v>
      </c>
      <c r="K337" s="30" t="n">
        <f aca="false">DATE(LEFT(Raw!G337,4),MID(Raw!G337,6,2),MID(Raw!G337,9,2))</f>
        <v>45773</v>
      </c>
      <c r="L337" s="30" t="n">
        <f aca="false">DATE(LEFT(Raw!H337,4),MID(Raw!H337,6,2),MID(Raw!H337,9,2))</f>
        <v>45775</v>
      </c>
      <c r="M337" s="30" t="n">
        <f aca="false">DATE(LEFT(Raw!I337,4),MID(Raw!I337,6,2),MID(Raw!I337,9,2))</f>
        <v>45781</v>
      </c>
      <c r="N337" s="31" t="n">
        <f aca="false">DATE(LEFT(Raw!J337,4),MID(Raw!J337,6,2),MID(Raw!J337,9,2))+TIME(MID(Raw!J337,12,2),MID(Raw!J337,15,2),MID(Raw!J337,18,2))</f>
        <v>45774.7916666667</v>
      </c>
      <c r="O337" s="31" t="n">
        <f aca="false">DATE(LEFT(Raw!K337,4),MID(Raw!K337,6,2),MID(Raw!K337,9,2))+TIME(MID(Raw!K337,12,2),MID(Raw!K337,15,2),MID(Raw!K337,18,2))</f>
        <v>45784.8</v>
      </c>
      <c r="P337" s="32" t="n">
        <f aca="false">L337-K337</f>
        <v>2</v>
      </c>
      <c r="Q337" s="32" t="n">
        <f aca="false">M337-L337</f>
        <v>6</v>
      </c>
      <c r="R337" s="32" t="n">
        <f aca="false">O337-N337</f>
        <v>10.0083333333333</v>
      </c>
      <c r="S337" s="32" t="n">
        <f aca="false">Raw!L337</f>
        <v>3.8</v>
      </c>
      <c r="T337" s="32" t="n">
        <f aca="false">O337-M337</f>
        <v>3.8</v>
      </c>
      <c r="U337" s="0" t="str">
        <f aca="false">IF(ABS(T337-S337)&lt;0.01,"OK","MISMATCH")</f>
        <v>OK</v>
      </c>
      <c r="V337" s="33" t="n">
        <f aca="false">Raw!M337</f>
        <v>1</v>
      </c>
      <c r="W337" s="0" t="str">
        <f aca="false">IF((S337&gt;0)=(V337=1),"OK","MISMATCH")</f>
        <v>OK</v>
      </c>
      <c r="X337" s="0" t="str">
        <f aca="false">_xlfn.IFS(S337&lt;=0,"Early/On time",S337&lt;=2,"Minor (up to 2 days)",S337&lt;=5,"Moderate (2-5 days)",TRUE(),"Severe (over 5 days)")</f>
        <v>Moderate (2-5 days)</v>
      </c>
      <c r="Y337" s="0" t="str">
        <f aca="false">YEAR(K337)&amp;"-"&amp;TEXT(MONTH(K337),"00")</f>
        <v>2025-04</v>
      </c>
      <c r="Z337" s="0" t="str">
        <f aca="false">C337&amp;" → "&amp;D337</f>
        <v>Surat → West Bengal</v>
      </c>
      <c r="AA337" s="0" t="str">
        <f aca="false">Raw!Q337</f>
        <v>GATI Logistics</v>
      </c>
      <c r="AB337" s="0" t="str">
        <f aca="false">Raw!R337</f>
        <v>No</v>
      </c>
      <c r="AC337" s="0" t="str">
        <f aca="false">Raw!S337</f>
        <v>Returned</v>
      </c>
      <c r="AD337" s="29" t="n">
        <f aca="false">Raw!N337</f>
        <v>10129.89</v>
      </c>
      <c r="AE337" s="29" t="n">
        <f aca="false">Raw!O337</f>
        <v>3127.56</v>
      </c>
      <c r="AF337" s="29" t="n">
        <f aca="false">Raw!P337</f>
        <v>1289.43</v>
      </c>
      <c r="AG337" s="29" t="n">
        <f aca="false">AD337/J337</f>
        <v>688.171875</v>
      </c>
    </row>
    <row r="338" customFormat="false" ht="15" hidden="false" customHeight="false" outlineLevel="0" collapsed="false">
      <c r="A338" s="0" t="str">
        <f aca="false">Raw!A338</f>
        <v>SHP0337</v>
      </c>
      <c r="B338" s="0" t="str">
        <f aca="false">Raw!B338</f>
        <v>Inbound</v>
      </c>
      <c r="C338" s="0" t="str">
        <f aca="false">Raw!C338</f>
        <v>Gujarat</v>
      </c>
      <c r="D338" s="0" t="str">
        <f aca="false">Raw!D338</f>
        <v>Surat</v>
      </c>
      <c r="E338" s="0" t="str">
        <f aca="false">IFERROR(INDEX(Location_Map!$B$2:$B$15,MATCH(C338,Location_Map!$A$2:$A$15,0)),"UNMAPPED")</f>
        <v>Gujarat</v>
      </c>
      <c r="F338" s="0" t="str">
        <f aca="false">IFERROR(INDEX(Location_Map!$C$2:$C$15,MATCH(C338,Location_Map!$A$2:$A$15,0)),"UNMAPPED")</f>
        <v>West</v>
      </c>
      <c r="G338" s="0" t="str">
        <f aca="false">IFERROR(INDEX(Location_Map!$B$2:$B$15,MATCH(D338,Location_Map!$A$2:$A$15,0)),"UNMAPPED")</f>
        <v>Gujarat</v>
      </c>
      <c r="H338" s="0" t="str">
        <f aca="false">IFERROR(INDEX(Location_Map!$C$2:$C$15,MATCH(D338,Location_Map!$A$2:$A$15,0)),"UNMAPPED")</f>
        <v>West</v>
      </c>
      <c r="I338" s="0" t="str">
        <f aca="false">Raw!E338</f>
        <v>Finished Yarn</v>
      </c>
      <c r="J338" s="28" t="n">
        <f aca="false">Raw!F338</f>
        <v>6.64</v>
      </c>
      <c r="K338" s="30" t="n">
        <f aca="false">DATE(LEFT(Raw!G338,4),MID(Raw!G338,6,2),MID(Raw!G338,9,2))</f>
        <v>45820</v>
      </c>
      <c r="L338" s="30" t="n">
        <f aca="false">DATE(LEFT(Raw!H338,4),MID(Raw!H338,6,2),MID(Raw!H338,9,2))</f>
        <v>45822</v>
      </c>
      <c r="M338" s="30" t="n">
        <f aca="false">DATE(LEFT(Raw!I338,4),MID(Raw!I338,6,2),MID(Raw!I338,9,2))</f>
        <v>45826</v>
      </c>
      <c r="N338" s="31" t="n">
        <f aca="false">DATE(LEFT(Raw!J338,4),MID(Raw!J338,6,2),MID(Raw!J338,9,2))+TIME(MID(Raw!J338,12,2),MID(Raw!J338,15,2),MID(Raw!J338,18,2))</f>
        <v>45822.1666666667</v>
      </c>
      <c r="O338" s="31" t="n">
        <f aca="false">DATE(LEFT(Raw!K338,4),MID(Raw!K338,6,2),MID(Raw!K338,9,2))+TIME(MID(Raw!K338,12,2),MID(Raw!K338,15,2),MID(Raw!K338,18,2))</f>
        <v>45829.7</v>
      </c>
      <c r="P338" s="32" t="n">
        <f aca="false">L338-K338</f>
        <v>2</v>
      </c>
      <c r="Q338" s="32" t="n">
        <f aca="false">M338-L338</f>
        <v>4</v>
      </c>
      <c r="R338" s="32" t="n">
        <f aca="false">O338-N338</f>
        <v>7.53333333333333</v>
      </c>
      <c r="S338" s="32" t="n">
        <f aca="false">Raw!L338</f>
        <v>3.7</v>
      </c>
      <c r="T338" s="32" t="n">
        <f aca="false">O338-M338</f>
        <v>3.7</v>
      </c>
      <c r="U338" s="0" t="str">
        <f aca="false">IF(ABS(T338-S338)&lt;0.01,"OK","MISMATCH")</f>
        <v>OK</v>
      </c>
      <c r="V338" s="33" t="n">
        <f aca="false">Raw!M338</f>
        <v>1</v>
      </c>
      <c r="W338" s="0" t="str">
        <f aca="false">IF((S338&gt;0)=(V338=1),"OK","MISMATCH")</f>
        <v>OK</v>
      </c>
      <c r="X338" s="0" t="str">
        <f aca="false">_xlfn.IFS(S338&lt;=0,"Early/On time",S338&lt;=2,"Minor (up to 2 days)",S338&lt;=5,"Moderate (2-5 days)",TRUE(),"Severe (over 5 days)")</f>
        <v>Moderate (2-5 days)</v>
      </c>
      <c r="Y338" s="0" t="str">
        <f aca="false">YEAR(K338)&amp;"-"&amp;TEXT(MONTH(K338),"00")</f>
        <v>2025-06</v>
      </c>
      <c r="Z338" s="0" t="str">
        <f aca="false">C338&amp;" → "&amp;D338</f>
        <v>Gujarat → Surat</v>
      </c>
      <c r="AA338" s="0" t="str">
        <f aca="false">Raw!Q338</f>
        <v>TCI Express</v>
      </c>
      <c r="AB338" s="0" t="str">
        <f aca="false">Raw!R338</f>
        <v>No</v>
      </c>
      <c r="AC338" s="0" t="str">
        <f aca="false">Raw!S338</f>
        <v>Returned</v>
      </c>
      <c r="AD338" s="29" t="n">
        <f aca="false">Raw!N338</f>
        <v>2650.68</v>
      </c>
      <c r="AE338" s="29" t="n">
        <f aca="false">Raw!O338</f>
        <v>1889.45</v>
      </c>
      <c r="AF338" s="29" t="n">
        <f aca="false">Raw!P338</f>
        <v>1019.22</v>
      </c>
      <c r="AG338" s="29" t="n">
        <f aca="false">AD338/J338</f>
        <v>399.198795180723</v>
      </c>
    </row>
    <row r="339" customFormat="false" ht="15" hidden="false" customHeight="false" outlineLevel="0" collapsed="false">
      <c r="A339" s="0" t="str">
        <f aca="false">Raw!A339</f>
        <v>SHP0338</v>
      </c>
      <c r="B339" s="0" t="str">
        <f aca="false">Raw!B339</f>
        <v>Inbound</v>
      </c>
      <c r="C339" s="0" t="str">
        <f aca="false">Raw!C339</f>
        <v>Gujarat</v>
      </c>
      <c r="D339" s="0" t="str">
        <f aca="false">Raw!D339</f>
        <v>Surat</v>
      </c>
      <c r="E339" s="0" t="str">
        <f aca="false">IFERROR(INDEX(Location_Map!$B$2:$B$15,MATCH(C339,Location_Map!$A$2:$A$15,0)),"UNMAPPED")</f>
        <v>Gujarat</v>
      </c>
      <c r="F339" s="0" t="str">
        <f aca="false">IFERROR(INDEX(Location_Map!$C$2:$C$15,MATCH(C339,Location_Map!$A$2:$A$15,0)),"UNMAPPED")</f>
        <v>West</v>
      </c>
      <c r="G339" s="0" t="str">
        <f aca="false">IFERROR(INDEX(Location_Map!$B$2:$B$15,MATCH(D339,Location_Map!$A$2:$A$15,0)),"UNMAPPED")</f>
        <v>Gujarat</v>
      </c>
      <c r="H339" s="0" t="str">
        <f aca="false">IFERROR(INDEX(Location_Map!$C$2:$C$15,MATCH(D339,Location_Map!$A$2:$A$15,0)),"UNMAPPED")</f>
        <v>West</v>
      </c>
      <c r="I339" s="0" t="str">
        <f aca="false">Raw!E339</f>
        <v>Finished Yarn</v>
      </c>
      <c r="J339" s="28" t="n">
        <f aca="false">Raw!F339</f>
        <v>12.55</v>
      </c>
      <c r="K339" s="30" t="n">
        <f aca="false">DATE(LEFT(Raw!G339,4),MID(Raw!G339,6,2),MID(Raw!G339,9,2))</f>
        <v>45731</v>
      </c>
      <c r="L339" s="30" t="n">
        <f aca="false">DATE(LEFT(Raw!H339,4),MID(Raw!H339,6,2),MID(Raw!H339,9,2))</f>
        <v>45732</v>
      </c>
      <c r="M339" s="30" t="n">
        <f aca="false">DATE(LEFT(Raw!I339,4),MID(Raw!I339,6,2),MID(Raw!I339,9,2))</f>
        <v>45736</v>
      </c>
      <c r="N339" s="31" t="n">
        <f aca="false">DATE(LEFT(Raw!J339,4),MID(Raw!J339,6,2),MID(Raw!J339,9,2))+TIME(MID(Raw!J339,12,2),MID(Raw!J339,15,2),MID(Raw!J339,18,2))</f>
        <v>45732</v>
      </c>
      <c r="O339" s="31" t="n">
        <f aca="false">DATE(LEFT(Raw!K339,4),MID(Raw!K339,6,2),MID(Raw!K339,9,2))+TIME(MID(Raw!K339,12,2),MID(Raw!K339,15,2),MID(Raw!K339,18,2))</f>
        <v>45739</v>
      </c>
      <c r="P339" s="32" t="n">
        <f aca="false">L339-K339</f>
        <v>1</v>
      </c>
      <c r="Q339" s="32" t="n">
        <f aca="false">M339-L339</f>
        <v>4</v>
      </c>
      <c r="R339" s="32" t="n">
        <f aca="false">O339-N339</f>
        <v>7</v>
      </c>
      <c r="S339" s="32" t="n">
        <f aca="false">Raw!L339</f>
        <v>3</v>
      </c>
      <c r="T339" s="32" t="n">
        <f aca="false">O339-M339</f>
        <v>3</v>
      </c>
      <c r="U339" s="0" t="str">
        <f aca="false">IF(ABS(T339-S339)&lt;0.01,"OK","MISMATCH")</f>
        <v>OK</v>
      </c>
      <c r="V339" s="33" t="n">
        <f aca="false">Raw!M339</f>
        <v>1</v>
      </c>
      <c r="W339" s="0" t="str">
        <f aca="false">IF((S339&gt;0)=(V339=1),"OK","MISMATCH")</f>
        <v>OK</v>
      </c>
      <c r="X339" s="0" t="str">
        <f aca="false">_xlfn.IFS(S339&lt;=0,"Early/On time",S339&lt;=2,"Minor (up to 2 days)",S339&lt;=5,"Moderate (2-5 days)",TRUE(),"Severe (over 5 days)")</f>
        <v>Moderate (2-5 days)</v>
      </c>
      <c r="Y339" s="0" t="str">
        <f aca="false">YEAR(K339)&amp;"-"&amp;TEXT(MONTH(K339),"00")</f>
        <v>2025-03</v>
      </c>
      <c r="Z339" s="0" t="str">
        <f aca="false">C339&amp;" → "&amp;D339</f>
        <v>Gujarat → Surat</v>
      </c>
      <c r="AA339" s="0" t="str">
        <f aca="false">Raw!Q339</f>
        <v>TCI Express</v>
      </c>
      <c r="AB339" s="0" t="str">
        <f aca="false">Raw!R339</f>
        <v>Yes</v>
      </c>
      <c r="AC339" s="0" t="str">
        <f aca="false">Raw!S339</f>
        <v>Returned</v>
      </c>
      <c r="AD339" s="29" t="n">
        <f aca="false">Raw!N339</f>
        <v>6383.09</v>
      </c>
      <c r="AE339" s="29" t="n">
        <f aca="false">Raw!O339</f>
        <v>3465.2</v>
      </c>
      <c r="AF339" s="29" t="n">
        <f aca="false">Raw!P339</f>
        <v>1056.88</v>
      </c>
      <c r="AG339" s="29" t="n">
        <f aca="false">AD339/J339</f>
        <v>508.612749003984</v>
      </c>
    </row>
    <row r="340" customFormat="false" ht="15" hidden="false" customHeight="false" outlineLevel="0" collapsed="false">
      <c r="A340" s="0" t="str">
        <f aca="false">Raw!A340</f>
        <v>SHP0339</v>
      </c>
      <c r="B340" s="0" t="str">
        <f aca="false">Raw!B340</f>
        <v>Outbound</v>
      </c>
      <c r="C340" s="0" t="str">
        <f aca="false">Raw!C340</f>
        <v>Surat</v>
      </c>
      <c r="D340" s="0" t="str">
        <f aca="false">Raw!D340</f>
        <v>Karnataka</v>
      </c>
      <c r="E340" s="0" t="str">
        <f aca="false">IFERROR(INDEX(Location_Map!$B$2:$B$15,MATCH(C340,Location_Map!$A$2:$A$15,0)),"UNMAPPED")</f>
        <v>Gujarat</v>
      </c>
      <c r="F340" s="0" t="str">
        <f aca="false">IFERROR(INDEX(Location_Map!$C$2:$C$15,MATCH(C340,Location_Map!$A$2:$A$15,0)),"UNMAPPED")</f>
        <v>West</v>
      </c>
      <c r="G340" s="0" t="str">
        <f aca="false">IFERROR(INDEX(Location_Map!$B$2:$B$15,MATCH(D340,Location_Map!$A$2:$A$15,0)),"UNMAPPED")</f>
        <v>Karnataka</v>
      </c>
      <c r="H340" s="0" t="str">
        <f aca="false">IFERROR(INDEX(Location_Map!$C$2:$C$15,MATCH(D340,Location_Map!$A$2:$A$15,0)),"UNMAPPED")</f>
        <v>South</v>
      </c>
      <c r="I340" s="0" t="str">
        <f aca="false">Raw!E340</f>
        <v>Raw Yarn</v>
      </c>
      <c r="J340" s="28" t="n">
        <f aca="false">Raw!F340</f>
        <v>8.9</v>
      </c>
      <c r="K340" s="30" t="n">
        <f aca="false">DATE(LEFT(Raw!G340,4),MID(Raw!G340,6,2),MID(Raw!G340,9,2))</f>
        <v>45786</v>
      </c>
      <c r="L340" s="30" t="n">
        <f aca="false">DATE(LEFT(Raw!H340,4),MID(Raw!H340,6,2),MID(Raw!H340,9,2))</f>
        <v>45789</v>
      </c>
      <c r="M340" s="30" t="n">
        <f aca="false">DATE(LEFT(Raw!I340,4),MID(Raw!I340,6,2),MID(Raw!I340,9,2))</f>
        <v>45792</v>
      </c>
      <c r="N340" s="31" t="n">
        <f aca="false">DATE(LEFT(Raw!J340,4),MID(Raw!J340,6,2),MID(Raw!J340,9,2))+TIME(MID(Raw!J340,12,2),MID(Raw!J340,15,2),MID(Raw!J340,18,2))</f>
        <v>45789.2916666667</v>
      </c>
      <c r="O340" s="31" t="n">
        <f aca="false">DATE(LEFT(Raw!K340,4),MID(Raw!K340,6,2),MID(Raw!K340,9,2))+TIME(MID(Raw!K340,12,2),MID(Raw!K340,15,2),MID(Raw!K340,18,2))</f>
        <v>45798.5</v>
      </c>
      <c r="P340" s="32" t="n">
        <f aca="false">L340-K340</f>
        <v>3</v>
      </c>
      <c r="Q340" s="32" t="n">
        <f aca="false">M340-L340</f>
        <v>3</v>
      </c>
      <c r="R340" s="32" t="n">
        <f aca="false">O340-N340</f>
        <v>9.20833333333333</v>
      </c>
      <c r="S340" s="32" t="n">
        <f aca="false">Raw!L340</f>
        <v>6.5</v>
      </c>
      <c r="T340" s="32" t="n">
        <f aca="false">O340-M340</f>
        <v>6.5</v>
      </c>
      <c r="U340" s="0" t="str">
        <f aca="false">IF(ABS(T340-S340)&lt;0.01,"OK","MISMATCH")</f>
        <v>OK</v>
      </c>
      <c r="V340" s="33" t="n">
        <f aca="false">Raw!M340</f>
        <v>1</v>
      </c>
      <c r="W340" s="0" t="str">
        <f aca="false">IF((S340&gt;0)=(V340=1),"OK","MISMATCH")</f>
        <v>OK</v>
      </c>
      <c r="X340" s="0" t="str">
        <f aca="false">_xlfn.IFS(S340&lt;=0,"Early/On time",S340&lt;=2,"Minor (up to 2 days)",S340&lt;=5,"Moderate (2-5 days)",TRUE(),"Severe (over 5 days)")</f>
        <v>Severe (over 5 days)</v>
      </c>
      <c r="Y340" s="0" t="str">
        <f aca="false">YEAR(K340)&amp;"-"&amp;TEXT(MONTH(K340),"00")</f>
        <v>2025-05</v>
      </c>
      <c r="Z340" s="0" t="str">
        <f aca="false">C340&amp;" → "&amp;D340</f>
        <v>Surat → Karnataka</v>
      </c>
      <c r="AA340" s="0" t="str">
        <f aca="false">Raw!Q340</f>
        <v>VRL Cargo</v>
      </c>
      <c r="AB340" s="0" t="str">
        <f aca="false">Raw!R340</f>
        <v>Yes</v>
      </c>
      <c r="AC340" s="0" t="str">
        <f aca="false">Raw!S340</f>
        <v>Returned</v>
      </c>
      <c r="AD340" s="29" t="n">
        <f aca="false">Raw!N340</f>
        <v>4478.97</v>
      </c>
      <c r="AE340" s="29" t="n">
        <f aca="false">Raw!O340</f>
        <v>4482.11</v>
      </c>
      <c r="AF340" s="29" t="n">
        <f aca="false">Raw!P340</f>
        <v>1131.42</v>
      </c>
      <c r="AG340" s="29" t="n">
        <f aca="false">AD340/J340</f>
        <v>503.255056179775</v>
      </c>
    </row>
    <row r="341" customFormat="false" ht="15" hidden="false" customHeight="false" outlineLevel="0" collapsed="false">
      <c r="A341" s="0" t="str">
        <f aca="false">Raw!A341</f>
        <v>SHP0340</v>
      </c>
      <c r="B341" s="0" t="str">
        <f aca="false">Raw!B341</f>
        <v>Outbound</v>
      </c>
      <c r="C341" s="0" t="str">
        <f aca="false">Raw!C341</f>
        <v>Surat</v>
      </c>
      <c r="D341" s="0" t="str">
        <f aca="false">Raw!D341</f>
        <v>Madhya Pradesh</v>
      </c>
      <c r="E341" s="0" t="str">
        <f aca="false">IFERROR(INDEX(Location_Map!$B$2:$B$15,MATCH(C341,Location_Map!$A$2:$A$15,0)),"UNMAPPED")</f>
        <v>Gujarat</v>
      </c>
      <c r="F341" s="0" t="str">
        <f aca="false">IFERROR(INDEX(Location_Map!$C$2:$C$15,MATCH(C341,Location_Map!$A$2:$A$15,0)),"UNMAPPED")</f>
        <v>West</v>
      </c>
      <c r="G341" s="0" t="str">
        <f aca="false">IFERROR(INDEX(Location_Map!$B$2:$B$15,MATCH(D341,Location_Map!$A$2:$A$15,0)),"UNMAPPED")</f>
        <v>Madhya Pradesh</v>
      </c>
      <c r="H341" s="0" t="str">
        <f aca="false">IFERROR(INDEX(Location_Map!$C$2:$C$15,MATCH(D341,Location_Map!$A$2:$A$15,0)),"UNMAPPED")</f>
        <v>Central</v>
      </c>
      <c r="I341" s="0" t="str">
        <f aca="false">Raw!E341</f>
        <v>Raw Yarn</v>
      </c>
      <c r="J341" s="28" t="n">
        <f aca="false">Raw!F341</f>
        <v>11.12</v>
      </c>
      <c r="K341" s="30" t="n">
        <f aca="false">DATE(LEFT(Raw!G341,4),MID(Raw!G341,6,2),MID(Raw!G341,9,2))</f>
        <v>45692</v>
      </c>
      <c r="L341" s="30" t="n">
        <f aca="false">DATE(LEFT(Raw!H341,4),MID(Raw!H341,6,2),MID(Raw!H341,9,2))</f>
        <v>45695</v>
      </c>
      <c r="M341" s="30" t="n">
        <f aca="false">DATE(LEFT(Raw!I341,4),MID(Raw!I341,6,2),MID(Raw!I341,9,2))</f>
        <v>45701</v>
      </c>
      <c r="N341" s="31" t="n">
        <f aca="false">DATE(LEFT(Raw!J341,4),MID(Raw!J341,6,2),MID(Raw!J341,9,2))+TIME(MID(Raw!J341,12,2),MID(Raw!J341,15,2),MID(Raw!J341,18,2))</f>
        <v>45695.2916666667</v>
      </c>
      <c r="O341" s="31" t="n">
        <f aca="false">DATE(LEFT(Raw!K341,4),MID(Raw!K341,6,2),MID(Raw!K341,9,2))+TIME(MID(Raw!K341,12,2),MID(Raw!K341,15,2),MID(Raw!K341,18,2))</f>
        <v>45701.4</v>
      </c>
      <c r="P341" s="32" t="n">
        <f aca="false">L341-K341</f>
        <v>3</v>
      </c>
      <c r="Q341" s="32" t="n">
        <f aca="false">M341-L341</f>
        <v>6</v>
      </c>
      <c r="R341" s="32" t="n">
        <f aca="false">O341-N341</f>
        <v>6.10833333333333</v>
      </c>
      <c r="S341" s="32" t="n">
        <f aca="false">Raw!L341</f>
        <v>0.4</v>
      </c>
      <c r="T341" s="32" t="n">
        <f aca="false">O341-M341</f>
        <v>0.4</v>
      </c>
      <c r="U341" s="0" t="str">
        <f aca="false">IF(ABS(T341-S341)&lt;0.01,"OK","MISMATCH")</f>
        <v>OK</v>
      </c>
      <c r="V341" s="33" t="n">
        <f aca="false">Raw!M341</f>
        <v>1</v>
      </c>
      <c r="W341" s="0" t="str">
        <f aca="false">IF((S341&gt;0)=(V341=1),"OK","MISMATCH")</f>
        <v>OK</v>
      </c>
      <c r="X341" s="0" t="str">
        <f aca="false">_xlfn.IFS(S341&lt;=0,"Early/On time",S341&lt;=2,"Minor (up to 2 days)",S341&lt;=5,"Moderate (2-5 days)",TRUE(),"Severe (over 5 days)")</f>
        <v>Minor (up to 2 days)</v>
      </c>
      <c r="Y341" s="0" t="str">
        <f aca="false">YEAR(K341)&amp;"-"&amp;TEXT(MONTH(K341),"00")</f>
        <v>2025-02</v>
      </c>
      <c r="Z341" s="0" t="str">
        <f aca="false">C341&amp;" → "&amp;D341</f>
        <v>Surat → Madhya Pradesh</v>
      </c>
      <c r="AA341" s="0" t="str">
        <f aca="false">Raw!Q341</f>
        <v>GATI Logistics</v>
      </c>
      <c r="AB341" s="0" t="str">
        <f aca="false">Raw!R341</f>
        <v>No</v>
      </c>
      <c r="AC341" s="0" t="str">
        <f aca="false">Raw!S341</f>
        <v>Held at warehouse</v>
      </c>
      <c r="AD341" s="29" t="n">
        <f aca="false">Raw!N341</f>
        <v>6969.02</v>
      </c>
      <c r="AE341" s="29" t="n">
        <f aca="false">Raw!O341</f>
        <v>3049.14</v>
      </c>
      <c r="AF341" s="29" t="n">
        <f aca="false">Raw!P341</f>
        <v>614.29</v>
      </c>
      <c r="AG341" s="29" t="n">
        <f aca="false">AD341/J341</f>
        <v>626.710431654676</v>
      </c>
    </row>
    <row r="342" customFormat="false" ht="15" hidden="false" customHeight="false" outlineLevel="0" collapsed="false">
      <c r="A342" s="0" t="str">
        <f aca="false">Raw!A342</f>
        <v>SHP0341</v>
      </c>
      <c r="B342" s="0" t="str">
        <f aca="false">Raw!B342</f>
        <v>Inbound</v>
      </c>
      <c r="C342" s="0" t="str">
        <f aca="false">Raw!C342</f>
        <v>Rajasthan</v>
      </c>
      <c r="D342" s="0" t="str">
        <f aca="false">Raw!D342</f>
        <v>Surat</v>
      </c>
      <c r="E342" s="0" t="str">
        <f aca="false">IFERROR(INDEX(Location_Map!$B$2:$B$15,MATCH(C342,Location_Map!$A$2:$A$15,0)),"UNMAPPED")</f>
        <v>Rajasthan</v>
      </c>
      <c r="F342" s="0" t="str">
        <f aca="false">IFERROR(INDEX(Location_Map!$C$2:$C$15,MATCH(C342,Location_Map!$A$2:$A$15,0)),"UNMAPPED")</f>
        <v>North</v>
      </c>
      <c r="G342" s="0" t="str">
        <f aca="false">IFERROR(INDEX(Location_Map!$B$2:$B$15,MATCH(D342,Location_Map!$A$2:$A$15,0)),"UNMAPPED")</f>
        <v>Gujarat</v>
      </c>
      <c r="H342" s="0" t="str">
        <f aca="false">IFERROR(INDEX(Location_Map!$C$2:$C$15,MATCH(D342,Location_Map!$A$2:$A$15,0)),"UNMAPPED")</f>
        <v>West</v>
      </c>
      <c r="I342" s="0" t="str">
        <f aca="false">Raw!E342</f>
        <v>Finished Yarn</v>
      </c>
      <c r="J342" s="28" t="n">
        <f aca="false">Raw!F342</f>
        <v>15.53</v>
      </c>
      <c r="K342" s="30" t="n">
        <f aca="false">DATE(LEFT(Raw!G342,4),MID(Raw!G342,6,2),MID(Raw!G342,9,2))</f>
        <v>45861</v>
      </c>
      <c r="L342" s="30" t="n">
        <f aca="false">DATE(LEFT(Raw!H342,4),MID(Raw!H342,6,2),MID(Raw!H342,9,2))</f>
        <v>45865</v>
      </c>
      <c r="M342" s="30" t="n">
        <f aca="false">DATE(LEFT(Raw!I342,4),MID(Raw!I342,6,2),MID(Raw!I342,9,2))</f>
        <v>45871</v>
      </c>
      <c r="N342" s="31" t="n">
        <f aca="false">DATE(LEFT(Raw!J342,4),MID(Raw!J342,6,2),MID(Raw!J342,9,2))+TIME(MID(Raw!J342,12,2),MID(Raw!J342,15,2),MID(Raw!J342,18,2))</f>
        <v>45865.2083333333</v>
      </c>
      <c r="O342" s="31" t="n">
        <f aca="false">DATE(LEFT(Raw!K342,4),MID(Raw!K342,6,2),MID(Raw!K342,9,2))+TIME(MID(Raw!K342,12,2),MID(Raw!K342,15,2),MID(Raw!K342,18,2))</f>
        <v>45874.6</v>
      </c>
      <c r="P342" s="32" t="n">
        <f aca="false">L342-K342</f>
        <v>4</v>
      </c>
      <c r="Q342" s="32" t="n">
        <f aca="false">M342-L342</f>
        <v>6</v>
      </c>
      <c r="R342" s="32" t="n">
        <f aca="false">O342-N342</f>
        <v>9.39166666666667</v>
      </c>
      <c r="S342" s="32" t="n">
        <f aca="false">Raw!L342</f>
        <v>3.6</v>
      </c>
      <c r="T342" s="32" t="n">
        <f aca="false">O342-M342</f>
        <v>3.6</v>
      </c>
      <c r="U342" s="0" t="str">
        <f aca="false">IF(ABS(T342-S342)&lt;0.01,"OK","MISMATCH")</f>
        <v>OK</v>
      </c>
      <c r="V342" s="33" t="n">
        <f aca="false">Raw!M342</f>
        <v>1</v>
      </c>
      <c r="W342" s="0" t="str">
        <f aca="false">IF((S342&gt;0)=(V342=1),"OK","MISMATCH")</f>
        <v>OK</v>
      </c>
      <c r="X342" s="0" t="str">
        <f aca="false">_xlfn.IFS(S342&lt;=0,"Early/On time",S342&lt;=2,"Minor (up to 2 days)",S342&lt;=5,"Moderate (2-5 days)",TRUE(),"Severe (over 5 days)")</f>
        <v>Moderate (2-5 days)</v>
      </c>
      <c r="Y342" s="0" t="str">
        <f aca="false">YEAR(K342)&amp;"-"&amp;TEXT(MONTH(K342),"00")</f>
        <v>2025-07</v>
      </c>
      <c r="Z342" s="0" t="str">
        <f aca="false">C342&amp;" → "&amp;D342</f>
        <v>Rajasthan → Surat</v>
      </c>
      <c r="AA342" s="0" t="str">
        <f aca="false">Raw!Q342</f>
        <v>VRL Cargo</v>
      </c>
      <c r="AB342" s="0" t="str">
        <f aca="false">Raw!R342</f>
        <v>No</v>
      </c>
      <c r="AC342" s="0" t="str">
        <f aca="false">Raw!S342</f>
        <v>Returned</v>
      </c>
      <c r="AD342" s="29" t="n">
        <f aca="false">Raw!N342</f>
        <v>5012.04</v>
      </c>
      <c r="AE342" s="29" t="n">
        <f aca="false">Raw!O342</f>
        <v>3242.71</v>
      </c>
      <c r="AF342" s="29" t="n">
        <f aca="false">Raw!P342</f>
        <v>1128.43</v>
      </c>
      <c r="AG342" s="29" t="n">
        <f aca="false">AD342/J342</f>
        <v>322.732775273664</v>
      </c>
    </row>
    <row r="343" customFormat="false" ht="15" hidden="false" customHeight="false" outlineLevel="0" collapsed="false">
      <c r="A343" s="0" t="str">
        <f aca="false">Raw!A343</f>
        <v>SHP0342</v>
      </c>
      <c r="B343" s="0" t="str">
        <f aca="false">Raw!B343</f>
        <v>Outbound</v>
      </c>
      <c r="C343" s="0" t="str">
        <f aca="false">Raw!C343</f>
        <v>Surat</v>
      </c>
      <c r="D343" s="0" t="str">
        <f aca="false">Raw!D343</f>
        <v>Jaipur</v>
      </c>
      <c r="E343" s="0" t="str">
        <f aca="false">IFERROR(INDEX(Location_Map!$B$2:$B$15,MATCH(C343,Location_Map!$A$2:$A$15,0)),"UNMAPPED")</f>
        <v>Gujarat</v>
      </c>
      <c r="F343" s="0" t="str">
        <f aca="false">IFERROR(INDEX(Location_Map!$C$2:$C$15,MATCH(C343,Location_Map!$A$2:$A$15,0)),"UNMAPPED")</f>
        <v>West</v>
      </c>
      <c r="G343" s="0" t="str">
        <f aca="false">IFERROR(INDEX(Location_Map!$B$2:$B$15,MATCH(D343,Location_Map!$A$2:$A$15,0)),"UNMAPPED")</f>
        <v>Rajasthan</v>
      </c>
      <c r="H343" s="0" t="str">
        <f aca="false">IFERROR(INDEX(Location_Map!$C$2:$C$15,MATCH(D343,Location_Map!$A$2:$A$15,0)),"UNMAPPED")</f>
        <v>North</v>
      </c>
      <c r="I343" s="0" t="str">
        <f aca="false">Raw!E343</f>
        <v>Finished Yarn</v>
      </c>
      <c r="J343" s="28" t="n">
        <f aca="false">Raw!F343</f>
        <v>14.08</v>
      </c>
      <c r="K343" s="30" t="n">
        <f aca="false">DATE(LEFT(Raw!G343,4),MID(Raw!G343,6,2),MID(Raw!G343,9,2))</f>
        <v>45733</v>
      </c>
      <c r="L343" s="30" t="n">
        <f aca="false">DATE(LEFT(Raw!H343,4),MID(Raw!H343,6,2),MID(Raw!H343,9,2))</f>
        <v>45734</v>
      </c>
      <c r="M343" s="30" t="n">
        <f aca="false">DATE(LEFT(Raw!I343,4),MID(Raw!I343,6,2),MID(Raw!I343,9,2))</f>
        <v>45739</v>
      </c>
      <c r="N343" s="31" t="n">
        <f aca="false">DATE(LEFT(Raw!J343,4),MID(Raw!J343,6,2),MID(Raw!J343,9,2))+TIME(MID(Raw!J343,12,2),MID(Raw!J343,15,2),MID(Raw!J343,18,2))</f>
        <v>45734.125</v>
      </c>
      <c r="O343" s="31" t="n">
        <f aca="false">DATE(LEFT(Raw!K343,4),MID(Raw!K343,6,2),MID(Raw!K343,9,2))+TIME(MID(Raw!K343,12,2),MID(Raw!K343,15,2),MID(Raw!K343,18,2))</f>
        <v>45745</v>
      </c>
      <c r="P343" s="32" t="n">
        <f aca="false">L343-K343</f>
        <v>1</v>
      </c>
      <c r="Q343" s="32" t="n">
        <f aca="false">M343-L343</f>
        <v>5</v>
      </c>
      <c r="R343" s="32" t="n">
        <f aca="false">O343-N343</f>
        <v>10.875</v>
      </c>
      <c r="S343" s="32" t="n">
        <f aca="false">Raw!L343</f>
        <v>6</v>
      </c>
      <c r="T343" s="32" t="n">
        <f aca="false">O343-M343</f>
        <v>6</v>
      </c>
      <c r="U343" s="0" t="str">
        <f aca="false">IF(ABS(T343-S343)&lt;0.01,"OK","MISMATCH")</f>
        <v>OK</v>
      </c>
      <c r="V343" s="33" t="n">
        <f aca="false">Raw!M343</f>
        <v>1</v>
      </c>
      <c r="W343" s="0" t="str">
        <f aca="false">IF((S343&gt;0)=(V343=1),"OK","MISMATCH")</f>
        <v>OK</v>
      </c>
      <c r="X343" s="0" t="str">
        <f aca="false">_xlfn.IFS(S343&lt;=0,"Early/On time",S343&lt;=2,"Minor (up to 2 days)",S343&lt;=5,"Moderate (2-5 days)",TRUE(),"Severe (over 5 days)")</f>
        <v>Severe (over 5 days)</v>
      </c>
      <c r="Y343" s="0" t="str">
        <f aca="false">YEAR(K343)&amp;"-"&amp;TEXT(MONTH(K343),"00")</f>
        <v>2025-03</v>
      </c>
      <c r="Z343" s="0" t="str">
        <f aca="false">C343&amp;" → "&amp;D343</f>
        <v>Surat → Jaipur</v>
      </c>
      <c r="AA343" s="0" t="str">
        <f aca="false">Raw!Q343</f>
        <v>GATI Logistics</v>
      </c>
      <c r="AB343" s="0" t="str">
        <f aca="false">Raw!R343</f>
        <v>Yes</v>
      </c>
      <c r="AC343" s="0" t="str">
        <f aca="false">Raw!S343</f>
        <v>Returned</v>
      </c>
      <c r="AD343" s="29" t="n">
        <f aca="false">Raw!N343</f>
        <v>8420.6</v>
      </c>
      <c r="AE343" s="29" t="n">
        <f aca="false">Raw!O343</f>
        <v>4285.55</v>
      </c>
      <c r="AF343" s="29" t="n">
        <f aca="false">Raw!P343</f>
        <v>1343.33</v>
      </c>
      <c r="AG343" s="29" t="n">
        <f aca="false">AD343/J343</f>
        <v>598.053977272727</v>
      </c>
    </row>
    <row r="344" customFormat="false" ht="15" hidden="false" customHeight="false" outlineLevel="0" collapsed="false">
      <c r="A344" s="0" t="str">
        <f aca="false">Raw!A344</f>
        <v>SHP0343</v>
      </c>
      <c r="B344" s="0" t="str">
        <f aca="false">Raw!B344</f>
        <v>Inbound</v>
      </c>
      <c r="C344" s="0" t="str">
        <f aca="false">Raw!C344</f>
        <v>Punjab</v>
      </c>
      <c r="D344" s="0" t="str">
        <f aca="false">Raw!D344</f>
        <v>Surat</v>
      </c>
      <c r="E344" s="0" t="str">
        <f aca="false">IFERROR(INDEX(Location_Map!$B$2:$B$15,MATCH(C344,Location_Map!$A$2:$A$15,0)),"UNMAPPED")</f>
        <v>Punjab</v>
      </c>
      <c r="F344" s="0" t="str">
        <f aca="false">IFERROR(INDEX(Location_Map!$C$2:$C$15,MATCH(C344,Location_Map!$A$2:$A$15,0)),"UNMAPPED")</f>
        <v>North</v>
      </c>
      <c r="G344" s="0" t="str">
        <f aca="false">IFERROR(INDEX(Location_Map!$B$2:$B$15,MATCH(D344,Location_Map!$A$2:$A$15,0)),"UNMAPPED")</f>
        <v>Gujarat</v>
      </c>
      <c r="H344" s="0" t="str">
        <f aca="false">IFERROR(INDEX(Location_Map!$C$2:$C$15,MATCH(D344,Location_Map!$A$2:$A$15,0)),"UNMAPPED")</f>
        <v>West</v>
      </c>
      <c r="I344" s="0" t="str">
        <f aca="false">Raw!E344</f>
        <v>Finished Yarn</v>
      </c>
      <c r="J344" s="28" t="n">
        <f aca="false">Raw!F344</f>
        <v>10.22</v>
      </c>
      <c r="K344" s="30" t="n">
        <f aca="false">DATE(LEFT(Raw!G344,4),MID(Raw!G344,6,2),MID(Raw!G344,9,2))</f>
        <v>45758</v>
      </c>
      <c r="L344" s="30" t="n">
        <f aca="false">DATE(LEFT(Raw!H344,4),MID(Raw!H344,6,2),MID(Raw!H344,9,2))</f>
        <v>45762</v>
      </c>
      <c r="M344" s="30" t="n">
        <f aca="false">DATE(LEFT(Raw!I344,4),MID(Raw!I344,6,2),MID(Raw!I344,9,2))</f>
        <v>45768</v>
      </c>
      <c r="N344" s="31" t="n">
        <f aca="false">DATE(LEFT(Raw!J344,4),MID(Raw!J344,6,2),MID(Raw!J344,9,2))+TIME(MID(Raw!J344,12,2),MID(Raw!J344,15,2),MID(Raw!J344,18,2))</f>
        <v>45762.2916666667</v>
      </c>
      <c r="O344" s="31" t="n">
        <f aca="false">DATE(LEFT(Raw!K344,4),MID(Raw!K344,6,2),MID(Raw!K344,9,2))+TIME(MID(Raw!K344,12,2),MID(Raw!K344,15,2),MID(Raw!K344,18,2))</f>
        <v>45771</v>
      </c>
      <c r="P344" s="32" t="n">
        <f aca="false">L344-K344</f>
        <v>4</v>
      </c>
      <c r="Q344" s="32" t="n">
        <f aca="false">M344-L344</f>
        <v>6</v>
      </c>
      <c r="R344" s="32" t="n">
        <f aca="false">O344-N344</f>
        <v>8.70833333333333</v>
      </c>
      <c r="S344" s="32" t="n">
        <f aca="false">Raw!L344</f>
        <v>3</v>
      </c>
      <c r="T344" s="32" t="n">
        <f aca="false">O344-M344</f>
        <v>3</v>
      </c>
      <c r="U344" s="0" t="str">
        <f aca="false">IF(ABS(T344-S344)&lt;0.01,"OK","MISMATCH")</f>
        <v>OK</v>
      </c>
      <c r="V344" s="33" t="n">
        <f aca="false">Raw!M344</f>
        <v>1</v>
      </c>
      <c r="W344" s="0" t="str">
        <f aca="false">IF((S344&gt;0)=(V344=1),"OK","MISMATCH")</f>
        <v>OK</v>
      </c>
      <c r="X344" s="0" t="str">
        <f aca="false">_xlfn.IFS(S344&lt;=0,"Early/On time",S344&lt;=2,"Minor (up to 2 days)",S344&lt;=5,"Moderate (2-5 days)",TRUE(),"Severe (over 5 days)")</f>
        <v>Moderate (2-5 days)</v>
      </c>
      <c r="Y344" s="0" t="str">
        <f aca="false">YEAR(K344)&amp;"-"&amp;TEXT(MONTH(K344),"00")</f>
        <v>2025-04</v>
      </c>
      <c r="Z344" s="0" t="str">
        <f aca="false">C344&amp;" → "&amp;D344</f>
        <v>Punjab → Surat</v>
      </c>
      <c r="AA344" s="0" t="str">
        <f aca="false">Raw!Q344</f>
        <v>TCI Express</v>
      </c>
      <c r="AB344" s="0" t="str">
        <f aca="false">Raw!R344</f>
        <v>No</v>
      </c>
      <c r="AC344" s="0" t="str">
        <f aca="false">Raw!S344</f>
        <v>Held at warehouse</v>
      </c>
      <c r="AD344" s="29" t="n">
        <f aca="false">Raw!N344</f>
        <v>3665.58</v>
      </c>
      <c r="AE344" s="29" t="n">
        <f aca="false">Raw!O344</f>
        <v>2638.96</v>
      </c>
      <c r="AF344" s="29" t="n">
        <f aca="false">Raw!P344</f>
        <v>1147.77</v>
      </c>
      <c r="AG344" s="29" t="n">
        <f aca="false">AD344/J344</f>
        <v>358.667318982387</v>
      </c>
    </row>
    <row r="345" customFormat="false" ht="15" hidden="false" customHeight="false" outlineLevel="0" collapsed="false">
      <c r="A345" s="0" t="str">
        <f aca="false">Raw!A345</f>
        <v>SHP0344</v>
      </c>
      <c r="B345" s="0" t="str">
        <f aca="false">Raw!B345</f>
        <v>Outbound</v>
      </c>
      <c r="C345" s="0" t="str">
        <f aca="false">Raw!C345</f>
        <v>Surat</v>
      </c>
      <c r="D345" s="0" t="str">
        <f aca="false">Raw!D345</f>
        <v>Jaipur</v>
      </c>
      <c r="E345" s="0" t="str">
        <f aca="false">IFERROR(INDEX(Location_Map!$B$2:$B$15,MATCH(C345,Location_Map!$A$2:$A$15,0)),"UNMAPPED")</f>
        <v>Gujarat</v>
      </c>
      <c r="F345" s="0" t="str">
        <f aca="false">IFERROR(INDEX(Location_Map!$C$2:$C$15,MATCH(C345,Location_Map!$A$2:$A$15,0)),"UNMAPPED")</f>
        <v>West</v>
      </c>
      <c r="G345" s="0" t="str">
        <f aca="false">IFERROR(INDEX(Location_Map!$B$2:$B$15,MATCH(D345,Location_Map!$A$2:$A$15,0)),"UNMAPPED")</f>
        <v>Rajasthan</v>
      </c>
      <c r="H345" s="0" t="str">
        <f aca="false">IFERROR(INDEX(Location_Map!$C$2:$C$15,MATCH(D345,Location_Map!$A$2:$A$15,0)),"UNMAPPED")</f>
        <v>North</v>
      </c>
      <c r="I345" s="0" t="str">
        <f aca="false">Raw!E345</f>
        <v>Finished Yarn</v>
      </c>
      <c r="J345" s="28" t="n">
        <f aca="false">Raw!F345</f>
        <v>1.29</v>
      </c>
      <c r="K345" s="30" t="n">
        <f aca="false">DATE(LEFT(Raw!G345,4),MID(Raw!G345,6,2),MID(Raw!G345,9,2))</f>
        <v>45742</v>
      </c>
      <c r="L345" s="30" t="n">
        <f aca="false">DATE(LEFT(Raw!H345,4),MID(Raw!H345,6,2),MID(Raw!H345,9,2))</f>
        <v>45743</v>
      </c>
      <c r="M345" s="30" t="n">
        <f aca="false">DATE(LEFT(Raw!I345,4),MID(Raw!I345,6,2),MID(Raw!I345,9,2))</f>
        <v>45748</v>
      </c>
      <c r="N345" s="31" t="n">
        <f aca="false">DATE(LEFT(Raw!J345,4),MID(Raw!J345,6,2),MID(Raw!J345,9,2))+TIME(MID(Raw!J345,12,2),MID(Raw!J345,15,2),MID(Raw!J345,18,2))</f>
        <v>45743.375</v>
      </c>
      <c r="O345" s="31" t="n">
        <f aca="false">DATE(LEFT(Raw!K345,4),MID(Raw!K345,6,2),MID(Raw!K345,9,2))+TIME(MID(Raw!K345,12,2),MID(Raw!K345,15,2),MID(Raw!K345,18,2))</f>
        <v>45749.1</v>
      </c>
      <c r="P345" s="32" t="n">
        <f aca="false">L345-K345</f>
        <v>1</v>
      </c>
      <c r="Q345" s="32" t="n">
        <f aca="false">M345-L345</f>
        <v>5</v>
      </c>
      <c r="R345" s="32" t="n">
        <f aca="false">O345-N345</f>
        <v>5.725</v>
      </c>
      <c r="S345" s="32" t="n">
        <f aca="false">Raw!L345</f>
        <v>1.1</v>
      </c>
      <c r="T345" s="32" t="n">
        <f aca="false">O345-M345</f>
        <v>1.1</v>
      </c>
      <c r="U345" s="0" t="str">
        <f aca="false">IF(ABS(T345-S345)&lt;0.01,"OK","MISMATCH")</f>
        <v>OK</v>
      </c>
      <c r="V345" s="33" t="n">
        <f aca="false">Raw!M345</f>
        <v>1</v>
      </c>
      <c r="W345" s="0" t="str">
        <f aca="false">IF((S345&gt;0)=(V345=1),"OK","MISMATCH")</f>
        <v>OK</v>
      </c>
      <c r="X345" s="0" t="str">
        <f aca="false">_xlfn.IFS(S345&lt;=0,"Early/On time",S345&lt;=2,"Minor (up to 2 days)",S345&lt;=5,"Moderate (2-5 days)",TRUE(),"Severe (over 5 days)")</f>
        <v>Minor (up to 2 days)</v>
      </c>
      <c r="Y345" s="0" t="str">
        <f aca="false">YEAR(K345)&amp;"-"&amp;TEXT(MONTH(K345),"00")</f>
        <v>2025-03</v>
      </c>
      <c r="Z345" s="0" t="str">
        <f aca="false">C345&amp;" → "&amp;D345</f>
        <v>Surat → Jaipur</v>
      </c>
      <c r="AA345" s="0" t="str">
        <f aca="false">Raw!Q345</f>
        <v>BlueDart</v>
      </c>
      <c r="AB345" s="0" t="str">
        <f aca="false">Raw!R345</f>
        <v>No</v>
      </c>
      <c r="AC345" s="0" t="str">
        <f aca="false">Raw!S345</f>
        <v>Held at warehouse</v>
      </c>
      <c r="AD345" s="29" t="n">
        <f aca="false">Raw!N345</f>
        <v>2168.68</v>
      </c>
      <c r="AE345" s="29" t="n">
        <f aca="false">Raw!O345</f>
        <v>1266.26</v>
      </c>
      <c r="AF345" s="29" t="n">
        <f aca="false">Raw!P345</f>
        <v>1148.32</v>
      </c>
      <c r="AG345" s="29" t="n">
        <f aca="false">AD345/J345</f>
        <v>1681.14728682171</v>
      </c>
    </row>
    <row r="346" customFormat="false" ht="15" hidden="false" customHeight="false" outlineLevel="0" collapsed="false">
      <c r="A346" s="0" t="str">
        <f aca="false">Raw!A346</f>
        <v>SHP0345</v>
      </c>
      <c r="B346" s="0" t="str">
        <f aca="false">Raw!B346</f>
        <v>Outbound</v>
      </c>
      <c r="C346" s="0" t="str">
        <f aca="false">Raw!C346</f>
        <v>Surat</v>
      </c>
      <c r="D346" s="0" t="str">
        <f aca="false">Raw!D346</f>
        <v>Gujarat</v>
      </c>
      <c r="E346" s="0" t="str">
        <f aca="false">IFERROR(INDEX(Location_Map!$B$2:$B$15,MATCH(C346,Location_Map!$A$2:$A$15,0)),"UNMAPPED")</f>
        <v>Gujarat</v>
      </c>
      <c r="F346" s="0" t="str">
        <f aca="false">IFERROR(INDEX(Location_Map!$C$2:$C$15,MATCH(C346,Location_Map!$A$2:$A$15,0)),"UNMAPPED")</f>
        <v>West</v>
      </c>
      <c r="G346" s="0" t="str">
        <f aca="false">IFERROR(INDEX(Location_Map!$B$2:$B$15,MATCH(D346,Location_Map!$A$2:$A$15,0)),"UNMAPPED")</f>
        <v>Gujarat</v>
      </c>
      <c r="H346" s="0" t="str">
        <f aca="false">IFERROR(INDEX(Location_Map!$C$2:$C$15,MATCH(D346,Location_Map!$A$2:$A$15,0)),"UNMAPPED")</f>
        <v>West</v>
      </c>
      <c r="I346" s="0" t="str">
        <f aca="false">Raw!E346</f>
        <v>Raw Yarn</v>
      </c>
      <c r="J346" s="28" t="n">
        <f aca="false">Raw!F346</f>
        <v>2.41</v>
      </c>
      <c r="K346" s="30" t="n">
        <f aca="false">DATE(LEFT(Raw!G346,4),MID(Raw!G346,6,2),MID(Raw!G346,9,2))</f>
        <v>45770</v>
      </c>
      <c r="L346" s="30" t="n">
        <f aca="false">DATE(LEFT(Raw!H346,4),MID(Raw!H346,6,2),MID(Raw!H346,9,2))</f>
        <v>45774</v>
      </c>
      <c r="M346" s="30" t="n">
        <f aca="false">DATE(LEFT(Raw!I346,4),MID(Raw!I346,6,2),MID(Raw!I346,9,2))</f>
        <v>45779</v>
      </c>
      <c r="N346" s="31" t="n">
        <f aca="false">DATE(LEFT(Raw!J346,4),MID(Raw!J346,6,2),MID(Raw!J346,9,2))+TIME(MID(Raw!J346,12,2),MID(Raw!J346,15,2),MID(Raw!J346,18,2))</f>
        <v>45774</v>
      </c>
      <c r="O346" s="31" t="n">
        <f aca="false">DATE(LEFT(Raw!K346,4),MID(Raw!K346,6,2),MID(Raw!K346,9,2))+TIME(MID(Raw!K346,12,2),MID(Raw!K346,15,2),MID(Raw!K346,18,2))</f>
        <v>45778</v>
      </c>
      <c r="P346" s="32" t="n">
        <f aca="false">L346-K346</f>
        <v>4</v>
      </c>
      <c r="Q346" s="32" t="n">
        <f aca="false">M346-L346</f>
        <v>5</v>
      </c>
      <c r="R346" s="32" t="n">
        <f aca="false">O346-N346</f>
        <v>4</v>
      </c>
      <c r="S346" s="32" t="n">
        <f aca="false">Raw!L346</f>
        <v>-1</v>
      </c>
      <c r="T346" s="32" t="n">
        <f aca="false">O346-M346</f>
        <v>-1</v>
      </c>
      <c r="U346" s="0" t="str">
        <f aca="false">IF(ABS(T346-S346)&lt;0.01,"OK","MISMATCH")</f>
        <v>OK</v>
      </c>
      <c r="V346" s="33" t="n">
        <f aca="false">Raw!M346</f>
        <v>0</v>
      </c>
      <c r="W346" s="0" t="str">
        <f aca="false">IF((S346&gt;0)=(V346=1),"OK","MISMATCH")</f>
        <v>OK</v>
      </c>
      <c r="X346" s="0" t="str">
        <f aca="false">_xlfn.IFS(S346&lt;=0,"Early/On time",S346&lt;=2,"Minor (up to 2 days)",S346&lt;=5,"Moderate (2-5 days)",TRUE(),"Severe (over 5 days)")</f>
        <v>Early/On time</v>
      </c>
      <c r="Y346" s="0" t="str">
        <f aca="false">YEAR(K346)&amp;"-"&amp;TEXT(MONTH(K346),"00")</f>
        <v>2025-04</v>
      </c>
      <c r="Z346" s="0" t="str">
        <f aca="false">C346&amp;" → "&amp;D346</f>
        <v>Surat → Gujarat</v>
      </c>
      <c r="AA346" s="0" t="str">
        <f aca="false">Raw!Q346</f>
        <v>BlueDart</v>
      </c>
      <c r="AB346" s="0" t="str">
        <f aca="false">Raw!R346</f>
        <v>No</v>
      </c>
      <c r="AC346" s="0" t="str">
        <f aca="false">Raw!S346</f>
        <v>Expedited</v>
      </c>
      <c r="AD346" s="29" t="n">
        <f aca="false">Raw!N346</f>
        <v>2463.1</v>
      </c>
      <c r="AE346" s="29" t="n">
        <f aca="false">Raw!O346</f>
        <v>3826.54</v>
      </c>
      <c r="AF346" s="29" t="n">
        <f aca="false">Raw!P346</f>
        <v>874.48</v>
      </c>
      <c r="AG346" s="29" t="n">
        <f aca="false">AD346/J346</f>
        <v>1022.03319502075</v>
      </c>
    </row>
    <row r="347" customFormat="false" ht="15" hidden="false" customHeight="false" outlineLevel="0" collapsed="false">
      <c r="A347" s="0" t="str">
        <f aca="false">Raw!A347</f>
        <v>SHP0346</v>
      </c>
      <c r="B347" s="0" t="str">
        <f aca="false">Raw!B347</f>
        <v>Outbound</v>
      </c>
      <c r="C347" s="0" t="str">
        <f aca="false">Raw!C347</f>
        <v>Surat</v>
      </c>
      <c r="D347" s="0" t="str">
        <f aca="false">Raw!D347</f>
        <v>Kerala</v>
      </c>
      <c r="E347" s="0" t="str">
        <f aca="false">IFERROR(INDEX(Location_Map!$B$2:$B$15,MATCH(C347,Location_Map!$A$2:$A$15,0)),"UNMAPPED")</f>
        <v>Gujarat</v>
      </c>
      <c r="F347" s="0" t="str">
        <f aca="false">IFERROR(INDEX(Location_Map!$C$2:$C$15,MATCH(C347,Location_Map!$A$2:$A$15,0)),"UNMAPPED")</f>
        <v>West</v>
      </c>
      <c r="G347" s="0" t="str">
        <f aca="false">IFERROR(INDEX(Location_Map!$B$2:$B$15,MATCH(D347,Location_Map!$A$2:$A$15,0)),"UNMAPPED")</f>
        <v>Kerala</v>
      </c>
      <c r="H347" s="0" t="str">
        <f aca="false">IFERROR(INDEX(Location_Map!$C$2:$C$15,MATCH(D347,Location_Map!$A$2:$A$15,0)),"UNMAPPED")</f>
        <v>South</v>
      </c>
      <c r="I347" s="0" t="str">
        <f aca="false">Raw!E347</f>
        <v>Semi-Processed Yarn</v>
      </c>
      <c r="J347" s="28" t="n">
        <f aca="false">Raw!F347</f>
        <v>8.02</v>
      </c>
      <c r="K347" s="30" t="n">
        <f aca="false">DATE(LEFT(Raw!G347,4),MID(Raw!G347,6,2),MID(Raw!G347,9,2))</f>
        <v>45671</v>
      </c>
      <c r="L347" s="30" t="n">
        <f aca="false">DATE(LEFT(Raw!H347,4),MID(Raw!H347,6,2),MID(Raw!H347,9,2))</f>
        <v>45673</v>
      </c>
      <c r="M347" s="30" t="n">
        <f aca="false">DATE(LEFT(Raw!I347,4),MID(Raw!I347,6,2),MID(Raw!I347,9,2))</f>
        <v>45677</v>
      </c>
      <c r="N347" s="31" t="n">
        <f aca="false">DATE(LEFT(Raw!J347,4),MID(Raw!J347,6,2),MID(Raw!J347,9,2))+TIME(MID(Raw!J347,12,2),MID(Raw!J347,15,2),MID(Raw!J347,18,2))</f>
        <v>45673.3333333333</v>
      </c>
      <c r="O347" s="31" t="n">
        <f aca="false">DATE(LEFT(Raw!K347,4),MID(Raw!K347,6,2),MID(Raw!K347,9,2))+TIME(MID(Raw!K347,12,2),MID(Raw!K347,15,2),MID(Raw!K347,18,2))</f>
        <v>45676.9</v>
      </c>
      <c r="P347" s="32" t="n">
        <f aca="false">L347-K347</f>
        <v>2</v>
      </c>
      <c r="Q347" s="32" t="n">
        <f aca="false">M347-L347</f>
        <v>4</v>
      </c>
      <c r="R347" s="32" t="n">
        <f aca="false">O347-N347</f>
        <v>3.56666666666667</v>
      </c>
      <c r="S347" s="32" t="n">
        <f aca="false">Raw!L347</f>
        <v>-0.1</v>
      </c>
      <c r="T347" s="32" t="n">
        <f aca="false">O347-M347</f>
        <v>-0.1</v>
      </c>
      <c r="U347" s="0" t="str">
        <f aca="false">IF(ABS(T347-S347)&lt;0.01,"OK","MISMATCH")</f>
        <v>OK</v>
      </c>
      <c r="V347" s="33" t="n">
        <f aca="false">Raw!M347</f>
        <v>0</v>
      </c>
      <c r="W347" s="0" t="str">
        <f aca="false">IF((S347&gt;0)=(V347=1),"OK","MISMATCH")</f>
        <v>OK</v>
      </c>
      <c r="X347" s="0" t="str">
        <f aca="false">_xlfn.IFS(S347&lt;=0,"Early/On time",S347&lt;=2,"Minor (up to 2 days)",S347&lt;=5,"Moderate (2-5 days)",TRUE(),"Severe (over 5 days)")</f>
        <v>Early/On time</v>
      </c>
      <c r="Y347" s="0" t="str">
        <f aca="false">YEAR(K347)&amp;"-"&amp;TEXT(MONTH(K347),"00")</f>
        <v>2025-01</v>
      </c>
      <c r="Z347" s="0" t="str">
        <f aca="false">C347&amp;" → "&amp;D347</f>
        <v>Surat → Kerala</v>
      </c>
      <c r="AA347" s="0" t="str">
        <f aca="false">Raw!Q347</f>
        <v>VRL Cargo</v>
      </c>
      <c r="AB347" s="0" t="str">
        <f aca="false">Raw!R347</f>
        <v>No</v>
      </c>
      <c r="AC347" s="0" t="str">
        <f aca="false">Raw!S347</f>
        <v>Held at warehouse</v>
      </c>
      <c r="AD347" s="29" t="n">
        <f aca="false">Raw!N347</f>
        <v>3950.85</v>
      </c>
      <c r="AE347" s="29" t="n">
        <f aca="false">Raw!O347</f>
        <v>2935.96</v>
      </c>
      <c r="AF347" s="29" t="n">
        <f aca="false">Raw!P347</f>
        <v>505.31</v>
      </c>
      <c r="AG347" s="29" t="n">
        <f aca="false">AD347/J347</f>
        <v>492.624688279302</v>
      </c>
    </row>
    <row r="348" customFormat="false" ht="15" hidden="false" customHeight="false" outlineLevel="0" collapsed="false">
      <c r="A348" s="0" t="str">
        <f aca="false">Raw!A348</f>
        <v>SHP0347</v>
      </c>
      <c r="B348" s="0" t="str">
        <f aca="false">Raw!B348</f>
        <v>Inbound</v>
      </c>
      <c r="C348" s="0" t="str">
        <f aca="false">Raw!C348</f>
        <v>Uttar Pradesh</v>
      </c>
      <c r="D348" s="0" t="str">
        <f aca="false">Raw!D348</f>
        <v>Surat</v>
      </c>
      <c r="E348" s="0" t="str">
        <f aca="false">IFERROR(INDEX(Location_Map!$B$2:$B$15,MATCH(C348,Location_Map!$A$2:$A$15,0)),"UNMAPPED")</f>
        <v>Uttar Pradesh</v>
      </c>
      <c r="F348" s="0" t="str">
        <f aca="false">IFERROR(INDEX(Location_Map!$C$2:$C$15,MATCH(C348,Location_Map!$A$2:$A$15,0)),"UNMAPPED")</f>
        <v>North</v>
      </c>
      <c r="G348" s="0" t="str">
        <f aca="false">IFERROR(INDEX(Location_Map!$B$2:$B$15,MATCH(D348,Location_Map!$A$2:$A$15,0)),"UNMAPPED")</f>
        <v>Gujarat</v>
      </c>
      <c r="H348" s="0" t="str">
        <f aca="false">IFERROR(INDEX(Location_Map!$C$2:$C$15,MATCH(D348,Location_Map!$A$2:$A$15,0)),"UNMAPPED")</f>
        <v>West</v>
      </c>
      <c r="I348" s="0" t="str">
        <f aca="false">Raw!E348</f>
        <v>Finished Yarn</v>
      </c>
      <c r="J348" s="28" t="n">
        <f aca="false">Raw!F348</f>
        <v>16.29</v>
      </c>
      <c r="K348" s="30" t="n">
        <f aca="false">DATE(LEFT(Raw!G348,4),MID(Raw!G348,6,2),MID(Raw!G348,9,2))</f>
        <v>45889</v>
      </c>
      <c r="L348" s="30" t="n">
        <f aca="false">DATE(LEFT(Raw!H348,4),MID(Raw!H348,6,2),MID(Raw!H348,9,2))</f>
        <v>45892</v>
      </c>
      <c r="M348" s="30" t="n">
        <f aca="false">DATE(LEFT(Raw!I348,4),MID(Raw!I348,6,2),MID(Raw!I348,9,2))</f>
        <v>45894</v>
      </c>
      <c r="N348" s="31" t="n">
        <f aca="false">DATE(LEFT(Raw!J348,4),MID(Raw!J348,6,2),MID(Raw!J348,9,2))+TIME(MID(Raw!J348,12,2),MID(Raw!J348,15,2),MID(Raw!J348,18,2))</f>
        <v>45892.1666666667</v>
      </c>
      <c r="O348" s="31" t="n">
        <f aca="false">DATE(LEFT(Raw!K348,4),MID(Raw!K348,6,2),MID(Raw!K348,9,2))+TIME(MID(Raw!K348,12,2),MID(Raw!K348,15,2),MID(Raw!K348,18,2))</f>
        <v>45893</v>
      </c>
      <c r="P348" s="32" t="n">
        <f aca="false">L348-K348</f>
        <v>3</v>
      </c>
      <c r="Q348" s="32" t="n">
        <f aca="false">M348-L348</f>
        <v>2</v>
      </c>
      <c r="R348" s="32" t="n">
        <f aca="false">O348-N348</f>
        <v>0.833333333333333</v>
      </c>
      <c r="S348" s="32" t="n">
        <f aca="false">Raw!L348</f>
        <v>-1</v>
      </c>
      <c r="T348" s="32" t="n">
        <f aca="false">O348-M348</f>
        <v>-1</v>
      </c>
      <c r="U348" s="0" t="str">
        <f aca="false">IF(ABS(T348-S348)&lt;0.01,"OK","MISMATCH")</f>
        <v>OK</v>
      </c>
      <c r="V348" s="33" t="n">
        <f aca="false">Raw!M348</f>
        <v>0</v>
      </c>
      <c r="W348" s="0" t="str">
        <f aca="false">IF((S348&gt;0)=(V348=1),"OK","MISMATCH")</f>
        <v>OK</v>
      </c>
      <c r="X348" s="0" t="str">
        <f aca="false">_xlfn.IFS(S348&lt;=0,"Early/On time",S348&lt;=2,"Minor (up to 2 days)",S348&lt;=5,"Moderate (2-5 days)",TRUE(),"Severe (over 5 days)")</f>
        <v>Early/On time</v>
      </c>
      <c r="Y348" s="0" t="str">
        <f aca="false">YEAR(K348)&amp;"-"&amp;TEXT(MONTH(K348),"00")</f>
        <v>2025-08</v>
      </c>
      <c r="Z348" s="0" t="str">
        <f aca="false">C348&amp;" → "&amp;D348</f>
        <v>Uttar Pradesh → Surat</v>
      </c>
      <c r="AA348" s="0" t="str">
        <f aca="false">Raw!Q348</f>
        <v>BlueDart</v>
      </c>
      <c r="AB348" s="0" t="str">
        <f aca="false">Raw!R348</f>
        <v>No</v>
      </c>
      <c r="AC348" s="0" t="str">
        <f aca="false">Raw!S348</f>
        <v>Normal</v>
      </c>
      <c r="AD348" s="29" t="n">
        <f aca="false">Raw!N348</f>
        <v>10715.14</v>
      </c>
      <c r="AE348" s="29" t="n">
        <f aca="false">Raw!O348</f>
        <v>4212.01</v>
      </c>
      <c r="AF348" s="29" t="n">
        <f aca="false">Raw!P348</f>
        <v>1018.01</v>
      </c>
      <c r="AG348" s="29" t="n">
        <f aca="false">AD348/J348</f>
        <v>657.774094536526</v>
      </c>
    </row>
    <row r="349" customFormat="false" ht="15" hidden="false" customHeight="false" outlineLevel="0" collapsed="false">
      <c r="A349" s="0" t="str">
        <f aca="false">Raw!A349</f>
        <v>SHP0348</v>
      </c>
      <c r="B349" s="0" t="str">
        <f aca="false">Raw!B349</f>
        <v>Inbound</v>
      </c>
      <c r="C349" s="0" t="str">
        <f aca="false">Raw!C349</f>
        <v>Uttar Pradesh</v>
      </c>
      <c r="D349" s="0" t="str">
        <f aca="false">Raw!D349</f>
        <v>Surat</v>
      </c>
      <c r="E349" s="0" t="str">
        <f aca="false">IFERROR(INDEX(Location_Map!$B$2:$B$15,MATCH(C349,Location_Map!$A$2:$A$15,0)),"UNMAPPED")</f>
        <v>Uttar Pradesh</v>
      </c>
      <c r="F349" s="0" t="str">
        <f aca="false">IFERROR(INDEX(Location_Map!$C$2:$C$15,MATCH(C349,Location_Map!$A$2:$A$15,0)),"UNMAPPED")</f>
        <v>North</v>
      </c>
      <c r="G349" s="0" t="str">
        <f aca="false">IFERROR(INDEX(Location_Map!$B$2:$B$15,MATCH(D349,Location_Map!$A$2:$A$15,0)),"UNMAPPED")</f>
        <v>Gujarat</v>
      </c>
      <c r="H349" s="0" t="str">
        <f aca="false">IFERROR(INDEX(Location_Map!$C$2:$C$15,MATCH(D349,Location_Map!$A$2:$A$15,0)),"UNMAPPED")</f>
        <v>West</v>
      </c>
      <c r="I349" s="0" t="str">
        <f aca="false">Raw!E349</f>
        <v>Semi-Processed Yarn</v>
      </c>
      <c r="J349" s="28" t="n">
        <f aca="false">Raw!F349</f>
        <v>3.67</v>
      </c>
      <c r="K349" s="30" t="n">
        <f aca="false">DATE(LEFT(Raw!G349,4),MID(Raw!G349,6,2),MID(Raw!G349,9,2))</f>
        <v>45859</v>
      </c>
      <c r="L349" s="30" t="n">
        <f aca="false">DATE(LEFT(Raw!H349,4),MID(Raw!H349,6,2),MID(Raw!H349,9,2))</f>
        <v>45862</v>
      </c>
      <c r="M349" s="30" t="n">
        <f aca="false">DATE(LEFT(Raw!I349,4),MID(Raw!I349,6,2),MID(Raw!I349,9,2))</f>
        <v>45868</v>
      </c>
      <c r="N349" s="31" t="n">
        <f aca="false">DATE(LEFT(Raw!J349,4),MID(Raw!J349,6,2),MID(Raw!J349,9,2))+TIME(MID(Raw!J349,12,2),MID(Raw!J349,15,2),MID(Raw!J349,18,2))</f>
        <v>45862.2083333333</v>
      </c>
      <c r="O349" s="31" t="n">
        <f aca="false">DATE(LEFT(Raw!K349,4),MID(Raw!K349,6,2),MID(Raw!K349,9,2))+TIME(MID(Raw!K349,12,2),MID(Raw!K349,15,2),MID(Raw!K349,18,2))</f>
        <v>45875.5</v>
      </c>
      <c r="P349" s="32" t="n">
        <f aca="false">L349-K349</f>
        <v>3</v>
      </c>
      <c r="Q349" s="32" t="n">
        <f aca="false">M349-L349</f>
        <v>6</v>
      </c>
      <c r="R349" s="32" t="n">
        <f aca="false">O349-N349</f>
        <v>13.2916666666667</v>
      </c>
      <c r="S349" s="32" t="n">
        <f aca="false">Raw!L349</f>
        <v>7.5</v>
      </c>
      <c r="T349" s="32" t="n">
        <f aca="false">O349-M349</f>
        <v>7.5</v>
      </c>
      <c r="U349" s="0" t="str">
        <f aca="false">IF(ABS(T349-S349)&lt;0.01,"OK","MISMATCH")</f>
        <v>OK</v>
      </c>
      <c r="V349" s="33" t="n">
        <f aca="false">Raw!M349</f>
        <v>1</v>
      </c>
      <c r="W349" s="0" t="str">
        <f aca="false">IF((S349&gt;0)=(V349=1),"OK","MISMATCH")</f>
        <v>OK</v>
      </c>
      <c r="X349" s="0" t="str">
        <f aca="false">_xlfn.IFS(S349&lt;=0,"Early/On time",S349&lt;=2,"Minor (up to 2 days)",S349&lt;=5,"Moderate (2-5 days)",TRUE(),"Severe (over 5 days)")</f>
        <v>Severe (over 5 days)</v>
      </c>
      <c r="Y349" s="0" t="str">
        <f aca="false">YEAR(K349)&amp;"-"&amp;TEXT(MONTH(K349),"00")</f>
        <v>2025-07</v>
      </c>
      <c r="Z349" s="0" t="str">
        <f aca="false">C349&amp;" → "&amp;D349</f>
        <v>Uttar Pradesh → Surat</v>
      </c>
      <c r="AA349" s="0" t="str">
        <f aca="false">Raw!Q349</f>
        <v>TCI Express</v>
      </c>
      <c r="AB349" s="0" t="str">
        <f aca="false">Raw!R349</f>
        <v>No</v>
      </c>
      <c r="AC349" s="0" t="str">
        <f aca="false">Raw!S349</f>
        <v>Expedited</v>
      </c>
      <c r="AD349" s="29" t="n">
        <f aca="false">Raw!N349</f>
        <v>1799.02</v>
      </c>
      <c r="AE349" s="29" t="n">
        <f aca="false">Raw!O349</f>
        <v>4561.64</v>
      </c>
      <c r="AF349" s="29" t="n">
        <f aca="false">Raw!P349</f>
        <v>1249.98</v>
      </c>
      <c r="AG349" s="29" t="n">
        <f aca="false">AD349/J349</f>
        <v>490.196185286104</v>
      </c>
    </row>
    <row r="350" customFormat="false" ht="15" hidden="false" customHeight="false" outlineLevel="0" collapsed="false">
      <c r="A350" s="0" t="str">
        <f aca="false">Raw!A350</f>
        <v>SHP0349</v>
      </c>
      <c r="B350" s="0" t="str">
        <f aca="false">Raw!B350</f>
        <v>Inbound</v>
      </c>
      <c r="C350" s="0" t="str">
        <f aca="false">Raw!C350</f>
        <v>Punjab</v>
      </c>
      <c r="D350" s="0" t="str">
        <f aca="false">Raw!D350</f>
        <v>Surat</v>
      </c>
      <c r="E350" s="0" t="str">
        <f aca="false">IFERROR(INDEX(Location_Map!$B$2:$B$15,MATCH(C350,Location_Map!$A$2:$A$15,0)),"UNMAPPED")</f>
        <v>Punjab</v>
      </c>
      <c r="F350" s="0" t="str">
        <f aca="false">IFERROR(INDEX(Location_Map!$C$2:$C$15,MATCH(C350,Location_Map!$A$2:$A$15,0)),"UNMAPPED")</f>
        <v>North</v>
      </c>
      <c r="G350" s="0" t="str">
        <f aca="false">IFERROR(INDEX(Location_Map!$B$2:$B$15,MATCH(D350,Location_Map!$A$2:$A$15,0)),"UNMAPPED")</f>
        <v>Gujarat</v>
      </c>
      <c r="H350" s="0" t="str">
        <f aca="false">IFERROR(INDEX(Location_Map!$C$2:$C$15,MATCH(D350,Location_Map!$A$2:$A$15,0)),"UNMAPPED")</f>
        <v>West</v>
      </c>
      <c r="I350" s="0" t="str">
        <f aca="false">Raw!E350</f>
        <v>Finished Yarn</v>
      </c>
      <c r="J350" s="28" t="n">
        <f aca="false">Raw!F350</f>
        <v>18.26</v>
      </c>
      <c r="K350" s="30" t="n">
        <f aca="false">DATE(LEFT(Raw!G350,4),MID(Raw!G350,6,2),MID(Raw!G350,9,2))</f>
        <v>45885</v>
      </c>
      <c r="L350" s="30" t="n">
        <f aca="false">DATE(LEFT(Raw!H350,4),MID(Raw!H350,6,2),MID(Raw!H350,9,2))</f>
        <v>45888</v>
      </c>
      <c r="M350" s="30" t="n">
        <f aca="false">DATE(LEFT(Raw!I350,4),MID(Raw!I350,6,2),MID(Raw!I350,9,2))</f>
        <v>45891</v>
      </c>
      <c r="N350" s="31" t="n">
        <f aca="false">DATE(LEFT(Raw!J350,4),MID(Raw!J350,6,2),MID(Raw!J350,9,2))+TIME(MID(Raw!J350,12,2),MID(Raw!J350,15,2),MID(Raw!J350,18,2))</f>
        <v>45888</v>
      </c>
      <c r="O350" s="31" t="n">
        <f aca="false">DATE(LEFT(Raw!K350,4),MID(Raw!K350,6,2),MID(Raw!K350,9,2))+TIME(MID(Raw!K350,12,2),MID(Raw!K350,15,2),MID(Raw!K350,18,2))</f>
        <v>45893.6</v>
      </c>
      <c r="P350" s="32" t="n">
        <f aca="false">L350-K350</f>
        <v>3</v>
      </c>
      <c r="Q350" s="32" t="n">
        <f aca="false">M350-L350</f>
        <v>3</v>
      </c>
      <c r="R350" s="32" t="n">
        <f aca="false">O350-N350</f>
        <v>5.6</v>
      </c>
      <c r="S350" s="32" t="n">
        <f aca="false">Raw!L350</f>
        <v>2.6</v>
      </c>
      <c r="T350" s="32" t="n">
        <f aca="false">O350-M350</f>
        <v>2.6</v>
      </c>
      <c r="U350" s="0" t="str">
        <f aca="false">IF(ABS(T350-S350)&lt;0.01,"OK","MISMATCH")</f>
        <v>OK</v>
      </c>
      <c r="V350" s="33" t="n">
        <f aca="false">Raw!M350</f>
        <v>1</v>
      </c>
      <c r="W350" s="0" t="str">
        <f aca="false">IF((S350&gt;0)=(V350=1),"OK","MISMATCH")</f>
        <v>OK</v>
      </c>
      <c r="X350" s="0" t="str">
        <f aca="false">_xlfn.IFS(S350&lt;=0,"Early/On time",S350&lt;=2,"Minor (up to 2 days)",S350&lt;=5,"Moderate (2-5 days)",TRUE(),"Severe (over 5 days)")</f>
        <v>Moderate (2-5 days)</v>
      </c>
      <c r="Y350" s="0" t="str">
        <f aca="false">YEAR(K350)&amp;"-"&amp;TEXT(MONTH(K350),"00")</f>
        <v>2025-08</v>
      </c>
      <c r="Z350" s="0" t="str">
        <f aca="false">C350&amp;" → "&amp;D350</f>
        <v>Punjab → Surat</v>
      </c>
      <c r="AA350" s="0" t="str">
        <f aca="false">Raw!Q350</f>
        <v>GATI Logistics</v>
      </c>
      <c r="AB350" s="0" t="str">
        <f aca="false">Raw!R350</f>
        <v>No</v>
      </c>
      <c r="AC350" s="0" t="str">
        <f aca="false">Raw!S350</f>
        <v>Damaged</v>
      </c>
      <c r="AD350" s="29" t="n">
        <f aca="false">Raw!N350</f>
        <v>8936.41</v>
      </c>
      <c r="AE350" s="29" t="n">
        <f aca="false">Raw!O350</f>
        <v>2659.88</v>
      </c>
      <c r="AF350" s="29" t="n">
        <f aca="false">Raw!P350</f>
        <v>1212.78</v>
      </c>
      <c r="AG350" s="29" t="n">
        <f aca="false">AD350/J350</f>
        <v>489.398138006572</v>
      </c>
    </row>
    <row r="351" customFormat="false" ht="15" hidden="false" customHeight="false" outlineLevel="0" collapsed="false">
      <c r="A351" s="0" t="str">
        <f aca="false">Raw!A351</f>
        <v>SHP0350</v>
      </c>
      <c r="B351" s="0" t="str">
        <f aca="false">Raw!B351</f>
        <v>Outbound</v>
      </c>
      <c r="C351" s="0" t="str">
        <f aca="false">Raw!C351</f>
        <v>Surat</v>
      </c>
      <c r="D351" s="0" t="str">
        <f aca="false">Raw!D351</f>
        <v>Jaipur</v>
      </c>
      <c r="E351" s="0" t="str">
        <f aca="false">IFERROR(INDEX(Location_Map!$B$2:$B$15,MATCH(C351,Location_Map!$A$2:$A$15,0)),"UNMAPPED")</f>
        <v>Gujarat</v>
      </c>
      <c r="F351" s="0" t="str">
        <f aca="false">IFERROR(INDEX(Location_Map!$C$2:$C$15,MATCH(C351,Location_Map!$A$2:$A$15,0)),"UNMAPPED")</f>
        <v>West</v>
      </c>
      <c r="G351" s="0" t="str">
        <f aca="false">IFERROR(INDEX(Location_Map!$B$2:$B$15,MATCH(D351,Location_Map!$A$2:$A$15,0)),"UNMAPPED")</f>
        <v>Rajasthan</v>
      </c>
      <c r="H351" s="0" t="str">
        <f aca="false">IFERROR(INDEX(Location_Map!$C$2:$C$15,MATCH(D351,Location_Map!$A$2:$A$15,0)),"UNMAPPED")</f>
        <v>North</v>
      </c>
      <c r="I351" s="0" t="str">
        <f aca="false">Raw!E351</f>
        <v>Raw Yarn</v>
      </c>
      <c r="J351" s="28" t="n">
        <f aca="false">Raw!F351</f>
        <v>8.34</v>
      </c>
      <c r="K351" s="30" t="n">
        <f aca="false">DATE(LEFT(Raw!G351,4),MID(Raw!G351,6,2),MID(Raw!G351,9,2))</f>
        <v>45834</v>
      </c>
      <c r="L351" s="30" t="n">
        <f aca="false">DATE(LEFT(Raw!H351,4),MID(Raw!H351,6,2),MID(Raw!H351,9,2))</f>
        <v>45835</v>
      </c>
      <c r="M351" s="30" t="n">
        <f aca="false">DATE(LEFT(Raw!I351,4),MID(Raw!I351,6,2),MID(Raw!I351,9,2))</f>
        <v>45841</v>
      </c>
      <c r="N351" s="31" t="n">
        <f aca="false">DATE(LEFT(Raw!J351,4),MID(Raw!J351,6,2),MID(Raw!J351,9,2))+TIME(MID(Raw!J351,12,2),MID(Raw!J351,15,2),MID(Raw!J351,18,2))</f>
        <v>45835.2083333333</v>
      </c>
      <c r="O351" s="31" t="n">
        <f aca="false">DATE(LEFT(Raw!K351,4),MID(Raw!K351,6,2),MID(Raw!K351,9,2))+TIME(MID(Raw!K351,12,2),MID(Raw!K351,15,2),MID(Raw!K351,18,2))</f>
        <v>45845.8</v>
      </c>
      <c r="P351" s="32" t="n">
        <f aca="false">L351-K351</f>
        <v>1</v>
      </c>
      <c r="Q351" s="32" t="n">
        <f aca="false">M351-L351</f>
        <v>6</v>
      </c>
      <c r="R351" s="32" t="n">
        <f aca="false">O351-N351</f>
        <v>10.5916666666667</v>
      </c>
      <c r="S351" s="32" t="n">
        <f aca="false">Raw!L351</f>
        <v>4.8</v>
      </c>
      <c r="T351" s="32" t="n">
        <f aca="false">O351-M351</f>
        <v>4.8</v>
      </c>
      <c r="U351" s="0" t="str">
        <f aca="false">IF(ABS(T351-S351)&lt;0.01,"OK","MISMATCH")</f>
        <v>OK</v>
      </c>
      <c r="V351" s="33" t="n">
        <f aca="false">Raw!M351</f>
        <v>1</v>
      </c>
      <c r="W351" s="0" t="str">
        <f aca="false">IF((S351&gt;0)=(V351=1),"OK","MISMATCH")</f>
        <v>OK</v>
      </c>
      <c r="X351" s="0" t="str">
        <f aca="false">_xlfn.IFS(S351&lt;=0,"Early/On time",S351&lt;=2,"Minor (up to 2 days)",S351&lt;=5,"Moderate (2-5 days)",TRUE(),"Severe (over 5 days)")</f>
        <v>Moderate (2-5 days)</v>
      </c>
      <c r="Y351" s="0" t="str">
        <f aca="false">YEAR(K351)&amp;"-"&amp;TEXT(MONTH(K351),"00")</f>
        <v>2025-06</v>
      </c>
      <c r="Z351" s="0" t="str">
        <f aca="false">C351&amp;" → "&amp;D351</f>
        <v>Surat → Jaipur</v>
      </c>
      <c r="AA351" s="0" t="str">
        <f aca="false">Raw!Q351</f>
        <v>VRL Cargo</v>
      </c>
      <c r="AB351" s="0" t="str">
        <f aca="false">Raw!R351</f>
        <v>No</v>
      </c>
      <c r="AC351" s="0" t="str">
        <f aca="false">Raw!S351</f>
        <v>Returned</v>
      </c>
      <c r="AD351" s="29" t="n">
        <f aca="false">Raw!N351</f>
        <v>6791.73</v>
      </c>
      <c r="AE351" s="29" t="n">
        <f aca="false">Raw!O351</f>
        <v>3897.38</v>
      </c>
      <c r="AF351" s="29" t="n">
        <f aca="false">Raw!P351</f>
        <v>1245.75</v>
      </c>
      <c r="AG351" s="29" t="n">
        <f aca="false">AD351/J351</f>
        <v>814.356115107914</v>
      </c>
    </row>
    <row r="352" customFormat="false" ht="15" hidden="false" customHeight="false" outlineLevel="0" collapsed="false">
      <c r="A352" s="0" t="str">
        <f aca="false">Raw!A352</f>
        <v>SHP0351</v>
      </c>
      <c r="B352" s="0" t="str">
        <f aca="false">Raw!B352</f>
        <v>Outbound</v>
      </c>
      <c r="C352" s="0" t="str">
        <f aca="false">Raw!C352</f>
        <v>Surat</v>
      </c>
      <c r="D352" s="0" t="str">
        <f aca="false">Raw!D352</f>
        <v>Assam</v>
      </c>
      <c r="E352" s="0" t="str">
        <f aca="false">IFERROR(INDEX(Location_Map!$B$2:$B$15,MATCH(C352,Location_Map!$A$2:$A$15,0)),"UNMAPPED")</f>
        <v>Gujarat</v>
      </c>
      <c r="F352" s="0" t="str">
        <f aca="false">IFERROR(INDEX(Location_Map!$C$2:$C$15,MATCH(C352,Location_Map!$A$2:$A$15,0)),"UNMAPPED")</f>
        <v>West</v>
      </c>
      <c r="G352" s="0" t="str">
        <f aca="false">IFERROR(INDEX(Location_Map!$B$2:$B$15,MATCH(D352,Location_Map!$A$2:$A$15,0)),"UNMAPPED")</f>
        <v>Assam</v>
      </c>
      <c r="H352" s="0" t="str">
        <f aca="false">IFERROR(INDEX(Location_Map!$C$2:$C$15,MATCH(D352,Location_Map!$A$2:$A$15,0)),"UNMAPPED")</f>
        <v>North-East</v>
      </c>
      <c r="I352" s="0" t="str">
        <f aca="false">Raw!E352</f>
        <v>Raw Yarn</v>
      </c>
      <c r="J352" s="28" t="n">
        <f aca="false">Raw!F352</f>
        <v>11.6</v>
      </c>
      <c r="K352" s="30" t="n">
        <f aca="false">DATE(LEFT(Raw!G352,4),MID(Raw!G352,6,2),MID(Raw!G352,9,2))</f>
        <v>45833</v>
      </c>
      <c r="L352" s="30" t="n">
        <f aca="false">DATE(LEFT(Raw!H352,4),MID(Raw!H352,6,2),MID(Raw!H352,9,2))</f>
        <v>45834</v>
      </c>
      <c r="M352" s="30" t="n">
        <f aca="false">DATE(LEFT(Raw!I352,4),MID(Raw!I352,6,2),MID(Raw!I352,9,2))</f>
        <v>45838</v>
      </c>
      <c r="N352" s="31" t="n">
        <f aca="false">DATE(LEFT(Raw!J352,4),MID(Raw!J352,6,2),MID(Raw!J352,9,2))+TIME(MID(Raw!J352,12,2),MID(Raw!J352,15,2),MID(Raw!J352,18,2))</f>
        <v>45833.7916666667</v>
      </c>
      <c r="O352" s="31" t="n">
        <f aca="false">DATE(LEFT(Raw!K352,4),MID(Raw!K352,6,2),MID(Raw!K352,9,2))+TIME(MID(Raw!K352,12,2),MID(Raw!K352,15,2),MID(Raw!K352,18,2))</f>
        <v>45841.5</v>
      </c>
      <c r="P352" s="32" t="n">
        <f aca="false">L352-K352</f>
        <v>1</v>
      </c>
      <c r="Q352" s="32" t="n">
        <f aca="false">M352-L352</f>
        <v>4</v>
      </c>
      <c r="R352" s="32" t="n">
        <f aca="false">O352-N352</f>
        <v>7.70833333333333</v>
      </c>
      <c r="S352" s="32" t="n">
        <f aca="false">Raw!L352</f>
        <v>3.5</v>
      </c>
      <c r="T352" s="32" t="n">
        <f aca="false">O352-M352</f>
        <v>3.5</v>
      </c>
      <c r="U352" s="0" t="str">
        <f aca="false">IF(ABS(T352-S352)&lt;0.01,"OK","MISMATCH")</f>
        <v>OK</v>
      </c>
      <c r="V352" s="33" t="n">
        <f aca="false">Raw!M352</f>
        <v>1</v>
      </c>
      <c r="W352" s="0" t="str">
        <f aca="false">IF((S352&gt;0)=(V352=1),"OK","MISMATCH")</f>
        <v>OK</v>
      </c>
      <c r="X352" s="0" t="str">
        <f aca="false">_xlfn.IFS(S352&lt;=0,"Early/On time",S352&lt;=2,"Minor (up to 2 days)",S352&lt;=5,"Moderate (2-5 days)",TRUE(),"Severe (over 5 days)")</f>
        <v>Moderate (2-5 days)</v>
      </c>
      <c r="Y352" s="0" t="str">
        <f aca="false">YEAR(K352)&amp;"-"&amp;TEXT(MONTH(K352),"00")</f>
        <v>2025-06</v>
      </c>
      <c r="Z352" s="0" t="str">
        <f aca="false">C352&amp;" → "&amp;D352</f>
        <v>Surat → Assam</v>
      </c>
      <c r="AA352" s="0" t="str">
        <f aca="false">Raw!Q352</f>
        <v>Delhivery</v>
      </c>
      <c r="AB352" s="0" t="str">
        <f aca="false">Raw!R352</f>
        <v>Yes</v>
      </c>
      <c r="AC352" s="0" t="str">
        <f aca="false">Raw!S352</f>
        <v>Expedited</v>
      </c>
      <c r="AD352" s="29" t="n">
        <f aca="false">Raw!N352</f>
        <v>5480.8</v>
      </c>
      <c r="AE352" s="29" t="n">
        <f aca="false">Raw!O352</f>
        <v>2056.25</v>
      </c>
      <c r="AF352" s="29" t="n">
        <f aca="false">Raw!P352</f>
        <v>1439.07</v>
      </c>
      <c r="AG352" s="29" t="n">
        <f aca="false">AD352/J352</f>
        <v>472.48275862069</v>
      </c>
    </row>
    <row r="353" customFormat="false" ht="15" hidden="false" customHeight="false" outlineLevel="0" collapsed="false">
      <c r="A353" s="0" t="str">
        <f aca="false">Raw!A353</f>
        <v>SHP0352</v>
      </c>
      <c r="B353" s="0" t="str">
        <f aca="false">Raw!B353</f>
        <v>Inbound</v>
      </c>
      <c r="C353" s="0" t="str">
        <f aca="false">Raw!C353</f>
        <v>Uttar Pradesh</v>
      </c>
      <c r="D353" s="0" t="str">
        <f aca="false">Raw!D353</f>
        <v>Surat</v>
      </c>
      <c r="E353" s="0" t="str">
        <f aca="false">IFERROR(INDEX(Location_Map!$B$2:$B$15,MATCH(C353,Location_Map!$A$2:$A$15,0)),"UNMAPPED")</f>
        <v>Uttar Pradesh</v>
      </c>
      <c r="F353" s="0" t="str">
        <f aca="false">IFERROR(INDEX(Location_Map!$C$2:$C$15,MATCH(C353,Location_Map!$A$2:$A$15,0)),"UNMAPPED")</f>
        <v>North</v>
      </c>
      <c r="G353" s="0" t="str">
        <f aca="false">IFERROR(INDEX(Location_Map!$B$2:$B$15,MATCH(D353,Location_Map!$A$2:$A$15,0)),"UNMAPPED")</f>
        <v>Gujarat</v>
      </c>
      <c r="H353" s="0" t="str">
        <f aca="false">IFERROR(INDEX(Location_Map!$C$2:$C$15,MATCH(D353,Location_Map!$A$2:$A$15,0)),"UNMAPPED")</f>
        <v>West</v>
      </c>
      <c r="I353" s="0" t="str">
        <f aca="false">Raw!E353</f>
        <v>Raw Yarn</v>
      </c>
      <c r="J353" s="28" t="n">
        <f aca="false">Raw!F353</f>
        <v>13.09</v>
      </c>
      <c r="K353" s="30" t="n">
        <f aca="false">DATE(LEFT(Raw!G353,4),MID(Raw!G353,6,2),MID(Raw!G353,9,2))</f>
        <v>45755</v>
      </c>
      <c r="L353" s="30" t="n">
        <f aca="false">DATE(LEFT(Raw!H353,4),MID(Raw!H353,6,2),MID(Raw!H353,9,2))</f>
        <v>45757</v>
      </c>
      <c r="M353" s="30" t="n">
        <f aca="false">DATE(LEFT(Raw!I353,4),MID(Raw!I353,6,2),MID(Raw!I353,9,2))</f>
        <v>45762</v>
      </c>
      <c r="N353" s="31" t="n">
        <f aca="false">DATE(LEFT(Raw!J353,4),MID(Raw!J353,6,2),MID(Raw!J353,9,2))+TIME(MID(Raw!J353,12,2),MID(Raw!J353,15,2),MID(Raw!J353,18,2))</f>
        <v>45756.9583333333</v>
      </c>
      <c r="O353" s="31" t="n">
        <f aca="false">DATE(LEFT(Raw!K353,4),MID(Raw!K353,6,2),MID(Raw!K353,9,2))+TIME(MID(Raw!K353,12,2),MID(Raw!K353,15,2),MID(Raw!K353,18,2))</f>
        <v>45767.1</v>
      </c>
      <c r="P353" s="32" t="n">
        <f aca="false">L353-K353</f>
        <v>2</v>
      </c>
      <c r="Q353" s="32" t="n">
        <f aca="false">M353-L353</f>
        <v>5</v>
      </c>
      <c r="R353" s="32" t="n">
        <f aca="false">O353-N353</f>
        <v>10.1416666666667</v>
      </c>
      <c r="S353" s="32" t="n">
        <f aca="false">Raw!L353</f>
        <v>5.1</v>
      </c>
      <c r="T353" s="32" t="n">
        <f aca="false">O353-M353</f>
        <v>5.1</v>
      </c>
      <c r="U353" s="0" t="str">
        <f aca="false">IF(ABS(T353-S353)&lt;0.01,"OK","MISMATCH")</f>
        <v>OK</v>
      </c>
      <c r="V353" s="33" t="n">
        <f aca="false">Raw!M353</f>
        <v>1</v>
      </c>
      <c r="W353" s="0" t="str">
        <f aca="false">IF((S353&gt;0)=(V353=1),"OK","MISMATCH")</f>
        <v>OK</v>
      </c>
      <c r="X353" s="0" t="str">
        <f aca="false">_xlfn.IFS(S353&lt;=0,"Early/On time",S353&lt;=2,"Minor (up to 2 days)",S353&lt;=5,"Moderate (2-5 days)",TRUE(),"Severe (over 5 days)")</f>
        <v>Severe (over 5 days)</v>
      </c>
      <c r="Y353" s="0" t="str">
        <f aca="false">YEAR(K353)&amp;"-"&amp;TEXT(MONTH(K353),"00")</f>
        <v>2025-04</v>
      </c>
      <c r="Z353" s="0" t="str">
        <f aca="false">C353&amp;" → "&amp;D353</f>
        <v>Uttar Pradesh → Surat</v>
      </c>
      <c r="AA353" s="0" t="str">
        <f aca="false">Raw!Q353</f>
        <v>VRL Cargo</v>
      </c>
      <c r="AB353" s="0" t="str">
        <f aca="false">Raw!R353</f>
        <v>Yes</v>
      </c>
      <c r="AC353" s="0" t="str">
        <f aca="false">Raw!S353</f>
        <v>Normal</v>
      </c>
      <c r="AD353" s="29" t="n">
        <f aca="false">Raw!N353</f>
        <v>6048.24</v>
      </c>
      <c r="AE353" s="29" t="n">
        <f aca="false">Raw!O353</f>
        <v>3381.21</v>
      </c>
      <c r="AF353" s="29" t="n">
        <f aca="false">Raw!P353</f>
        <v>764.64</v>
      </c>
      <c r="AG353" s="29" t="n">
        <f aca="false">AD353/J353</f>
        <v>462.050420168067</v>
      </c>
    </row>
    <row r="354" customFormat="false" ht="15" hidden="false" customHeight="false" outlineLevel="0" collapsed="false">
      <c r="A354" s="0" t="str">
        <f aca="false">Raw!A354</f>
        <v>SHP0353</v>
      </c>
      <c r="B354" s="0" t="str">
        <f aca="false">Raw!B354</f>
        <v>Inbound</v>
      </c>
      <c r="C354" s="0" t="str">
        <f aca="false">Raw!C354</f>
        <v>Rajasthan</v>
      </c>
      <c r="D354" s="0" t="str">
        <f aca="false">Raw!D354</f>
        <v>Surat</v>
      </c>
      <c r="E354" s="0" t="str">
        <f aca="false">IFERROR(INDEX(Location_Map!$B$2:$B$15,MATCH(C354,Location_Map!$A$2:$A$15,0)),"UNMAPPED")</f>
        <v>Rajasthan</v>
      </c>
      <c r="F354" s="0" t="str">
        <f aca="false">IFERROR(INDEX(Location_Map!$C$2:$C$15,MATCH(C354,Location_Map!$A$2:$A$15,0)),"UNMAPPED")</f>
        <v>North</v>
      </c>
      <c r="G354" s="0" t="str">
        <f aca="false">IFERROR(INDEX(Location_Map!$B$2:$B$15,MATCH(D354,Location_Map!$A$2:$A$15,0)),"UNMAPPED")</f>
        <v>Gujarat</v>
      </c>
      <c r="H354" s="0" t="str">
        <f aca="false">IFERROR(INDEX(Location_Map!$C$2:$C$15,MATCH(D354,Location_Map!$A$2:$A$15,0)),"UNMAPPED")</f>
        <v>West</v>
      </c>
      <c r="I354" s="0" t="str">
        <f aca="false">Raw!E354</f>
        <v>Raw Yarn</v>
      </c>
      <c r="J354" s="28" t="n">
        <f aca="false">Raw!F354</f>
        <v>13.58</v>
      </c>
      <c r="K354" s="30" t="n">
        <f aca="false">DATE(LEFT(Raw!G354,4),MID(Raw!G354,6,2),MID(Raw!G354,9,2))</f>
        <v>45902</v>
      </c>
      <c r="L354" s="30" t="n">
        <f aca="false">DATE(LEFT(Raw!H354,4),MID(Raw!H354,6,2),MID(Raw!H354,9,2))</f>
        <v>45906</v>
      </c>
      <c r="M354" s="30" t="n">
        <f aca="false">DATE(LEFT(Raw!I354,4),MID(Raw!I354,6,2),MID(Raw!I354,9,2))</f>
        <v>45911</v>
      </c>
      <c r="N354" s="31" t="n">
        <f aca="false">DATE(LEFT(Raw!J354,4),MID(Raw!J354,6,2),MID(Raw!J354,9,2))+TIME(MID(Raw!J354,12,2),MID(Raw!J354,15,2),MID(Raw!J354,18,2))</f>
        <v>45905.7916666667</v>
      </c>
      <c r="O354" s="31" t="n">
        <f aca="false">DATE(LEFT(Raw!K354,4),MID(Raw!K354,6,2),MID(Raw!K354,9,2))+TIME(MID(Raw!K354,12,2),MID(Raw!K354,15,2),MID(Raw!K354,18,2))</f>
        <v>45915.2</v>
      </c>
      <c r="P354" s="32" t="n">
        <f aca="false">L354-K354</f>
        <v>4</v>
      </c>
      <c r="Q354" s="32" t="n">
        <f aca="false">M354-L354</f>
        <v>5</v>
      </c>
      <c r="R354" s="32" t="n">
        <f aca="false">O354-N354</f>
        <v>9.40833333333333</v>
      </c>
      <c r="S354" s="32" t="n">
        <f aca="false">Raw!L354</f>
        <v>4.2</v>
      </c>
      <c r="T354" s="32" t="n">
        <f aca="false">O354-M354</f>
        <v>4.2</v>
      </c>
      <c r="U354" s="0" t="str">
        <f aca="false">IF(ABS(T354-S354)&lt;0.01,"OK","MISMATCH")</f>
        <v>OK</v>
      </c>
      <c r="V354" s="33" t="n">
        <f aca="false">Raw!M354</f>
        <v>1</v>
      </c>
      <c r="W354" s="0" t="str">
        <f aca="false">IF((S354&gt;0)=(V354=1),"OK","MISMATCH")</f>
        <v>OK</v>
      </c>
      <c r="X354" s="0" t="str">
        <f aca="false">_xlfn.IFS(S354&lt;=0,"Early/On time",S354&lt;=2,"Minor (up to 2 days)",S354&lt;=5,"Moderate (2-5 days)",TRUE(),"Severe (over 5 days)")</f>
        <v>Moderate (2-5 days)</v>
      </c>
      <c r="Y354" s="0" t="str">
        <f aca="false">YEAR(K354)&amp;"-"&amp;TEXT(MONTH(K354),"00")</f>
        <v>2025-09</v>
      </c>
      <c r="Z354" s="0" t="str">
        <f aca="false">C354&amp;" → "&amp;D354</f>
        <v>Rajasthan → Surat</v>
      </c>
      <c r="AA354" s="0" t="str">
        <f aca="false">Raw!Q354</f>
        <v>VRL Cargo</v>
      </c>
      <c r="AB354" s="0" t="str">
        <f aca="false">Raw!R354</f>
        <v>Yes</v>
      </c>
      <c r="AC354" s="0" t="str">
        <f aca="false">Raw!S354</f>
        <v>Returned</v>
      </c>
      <c r="AD354" s="29" t="n">
        <f aca="false">Raw!N354</f>
        <v>4501.33</v>
      </c>
      <c r="AE354" s="29" t="n">
        <f aca="false">Raw!O354</f>
        <v>2038.31</v>
      </c>
      <c r="AF354" s="29" t="n">
        <f aca="false">Raw!P354</f>
        <v>533.68</v>
      </c>
      <c r="AG354" s="29" t="n">
        <f aca="false">AD354/J354</f>
        <v>331.467599410898</v>
      </c>
    </row>
    <row r="355" customFormat="false" ht="15" hidden="false" customHeight="false" outlineLevel="0" collapsed="false">
      <c r="A355" s="0" t="str">
        <f aca="false">Raw!A355</f>
        <v>SHP0354</v>
      </c>
      <c r="B355" s="0" t="str">
        <f aca="false">Raw!B355</f>
        <v>Outbound</v>
      </c>
      <c r="C355" s="0" t="str">
        <f aca="false">Raw!C355</f>
        <v>Surat</v>
      </c>
      <c r="D355" s="0" t="str">
        <f aca="false">Raw!D355</f>
        <v>Assam</v>
      </c>
      <c r="E355" s="0" t="str">
        <f aca="false">IFERROR(INDEX(Location_Map!$B$2:$B$15,MATCH(C355,Location_Map!$A$2:$A$15,0)),"UNMAPPED")</f>
        <v>Gujarat</v>
      </c>
      <c r="F355" s="0" t="str">
        <f aca="false">IFERROR(INDEX(Location_Map!$C$2:$C$15,MATCH(C355,Location_Map!$A$2:$A$15,0)),"UNMAPPED")</f>
        <v>West</v>
      </c>
      <c r="G355" s="0" t="str">
        <f aca="false">IFERROR(INDEX(Location_Map!$B$2:$B$15,MATCH(D355,Location_Map!$A$2:$A$15,0)),"UNMAPPED")</f>
        <v>Assam</v>
      </c>
      <c r="H355" s="0" t="str">
        <f aca="false">IFERROR(INDEX(Location_Map!$C$2:$C$15,MATCH(D355,Location_Map!$A$2:$A$15,0)),"UNMAPPED")</f>
        <v>North-East</v>
      </c>
      <c r="I355" s="0" t="str">
        <f aca="false">Raw!E355</f>
        <v>Semi-Processed Yarn</v>
      </c>
      <c r="J355" s="28" t="n">
        <f aca="false">Raw!F355</f>
        <v>17.7</v>
      </c>
      <c r="K355" s="30" t="n">
        <f aca="false">DATE(LEFT(Raw!G355,4),MID(Raw!G355,6,2),MID(Raw!G355,9,2))</f>
        <v>45731</v>
      </c>
      <c r="L355" s="30" t="n">
        <f aca="false">DATE(LEFT(Raw!H355,4),MID(Raw!H355,6,2),MID(Raw!H355,9,2))</f>
        <v>45734</v>
      </c>
      <c r="M355" s="30" t="n">
        <f aca="false">DATE(LEFT(Raw!I355,4),MID(Raw!I355,6,2),MID(Raw!I355,9,2))</f>
        <v>45737</v>
      </c>
      <c r="N355" s="31" t="n">
        <f aca="false">DATE(LEFT(Raw!J355,4),MID(Raw!J355,6,2),MID(Raw!J355,9,2))+TIME(MID(Raw!J355,12,2),MID(Raw!J355,15,2),MID(Raw!J355,18,2))</f>
        <v>45734</v>
      </c>
      <c r="O355" s="31" t="n">
        <f aca="false">DATE(LEFT(Raw!K355,4),MID(Raw!K355,6,2),MID(Raw!K355,9,2))+TIME(MID(Raw!K355,12,2),MID(Raw!K355,15,2),MID(Raw!K355,18,2))</f>
        <v>45741.4</v>
      </c>
      <c r="P355" s="32" t="n">
        <f aca="false">L355-K355</f>
        <v>3</v>
      </c>
      <c r="Q355" s="32" t="n">
        <f aca="false">M355-L355</f>
        <v>3</v>
      </c>
      <c r="R355" s="32" t="n">
        <f aca="false">O355-N355</f>
        <v>7.4</v>
      </c>
      <c r="S355" s="32" t="n">
        <f aca="false">Raw!L355</f>
        <v>4.4</v>
      </c>
      <c r="T355" s="32" t="n">
        <f aca="false">O355-M355</f>
        <v>4.4</v>
      </c>
      <c r="U355" s="0" t="str">
        <f aca="false">IF(ABS(T355-S355)&lt;0.01,"OK","MISMATCH")</f>
        <v>OK</v>
      </c>
      <c r="V355" s="33" t="n">
        <f aca="false">Raw!M355</f>
        <v>1</v>
      </c>
      <c r="W355" s="0" t="str">
        <f aca="false">IF((S355&gt;0)=(V355=1),"OK","MISMATCH")</f>
        <v>OK</v>
      </c>
      <c r="X355" s="0" t="str">
        <f aca="false">_xlfn.IFS(S355&lt;=0,"Early/On time",S355&lt;=2,"Minor (up to 2 days)",S355&lt;=5,"Moderate (2-5 days)",TRUE(),"Severe (over 5 days)")</f>
        <v>Moderate (2-5 days)</v>
      </c>
      <c r="Y355" s="0" t="str">
        <f aca="false">YEAR(K355)&amp;"-"&amp;TEXT(MONTH(K355),"00")</f>
        <v>2025-03</v>
      </c>
      <c r="Z355" s="0" t="str">
        <f aca="false">C355&amp;" → "&amp;D355</f>
        <v>Surat → Assam</v>
      </c>
      <c r="AA355" s="0" t="str">
        <f aca="false">Raw!Q355</f>
        <v>TCI Express</v>
      </c>
      <c r="AB355" s="0" t="str">
        <f aca="false">Raw!R355</f>
        <v>No</v>
      </c>
      <c r="AC355" s="0" t="str">
        <f aca="false">Raw!S355</f>
        <v>Expedited</v>
      </c>
      <c r="AD355" s="29" t="n">
        <f aca="false">Raw!N355</f>
        <v>6413.92</v>
      </c>
      <c r="AE355" s="29" t="n">
        <f aca="false">Raw!O355</f>
        <v>3056.8</v>
      </c>
      <c r="AF355" s="29" t="n">
        <f aca="false">Raw!P355</f>
        <v>1236.23</v>
      </c>
      <c r="AG355" s="29" t="n">
        <f aca="false">AD355/J355</f>
        <v>362.368361581921</v>
      </c>
    </row>
    <row r="356" customFormat="false" ht="15" hidden="false" customHeight="false" outlineLevel="0" collapsed="false">
      <c r="A356" s="0" t="str">
        <f aca="false">Raw!A356</f>
        <v>SHP0355</v>
      </c>
      <c r="B356" s="0" t="str">
        <f aca="false">Raw!B356</f>
        <v>Outbound</v>
      </c>
      <c r="C356" s="0" t="str">
        <f aca="false">Raw!C356</f>
        <v>Surat</v>
      </c>
      <c r="D356" s="0" t="str">
        <f aca="false">Raw!D356</f>
        <v>Kerala</v>
      </c>
      <c r="E356" s="0" t="str">
        <f aca="false">IFERROR(INDEX(Location_Map!$B$2:$B$15,MATCH(C356,Location_Map!$A$2:$A$15,0)),"UNMAPPED")</f>
        <v>Gujarat</v>
      </c>
      <c r="F356" s="0" t="str">
        <f aca="false">IFERROR(INDEX(Location_Map!$C$2:$C$15,MATCH(C356,Location_Map!$A$2:$A$15,0)),"UNMAPPED")</f>
        <v>West</v>
      </c>
      <c r="G356" s="0" t="str">
        <f aca="false">IFERROR(INDEX(Location_Map!$B$2:$B$15,MATCH(D356,Location_Map!$A$2:$A$15,0)),"UNMAPPED")</f>
        <v>Kerala</v>
      </c>
      <c r="H356" s="0" t="str">
        <f aca="false">IFERROR(INDEX(Location_Map!$C$2:$C$15,MATCH(D356,Location_Map!$A$2:$A$15,0)),"UNMAPPED")</f>
        <v>South</v>
      </c>
      <c r="I356" s="0" t="str">
        <f aca="false">Raw!E356</f>
        <v>Semi-Processed Yarn</v>
      </c>
      <c r="J356" s="28" t="n">
        <f aca="false">Raw!F356</f>
        <v>9.29</v>
      </c>
      <c r="K356" s="30" t="n">
        <f aca="false">DATE(LEFT(Raw!G356,4),MID(Raw!G356,6,2),MID(Raw!G356,9,2))</f>
        <v>45858</v>
      </c>
      <c r="L356" s="30" t="n">
        <f aca="false">DATE(LEFT(Raw!H356,4),MID(Raw!H356,6,2),MID(Raw!H356,9,2))</f>
        <v>45859</v>
      </c>
      <c r="M356" s="30" t="n">
        <f aca="false">DATE(LEFT(Raw!I356,4),MID(Raw!I356,6,2),MID(Raw!I356,9,2))</f>
        <v>45863</v>
      </c>
      <c r="N356" s="31" t="n">
        <f aca="false">DATE(LEFT(Raw!J356,4),MID(Raw!J356,6,2),MID(Raw!J356,9,2))+TIME(MID(Raw!J356,12,2),MID(Raw!J356,15,2),MID(Raw!J356,18,2))</f>
        <v>45859</v>
      </c>
      <c r="O356" s="31" t="n">
        <f aca="false">DATE(LEFT(Raw!K356,4),MID(Raw!K356,6,2),MID(Raw!K356,9,2))+TIME(MID(Raw!K356,12,2),MID(Raw!K356,15,2),MID(Raw!K356,18,2))</f>
        <v>45866.8</v>
      </c>
      <c r="P356" s="32" t="n">
        <f aca="false">L356-K356</f>
        <v>1</v>
      </c>
      <c r="Q356" s="32" t="n">
        <f aca="false">M356-L356</f>
        <v>4</v>
      </c>
      <c r="R356" s="32" t="n">
        <f aca="false">O356-N356</f>
        <v>7.8</v>
      </c>
      <c r="S356" s="32" t="n">
        <f aca="false">Raw!L356</f>
        <v>3.8</v>
      </c>
      <c r="T356" s="32" t="n">
        <f aca="false">O356-M356</f>
        <v>3.8</v>
      </c>
      <c r="U356" s="0" t="str">
        <f aca="false">IF(ABS(T356-S356)&lt;0.01,"OK","MISMATCH")</f>
        <v>OK</v>
      </c>
      <c r="V356" s="33" t="n">
        <f aca="false">Raw!M356</f>
        <v>1</v>
      </c>
      <c r="W356" s="0" t="str">
        <f aca="false">IF((S356&gt;0)=(V356=1),"OK","MISMATCH")</f>
        <v>OK</v>
      </c>
      <c r="X356" s="0" t="str">
        <f aca="false">_xlfn.IFS(S356&lt;=0,"Early/On time",S356&lt;=2,"Minor (up to 2 days)",S356&lt;=5,"Moderate (2-5 days)",TRUE(),"Severe (over 5 days)")</f>
        <v>Moderate (2-5 days)</v>
      </c>
      <c r="Y356" s="0" t="str">
        <f aca="false">YEAR(K356)&amp;"-"&amp;TEXT(MONTH(K356),"00")</f>
        <v>2025-07</v>
      </c>
      <c r="Z356" s="0" t="str">
        <f aca="false">C356&amp;" → "&amp;D356</f>
        <v>Surat → Kerala</v>
      </c>
      <c r="AA356" s="0" t="str">
        <f aca="false">Raw!Q356</f>
        <v>BlueDart</v>
      </c>
      <c r="AB356" s="0" t="str">
        <f aca="false">Raw!R356</f>
        <v>Yes</v>
      </c>
      <c r="AC356" s="0" t="str">
        <f aca="false">Raw!S356</f>
        <v>Normal</v>
      </c>
      <c r="AD356" s="29" t="n">
        <f aca="false">Raw!N356</f>
        <v>4681.38</v>
      </c>
      <c r="AE356" s="29" t="n">
        <f aca="false">Raw!O356</f>
        <v>2306.56</v>
      </c>
      <c r="AF356" s="29" t="n">
        <f aca="false">Raw!P356</f>
        <v>1248.18</v>
      </c>
      <c r="AG356" s="29" t="n">
        <f aca="false">AD356/J356</f>
        <v>503.916038751346</v>
      </c>
    </row>
    <row r="357" customFormat="false" ht="15" hidden="false" customHeight="false" outlineLevel="0" collapsed="false">
      <c r="A357" s="0" t="str">
        <f aca="false">Raw!A357</f>
        <v>SHP0356</v>
      </c>
      <c r="B357" s="0" t="str">
        <f aca="false">Raw!B357</f>
        <v>Outbound</v>
      </c>
      <c r="C357" s="0" t="str">
        <f aca="false">Raw!C357</f>
        <v>Surat</v>
      </c>
      <c r="D357" s="0" t="str">
        <f aca="false">Raw!D357</f>
        <v>Gujarat</v>
      </c>
      <c r="E357" s="0" t="str">
        <f aca="false">IFERROR(INDEX(Location_Map!$B$2:$B$15,MATCH(C357,Location_Map!$A$2:$A$15,0)),"UNMAPPED")</f>
        <v>Gujarat</v>
      </c>
      <c r="F357" s="0" t="str">
        <f aca="false">IFERROR(INDEX(Location_Map!$C$2:$C$15,MATCH(C357,Location_Map!$A$2:$A$15,0)),"UNMAPPED")</f>
        <v>West</v>
      </c>
      <c r="G357" s="0" t="str">
        <f aca="false">IFERROR(INDEX(Location_Map!$B$2:$B$15,MATCH(D357,Location_Map!$A$2:$A$15,0)),"UNMAPPED")</f>
        <v>Gujarat</v>
      </c>
      <c r="H357" s="0" t="str">
        <f aca="false">IFERROR(INDEX(Location_Map!$C$2:$C$15,MATCH(D357,Location_Map!$A$2:$A$15,0)),"UNMAPPED")</f>
        <v>West</v>
      </c>
      <c r="I357" s="0" t="str">
        <f aca="false">Raw!E357</f>
        <v>Finished Yarn</v>
      </c>
      <c r="J357" s="28" t="n">
        <f aca="false">Raw!F357</f>
        <v>16.33</v>
      </c>
      <c r="K357" s="30" t="n">
        <f aca="false">DATE(LEFT(Raw!G357,4),MID(Raw!G357,6,2),MID(Raw!G357,9,2))</f>
        <v>45915</v>
      </c>
      <c r="L357" s="30" t="n">
        <f aca="false">DATE(LEFT(Raw!H357,4),MID(Raw!H357,6,2),MID(Raw!H357,9,2))</f>
        <v>45919</v>
      </c>
      <c r="M357" s="30" t="n">
        <f aca="false">DATE(LEFT(Raw!I357,4),MID(Raw!I357,6,2),MID(Raw!I357,9,2))</f>
        <v>45923</v>
      </c>
      <c r="N357" s="31" t="n">
        <f aca="false">DATE(LEFT(Raw!J357,4),MID(Raw!J357,6,2),MID(Raw!J357,9,2))+TIME(MID(Raw!J357,12,2),MID(Raw!J357,15,2),MID(Raw!J357,18,2))</f>
        <v>45919.375</v>
      </c>
      <c r="O357" s="31" t="n">
        <f aca="false">DATE(LEFT(Raw!K357,4),MID(Raw!K357,6,2),MID(Raw!K357,9,2))+TIME(MID(Raw!K357,12,2),MID(Raw!K357,15,2),MID(Raw!K357,18,2))</f>
        <v>45927.7</v>
      </c>
      <c r="P357" s="32" t="n">
        <f aca="false">L357-K357</f>
        <v>4</v>
      </c>
      <c r="Q357" s="32" t="n">
        <f aca="false">M357-L357</f>
        <v>4</v>
      </c>
      <c r="R357" s="32" t="n">
        <f aca="false">O357-N357</f>
        <v>8.325</v>
      </c>
      <c r="S357" s="32" t="n">
        <f aca="false">Raw!L357</f>
        <v>4.7</v>
      </c>
      <c r="T357" s="32" t="n">
        <f aca="false">O357-M357</f>
        <v>4.7</v>
      </c>
      <c r="U357" s="0" t="str">
        <f aca="false">IF(ABS(T357-S357)&lt;0.01,"OK","MISMATCH")</f>
        <v>OK</v>
      </c>
      <c r="V357" s="33" t="n">
        <f aca="false">Raw!M357</f>
        <v>1</v>
      </c>
      <c r="W357" s="0" t="str">
        <f aca="false">IF((S357&gt;0)=(V357=1),"OK","MISMATCH")</f>
        <v>OK</v>
      </c>
      <c r="X357" s="0" t="str">
        <f aca="false">_xlfn.IFS(S357&lt;=0,"Early/On time",S357&lt;=2,"Minor (up to 2 days)",S357&lt;=5,"Moderate (2-5 days)",TRUE(),"Severe (over 5 days)")</f>
        <v>Moderate (2-5 days)</v>
      </c>
      <c r="Y357" s="0" t="str">
        <f aca="false">YEAR(K357)&amp;"-"&amp;TEXT(MONTH(K357),"00")</f>
        <v>2025-09</v>
      </c>
      <c r="Z357" s="0" t="str">
        <f aca="false">C357&amp;" → "&amp;D357</f>
        <v>Surat → Gujarat</v>
      </c>
      <c r="AA357" s="0" t="str">
        <f aca="false">Raw!Q357</f>
        <v>GATI Logistics</v>
      </c>
      <c r="AB357" s="0" t="str">
        <f aca="false">Raw!R357</f>
        <v>Yes</v>
      </c>
      <c r="AC357" s="0" t="str">
        <f aca="false">Raw!S357</f>
        <v>Damaged</v>
      </c>
      <c r="AD357" s="29" t="n">
        <f aca="false">Raw!N357</f>
        <v>4855.74</v>
      </c>
      <c r="AE357" s="29" t="n">
        <f aca="false">Raw!O357</f>
        <v>1520.32</v>
      </c>
      <c r="AF357" s="29" t="n">
        <f aca="false">Raw!P357</f>
        <v>522.43</v>
      </c>
      <c r="AG357" s="29" t="n">
        <f aca="false">AD357/J357</f>
        <v>297.350887936314</v>
      </c>
    </row>
    <row r="358" customFormat="false" ht="15" hidden="false" customHeight="false" outlineLevel="0" collapsed="false">
      <c r="A358" s="0" t="str">
        <f aca="false">Raw!A358</f>
        <v>SHP0357</v>
      </c>
      <c r="B358" s="0" t="str">
        <f aca="false">Raw!B358</f>
        <v>Outbound</v>
      </c>
      <c r="C358" s="0" t="str">
        <f aca="false">Raw!C358</f>
        <v>Surat</v>
      </c>
      <c r="D358" s="0" t="str">
        <f aca="false">Raw!D358</f>
        <v>Assam</v>
      </c>
      <c r="E358" s="0" t="str">
        <f aca="false">IFERROR(INDEX(Location_Map!$B$2:$B$15,MATCH(C358,Location_Map!$A$2:$A$15,0)),"UNMAPPED")</f>
        <v>Gujarat</v>
      </c>
      <c r="F358" s="0" t="str">
        <f aca="false">IFERROR(INDEX(Location_Map!$C$2:$C$15,MATCH(C358,Location_Map!$A$2:$A$15,0)),"UNMAPPED")</f>
        <v>West</v>
      </c>
      <c r="G358" s="0" t="str">
        <f aca="false">IFERROR(INDEX(Location_Map!$B$2:$B$15,MATCH(D358,Location_Map!$A$2:$A$15,0)),"UNMAPPED")</f>
        <v>Assam</v>
      </c>
      <c r="H358" s="0" t="str">
        <f aca="false">IFERROR(INDEX(Location_Map!$C$2:$C$15,MATCH(D358,Location_Map!$A$2:$A$15,0)),"UNMAPPED")</f>
        <v>North-East</v>
      </c>
      <c r="I358" s="0" t="str">
        <f aca="false">Raw!E358</f>
        <v>Raw Yarn</v>
      </c>
      <c r="J358" s="28" t="n">
        <f aca="false">Raw!F358</f>
        <v>7.85</v>
      </c>
      <c r="K358" s="30" t="n">
        <f aca="false">DATE(LEFT(Raw!G358,4),MID(Raw!G358,6,2),MID(Raw!G358,9,2))</f>
        <v>45893</v>
      </c>
      <c r="L358" s="30" t="n">
        <f aca="false">DATE(LEFT(Raw!H358,4),MID(Raw!H358,6,2),MID(Raw!H358,9,2))</f>
        <v>45896</v>
      </c>
      <c r="M358" s="30" t="n">
        <f aca="false">DATE(LEFT(Raw!I358,4),MID(Raw!I358,6,2),MID(Raw!I358,9,2))</f>
        <v>45901</v>
      </c>
      <c r="N358" s="31" t="n">
        <f aca="false">DATE(LEFT(Raw!J358,4),MID(Raw!J358,6,2),MID(Raw!J358,9,2))+TIME(MID(Raw!J358,12,2),MID(Raw!J358,15,2),MID(Raw!J358,18,2))</f>
        <v>45896</v>
      </c>
      <c r="O358" s="31" t="n">
        <f aca="false">DATE(LEFT(Raw!K358,4),MID(Raw!K358,6,2),MID(Raw!K358,9,2))+TIME(MID(Raw!K358,12,2),MID(Raw!K358,15,2),MID(Raw!K358,18,2))</f>
        <v>45900</v>
      </c>
      <c r="P358" s="32" t="n">
        <f aca="false">L358-K358</f>
        <v>3</v>
      </c>
      <c r="Q358" s="32" t="n">
        <f aca="false">M358-L358</f>
        <v>5</v>
      </c>
      <c r="R358" s="32" t="n">
        <f aca="false">O358-N358</f>
        <v>4</v>
      </c>
      <c r="S358" s="32" t="n">
        <f aca="false">Raw!L358</f>
        <v>-1</v>
      </c>
      <c r="T358" s="32" t="n">
        <f aca="false">O358-M358</f>
        <v>-1</v>
      </c>
      <c r="U358" s="0" t="str">
        <f aca="false">IF(ABS(T358-S358)&lt;0.01,"OK","MISMATCH")</f>
        <v>OK</v>
      </c>
      <c r="V358" s="33" t="n">
        <f aca="false">Raw!M358</f>
        <v>0</v>
      </c>
      <c r="W358" s="0" t="str">
        <f aca="false">IF((S358&gt;0)=(V358=1),"OK","MISMATCH")</f>
        <v>OK</v>
      </c>
      <c r="X358" s="0" t="str">
        <f aca="false">_xlfn.IFS(S358&lt;=0,"Early/On time",S358&lt;=2,"Minor (up to 2 days)",S358&lt;=5,"Moderate (2-5 days)",TRUE(),"Severe (over 5 days)")</f>
        <v>Early/On time</v>
      </c>
      <c r="Y358" s="0" t="str">
        <f aca="false">YEAR(K358)&amp;"-"&amp;TEXT(MONTH(K358),"00")</f>
        <v>2025-08</v>
      </c>
      <c r="Z358" s="0" t="str">
        <f aca="false">C358&amp;" → "&amp;D358</f>
        <v>Surat → Assam</v>
      </c>
      <c r="AA358" s="0" t="str">
        <f aca="false">Raw!Q358</f>
        <v>TCI Express</v>
      </c>
      <c r="AB358" s="0" t="str">
        <f aca="false">Raw!R358</f>
        <v>No</v>
      </c>
      <c r="AC358" s="0" t="str">
        <f aca="false">Raw!S358</f>
        <v>Expedited</v>
      </c>
      <c r="AD358" s="29" t="n">
        <f aca="false">Raw!N358</f>
        <v>3763.19</v>
      </c>
      <c r="AE358" s="29" t="n">
        <f aca="false">Raw!O358</f>
        <v>3824.63</v>
      </c>
      <c r="AF358" s="29" t="n">
        <f aca="false">Raw!P358</f>
        <v>808.96</v>
      </c>
      <c r="AG358" s="29" t="n">
        <f aca="false">AD358/J358</f>
        <v>479.387261146497</v>
      </c>
    </row>
    <row r="359" customFormat="false" ht="15" hidden="false" customHeight="false" outlineLevel="0" collapsed="false">
      <c r="A359" s="0" t="str">
        <f aca="false">Raw!A359</f>
        <v>SHP0358</v>
      </c>
      <c r="B359" s="0" t="str">
        <f aca="false">Raw!B359</f>
        <v>Outbound</v>
      </c>
      <c r="C359" s="0" t="str">
        <f aca="false">Raw!C359</f>
        <v>Surat</v>
      </c>
      <c r="D359" s="0" t="str">
        <f aca="false">Raw!D359</f>
        <v>Kerala</v>
      </c>
      <c r="E359" s="0" t="str">
        <f aca="false">IFERROR(INDEX(Location_Map!$B$2:$B$15,MATCH(C359,Location_Map!$A$2:$A$15,0)),"UNMAPPED")</f>
        <v>Gujarat</v>
      </c>
      <c r="F359" s="0" t="str">
        <f aca="false">IFERROR(INDEX(Location_Map!$C$2:$C$15,MATCH(C359,Location_Map!$A$2:$A$15,0)),"UNMAPPED")</f>
        <v>West</v>
      </c>
      <c r="G359" s="0" t="str">
        <f aca="false">IFERROR(INDEX(Location_Map!$B$2:$B$15,MATCH(D359,Location_Map!$A$2:$A$15,0)),"UNMAPPED")</f>
        <v>Kerala</v>
      </c>
      <c r="H359" s="0" t="str">
        <f aca="false">IFERROR(INDEX(Location_Map!$C$2:$C$15,MATCH(D359,Location_Map!$A$2:$A$15,0)),"UNMAPPED")</f>
        <v>South</v>
      </c>
      <c r="I359" s="0" t="str">
        <f aca="false">Raw!E359</f>
        <v>Raw Yarn</v>
      </c>
      <c r="J359" s="28" t="n">
        <f aca="false">Raw!F359</f>
        <v>3.52</v>
      </c>
      <c r="K359" s="30" t="n">
        <f aca="false">DATE(LEFT(Raw!G359,4),MID(Raw!G359,6,2),MID(Raw!G359,9,2))</f>
        <v>45811</v>
      </c>
      <c r="L359" s="30" t="n">
        <f aca="false">DATE(LEFT(Raw!H359,4),MID(Raw!H359,6,2),MID(Raw!H359,9,2))</f>
        <v>45812</v>
      </c>
      <c r="M359" s="30" t="n">
        <f aca="false">DATE(LEFT(Raw!I359,4),MID(Raw!I359,6,2),MID(Raw!I359,9,2))</f>
        <v>45816</v>
      </c>
      <c r="N359" s="31" t="n">
        <f aca="false">DATE(LEFT(Raw!J359,4),MID(Raw!J359,6,2),MID(Raw!J359,9,2))+TIME(MID(Raw!J359,12,2),MID(Raw!J359,15,2),MID(Raw!J359,18,2))</f>
        <v>45811.9583333333</v>
      </c>
      <c r="O359" s="31" t="n">
        <f aca="false">DATE(LEFT(Raw!K359,4),MID(Raw!K359,6,2),MID(Raw!K359,9,2))+TIME(MID(Raw!K359,12,2),MID(Raw!K359,15,2),MID(Raw!K359,18,2))</f>
        <v>45820.1</v>
      </c>
      <c r="P359" s="32" t="n">
        <f aca="false">L359-K359</f>
        <v>1</v>
      </c>
      <c r="Q359" s="32" t="n">
        <f aca="false">M359-L359</f>
        <v>4</v>
      </c>
      <c r="R359" s="32" t="n">
        <f aca="false">O359-N359</f>
        <v>8.14166666666667</v>
      </c>
      <c r="S359" s="32" t="n">
        <f aca="false">Raw!L359</f>
        <v>4.1</v>
      </c>
      <c r="T359" s="32" t="n">
        <f aca="false">O359-M359</f>
        <v>4.1</v>
      </c>
      <c r="U359" s="0" t="str">
        <f aca="false">IF(ABS(T359-S359)&lt;0.01,"OK","MISMATCH")</f>
        <v>OK</v>
      </c>
      <c r="V359" s="33" t="n">
        <f aca="false">Raw!M359</f>
        <v>1</v>
      </c>
      <c r="W359" s="0" t="str">
        <f aca="false">IF((S359&gt;0)=(V359=1),"OK","MISMATCH")</f>
        <v>OK</v>
      </c>
      <c r="X359" s="0" t="str">
        <f aca="false">_xlfn.IFS(S359&lt;=0,"Early/On time",S359&lt;=2,"Minor (up to 2 days)",S359&lt;=5,"Moderate (2-5 days)",TRUE(),"Severe (over 5 days)")</f>
        <v>Moderate (2-5 days)</v>
      </c>
      <c r="Y359" s="0" t="str">
        <f aca="false">YEAR(K359)&amp;"-"&amp;TEXT(MONTH(K359),"00")</f>
        <v>2025-06</v>
      </c>
      <c r="Z359" s="0" t="str">
        <f aca="false">C359&amp;" → "&amp;D359</f>
        <v>Surat → Kerala</v>
      </c>
      <c r="AA359" s="0" t="str">
        <f aca="false">Raw!Q359</f>
        <v>GATI Logistics</v>
      </c>
      <c r="AB359" s="0" t="str">
        <f aca="false">Raw!R359</f>
        <v>No</v>
      </c>
      <c r="AC359" s="0" t="str">
        <f aca="false">Raw!S359</f>
        <v>Returned</v>
      </c>
      <c r="AD359" s="29" t="n">
        <f aca="false">Raw!N359</f>
        <v>3168.62</v>
      </c>
      <c r="AE359" s="29" t="n">
        <f aca="false">Raw!O359</f>
        <v>3323.8</v>
      </c>
      <c r="AF359" s="29" t="n">
        <f aca="false">Raw!P359</f>
        <v>1490.68</v>
      </c>
      <c r="AG359" s="29" t="n">
        <f aca="false">AD359/J359</f>
        <v>900.176136363636</v>
      </c>
    </row>
    <row r="360" customFormat="false" ht="15" hidden="false" customHeight="false" outlineLevel="0" collapsed="false">
      <c r="A360" s="0" t="str">
        <f aca="false">Raw!A360</f>
        <v>SHP0359</v>
      </c>
      <c r="B360" s="0" t="str">
        <f aca="false">Raw!B360</f>
        <v>Outbound</v>
      </c>
      <c r="C360" s="0" t="str">
        <f aca="false">Raw!C360</f>
        <v>Surat</v>
      </c>
      <c r="D360" s="0" t="str">
        <f aca="false">Raw!D360</f>
        <v>West Bengal</v>
      </c>
      <c r="E360" s="0" t="str">
        <f aca="false">IFERROR(INDEX(Location_Map!$B$2:$B$15,MATCH(C360,Location_Map!$A$2:$A$15,0)),"UNMAPPED")</f>
        <v>Gujarat</v>
      </c>
      <c r="F360" s="0" t="str">
        <f aca="false">IFERROR(INDEX(Location_Map!$C$2:$C$15,MATCH(C360,Location_Map!$A$2:$A$15,0)),"UNMAPPED")</f>
        <v>West</v>
      </c>
      <c r="G360" s="0" t="str">
        <f aca="false">IFERROR(INDEX(Location_Map!$B$2:$B$15,MATCH(D360,Location_Map!$A$2:$A$15,0)),"UNMAPPED")</f>
        <v>West Bengal</v>
      </c>
      <c r="H360" s="0" t="str">
        <f aca="false">IFERROR(INDEX(Location_Map!$C$2:$C$15,MATCH(D360,Location_Map!$A$2:$A$15,0)),"UNMAPPED")</f>
        <v>East</v>
      </c>
      <c r="I360" s="0" t="str">
        <f aca="false">Raw!E360</f>
        <v>Semi-Processed Yarn</v>
      </c>
      <c r="J360" s="28" t="n">
        <f aca="false">Raw!F360</f>
        <v>15.38</v>
      </c>
      <c r="K360" s="30" t="n">
        <f aca="false">DATE(LEFT(Raw!G360,4),MID(Raw!G360,6,2),MID(Raw!G360,9,2))</f>
        <v>45790</v>
      </c>
      <c r="L360" s="30" t="n">
        <f aca="false">DATE(LEFT(Raw!H360,4),MID(Raw!H360,6,2),MID(Raw!H360,9,2))</f>
        <v>45793</v>
      </c>
      <c r="M360" s="30" t="n">
        <f aca="false">DATE(LEFT(Raw!I360,4),MID(Raw!I360,6,2),MID(Raw!I360,9,2))</f>
        <v>45797</v>
      </c>
      <c r="N360" s="31" t="n">
        <f aca="false">DATE(LEFT(Raw!J360,4),MID(Raw!J360,6,2),MID(Raw!J360,9,2))+TIME(MID(Raw!J360,12,2),MID(Raw!J360,15,2),MID(Raw!J360,18,2))</f>
        <v>45793.0416666667</v>
      </c>
      <c r="O360" s="31" t="n">
        <f aca="false">DATE(LEFT(Raw!K360,4),MID(Raw!K360,6,2),MID(Raw!K360,9,2))+TIME(MID(Raw!K360,12,2),MID(Raw!K360,15,2),MID(Raw!K360,18,2))</f>
        <v>45804</v>
      </c>
      <c r="P360" s="32" t="n">
        <f aca="false">L360-K360</f>
        <v>3</v>
      </c>
      <c r="Q360" s="32" t="n">
        <f aca="false">M360-L360</f>
        <v>4</v>
      </c>
      <c r="R360" s="32" t="n">
        <f aca="false">O360-N360</f>
        <v>10.9583333333333</v>
      </c>
      <c r="S360" s="32" t="n">
        <f aca="false">Raw!L360</f>
        <v>7</v>
      </c>
      <c r="T360" s="32" t="n">
        <f aca="false">O360-M360</f>
        <v>7</v>
      </c>
      <c r="U360" s="0" t="str">
        <f aca="false">IF(ABS(T360-S360)&lt;0.01,"OK","MISMATCH")</f>
        <v>OK</v>
      </c>
      <c r="V360" s="33" t="n">
        <f aca="false">Raw!M360</f>
        <v>1</v>
      </c>
      <c r="W360" s="0" t="str">
        <f aca="false">IF((S360&gt;0)=(V360=1),"OK","MISMATCH")</f>
        <v>OK</v>
      </c>
      <c r="X360" s="0" t="str">
        <f aca="false">_xlfn.IFS(S360&lt;=0,"Early/On time",S360&lt;=2,"Minor (up to 2 days)",S360&lt;=5,"Moderate (2-5 days)",TRUE(),"Severe (over 5 days)")</f>
        <v>Severe (over 5 days)</v>
      </c>
      <c r="Y360" s="0" t="str">
        <f aca="false">YEAR(K360)&amp;"-"&amp;TEXT(MONTH(K360),"00")</f>
        <v>2025-05</v>
      </c>
      <c r="Z360" s="0" t="str">
        <f aca="false">C360&amp;" → "&amp;D360</f>
        <v>Surat → West Bengal</v>
      </c>
      <c r="AA360" s="0" t="str">
        <f aca="false">Raw!Q360</f>
        <v>TCI Express</v>
      </c>
      <c r="AB360" s="0" t="str">
        <f aca="false">Raw!R360</f>
        <v>No</v>
      </c>
      <c r="AC360" s="0" t="str">
        <f aca="false">Raw!S360</f>
        <v>Expedited</v>
      </c>
      <c r="AD360" s="29" t="n">
        <f aca="false">Raw!N360</f>
        <v>12123.34</v>
      </c>
      <c r="AE360" s="29" t="n">
        <f aca="false">Raw!O360</f>
        <v>2367.62</v>
      </c>
      <c r="AF360" s="29" t="n">
        <f aca="false">Raw!P360</f>
        <v>1027.68</v>
      </c>
      <c r="AG360" s="29" t="n">
        <f aca="false">AD360/J360</f>
        <v>788.253576072822</v>
      </c>
    </row>
    <row r="361" customFormat="false" ht="15" hidden="false" customHeight="false" outlineLevel="0" collapsed="false">
      <c r="A361" s="0" t="str">
        <f aca="false">Raw!A361</f>
        <v>SHP0360</v>
      </c>
      <c r="B361" s="0" t="str">
        <f aca="false">Raw!B361</f>
        <v>Outbound</v>
      </c>
      <c r="C361" s="0" t="str">
        <f aca="false">Raw!C361</f>
        <v>Surat</v>
      </c>
      <c r="D361" s="0" t="str">
        <f aca="false">Raw!D361</f>
        <v>Jaipur</v>
      </c>
      <c r="E361" s="0" t="str">
        <f aca="false">IFERROR(INDEX(Location_Map!$B$2:$B$15,MATCH(C361,Location_Map!$A$2:$A$15,0)),"UNMAPPED")</f>
        <v>Gujarat</v>
      </c>
      <c r="F361" s="0" t="str">
        <f aca="false">IFERROR(INDEX(Location_Map!$C$2:$C$15,MATCH(C361,Location_Map!$A$2:$A$15,0)),"UNMAPPED")</f>
        <v>West</v>
      </c>
      <c r="G361" s="0" t="str">
        <f aca="false">IFERROR(INDEX(Location_Map!$B$2:$B$15,MATCH(D361,Location_Map!$A$2:$A$15,0)),"UNMAPPED")</f>
        <v>Rajasthan</v>
      </c>
      <c r="H361" s="0" t="str">
        <f aca="false">IFERROR(INDEX(Location_Map!$C$2:$C$15,MATCH(D361,Location_Map!$A$2:$A$15,0)),"UNMAPPED")</f>
        <v>North</v>
      </c>
      <c r="I361" s="0" t="str">
        <f aca="false">Raw!E361</f>
        <v>Semi-Processed Yarn</v>
      </c>
      <c r="J361" s="28" t="n">
        <f aca="false">Raw!F361</f>
        <v>5.02</v>
      </c>
      <c r="K361" s="30" t="n">
        <f aca="false">DATE(LEFT(Raw!G361,4),MID(Raw!G361,6,2),MID(Raw!G361,9,2))</f>
        <v>45956</v>
      </c>
      <c r="L361" s="30" t="n">
        <f aca="false">DATE(LEFT(Raw!H361,4),MID(Raw!H361,6,2),MID(Raw!H361,9,2))</f>
        <v>45960</v>
      </c>
      <c r="M361" s="30" t="n">
        <f aca="false">DATE(LEFT(Raw!I361,4),MID(Raw!I361,6,2),MID(Raw!I361,9,2))</f>
        <v>45965</v>
      </c>
      <c r="N361" s="31" t="n">
        <f aca="false">DATE(LEFT(Raw!J361,4),MID(Raw!J361,6,2),MID(Raw!J361,9,2))+TIME(MID(Raw!J361,12,2),MID(Raw!J361,15,2),MID(Raw!J361,18,2))</f>
        <v>45960</v>
      </c>
      <c r="O361" s="31" t="n">
        <f aca="false">DATE(LEFT(Raw!K361,4),MID(Raw!K361,6,2),MID(Raw!K361,9,2))+TIME(MID(Raw!K361,12,2),MID(Raw!K361,15,2),MID(Raw!K361,18,2))</f>
        <v>45972.6</v>
      </c>
      <c r="P361" s="32" t="n">
        <f aca="false">L361-K361</f>
        <v>4</v>
      </c>
      <c r="Q361" s="32" t="n">
        <f aca="false">M361-L361</f>
        <v>5</v>
      </c>
      <c r="R361" s="32" t="n">
        <f aca="false">O361-N361</f>
        <v>12.6</v>
      </c>
      <c r="S361" s="32" t="n">
        <f aca="false">Raw!L361</f>
        <v>7.6</v>
      </c>
      <c r="T361" s="32" t="n">
        <f aca="false">O361-M361</f>
        <v>7.6</v>
      </c>
      <c r="U361" s="0" t="str">
        <f aca="false">IF(ABS(T361-S361)&lt;0.01,"OK","MISMATCH")</f>
        <v>OK</v>
      </c>
      <c r="V361" s="33" t="n">
        <f aca="false">Raw!M361</f>
        <v>1</v>
      </c>
      <c r="W361" s="0" t="str">
        <f aca="false">IF((S361&gt;0)=(V361=1),"OK","MISMATCH")</f>
        <v>OK</v>
      </c>
      <c r="X361" s="0" t="str">
        <f aca="false">_xlfn.IFS(S361&lt;=0,"Early/On time",S361&lt;=2,"Minor (up to 2 days)",S361&lt;=5,"Moderate (2-5 days)",TRUE(),"Severe (over 5 days)")</f>
        <v>Severe (over 5 days)</v>
      </c>
      <c r="Y361" s="0" t="str">
        <f aca="false">YEAR(K361)&amp;"-"&amp;TEXT(MONTH(K361),"00")</f>
        <v>2025-10</v>
      </c>
      <c r="Z361" s="0" t="str">
        <f aca="false">C361&amp;" → "&amp;D361</f>
        <v>Surat → Jaipur</v>
      </c>
      <c r="AA361" s="0" t="str">
        <f aca="false">Raw!Q361</f>
        <v>VRL Cargo</v>
      </c>
      <c r="AB361" s="0" t="str">
        <f aca="false">Raw!R361</f>
        <v>Yes</v>
      </c>
      <c r="AC361" s="0" t="str">
        <f aca="false">Raw!S361</f>
        <v>Held at warehouse</v>
      </c>
      <c r="AD361" s="29" t="n">
        <f aca="false">Raw!N361</f>
        <v>4181.92</v>
      </c>
      <c r="AE361" s="29" t="n">
        <f aca="false">Raw!O361</f>
        <v>3372.63</v>
      </c>
      <c r="AF361" s="29" t="n">
        <f aca="false">Raw!P361</f>
        <v>553.35</v>
      </c>
      <c r="AG361" s="29" t="n">
        <f aca="false">AD361/J361</f>
        <v>833.051792828685</v>
      </c>
    </row>
    <row r="362" customFormat="false" ht="15" hidden="false" customHeight="false" outlineLevel="0" collapsed="false">
      <c r="A362" s="0" t="str">
        <f aca="false">Raw!A362</f>
        <v>SHP0361</v>
      </c>
      <c r="B362" s="0" t="str">
        <f aca="false">Raw!B362</f>
        <v>Inbound</v>
      </c>
      <c r="C362" s="0" t="str">
        <f aca="false">Raw!C362</f>
        <v>Rajasthan</v>
      </c>
      <c r="D362" s="0" t="str">
        <f aca="false">Raw!D362</f>
        <v>Surat</v>
      </c>
      <c r="E362" s="0" t="str">
        <f aca="false">IFERROR(INDEX(Location_Map!$B$2:$B$15,MATCH(C362,Location_Map!$A$2:$A$15,0)),"UNMAPPED")</f>
        <v>Rajasthan</v>
      </c>
      <c r="F362" s="0" t="str">
        <f aca="false">IFERROR(INDEX(Location_Map!$C$2:$C$15,MATCH(C362,Location_Map!$A$2:$A$15,0)),"UNMAPPED")</f>
        <v>North</v>
      </c>
      <c r="G362" s="0" t="str">
        <f aca="false">IFERROR(INDEX(Location_Map!$B$2:$B$15,MATCH(D362,Location_Map!$A$2:$A$15,0)),"UNMAPPED")</f>
        <v>Gujarat</v>
      </c>
      <c r="H362" s="0" t="str">
        <f aca="false">IFERROR(INDEX(Location_Map!$C$2:$C$15,MATCH(D362,Location_Map!$A$2:$A$15,0)),"UNMAPPED")</f>
        <v>West</v>
      </c>
      <c r="I362" s="0" t="str">
        <f aca="false">Raw!E362</f>
        <v>Finished Yarn</v>
      </c>
      <c r="J362" s="28" t="n">
        <f aca="false">Raw!F362</f>
        <v>9.64</v>
      </c>
      <c r="K362" s="30" t="n">
        <f aca="false">DATE(LEFT(Raw!G362,4),MID(Raw!G362,6,2),MID(Raw!G362,9,2))</f>
        <v>45860</v>
      </c>
      <c r="L362" s="30" t="n">
        <f aca="false">DATE(LEFT(Raw!H362,4),MID(Raw!H362,6,2),MID(Raw!H362,9,2))</f>
        <v>45863</v>
      </c>
      <c r="M362" s="30" t="n">
        <f aca="false">DATE(LEFT(Raw!I362,4),MID(Raw!I362,6,2),MID(Raw!I362,9,2))</f>
        <v>45866</v>
      </c>
      <c r="N362" s="31" t="n">
        <f aca="false">DATE(LEFT(Raw!J362,4),MID(Raw!J362,6,2),MID(Raw!J362,9,2))+TIME(MID(Raw!J362,12,2),MID(Raw!J362,15,2),MID(Raw!J362,18,2))</f>
        <v>45863.2083333333</v>
      </c>
      <c r="O362" s="31" t="n">
        <f aca="false">DATE(LEFT(Raw!K362,4),MID(Raw!K362,6,2),MID(Raw!K362,9,2))+TIME(MID(Raw!K362,12,2),MID(Raw!K362,15,2),MID(Raw!K362,18,2))</f>
        <v>45866.4</v>
      </c>
      <c r="P362" s="32" t="n">
        <f aca="false">L362-K362</f>
        <v>3</v>
      </c>
      <c r="Q362" s="32" t="n">
        <f aca="false">M362-L362</f>
        <v>3</v>
      </c>
      <c r="R362" s="32" t="n">
        <f aca="false">O362-N362</f>
        <v>3.19166666666667</v>
      </c>
      <c r="S362" s="32" t="n">
        <f aca="false">Raw!L362</f>
        <v>0.4</v>
      </c>
      <c r="T362" s="32" t="n">
        <f aca="false">O362-M362</f>
        <v>0.4</v>
      </c>
      <c r="U362" s="0" t="str">
        <f aca="false">IF(ABS(T362-S362)&lt;0.01,"OK","MISMATCH")</f>
        <v>OK</v>
      </c>
      <c r="V362" s="33" t="n">
        <f aca="false">Raw!M362</f>
        <v>1</v>
      </c>
      <c r="W362" s="0" t="str">
        <f aca="false">IF((S362&gt;0)=(V362=1),"OK","MISMATCH")</f>
        <v>OK</v>
      </c>
      <c r="X362" s="0" t="str">
        <f aca="false">_xlfn.IFS(S362&lt;=0,"Early/On time",S362&lt;=2,"Minor (up to 2 days)",S362&lt;=5,"Moderate (2-5 days)",TRUE(),"Severe (over 5 days)")</f>
        <v>Minor (up to 2 days)</v>
      </c>
      <c r="Y362" s="0" t="str">
        <f aca="false">YEAR(K362)&amp;"-"&amp;TEXT(MONTH(K362),"00")</f>
        <v>2025-07</v>
      </c>
      <c r="Z362" s="0" t="str">
        <f aca="false">C362&amp;" → "&amp;D362</f>
        <v>Rajasthan → Surat</v>
      </c>
      <c r="AA362" s="0" t="str">
        <f aca="false">Raw!Q362</f>
        <v>BlueDart</v>
      </c>
      <c r="AB362" s="0" t="str">
        <f aca="false">Raw!R362</f>
        <v>Yes</v>
      </c>
      <c r="AC362" s="0" t="str">
        <f aca="false">Raw!S362</f>
        <v>Normal</v>
      </c>
      <c r="AD362" s="29" t="n">
        <f aca="false">Raw!N362</f>
        <v>6200.16</v>
      </c>
      <c r="AE362" s="29" t="n">
        <f aca="false">Raw!O362</f>
        <v>2101.15</v>
      </c>
      <c r="AF362" s="29" t="n">
        <f aca="false">Raw!P362</f>
        <v>656.21</v>
      </c>
      <c r="AG362" s="29" t="n">
        <f aca="false">AD362/J362</f>
        <v>643.170124481328</v>
      </c>
    </row>
    <row r="363" customFormat="false" ht="15" hidden="false" customHeight="false" outlineLevel="0" collapsed="false">
      <c r="A363" s="0" t="str">
        <f aca="false">Raw!A363</f>
        <v>SHP0362</v>
      </c>
      <c r="B363" s="0" t="str">
        <f aca="false">Raw!B363</f>
        <v>Outbound</v>
      </c>
      <c r="C363" s="0" t="str">
        <f aca="false">Raw!C363</f>
        <v>Surat</v>
      </c>
      <c r="D363" s="0" t="str">
        <f aca="false">Raw!D363</f>
        <v>Kerala</v>
      </c>
      <c r="E363" s="0" t="str">
        <f aca="false">IFERROR(INDEX(Location_Map!$B$2:$B$15,MATCH(C363,Location_Map!$A$2:$A$15,0)),"UNMAPPED")</f>
        <v>Gujarat</v>
      </c>
      <c r="F363" s="0" t="str">
        <f aca="false">IFERROR(INDEX(Location_Map!$C$2:$C$15,MATCH(C363,Location_Map!$A$2:$A$15,0)),"UNMAPPED")</f>
        <v>West</v>
      </c>
      <c r="G363" s="0" t="str">
        <f aca="false">IFERROR(INDEX(Location_Map!$B$2:$B$15,MATCH(D363,Location_Map!$A$2:$A$15,0)),"UNMAPPED")</f>
        <v>Kerala</v>
      </c>
      <c r="H363" s="0" t="str">
        <f aca="false">IFERROR(INDEX(Location_Map!$C$2:$C$15,MATCH(D363,Location_Map!$A$2:$A$15,0)),"UNMAPPED")</f>
        <v>South</v>
      </c>
      <c r="I363" s="0" t="str">
        <f aca="false">Raw!E363</f>
        <v>Finished Yarn</v>
      </c>
      <c r="J363" s="28" t="n">
        <f aca="false">Raw!F363</f>
        <v>13.08</v>
      </c>
      <c r="K363" s="30" t="n">
        <f aca="false">DATE(LEFT(Raw!G363,4),MID(Raw!G363,6,2),MID(Raw!G363,9,2))</f>
        <v>45837</v>
      </c>
      <c r="L363" s="30" t="n">
        <f aca="false">DATE(LEFT(Raw!H363,4),MID(Raw!H363,6,2),MID(Raw!H363,9,2))</f>
        <v>45838</v>
      </c>
      <c r="M363" s="30" t="n">
        <f aca="false">DATE(LEFT(Raw!I363,4),MID(Raw!I363,6,2),MID(Raw!I363,9,2))</f>
        <v>45843</v>
      </c>
      <c r="N363" s="31" t="n">
        <f aca="false">DATE(LEFT(Raw!J363,4),MID(Raw!J363,6,2),MID(Raw!J363,9,2))+TIME(MID(Raw!J363,12,2),MID(Raw!J363,15,2),MID(Raw!J363,18,2))</f>
        <v>45838</v>
      </c>
      <c r="O363" s="31" t="n">
        <f aca="false">DATE(LEFT(Raw!K363,4),MID(Raw!K363,6,2),MID(Raw!K363,9,2))+TIME(MID(Raw!K363,12,2),MID(Raw!K363,15,2),MID(Raw!K363,18,2))</f>
        <v>45845.5</v>
      </c>
      <c r="P363" s="32" t="n">
        <f aca="false">L363-K363</f>
        <v>1</v>
      </c>
      <c r="Q363" s="32" t="n">
        <f aca="false">M363-L363</f>
        <v>5</v>
      </c>
      <c r="R363" s="32" t="n">
        <f aca="false">O363-N363</f>
        <v>7.5</v>
      </c>
      <c r="S363" s="32" t="n">
        <f aca="false">Raw!L363</f>
        <v>2.5</v>
      </c>
      <c r="T363" s="32" t="n">
        <f aca="false">O363-M363</f>
        <v>2.5</v>
      </c>
      <c r="U363" s="0" t="str">
        <f aca="false">IF(ABS(T363-S363)&lt;0.01,"OK","MISMATCH")</f>
        <v>OK</v>
      </c>
      <c r="V363" s="33" t="n">
        <f aca="false">Raw!M363</f>
        <v>1</v>
      </c>
      <c r="W363" s="0" t="str">
        <f aca="false">IF((S363&gt;0)=(V363=1),"OK","MISMATCH")</f>
        <v>OK</v>
      </c>
      <c r="X363" s="0" t="str">
        <f aca="false">_xlfn.IFS(S363&lt;=0,"Early/On time",S363&lt;=2,"Minor (up to 2 days)",S363&lt;=5,"Moderate (2-5 days)",TRUE(),"Severe (over 5 days)")</f>
        <v>Moderate (2-5 days)</v>
      </c>
      <c r="Y363" s="0" t="str">
        <f aca="false">YEAR(K363)&amp;"-"&amp;TEXT(MONTH(K363),"00")</f>
        <v>2025-06</v>
      </c>
      <c r="Z363" s="0" t="str">
        <f aca="false">C363&amp;" → "&amp;D363</f>
        <v>Surat → Kerala</v>
      </c>
      <c r="AA363" s="0" t="str">
        <f aca="false">Raw!Q363</f>
        <v>VRL Cargo</v>
      </c>
      <c r="AB363" s="0" t="str">
        <f aca="false">Raw!R363</f>
        <v>Yes</v>
      </c>
      <c r="AC363" s="0" t="str">
        <f aca="false">Raw!S363</f>
        <v>Returned</v>
      </c>
      <c r="AD363" s="29" t="n">
        <f aca="false">Raw!N363</f>
        <v>6846.79</v>
      </c>
      <c r="AE363" s="29" t="n">
        <f aca="false">Raw!O363</f>
        <v>4349.47</v>
      </c>
      <c r="AF363" s="29" t="n">
        <f aca="false">Raw!P363</f>
        <v>669.73</v>
      </c>
      <c r="AG363" s="29" t="n">
        <f aca="false">AD363/J363</f>
        <v>523.454892966361</v>
      </c>
    </row>
    <row r="364" customFormat="false" ht="15" hidden="false" customHeight="false" outlineLevel="0" collapsed="false">
      <c r="A364" s="0" t="str">
        <f aca="false">Raw!A364</f>
        <v>SHP0363</v>
      </c>
      <c r="B364" s="0" t="str">
        <f aca="false">Raw!B364</f>
        <v>Outbound</v>
      </c>
      <c r="C364" s="0" t="str">
        <f aca="false">Raw!C364</f>
        <v>Surat</v>
      </c>
      <c r="D364" s="0" t="str">
        <f aca="false">Raw!D364</f>
        <v>Karnataka</v>
      </c>
      <c r="E364" s="0" t="str">
        <f aca="false">IFERROR(INDEX(Location_Map!$B$2:$B$15,MATCH(C364,Location_Map!$A$2:$A$15,0)),"UNMAPPED")</f>
        <v>Gujarat</v>
      </c>
      <c r="F364" s="0" t="str">
        <f aca="false">IFERROR(INDEX(Location_Map!$C$2:$C$15,MATCH(C364,Location_Map!$A$2:$A$15,0)),"UNMAPPED")</f>
        <v>West</v>
      </c>
      <c r="G364" s="0" t="str">
        <f aca="false">IFERROR(INDEX(Location_Map!$B$2:$B$15,MATCH(D364,Location_Map!$A$2:$A$15,0)),"UNMAPPED")</f>
        <v>Karnataka</v>
      </c>
      <c r="H364" s="0" t="str">
        <f aca="false">IFERROR(INDEX(Location_Map!$C$2:$C$15,MATCH(D364,Location_Map!$A$2:$A$15,0)),"UNMAPPED")</f>
        <v>South</v>
      </c>
      <c r="I364" s="0" t="str">
        <f aca="false">Raw!E364</f>
        <v>Semi-Processed Yarn</v>
      </c>
      <c r="J364" s="28" t="n">
        <f aca="false">Raw!F364</f>
        <v>1.36</v>
      </c>
      <c r="K364" s="30" t="n">
        <f aca="false">DATE(LEFT(Raw!G364,4),MID(Raw!G364,6,2),MID(Raw!G364,9,2))</f>
        <v>45891</v>
      </c>
      <c r="L364" s="30" t="n">
        <f aca="false">DATE(LEFT(Raw!H364,4),MID(Raw!H364,6,2),MID(Raw!H364,9,2))</f>
        <v>45894</v>
      </c>
      <c r="M364" s="30" t="n">
        <f aca="false">DATE(LEFT(Raw!I364,4),MID(Raw!I364,6,2),MID(Raw!I364,9,2))</f>
        <v>45898</v>
      </c>
      <c r="N364" s="31" t="n">
        <f aca="false">DATE(LEFT(Raw!J364,4),MID(Raw!J364,6,2),MID(Raw!J364,9,2))+TIME(MID(Raw!J364,12,2),MID(Raw!J364,15,2),MID(Raw!J364,18,2))</f>
        <v>45893.9166666667</v>
      </c>
      <c r="O364" s="31" t="n">
        <f aca="false">DATE(LEFT(Raw!K364,4),MID(Raw!K364,6,2),MID(Raw!K364,9,2))+TIME(MID(Raw!K364,12,2),MID(Raw!K364,15,2),MID(Raw!K364,18,2))</f>
        <v>45897</v>
      </c>
      <c r="P364" s="32" t="n">
        <f aca="false">L364-K364</f>
        <v>3</v>
      </c>
      <c r="Q364" s="32" t="n">
        <f aca="false">M364-L364</f>
        <v>4</v>
      </c>
      <c r="R364" s="32" t="n">
        <f aca="false">O364-N364</f>
        <v>3.08333333333333</v>
      </c>
      <c r="S364" s="32" t="n">
        <f aca="false">Raw!L364</f>
        <v>-1</v>
      </c>
      <c r="T364" s="32" t="n">
        <f aca="false">O364-M364</f>
        <v>-1</v>
      </c>
      <c r="U364" s="0" t="str">
        <f aca="false">IF(ABS(T364-S364)&lt;0.01,"OK","MISMATCH")</f>
        <v>OK</v>
      </c>
      <c r="V364" s="33" t="n">
        <f aca="false">Raw!M364</f>
        <v>0</v>
      </c>
      <c r="W364" s="0" t="str">
        <f aca="false">IF((S364&gt;0)=(V364=1),"OK","MISMATCH")</f>
        <v>OK</v>
      </c>
      <c r="X364" s="0" t="str">
        <f aca="false">_xlfn.IFS(S364&lt;=0,"Early/On time",S364&lt;=2,"Minor (up to 2 days)",S364&lt;=5,"Moderate (2-5 days)",TRUE(),"Severe (over 5 days)")</f>
        <v>Early/On time</v>
      </c>
      <c r="Y364" s="0" t="str">
        <f aca="false">YEAR(K364)&amp;"-"&amp;TEXT(MONTH(K364),"00")</f>
        <v>2025-08</v>
      </c>
      <c r="Z364" s="0" t="str">
        <f aca="false">C364&amp;" → "&amp;D364</f>
        <v>Surat → Karnataka</v>
      </c>
      <c r="AA364" s="0" t="str">
        <f aca="false">Raw!Q364</f>
        <v>Delhivery</v>
      </c>
      <c r="AB364" s="0" t="str">
        <f aca="false">Raw!R364</f>
        <v>No</v>
      </c>
      <c r="AC364" s="0" t="str">
        <f aca="false">Raw!S364</f>
        <v>Normal</v>
      </c>
      <c r="AD364" s="29" t="n">
        <f aca="false">Raw!N364</f>
        <v>1955.52</v>
      </c>
      <c r="AE364" s="29" t="n">
        <f aca="false">Raw!O364</f>
        <v>2953.98</v>
      </c>
      <c r="AF364" s="29" t="n">
        <f aca="false">Raw!P364</f>
        <v>901.89</v>
      </c>
      <c r="AG364" s="29" t="n">
        <f aca="false">AD364/J364</f>
        <v>1437.88235294118</v>
      </c>
    </row>
    <row r="365" customFormat="false" ht="15" hidden="false" customHeight="false" outlineLevel="0" collapsed="false">
      <c r="A365" s="0" t="str">
        <f aca="false">Raw!A365</f>
        <v>SHP0364</v>
      </c>
      <c r="B365" s="0" t="str">
        <f aca="false">Raw!B365</f>
        <v>Inbound</v>
      </c>
      <c r="C365" s="0" t="str">
        <f aca="false">Raw!C365</f>
        <v>Gujarat</v>
      </c>
      <c r="D365" s="0" t="str">
        <f aca="false">Raw!D365</f>
        <v>Surat</v>
      </c>
      <c r="E365" s="0" t="str">
        <f aca="false">IFERROR(INDEX(Location_Map!$B$2:$B$15,MATCH(C365,Location_Map!$A$2:$A$15,0)),"UNMAPPED")</f>
        <v>Gujarat</v>
      </c>
      <c r="F365" s="0" t="str">
        <f aca="false">IFERROR(INDEX(Location_Map!$C$2:$C$15,MATCH(C365,Location_Map!$A$2:$A$15,0)),"UNMAPPED")</f>
        <v>West</v>
      </c>
      <c r="G365" s="0" t="str">
        <f aca="false">IFERROR(INDEX(Location_Map!$B$2:$B$15,MATCH(D365,Location_Map!$A$2:$A$15,0)),"UNMAPPED")</f>
        <v>Gujarat</v>
      </c>
      <c r="H365" s="0" t="str">
        <f aca="false">IFERROR(INDEX(Location_Map!$C$2:$C$15,MATCH(D365,Location_Map!$A$2:$A$15,0)),"UNMAPPED")</f>
        <v>West</v>
      </c>
      <c r="I365" s="0" t="str">
        <f aca="false">Raw!E365</f>
        <v>Raw Yarn</v>
      </c>
      <c r="J365" s="28" t="n">
        <f aca="false">Raw!F365</f>
        <v>3.92</v>
      </c>
      <c r="K365" s="30" t="n">
        <f aca="false">DATE(LEFT(Raw!G365,4),MID(Raw!G365,6,2),MID(Raw!G365,9,2))</f>
        <v>45829</v>
      </c>
      <c r="L365" s="30" t="n">
        <f aca="false">DATE(LEFT(Raw!H365,4),MID(Raw!H365,6,2),MID(Raw!H365,9,2))</f>
        <v>45831</v>
      </c>
      <c r="M365" s="30" t="n">
        <f aca="false">DATE(LEFT(Raw!I365,4),MID(Raw!I365,6,2),MID(Raw!I365,9,2))</f>
        <v>45836</v>
      </c>
      <c r="N365" s="31" t="n">
        <f aca="false">DATE(LEFT(Raw!J365,4),MID(Raw!J365,6,2),MID(Raw!J365,9,2))+TIME(MID(Raw!J365,12,2),MID(Raw!J365,15,2),MID(Raw!J365,18,2))</f>
        <v>45831</v>
      </c>
      <c r="O365" s="31" t="n">
        <f aca="false">DATE(LEFT(Raw!K365,4),MID(Raw!K365,6,2),MID(Raw!K365,9,2))+TIME(MID(Raw!K365,12,2),MID(Raw!K365,15,2),MID(Raw!K365,18,2))</f>
        <v>45835</v>
      </c>
      <c r="P365" s="32" t="n">
        <f aca="false">L365-K365</f>
        <v>2</v>
      </c>
      <c r="Q365" s="32" t="n">
        <f aca="false">M365-L365</f>
        <v>5</v>
      </c>
      <c r="R365" s="32" t="n">
        <f aca="false">O365-N365</f>
        <v>4</v>
      </c>
      <c r="S365" s="32" t="n">
        <f aca="false">Raw!L365</f>
        <v>-1</v>
      </c>
      <c r="T365" s="32" t="n">
        <f aca="false">O365-M365</f>
        <v>-1</v>
      </c>
      <c r="U365" s="0" t="str">
        <f aca="false">IF(ABS(T365-S365)&lt;0.01,"OK","MISMATCH")</f>
        <v>OK</v>
      </c>
      <c r="V365" s="33" t="n">
        <f aca="false">Raw!M365</f>
        <v>0</v>
      </c>
      <c r="W365" s="0" t="str">
        <f aca="false">IF((S365&gt;0)=(V365=1),"OK","MISMATCH")</f>
        <v>OK</v>
      </c>
      <c r="X365" s="0" t="str">
        <f aca="false">_xlfn.IFS(S365&lt;=0,"Early/On time",S365&lt;=2,"Minor (up to 2 days)",S365&lt;=5,"Moderate (2-5 days)",TRUE(),"Severe (over 5 days)")</f>
        <v>Early/On time</v>
      </c>
      <c r="Y365" s="0" t="str">
        <f aca="false">YEAR(K365)&amp;"-"&amp;TEXT(MONTH(K365),"00")</f>
        <v>2025-06</v>
      </c>
      <c r="Z365" s="0" t="str">
        <f aca="false">C365&amp;" → "&amp;D365</f>
        <v>Gujarat → Surat</v>
      </c>
      <c r="AA365" s="0" t="str">
        <f aca="false">Raw!Q365</f>
        <v>VRL Cargo</v>
      </c>
      <c r="AB365" s="0" t="str">
        <f aca="false">Raw!R365</f>
        <v>No</v>
      </c>
      <c r="AC365" s="0" t="str">
        <f aca="false">Raw!S365</f>
        <v>Held at warehouse</v>
      </c>
      <c r="AD365" s="29" t="n">
        <f aca="false">Raw!N365</f>
        <v>3000.82</v>
      </c>
      <c r="AE365" s="29" t="n">
        <f aca="false">Raw!O365</f>
        <v>2419.7</v>
      </c>
      <c r="AF365" s="29" t="n">
        <f aca="false">Raw!P365</f>
        <v>551.99</v>
      </c>
      <c r="AG365" s="29" t="n">
        <f aca="false">AD365/J365</f>
        <v>765.515306122449</v>
      </c>
    </row>
    <row r="366" customFormat="false" ht="15" hidden="false" customHeight="false" outlineLevel="0" collapsed="false">
      <c r="A366" s="0" t="str">
        <f aca="false">Raw!A366</f>
        <v>SHP0365</v>
      </c>
      <c r="B366" s="0" t="str">
        <f aca="false">Raw!B366</f>
        <v>Outbound</v>
      </c>
      <c r="C366" s="0" t="str">
        <f aca="false">Raw!C366</f>
        <v>Surat</v>
      </c>
      <c r="D366" s="0" t="str">
        <f aca="false">Raw!D366</f>
        <v>Mumbai</v>
      </c>
      <c r="E366" s="0" t="str">
        <f aca="false">IFERROR(INDEX(Location_Map!$B$2:$B$15,MATCH(C366,Location_Map!$A$2:$A$15,0)),"UNMAPPED")</f>
        <v>Gujarat</v>
      </c>
      <c r="F366" s="0" t="str">
        <f aca="false">IFERROR(INDEX(Location_Map!$C$2:$C$15,MATCH(C366,Location_Map!$A$2:$A$15,0)),"UNMAPPED")</f>
        <v>West</v>
      </c>
      <c r="G366" s="0" t="str">
        <f aca="false">IFERROR(INDEX(Location_Map!$B$2:$B$15,MATCH(D366,Location_Map!$A$2:$A$15,0)),"UNMAPPED")</f>
        <v>Maharashtra</v>
      </c>
      <c r="H366" s="0" t="str">
        <f aca="false">IFERROR(INDEX(Location_Map!$C$2:$C$15,MATCH(D366,Location_Map!$A$2:$A$15,0)),"UNMAPPED")</f>
        <v>West</v>
      </c>
      <c r="I366" s="0" t="str">
        <f aca="false">Raw!E366</f>
        <v>Semi-Processed Yarn</v>
      </c>
      <c r="J366" s="28" t="n">
        <f aca="false">Raw!F366</f>
        <v>1.6</v>
      </c>
      <c r="K366" s="30" t="n">
        <f aca="false">DATE(LEFT(Raw!G366,4),MID(Raw!G366,6,2),MID(Raw!G366,9,2))</f>
        <v>45785</v>
      </c>
      <c r="L366" s="30" t="n">
        <f aca="false">DATE(LEFT(Raw!H366,4),MID(Raw!H366,6,2),MID(Raw!H366,9,2))</f>
        <v>45786</v>
      </c>
      <c r="M366" s="30" t="n">
        <f aca="false">DATE(LEFT(Raw!I366,4),MID(Raw!I366,6,2),MID(Raw!I366,9,2))</f>
        <v>45791</v>
      </c>
      <c r="N366" s="31" t="n">
        <f aca="false">DATE(LEFT(Raw!J366,4),MID(Raw!J366,6,2),MID(Raw!J366,9,2))+TIME(MID(Raw!J366,12,2),MID(Raw!J366,15,2),MID(Raw!J366,18,2))</f>
        <v>45786.2916666667</v>
      </c>
      <c r="O366" s="31" t="n">
        <f aca="false">DATE(LEFT(Raw!K366,4),MID(Raw!K366,6,2),MID(Raw!K366,9,2))+TIME(MID(Raw!K366,12,2),MID(Raw!K366,15,2),MID(Raw!K366,18,2))</f>
        <v>45790</v>
      </c>
      <c r="P366" s="32" t="n">
        <f aca="false">L366-K366</f>
        <v>1</v>
      </c>
      <c r="Q366" s="32" t="n">
        <f aca="false">M366-L366</f>
        <v>5</v>
      </c>
      <c r="R366" s="32" t="n">
        <f aca="false">O366-N366</f>
        <v>3.70833333333333</v>
      </c>
      <c r="S366" s="32" t="n">
        <f aca="false">Raw!L366</f>
        <v>-1</v>
      </c>
      <c r="T366" s="32" t="n">
        <f aca="false">O366-M366</f>
        <v>-1</v>
      </c>
      <c r="U366" s="0" t="str">
        <f aca="false">IF(ABS(T366-S366)&lt;0.01,"OK","MISMATCH")</f>
        <v>OK</v>
      </c>
      <c r="V366" s="33" t="n">
        <f aca="false">Raw!M366</f>
        <v>0</v>
      </c>
      <c r="W366" s="0" t="str">
        <f aca="false">IF((S366&gt;0)=(V366=1),"OK","MISMATCH")</f>
        <v>OK</v>
      </c>
      <c r="X366" s="0" t="str">
        <f aca="false">_xlfn.IFS(S366&lt;=0,"Early/On time",S366&lt;=2,"Minor (up to 2 days)",S366&lt;=5,"Moderate (2-5 days)",TRUE(),"Severe (over 5 days)")</f>
        <v>Early/On time</v>
      </c>
      <c r="Y366" s="0" t="str">
        <f aca="false">YEAR(K366)&amp;"-"&amp;TEXT(MONTH(K366),"00")</f>
        <v>2025-05</v>
      </c>
      <c r="Z366" s="0" t="str">
        <f aca="false">C366&amp;" → "&amp;D366</f>
        <v>Surat → Mumbai</v>
      </c>
      <c r="AA366" s="0" t="str">
        <f aca="false">Raw!Q366</f>
        <v>TCI Express</v>
      </c>
      <c r="AB366" s="0" t="str">
        <f aca="false">Raw!R366</f>
        <v>Yes</v>
      </c>
      <c r="AC366" s="0" t="str">
        <f aca="false">Raw!S366</f>
        <v>Damaged</v>
      </c>
      <c r="AD366" s="29" t="n">
        <f aca="false">Raw!N366</f>
        <v>2286.54</v>
      </c>
      <c r="AE366" s="29" t="n">
        <f aca="false">Raw!O366</f>
        <v>2501.76</v>
      </c>
      <c r="AF366" s="29" t="n">
        <f aca="false">Raw!P366</f>
        <v>1300.07</v>
      </c>
      <c r="AG366" s="29" t="n">
        <f aca="false">AD366/J366</f>
        <v>1429.0875</v>
      </c>
    </row>
    <row r="367" customFormat="false" ht="15" hidden="false" customHeight="false" outlineLevel="0" collapsed="false">
      <c r="A367" s="0" t="str">
        <f aca="false">Raw!A367</f>
        <v>SHP0366</v>
      </c>
      <c r="B367" s="0" t="str">
        <f aca="false">Raw!B367</f>
        <v>Outbound</v>
      </c>
      <c r="C367" s="0" t="str">
        <f aca="false">Raw!C367</f>
        <v>Surat</v>
      </c>
      <c r="D367" s="0" t="str">
        <f aca="false">Raw!D367</f>
        <v>West Bengal</v>
      </c>
      <c r="E367" s="0" t="str">
        <f aca="false">IFERROR(INDEX(Location_Map!$B$2:$B$15,MATCH(C367,Location_Map!$A$2:$A$15,0)),"UNMAPPED")</f>
        <v>Gujarat</v>
      </c>
      <c r="F367" s="0" t="str">
        <f aca="false">IFERROR(INDEX(Location_Map!$C$2:$C$15,MATCH(C367,Location_Map!$A$2:$A$15,0)),"UNMAPPED")</f>
        <v>West</v>
      </c>
      <c r="G367" s="0" t="str">
        <f aca="false">IFERROR(INDEX(Location_Map!$B$2:$B$15,MATCH(D367,Location_Map!$A$2:$A$15,0)),"UNMAPPED")</f>
        <v>West Bengal</v>
      </c>
      <c r="H367" s="0" t="str">
        <f aca="false">IFERROR(INDEX(Location_Map!$C$2:$C$15,MATCH(D367,Location_Map!$A$2:$A$15,0)),"UNMAPPED")</f>
        <v>East</v>
      </c>
      <c r="I367" s="0" t="str">
        <f aca="false">Raw!E367</f>
        <v>Semi-Processed Yarn</v>
      </c>
      <c r="J367" s="28" t="n">
        <f aca="false">Raw!F367</f>
        <v>17.81</v>
      </c>
      <c r="K367" s="30" t="n">
        <f aca="false">DATE(LEFT(Raw!G367,4),MID(Raw!G367,6,2),MID(Raw!G367,9,2))</f>
        <v>45695</v>
      </c>
      <c r="L367" s="30" t="n">
        <f aca="false">DATE(LEFT(Raw!H367,4),MID(Raw!H367,6,2),MID(Raw!H367,9,2))</f>
        <v>45696</v>
      </c>
      <c r="M367" s="30" t="n">
        <f aca="false">DATE(LEFT(Raw!I367,4),MID(Raw!I367,6,2),MID(Raw!I367,9,2))</f>
        <v>45702</v>
      </c>
      <c r="N367" s="31" t="n">
        <f aca="false">DATE(LEFT(Raw!J367,4),MID(Raw!J367,6,2),MID(Raw!J367,9,2))+TIME(MID(Raw!J367,12,2),MID(Raw!J367,15,2),MID(Raw!J367,18,2))</f>
        <v>45696.1666666667</v>
      </c>
      <c r="O367" s="31" t="n">
        <f aca="false">DATE(LEFT(Raw!K367,4),MID(Raw!K367,6,2),MID(Raw!K367,9,2))+TIME(MID(Raw!K367,12,2),MID(Raw!K367,15,2),MID(Raw!K367,18,2))</f>
        <v>45705.9</v>
      </c>
      <c r="P367" s="32" t="n">
        <f aca="false">L367-K367</f>
        <v>1</v>
      </c>
      <c r="Q367" s="32" t="n">
        <f aca="false">M367-L367</f>
        <v>6</v>
      </c>
      <c r="R367" s="32" t="n">
        <f aca="false">O367-N367</f>
        <v>9.73333333333333</v>
      </c>
      <c r="S367" s="32" t="n">
        <f aca="false">Raw!L367</f>
        <v>3.9</v>
      </c>
      <c r="T367" s="32" t="n">
        <f aca="false">O367-M367</f>
        <v>3.9</v>
      </c>
      <c r="U367" s="0" t="str">
        <f aca="false">IF(ABS(T367-S367)&lt;0.01,"OK","MISMATCH")</f>
        <v>OK</v>
      </c>
      <c r="V367" s="33" t="n">
        <f aca="false">Raw!M367</f>
        <v>1</v>
      </c>
      <c r="W367" s="0" t="str">
        <f aca="false">IF((S367&gt;0)=(V367=1),"OK","MISMATCH")</f>
        <v>OK</v>
      </c>
      <c r="X367" s="0" t="str">
        <f aca="false">_xlfn.IFS(S367&lt;=0,"Early/On time",S367&lt;=2,"Minor (up to 2 days)",S367&lt;=5,"Moderate (2-5 days)",TRUE(),"Severe (over 5 days)")</f>
        <v>Moderate (2-5 days)</v>
      </c>
      <c r="Y367" s="0" t="str">
        <f aca="false">YEAR(K367)&amp;"-"&amp;TEXT(MONTH(K367),"00")</f>
        <v>2025-02</v>
      </c>
      <c r="Z367" s="0" t="str">
        <f aca="false">C367&amp;" → "&amp;D367</f>
        <v>Surat → West Bengal</v>
      </c>
      <c r="AA367" s="0" t="str">
        <f aca="false">Raw!Q367</f>
        <v>Delhivery</v>
      </c>
      <c r="AB367" s="0" t="str">
        <f aca="false">Raw!R367</f>
        <v>Yes</v>
      </c>
      <c r="AC367" s="0" t="str">
        <f aca="false">Raw!S367</f>
        <v>Held at warehouse</v>
      </c>
      <c r="AD367" s="29" t="n">
        <f aca="false">Raw!N367</f>
        <v>10088.84</v>
      </c>
      <c r="AE367" s="29" t="n">
        <f aca="false">Raw!O367</f>
        <v>3475.97</v>
      </c>
      <c r="AF367" s="29" t="n">
        <f aca="false">Raw!P367</f>
        <v>1440.77</v>
      </c>
      <c r="AG367" s="29" t="n">
        <f aca="false">AD367/J367</f>
        <v>566.470522178551</v>
      </c>
    </row>
    <row r="368" customFormat="false" ht="15" hidden="false" customHeight="false" outlineLevel="0" collapsed="false">
      <c r="A368" s="0" t="str">
        <f aca="false">Raw!A368</f>
        <v>SHP0367</v>
      </c>
      <c r="B368" s="0" t="str">
        <f aca="false">Raw!B368</f>
        <v>Outbound</v>
      </c>
      <c r="C368" s="0" t="str">
        <f aca="false">Raw!C368</f>
        <v>Surat</v>
      </c>
      <c r="D368" s="0" t="str">
        <f aca="false">Raw!D368</f>
        <v>Gujarat</v>
      </c>
      <c r="E368" s="0" t="str">
        <f aca="false">IFERROR(INDEX(Location_Map!$B$2:$B$15,MATCH(C368,Location_Map!$A$2:$A$15,0)),"UNMAPPED")</f>
        <v>Gujarat</v>
      </c>
      <c r="F368" s="0" t="str">
        <f aca="false">IFERROR(INDEX(Location_Map!$C$2:$C$15,MATCH(C368,Location_Map!$A$2:$A$15,0)),"UNMAPPED")</f>
        <v>West</v>
      </c>
      <c r="G368" s="0" t="str">
        <f aca="false">IFERROR(INDEX(Location_Map!$B$2:$B$15,MATCH(D368,Location_Map!$A$2:$A$15,0)),"UNMAPPED")</f>
        <v>Gujarat</v>
      </c>
      <c r="H368" s="0" t="str">
        <f aca="false">IFERROR(INDEX(Location_Map!$C$2:$C$15,MATCH(D368,Location_Map!$A$2:$A$15,0)),"UNMAPPED")</f>
        <v>West</v>
      </c>
      <c r="I368" s="0" t="str">
        <f aca="false">Raw!E368</f>
        <v>Raw Yarn</v>
      </c>
      <c r="J368" s="28" t="n">
        <f aca="false">Raw!F368</f>
        <v>15.74</v>
      </c>
      <c r="K368" s="30" t="n">
        <f aca="false">DATE(LEFT(Raw!G368,4),MID(Raw!G368,6,2),MID(Raw!G368,9,2))</f>
        <v>45696</v>
      </c>
      <c r="L368" s="30" t="n">
        <f aca="false">DATE(LEFT(Raw!H368,4),MID(Raw!H368,6,2),MID(Raw!H368,9,2))</f>
        <v>45698</v>
      </c>
      <c r="M368" s="30" t="n">
        <f aca="false">DATE(LEFT(Raw!I368,4),MID(Raw!I368,6,2),MID(Raw!I368,9,2))</f>
        <v>45704</v>
      </c>
      <c r="N368" s="31" t="n">
        <f aca="false">DATE(LEFT(Raw!J368,4),MID(Raw!J368,6,2),MID(Raw!J368,9,2))+TIME(MID(Raw!J368,12,2),MID(Raw!J368,15,2),MID(Raw!J368,18,2))</f>
        <v>45697.8333333333</v>
      </c>
      <c r="O368" s="31" t="n">
        <f aca="false">DATE(LEFT(Raw!K368,4),MID(Raw!K368,6,2),MID(Raw!K368,9,2))+TIME(MID(Raw!K368,12,2),MID(Raw!K368,15,2),MID(Raw!K368,18,2))</f>
        <v>45705.4</v>
      </c>
      <c r="P368" s="32" t="n">
        <f aca="false">L368-K368</f>
        <v>2</v>
      </c>
      <c r="Q368" s="32" t="n">
        <f aca="false">M368-L368</f>
        <v>6</v>
      </c>
      <c r="R368" s="32" t="n">
        <f aca="false">O368-N368</f>
        <v>7.56666666666667</v>
      </c>
      <c r="S368" s="32" t="n">
        <f aca="false">Raw!L368</f>
        <v>1.4</v>
      </c>
      <c r="T368" s="32" t="n">
        <f aca="false">O368-M368</f>
        <v>1.4</v>
      </c>
      <c r="U368" s="0" t="str">
        <f aca="false">IF(ABS(T368-S368)&lt;0.01,"OK","MISMATCH")</f>
        <v>OK</v>
      </c>
      <c r="V368" s="33" t="n">
        <f aca="false">Raw!M368</f>
        <v>1</v>
      </c>
      <c r="W368" s="0" t="str">
        <f aca="false">IF((S368&gt;0)=(V368=1),"OK","MISMATCH")</f>
        <v>OK</v>
      </c>
      <c r="X368" s="0" t="str">
        <f aca="false">_xlfn.IFS(S368&lt;=0,"Early/On time",S368&lt;=2,"Minor (up to 2 days)",S368&lt;=5,"Moderate (2-5 days)",TRUE(),"Severe (over 5 days)")</f>
        <v>Minor (up to 2 days)</v>
      </c>
      <c r="Y368" s="0" t="str">
        <f aca="false">YEAR(K368)&amp;"-"&amp;TEXT(MONTH(K368),"00")</f>
        <v>2025-02</v>
      </c>
      <c r="Z368" s="0" t="str">
        <f aca="false">C368&amp;" → "&amp;D368</f>
        <v>Surat → Gujarat</v>
      </c>
      <c r="AA368" s="0" t="str">
        <f aca="false">Raw!Q368</f>
        <v>GATI Logistics</v>
      </c>
      <c r="AB368" s="0" t="str">
        <f aca="false">Raw!R368</f>
        <v>No</v>
      </c>
      <c r="AC368" s="0" t="str">
        <f aca="false">Raw!S368</f>
        <v>Held at warehouse</v>
      </c>
      <c r="AD368" s="29" t="n">
        <f aca="false">Raw!N368</f>
        <v>5610.14</v>
      </c>
      <c r="AE368" s="29" t="n">
        <f aca="false">Raw!O368</f>
        <v>2899.8</v>
      </c>
      <c r="AF368" s="29" t="n">
        <f aca="false">Raw!P368</f>
        <v>555.22</v>
      </c>
      <c r="AG368" s="29" t="n">
        <f aca="false">AD368/J368</f>
        <v>356.425667090216</v>
      </c>
    </row>
    <row r="369" customFormat="false" ht="15" hidden="false" customHeight="false" outlineLevel="0" collapsed="false">
      <c r="A369" s="0" t="str">
        <f aca="false">Raw!A369</f>
        <v>SHP0368</v>
      </c>
      <c r="B369" s="0" t="str">
        <f aca="false">Raw!B369</f>
        <v>Inbound</v>
      </c>
      <c r="C369" s="0" t="str">
        <f aca="false">Raw!C369</f>
        <v>Uttar Pradesh</v>
      </c>
      <c r="D369" s="0" t="str">
        <f aca="false">Raw!D369</f>
        <v>Surat</v>
      </c>
      <c r="E369" s="0" t="str">
        <f aca="false">IFERROR(INDEX(Location_Map!$B$2:$B$15,MATCH(C369,Location_Map!$A$2:$A$15,0)),"UNMAPPED")</f>
        <v>Uttar Pradesh</v>
      </c>
      <c r="F369" s="0" t="str">
        <f aca="false">IFERROR(INDEX(Location_Map!$C$2:$C$15,MATCH(C369,Location_Map!$A$2:$A$15,0)),"UNMAPPED")</f>
        <v>North</v>
      </c>
      <c r="G369" s="0" t="str">
        <f aca="false">IFERROR(INDEX(Location_Map!$B$2:$B$15,MATCH(D369,Location_Map!$A$2:$A$15,0)),"UNMAPPED")</f>
        <v>Gujarat</v>
      </c>
      <c r="H369" s="0" t="str">
        <f aca="false">IFERROR(INDEX(Location_Map!$C$2:$C$15,MATCH(D369,Location_Map!$A$2:$A$15,0)),"UNMAPPED")</f>
        <v>West</v>
      </c>
      <c r="I369" s="0" t="str">
        <f aca="false">Raw!E369</f>
        <v>Finished Yarn</v>
      </c>
      <c r="J369" s="28" t="n">
        <f aca="false">Raw!F369</f>
        <v>18.91</v>
      </c>
      <c r="K369" s="30" t="n">
        <f aca="false">DATE(LEFT(Raw!G369,4),MID(Raw!G369,6,2),MID(Raw!G369,9,2))</f>
        <v>45680</v>
      </c>
      <c r="L369" s="30" t="n">
        <f aca="false">DATE(LEFT(Raw!H369,4),MID(Raw!H369,6,2),MID(Raw!H369,9,2))</f>
        <v>45682</v>
      </c>
      <c r="M369" s="30" t="n">
        <f aca="false">DATE(LEFT(Raw!I369,4),MID(Raw!I369,6,2),MID(Raw!I369,9,2))</f>
        <v>45687</v>
      </c>
      <c r="N369" s="31" t="n">
        <f aca="false">DATE(LEFT(Raw!J369,4),MID(Raw!J369,6,2),MID(Raw!J369,9,2))+TIME(MID(Raw!J369,12,2),MID(Raw!J369,15,2),MID(Raw!J369,18,2))</f>
        <v>45681.875</v>
      </c>
      <c r="O369" s="31" t="n">
        <f aca="false">DATE(LEFT(Raw!K369,4),MID(Raw!K369,6,2),MID(Raw!K369,9,2))+TIME(MID(Raw!K369,12,2),MID(Raw!K369,15,2),MID(Raw!K369,18,2))</f>
        <v>45686.8</v>
      </c>
      <c r="P369" s="32" t="n">
        <f aca="false">L369-K369</f>
        <v>2</v>
      </c>
      <c r="Q369" s="32" t="n">
        <f aca="false">M369-L369</f>
        <v>5</v>
      </c>
      <c r="R369" s="32" t="n">
        <f aca="false">O369-N369</f>
        <v>4.925</v>
      </c>
      <c r="S369" s="32" t="n">
        <f aca="false">Raw!L369</f>
        <v>-0.2</v>
      </c>
      <c r="T369" s="32" t="n">
        <f aca="false">O369-M369</f>
        <v>-0.2</v>
      </c>
      <c r="U369" s="0" t="str">
        <f aca="false">IF(ABS(T369-S369)&lt;0.01,"OK","MISMATCH")</f>
        <v>OK</v>
      </c>
      <c r="V369" s="33" t="n">
        <f aca="false">Raw!M369</f>
        <v>0</v>
      </c>
      <c r="W369" s="0" t="str">
        <f aca="false">IF((S369&gt;0)=(V369=1),"OK","MISMATCH")</f>
        <v>OK</v>
      </c>
      <c r="X369" s="0" t="str">
        <f aca="false">_xlfn.IFS(S369&lt;=0,"Early/On time",S369&lt;=2,"Minor (up to 2 days)",S369&lt;=5,"Moderate (2-5 days)",TRUE(),"Severe (over 5 days)")</f>
        <v>Early/On time</v>
      </c>
      <c r="Y369" s="0" t="str">
        <f aca="false">YEAR(K369)&amp;"-"&amp;TEXT(MONTH(K369),"00")</f>
        <v>2025-01</v>
      </c>
      <c r="Z369" s="0" t="str">
        <f aca="false">C369&amp;" → "&amp;D369</f>
        <v>Uttar Pradesh → Surat</v>
      </c>
      <c r="AA369" s="0" t="str">
        <f aca="false">Raw!Q369</f>
        <v>BlueDart</v>
      </c>
      <c r="AB369" s="0" t="str">
        <f aca="false">Raw!R369</f>
        <v>Yes</v>
      </c>
      <c r="AC369" s="0" t="str">
        <f aca="false">Raw!S369</f>
        <v>Held at warehouse</v>
      </c>
      <c r="AD369" s="29" t="n">
        <f aca="false">Raw!N369</f>
        <v>9502.64</v>
      </c>
      <c r="AE369" s="29" t="n">
        <f aca="false">Raw!O369</f>
        <v>1457.73</v>
      </c>
      <c r="AF369" s="29" t="n">
        <f aca="false">Raw!P369</f>
        <v>508.71</v>
      </c>
      <c r="AG369" s="29" t="n">
        <f aca="false">AD369/J369</f>
        <v>502.519301956637</v>
      </c>
    </row>
    <row r="370" customFormat="false" ht="15" hidden="false" customHeight="false" outlineLevel="0" collapsed="false">
      <c r="A370" s="0" t="str">
        <f aca="false">Raw!A370</f>
        <v>SHP0369</v>
      </c>
      <c r="B370" s="0" t="str">
        <f aca="false">Raw!B370</f>
        <v>Inbound</v>
      </c>
      <c r="C370" s="0" t="str">
        <f aca="false">Raw!C370</f>
        <v>Chennai</v>
      </c>
      <c r="D370" s="0" t="str">
        <f aca="false">Raw!D370</f>
        <v>Surat</v>
      </c>
      <c r="E370" s="0" t="str">
        <f aca="false">IFERROR(INDEX(Location_Map!$B$2:$B$15,MATCH(C370,Location_Map!$A$2:$A$15,0)),"UNMAPPED")</f>
        <v>Tamil Nadu</v>
      </c>
      <c r="F370" s="0" t="str">
        <f aca="false">IFERROR(INDEX(Location_Map!$C$2:$C$15,MATCH(C370,Location_Map!$A$2:$A$15,0)),"UNMAPPED")</f>
        <v>South</v>
      </c>
      <c r="G370" s="0" t="str">
        <f aca="false">IFERROR(INDEX(Location_Map!$B$2:$B$15,MATCH(D370,Location_Map!$A$2:$A$15,0)),"UNMAPPED")</f>
        <v>Gujarat</v>
      </c>
      <c r="H370" s="0" t="str">
        <f aca="false">IFERROR(INDEX(Location_Map!$C$2:$C$15,MATCH(D370,Location_Map!$A$2:$A$15,0)),"UNMAPPED")</f>
        <v>West</v>
      </c>
      <c r="I370" s="0" t="str">
        <f aca="false">Raw!E370</f>
        <v>Raw Yarn</v>
      </c>
      <c r="J370" s="28" t="n">
        <f aca="false">Raw!F370</f>
        <v>3.96</v>
      </c>
      <c r="K370" s="30" t="n">
        <f aca="false">DATE(LEFT(Raw!G370,4),MID(Raw!G370,6,2),MID(Raw!G370,9,2))</f>
        <v>45720</v>
      </c>
      <c r="L370" s="30" t="n">
        <f aca="false">DATE(LEFT(Raw!H370,4),MID(Raw!H370,6,2),MID(Raw!H370,9,2))</f>
        <v>45723</v>
      </c>
      <c r="M370" s="30" t="n">
        <f aca="false">DATE(LEFT(Raw!I370,4),MID(Raw!I370,6,2),MID(Raw!I370,9,2))</f>
        <v>45729</v>
      </c>
      <c r="N370" s="31" t="n">
        <f aca="false">DATE(LEFT(Raw!J370,4),MID(Raw!J370,6,2),MID(Raw!J370,9,2))+TIME(MID(Raw!J370,12,2),MID(Raw!J370,15,2),MID(Raw!J370,18,2))</f>
        <v>45723.0416666667</v>
      </c>
      <c r="O370" s="31" t="n">
        <f aca="false">DATE(LEFT(Raw!K370,4),MID(Raw!K370,6,2),MID(Raw!K370,9,2))+TIME(MID(Raw!K370,12,2),MID(Raw!K370,15,2),MID(Raw!K370,18,2))</f>
        <v>45729.5</v>
      </c>
      <c r="P370" s="32" t="n">
        <f aca="false">L370-K370</f>
        <v>3</v>
      </c>
      <c r="Q370" s="32" t="n">
        <f aca="false">M370-L370</f>
        <v>6</v>
      </c>
      <c r="R370" s="32" t="n">
        <f aca="false">O370-N370</f>
        <v>6.45833333333333</v>
      </c>
      <c r="S370" s="32" t="n">
        <f aca="false">Raw!L370</f>
        <v>0.5</v>
      </c>
      <c r="T370" s="32" t="n">
        <f aca="false">O370-M370</f>
        <v>0.5</v>
      </c>
      <c r="U370" s="0" t="str">
        <f aca="false">IF(ABS(T370-S370)&lt;0.01,"OK","MISMATCH")</f>
        <v>OK</v>
      </c>
      <c r="V370" s="33" t="n">
        <f aca="false">Raw!M370</f>
        <v>1</v>
      </c>
      <c r="W370" s="0" t="str">
        <f aca="false">IF((S370&gt;0)=(V370=1),"OK","MISMATCH")</f>
        <v>OK</v>
      </c>
      <c r="X370" s="0" t="str">
        <f aca="false">_xlfn.IFS(S370&lt;=0,"Early/On time",S370&lt;=2,"Minor (up to 2 days)",S370&lt;=5,"Moderate (2-5 days)",TRUE(),"Severe (over 5 days)")</f>
        <v>Minor (up to 2 days)</v>
      </c>
      <c r="Y370" s="0" t="str">
        <f aca="false">YEAR(K370)&amp;"-"&amp;TEXT(MONTH(K370),"00")</f>
        <v>2025-03</v>
      </c>
      <c r="Z370" s="0" t="str">
        <f aca="false">C370&amp;" → "&amp;D370</f>
        <v>Chennai → Surat</v>
      </c>
      <c r="AA370" s="0" t="str">
        <f aca="false">Raw!Q370</f>
        <v>VRL Cargo</v>
      </c>
      <c r="AB370" s="0" t="str">
        <f aca="false">Raw!R370</f>
        <v>No</v>
      </c>
      <c r="AC370" s="0" t="str">
        <f aca="false">Raw!S370</f>
        <v>Expedited</v>
      </c>
      <c r="AD370" s="29" t="n">
        <f aca="false">Raw!N370</f>
        <v>2332.27</v>
      </c>
      <c r="AE370" s="29" t="n">
        <f aca="false">Raw!O370</f>
        <v>2209.92</v>
      </c>
      <c r="AF370" s="29" t="n">
        <f aca="false">Raw!P370</f>
        <v>1475.37</v>
      </c>
      <c r="AG370" s="29" t="n">
        <f aca="false">AD370/J370</f>
        <v>588.957070707071</v>
      </c>
    </row>
    <row r="371" customFormat="false" ht="15" hidden="false" customHeight="false" outlineLevel="0" collapsed="false">
      <c r="A371" s="0" t="str">
        <f aca="false">Raw!A371</f>
        <v>SHP0370</v>
      </c>
      <c r="B371" s="0" t="str">
        <f aca="false">Raw!B371</f>
        <v>Inbound</v>
      </c>
      <c r="C371" s="0" t="str">
        <f aca="false">Raw!C371</f>
        <v>Uttar Pradesh</v>
      </c>
      <c r="D371" s="0" t="str">
        <f aca="false">Raw!D371</f>
        <v>Surat</v>
      </c>
      <c r="E371" s="0" t="str">
        <f aca="false">IFERROR(INDEX(Location_Map!$B$2:$B$15,MATCH(C371,Location_Map!$A$2:$A$15,0)),"UNMAPPED")</f>
        <v>Uttar Pradesh</v>
      </c>
      <c r="F371" s="0" t="str">
        <f aca="false">IFERROR(INDEX(Location_Map!$C$2:$C$15,MATCH(C371,Location_Map!$A$2:$A$15,0)),"UNMAPPED")</f>
        <v>North</v>
      </c>
      <c r="G371" s="0" t="str">
        <f aca="false">IFERROR(INDEX(Location_Map!$B$2:$B$15,MATCH(D371,Location_Map!$A$2:$A$15,0)),"UNMAPPED")</f>
        <v>Gujarat</v>
      </c>
      <c r="H371" s="0" t="str">
        <f aca="false">IFERROR(INDEX(Location_Map!$C$2:$C$15,MATCH(D371,Location_Map!$A$2:$A$15,0)),"UNMAPPED")</f>
        <v>West</v>
      </c>
      <c r="I371" s="0" t="str">
        <f aca="false">Raw!E371</f>
        <v>Semi-Processed Yarn</v>
      </c>
      <c r="J371" s="28" t="n">
        <f aca="false">Raw!F371</f>
        <v>4.23</v>
      </c>
      <c r="K371" s="30" t="n">
        <f aca="false">DATE(LEFT(Raw!G371,4),MID(Raw!G371,6,2),MID(Raw!G371,9,2))</f>
        <v>45927</v>
      </c>
      <c r="L371" s="30" t="n">
        <f aca="false">DATE(LEFT(Raw!H371,4),MID(Raw!H371,6,2),MID(Raw!H371,9,2))</f>
        <v>45931</v>
      </c>
      <c r="M371" s="30" t="n">
        <f aca="false">DATE(LEFT(Raw!I371,4),MID(Raw!I371,6,2),MID(Raw!I371,9,2))</f>
        <v>45934</v>
      </c>
      <c r="N371" s="31" t="n">
        <f aca="false">DATE(LEFT(Raw!J371,4),MID(Raw!J371,6,2),MID(Raw!J371,9,2))+TIME(MID(Raw!J371,12,2),MID(Raw!J371,15,2),MID(Raw!J371,18,2))</f>
        <v>45931.375</v>
      </c>
      <c r="O371" s="31" t="n">
        <f aca="false">DATE(LEFT(Raw!K371,4),MID(Raw!K371,6,2),MID(Raw!K371,9,2))+TIME(MID(Raw!K371,12,2),MID(Raw!K371,15,2),MID(Raw!K371,18,2))</f>
        <v>45934.9</v>
      </c>
      <c r="P371" s="32" t="n">
        <f aca="false">L371-K371</f>
        <v>4</v>
      </c>
      <c r="Q371" s="32" t="n">
        <f aca="false">M371-L371</f>
        <v>3</v>
      </c>
      <c r="R371" s="32" t="n">
        <f aca="false">O371-N371</f>
        <v>3.525</v>
      </c>
      <c r="S371" s="32" t="n">
        <f aca="false">Raw!L371</f>
        <v>0.9</v>
      </c>
      <c r="T371" s="32" t="n">
        <f aca="false">O371-M371</f>
        <v>0.9</v>
      </c>
      <c r="U371" s="0" t="str">
        <f aca="false">IF(ABS(T371-S371)&lt;0.01,"OK","MISMATCH")</f>
        <v>OK</v>
      </c>
      <c r="V371" s="33" t="n">
        <f aca="false">Raw!M371</f>
        <v>1</v>
      </c>
      <c r="W371" s="0" t="str">
        <f aca="false">IF((S371&gt;0)=(V371=1),"OK","MISMATCH")</f>
        <v>OK</v>
      </c>
      <c r="X371" s="0" t="str">
        <f aca="false">_xlfn.IFS(S371&lt;=0,"Early/On time",S371&lt;=2,"Minor (up to 2 days)",S371&lt;=5,"Moderate (2-5 days)",TRUE(),"Severe (over 5 days)")</f>
        <v>Minor (up to 2 days)</v>
      </c>
      <c r="Y371" s="0" t="str">
        <f aca="false">YEAR(K371)&amp;"-"&amp;TEXT(MONTH(K371),"00")</f>
        <v>2025-09</v>
      </c>
      <c r="Z371" s="0" t="str">
        <f aca="false">C371&amp;" → "&amp;D371</f>
        <v>Uttar Pradesh → Surat</v>
      </c>
      <c r="AA371" s="0" t="str">
        <f aca="false">Raw!Q371</f>
        <v>TCI Express</v>
      </c>
      <c r="AB371" s="0" t="str">
        <f aca="false">Raw!R371</f>
        <v>No</v>
      </c>
      <c r="AC371" s="0" t="str">
        <f aca="false">Raw!S371</f>
        <v>Returned</v>
      </c>
      <c r="AD371" s="29" t="n">
        <f aca="false">Raw!N371</f>
        <v>2663.21</v>
      </c>
      <c r="AE371" s="29" t="n">
        <f aca="false">Raw!O371</f>
        <v>4215.22</v>
      </c>
      <c r="AF371" s="29" t="n">
        <f aca="false">Raw!P371</f>
        <v>637.15</v>
      </c>
      <c r="AG371" s="29" t="n">
        <f aca="false">AD371/J371</f>
        <v>629.600472813239</v>
      </c>
    </row>
    <row r="372" customFormat="false" ht="15" hidden="false" customHeight="false" outlineLevel="0" collapsed="false">
      <c r="A372" s="0" t="str">
        <f aca="false">Raw!A372</f>
        <v>SHP0371</v>
      </c>
      <c r="B372" s="0" t="str">
        <f aca="false">Raw!B372</f>
        <v>Outbound</v>
      </c>
      <c r="C372" s="0" t="str">
        <f aca="false">Raw!C372</f>
        <v>Surat</v>
      </c>
      <c r="D372" s="0" t="str">
        <f aca="false">Raw!D372</f>
        <v>Gujarat</v>
      </c>
      <c r="E372" s="0" t="str">
        <f aca="false">IFERROR(INDEX(Location_Map!$B$2:$B$15,MATCH(C372,Location_Map!$A$2:$A$15,0)),"UNMAPPED")</f>
        <v>Gujarat</v>
      </c>
      <c r="F372" s="0" t="str">
        <f aca="false">IFERROR(INDEX(Location_Map!$C$2:$C$15,MATCH(C372,Location_Map!$A$2:$A$15,0)),"UNMAPPED")</f>
        <v>West</v>
      </c>
      <c r="G372" s="0" t="str">
        <f aca="false">IFERROR(INDEX(Location_Map!$B$2:$B$15,MATCH(D372,Location_Map!$A$2:$A$15,0)),"UNMAPPED")</f>
        <v>Gujarat</v>
      </c>
      <c r="H372" s="0" t="str">
        <f aca="false">IFERROR(INDEX(Location_Map!$C$2:$C$15,MATCH(D372,Location_Map!$A$2:$A$15,0)),"UNMAPPED")</f>
        <v>West</v>
      </c>
      <c r="I372" s="0" t="str">
        <f aca="false">Raw!E372</f>
        <v>Raw Yarn</v>
      </c>
      <c r="J372" s="28" t="n">
        <f aca="false">Raw!F372</f>
        <v>12.03</v>
      </c>
      <c r="K372" s="30" t="n">
        <f aca="false">DATE(LEFT(Raw!G372,4),MID(Raw!G372,6,2),MID(Raw!G372,9,2))</f>
        <v>45809</v>
      </c>
      <c r="L372" s="30" t="n">
        <f aca="false">DATE(LEFT(Raw!H372,4),MID(Raw!H372,6,2),MID(Raw!H372,9,2))</f>
        <v>45810</v>
      </c>
      <c r="M372" s="30" t="n">
        <f aca="false">DATE(LEFT(Raw!I372,4),MID(Raw!I372,6,2),MID(Raw!I372,9,2))</f>
        <v>45814</v>
      </c>
      <c r="N372" s="31" t="n">
        <f aca="false">DATE(LEFT(Raw!J372,4),MID(Raw!J372,6,2),MID(Raw!J372,9,2))+TIME(MID(Raw!J372,12,2),MID(Raw!J372,15,2),MID(Raw!J372,18,2))</f>
        <v>45810.375</v>
      </c>
      <c r="O372" s="31" t="n">
        <f aca="false">DATE(LEFT(Raw!K372,4),MID(Raw!K372,6,2),MID(Raw!K372,9,2))+TIME(MID(Raw!K372,12,2),MID(Raw!K372,15,2),MID(Raw!K372,18,2))</f>
        <v>45815.5</v>
      </c>
      <c r="P372" s="32" t="n">
        <f aca="false">L372-K372</f>
        <v>1</v>
      </c>
      <c r="Q372" s="32" t="n">
        <f aca="false">M372-L372</f>
        <v>4</v>
      </c>
      <c r="R372" s="32" t="n">
        <f aca="false">O372-N372</f>
        <v>5.125</v>
      </c>
      <c r="S372" s="32" t="n">
        <f aca="false">Raw!L372</f>
        <v>1.5</v>
      </c>
      <c r="T372" s="32" t="n">
        <f aca="false">O372-M372</f>
        <v>1.5</v>
      </c>
      <c r="U372" s="0" t="str">
        <f aca="false">IF(ABS(T372-S372)&lt;0.01,"OK","MISMATCH")</f>
        <v>OK</v>
      </c>
      <c r="V372" s="33" t="n">
        <f aca="false">Raw!M372</f>
        <v>1</v>
      </c>
      <c r="W372" s="0" t="str">
        <f aca="false">IF((S372&gt;0)=(V372=1),"OK","MISMATCH")</f>
        <v>OK</v>
      </c>
      <c r="X372" s="0" t="str">
        <f aca="false">_xlfn.IFS(S372&lt;=0,"Early/On time",S372&lt;=2,"Minor (up to 2 days)",S372&lt;=5,"Moderate (2-5 days)",TRUE(),"Severe (over 5 days)")</f>
        <v>Minor (up to 2 days)</v>
      </c>
      <c r="Y372" s="0" t="str">
        <f aca="false">YEAR(K372)&amp;"-"&amp;TEXT(MONTH(K372),"00")</f>
        <v>2025-06</v>
      </c>
      <c r="Z372" s="0" t="str">
        <f aca="false">C372&amp;" → "&amp;D372</f>
        <v>Surat → Gujarat</v>
      </c>
      <c r="AA372" s="0" t="str">
        <f aca="false">Raw!Q372</f>
        <v>Delhivery</v>
      </c>
      <c r="AB372" s="0" t="str">
        <f aca="false">Raw!R372</f>
        <v>Yes</v>
      </c>
      <c r="AC372" s="0" t="str">
        <f aca="false">Raw!S372</f>
        <v>Returned</v>
      </c>
      <c r="AD372" s="29" t="n">
        <f aca="false">Raw!N372</f>
        <v>6207.05</v>
      </c>
      <c r="AE372" s="29" t="n">
        <f aca="false">Raw!O372</f>
        <v>1227.91</v>
      </c>
      <c r="AF372" s="29" t="n">
        <f aca="false">Raw!P372</f>
        <v>918.61</v>
      </c>
      <c r="AG372" s="29" t="n">
        <f aca="false">AD372/J372</f>
        <v>515.9642560266</v>
      </c>
    </row>
    <row r="373" customFormat="false" ht="15" hidden="false" customHeight="false" outlineLevel="0" collapsed="false">
      <c r="A373" s="0" t="str">
        <f aca="false">Raw!A373</f>
        <v>SHP0372</v>
      </c>
      <c r="B373" s="0" t="str">
        <f aca="false">Raw!B373</f>
        <v>Inbound</v>
      </c>
      <c r="C373" s="0" t="str">
        <f aca="false">Raw!C373</f>
        <v>Punjab</v>
      </c>
      <c r="D373" s="0" t="str">
        <f aca="false">Raw!D373</f>
        <v>Surat</v>
      </c>
      <c r="E373" s="0" t="str">
        <f aca="false">IFERROR(INDEX(Location_Map!$B$2:$B$15,MATCH(C373,Location_Map!$A$2:$A$15,0)),"UNMAPPED")</f>
        <v>Punjab</v>
      </c>
      <c r="F373" s="0" t="str">
        <f aca="false">IFERROR(INDEX(Location_Map!$C$2:$C$15,MATCH(C373,Location_Map!$A$2:$A$15,0)),"UNMAPPED")</f>
        <v>North</v>
      </c>
      <c r="G373" s="0" t="str">
        <f aca="false">IFERROR(INDEX(Location_Map!$B$2:$B$15,MATCH(D373,Location_Map!$A$2:$A$15,0)),"UNMAPPED")</f>
        <v>Gujarat</v>
      </c>
      <c r="H373" s="0" t="str">
        <f aca="false">IFERROR(INDEX(Location_Map!$C$2:$C$15,MATCH(D373,Location_Map!$A$2:$A$15,0)),"UNMAPPED")</f>
        <v>West</v>
      </c>
      <c r="I373" s="0" t="str">
        <f aca="false">Raw!E373</f>
        <v>Raw Yarn</v>
      </c>
      <c r="J373" s="28" t="n">
        <f aca="false">Raw!F373</f>
        <v>9.71</v>
      </c>
      <c r="K373" s="30" t="n">
        <f aca="false">DATE(LEFT(Raw!G373,4),MID(Raw!G373,6,2),MID(Raw!G373,9,2))</f>
        <v>45875</v>
      </c>
      <c r="L373" s="30" t="n">
        <f aca="false">DATE(LEFT(Raw!H373,4),MID(Raw!H373,6,2),MID(Raw!H373,9,2))</f>
        <v>45878</v>
      </c>
      <c r="M373" s="30" t="n">
        <f aca="false">DATE(LEFT(Raw!I373,4),MID(Raw!I373,6,2),MID(Raw!I373,9,2))</f>
        <v>45882</v>
      </c>
      <c r="N373" s="31" t="n">
        <f aca="false">DATE(LEFT(Raw!J373,4),MID(Raw!J373,6,2),MID(Raw!J373,9,2))+TIME(MID(Raw!J373,12,2),MID(Raw!J373,15,2),MID(Raw!J373,18,2))</f>
        <v>45878.25</v>
      </c>
      <c r="O373" s="31" t="n">
        <f aca="false">DATE(LEFT(Raw!K373,4),MID(Raw!K373,6,2),MID(Raw!K373,9,2))+TIME(MID(Raw!K373,12,2),MID(Raw!K373,15,2),MID(Raw!K373,18,2))</f>
        <v>45887.1</v>
      </c>
      <c r="P373" s="32" t="n">
        <f aca="false">L373-K373</f>
        <v>3</v>
      </c>
      <c r="Q373" s="32" t="n">
        <f aca="false">M373-L373</f>
        <v>4</v>
      </c>
      <c r="R373" s="32" t="n">
        <f aca="false">O373-N373</f>
        <v>8.85</v>
      </c>
      <c r="S373" s="32" t="n">
        <f aca="false">Raw!L373</f>
        <v>5.1</v>
      </c>
      <c r="T373" s="32" t="n">
        <f aca="false">O373-M373</f>
        <v>5.1</v>
      </c>
      <c r="U373" s="0" t="str">
        <f aca="false">IF(ABS(T373-S373)&lt;0.01,"OK","MISMATCH")</f>
        <v>OK</v>
      </c>
      <c r="V373" s="33" t="n">
        <f aca="false">Raw!M373</f>
        <v>1</v>
      </c>
      <c r="W373" s="0" t="str">
        <f aca="false">IF((S373&gt;0)=(V373=1),"OK","MISMATCH")</f>
        <v>OK</v>
      </c>
      <c r="X373" s="0" t="str">
        <f aca="false">_xlfn.IFS(S373&lt;=0,"Early/On time",S373&lt;=2,"Minor (up to 2 days)",S373&lt;=5,"Moderate (2-5 days)",TRUE(),"Severe (over 5 days)")</f>
        <v>Severe (over 5 days)</v>
      </c>
      <c r="Y373" s="0" t="str">
        <f aca="false">YEAR(K373)&amp;"-"&amp;TEXT(MONTH(K373),"00")</f>
        <v>2025-08</v>
      </c>
      <c r="Z373" s="0" t="str">
        <f aca="false">C373&amp;" → "&amp;D373</f>
        <v>Punjab → Surat</v>
      </c>
      <c r="AA373" s="0" t="str">
        <f aca="false">Raw!Q373</f>
        <v>Delhivery</v>
      </c>
      <c r="AB373" s="0" t="str">
        <f aca="false">Raw!R373</f>
        <v>Yes</v>
      </c>
      <c r="AC373" s="0" t="str">
        <f aca="false">Raw!S373</f>
        <v>Normal</v>
      </c>
      <c r="AD373" s="29" t="n">
        <f aca="false">Raw!N373</f>
        <v>7306.2</v>
      </c>
      <c r="AE373" s="29" t="n">
        <f aca="false">Raw!O373</f>
        <v>2255.5</v>
      </c>
      <c r="AF373" s="29" t="n">
        <f aca="false">Raw!P373</f>
        <v>1038.02</v>
      </c>
      <c r="AG373" s="29" t="n">
        <f aca="false">AD373/J373</f>
        <v>752.440782698249</v>
      </c>
    </row>
    <row r="374" customFormat="false" ht="15" hidden="false" customHeight="false" outlineLevel="0" collapsed="false">
      <c r="A374" s="0" t="str">
        <f aca="false">Raw!A374</f>
        <v>SHP0373</v>
      </c>
      <c r="B374" s="0" t="str">
        <f aca="false">Raw!B374</f>
        <v>Outbound</v>
      </c>
      <c r="C374" s="0" t="str">
        <f aca="false">Raw!C374</f>
        <v>Surat</v>
      </c>
      <c r="D374" s="0" t="str">
        <f aca="false">Raw!D374</f>
        <v>Uttarakhand</v>
      </c>
      <c r="E374" s="0" t="str">
        <f aca="false">IFERROR(INDEX(Location_Map!$B$2:$B$15,MATCH(C374,Location_Map!$A$2:$A$15,0)),"UNMAPPED")</f>
        <v>Gujarat</v>
      </c>
      <c r="F374" s="0" t="str">
        <f aca="false">IFERROR(INDEX(Location_Map!$C$2:$C$15,MATCH(C374,Location_Map!$A$2:$A$15,0)),"UNMAPPED")</f>
        <v>West</v>
      </c>
      <c r="G374" s="0" t="str">
        <f aca="false">IFERROR(INDEX(Location_Map!$B$2:$B$15,MATCH(D374,Location_Map!$A$2:$A$15,0)),"UNMAPPED")</f>
        <v>Uttarakhand</v>
      </c>
      <c r="H374" s="0" t="str">
        <f aca="false">IFERROR(INDEX(Location_Map!$C$2:$C$15,MATCH(D374,Location_Map!$A$2:$A$15,0)),"UNMAPPED")</f>
        <v>North</v>
      </c>
      <c r="I374" s="0" t="str">
        <f aca="false">Raw!E374</f>
        <v>Raw Yarn</v>
      </c>
      <c r="J374" s="28" t="n">
        <f aca="false">Raw!F374</f>
        <v>16.96</v>
      </c>
      <c r="K374" s="30" t="n">
        <f aca="false">DATE(LEFT(Raw!G374,4),MID(Raw!G374,6,2),MID(Raw!G374,9,2))</f>
        <v>45954</v>
      </c>
      <c r="L374" s="30" t="n">
        <f aca="false">DATE(LEFT(Raw!H374,4),MID(Raw!H374,6,2),MID(Raw!H374,9,2))</f>
        <v>45958</v>
      </c>
      <c r="M374" s="30" t="n">
        <f aca="false">DATE(LEFT(Raw!I374,4),MID(Raw!I374,6,2),MID(Raw!I374,9,2))</f>
        <v>45963</v>
      </c>
      <c r="N374" s="31" t="n">
        <f aca="false">DATE(LEFT(Raw!J374,4),MID(Raw!J374,6,2),MID(Raw!J374,9,2))+TIME(MID(Raw!J374,12,2),MID(Raw!J374,15,2),MID(Raw!J374,18,2))</f>
        <v>45958.2916666667</v>
      </c>
      <c r="O374" s="31" t="n">
        <f aca="false">DATE(LEFT(Raw!K374,4),MID(Raw!K374,6,2),MID(Raw!K374,9,2))+TIME(MID(Raw!K374,12,2),MID(Raw!K374,15,2),MID(Raw!K374,18,2))</f>
        <v>45965</v>
      </c>
      <c r="P374" s="32" t="n">
        <f aca="false">L374-K374</f>
        <v>4</v>
      </c>
      <c r="Q374" s="32" t="n">
        <f aca="false">M374-L374</f>
        <v>5</v>
      </c>
      <c r="R374" s="32" t="n">
        <f aca="false">O374-N374</f>
        <v>6.70833333333333</v>
      </c>
      <c r="S374" s="32" t="n">
        <f aca="false">Raw!L374</f>
        <v>2</v>
      </c>
      <c r="T374" s="32" t="n">
        <f aca="false">O374-M374</f>
        <v>2</v>
      </c>
      <c r="U374" s="0" t="str">
        <f aca="false">IF(ABS(T374-S374)&lt;0.01,"OK","MISMATCH")</f>
        <v>OK</v>
      </c>
      <c r="V374" s="33" t="n">
        <f aca="false">Raw!M374</f>
        <v>1</v>
      </c>
      <c r="W374" s="0" t="str">
        <f aca="false">IF((S374&gt;0)=(V374=1),"OK","MISMATCH")</f>
        <v>OK</v>
      </c>
      <c r="X374" s="0" t="str">
        <f aca="false">_xlfn.IFS(S374&lt;=0,"Early/On time",S374&lt;=2,"Minor (up to 2 days)",S374&lt;=5,"Moderate (2-5 days)",TRUE(),"Severe (over 5 days)")</f>
        <v>Minor (up to 2 days)</v>
      </c>
      <c r="Y374" s="0" t="str">
        <f aca="false">YEAR(K374)&amp;"-"&amp;TEXT(MONTH(K374),"00")</f>
        <v>2025-10</v>
      </c>
      <c r="Z374" s="0" t="str">
        <f aca="false">C374&amp;" → "&amp;D374</f>
        <v>Surat → Uttarakhand</v>
      </c>
      <c r="AA374" s="0" t="str">
        <f aca="false">Raw!Q374</f>
        <v>Delhivery</v>
      </c>
      <c r="AB374" s="0" t="str">
        <f aca="false">Raw!R374</f>
        <v>Yes</v>
      </c>
      <c r="AC374" s="0" t="str">
        <f aca="false">Raw!S374</f>
        <v>Expedited</v>
      </c>
      <c r="AD374" s="29" t="n">
        <f aca="false">Raw!N374</f>
        <v>9347.82</v>
      </c>
      <c r="AE374" s="29" t="n">
        <f aca="false">Raw!O374</f>
        <v>2932.72</v>
      </c>
      <c r="AF374" s="29" t="n">
        <f aca="false">Raw!P374</f>
        <v>1338.23</v>
      </c>
      <c r="AG374" s="29" t="n">
        <f aca="false">AD374/J374</f>
        <v>551.168632075472</v>
      </c>
    </row>
    <row r="375" customFormat="false" ht="15" hidden="false" customHeight="false" outlineLevel="0" collapsed="false">
      <c r="A375" s="0" t="str">
        <f aca="false">Raw!A375</f>
        <v>SHP0374</v>
      </c>
      <c r="B375" s="0" t="str">
        <f aca="false">Raw!B375</f>
        <v>Inbound</v>
      </c>
      <c r="C375" s="0" t="str">
        <f aca="false">Raw!C375</f>
        <v>Uttar Pradesh</v>
      </c>
      <c r="D375" s="0" t="str">
        <f aca="false">Raw!D375</f>
        <v>Surat</v>
      </c>
      <c r="E375" s="0" t="str">
        <f aca="false">IFERROR(INDEX(Location_Map!$B$2:$B$15,MATCH(C375,Location_Map!$A$2:$A$15,0)),"UNMAPPED")</f>
        <v>Uttar Pradesh</v>
      </c>
      <c r="F375" s="0" t="str">
        <f aca="false">IFERROR(INDEX(Location_Map!$C$2:$C$15,MATCH(C375,Location_Map!$A$2:$A$15,0)),"UNMAPPED")</f>
        <v>North</v>
      </c>
      <c r="G375" s="0" t="str">
        <f aca="false">IFERROR(INDEX(Location_Map!$B$2:$B$15,MATCH(D375,Location_Map!$A$2:$A$15,0)),"UNMAPPED")</f>
        <v>Gujarat</v>
      </c>
      <c r="H375" s="0" t="str">
        <f aca="false">IFERROR(INDEX(Location_Map!$C$2:$C$15,MATCH(D375,Location_Map!$A$2:$A$15,0)),"UNMAPPED")</f>
        <v>West</v>
      </c>
      <c r="I375" s="0" t="str">
        <f aca="false">Raw!E375</f>
        <v>Semi-Processed Yarn</v>
      </c>
      <c r="J375" s="28" t="n">
        <f aca="false">Raw!F375</f>
        <v>7.87</v>
      </c>
      <c r="K375" s="30" t="n">
        <f aca="false">DATE(LEFT(Raw!G375,4),MID(Raw!G375,6,2),MID(Raw!G375,9,2))</f>
        <v>45915</v>
      </c>
      <c r="L375" s="30" t="n">
        <f aca="false">DATE(LEFT(Raw!H375,4),MID(Raw!H375,6,2),MID(Raw!H375,9,2))</f>
        <v>45917</v>
      </c>
      <c r="M375" s="30" t="n">
        <f aca="false">DATE(LEFT(Raw!I375,4),MID(Raw!I375,6,2),MID(Raw!I375,9,2))</f>
        <v>45922</v>
      </c>
      <c r="N375" s="31" t="n">
        <f aca="false">DATE(LEFT(Raw!J375,4),MID(Raw!J375,6,2),MID(Raw!J375,9,2))+TIME(MID(Raw!J375,12,2),MID(Raw!J375,15,2),MID(Raw!J375,18,2))</f>
        <v>45917.2083333333</v>
      </c>
      <c r="O375" s="31" t="n">
        <f aca="false">DATE(LEFT(Raw!K375,4),MID(Raw!K375,6,2),MID(Raw!K375,9,2))+TIME(MID(Raw!K375,12,2),MID(Raw!K375,15,2),MID(Raw!K375,18,2))</f>
        <v>45922.9</v>
      </c>
      <c r="P375" s="32" t="n">
        <f aca="false">L375-K375</f>
        <v>2</v>
      </c>
      <c r="Q375" s="32" t="n">
        <f aca="false">M375-L375</f>
        <v>5</v>
      </c>
      <c r="R375" s="32" t="n">
        <f aca="false">O375-N375</f>
        <v>5.69166666666667</v>
      </c>
      <c r="S375" s="32" t="n">
        <f aca="false">Raw!L375</f>
        <v>0.9</v>
      </c>
      <c r="T375" s="32" t="n">
        <f aca="false">O375-M375</f>
        <v>0.9</v>
      </c>
      <c r="U375" s="0" t="str">
        <f aca="false">IF(ABS(T375-S375)&lt;0.01,"OK","MISMATCH")</f>
        <v>OK</v>
      </c>
      <c r="V375" s="33" t="n">
        <f aca="false">Raw!M375</f>
        <v>1</v>
      </c>
      <c r="W375" s="0" t="str">
        <f aca="false">IF((S375&gt;0)=(V375=1),"OK","MISMATCH")</f>
        <v>OK</v>
      </c>
      <c r="X375" s="0" t="str">
        <f aca="false">_xlfn.IFS(S375&lt;=0,"Early/On time",S375&lt;=2,"Minor (up to 2 days)",S375&lt;=5,"Moderate (2-5 days)",TRUE(),"Severe (over 5 days)")</f>
        <v>Minor (up to 2 days)</v>
      </c>
      <c r="Y375" s="0" t="str">
        <f aca="false">YEAR(K375)&amp;"-"&amp;TEXT(MONTH(K375),"00")</f>
        <v>2025-09</v>
      </c>
      <c r="Z375" s="0" t="str">
        <f aca="false">C375&amp;" → "&amp;D375</f>
        <v>Uttar Pradesh → Surat</v>
      </c>
      <c r="AA375" s="0" t="str">
        <f aca="false">Raw!Q375</f>
        <v>GATI Logistics</v>
      </c>
      <c r="AB375" s="0" t="str">
        <f aca="false">Raw!R375</f>
        <v>Yes</v>
      </c>
      <c r="AC375" s="0" t="str">
        <f aca="false">Raw!S375</f>
        <v>Returned</v>
      </c>
      <c r="AD375" s="29" t="n">
        <f aca="false">Raw!N375</f>
        <v>3885.11</v>
      </c>
      <c r="AE375" s="29" t="n">
        <f aca="false">Raw!O375</f>
        <v>1785.68</v>
      </c>
      <c r="AF375" s="29" t="n">
        <f aca="false">Raw!P375</f>
        <v>1451.44</v>
      </c>
      <c r="AG375" s="29" t="n">
        <f aca="false">AD375/J375</f>
        <v>493.660736975858</v>
      </c>
    </row>
    <row r="376" customFormat="false" ht="15" hidden="false" customHeight="false" outlineLevel="0" collapsed="false">
      <c r="A376" s="0" t="str">
        <f aca="false">Raw!A376</f>
        <v>SHP0375</v>
      </c>
      <c r="B376" s="0" t="str">
        <f aca="false">Raw!B376</f>
        <v>Inbound</v>
      </c>
      <c r="C376" s="0" t="str">
        <f aca="false">Raw!C376</f>
        <v>Uttar Pradesh</v>
      </c>
      <c r="D376" s="0" t="str">
        <f aca="false">Raw!D376</f>
        <v>Surat</v>
      </c>
      <c r="E376" s="0" t="str">
        <f aca="false">IFERROR(INDEX(Location_Map!$B$2:$B$15,MATCH(C376,Location_Map!$A$2:$A$15,0)),"UNMAPPED")</f>
        <v>Uttar Pradesh</v>
      </c>
      <c r="F376" s="0" t="str">
        <f aca="false">IFERROR(INDEX(Location_Map!$C$2:$C$15,MATCH(C376,Location_Map!$A$2:$A$15,0)),"UNMAPPED")</f>
        <v>North</v>
      </c>
      <c r="G376" s="0" t="str">
        <f aca="false">IFERROR(INDEX(Location_Map!$B$2:$B$15,MATCH(D376,Location_Map!$A$2:$A$15,0)),"UNMAPPED")</f>
        <v>Gujarat</v>
      </c>
      <c r="H376" s="0" t="str">
        <f aca="false">IFERROR(INDEX(Location_Map!$C$2:$C$15,MATCH(D376,Location_Map!$A$2:$A$15,0)),"UNMAPPED")</f>
        <v>West</v>
      </c>
      <c r="I376" s="0" t="str">
        <f aca="false">Raw!E376</f>
        <v>Semi-Processed Yarn</v>
      </c>
      <c r="J376" s="28" t="n">
        <f aca="false">Raw!F376</f>
        <v>4.33</v>
      </c>
      <c r="K376" s="30" t="n">
        <f aca="false">DATE(LEFT(Raw!G376,4),MID(Raw!G376,6,2),MID(Raw!G376,9,2))</f>
        <v>45828</v>
      </c>
      <c r="L376" s="30" t="n">
        <f aca="false">DATE(LEFT(Raw!H376,4),MID(Raw!H376,6,2),MID(Raw!H376,9,2))</f>
        <v>45831</v>
      </c>
      <c r="M376" s="30" t="n">
        <f aca="false">DATE(LEFT(Raw!I376,4),MID(Raw!I376,6,2),MID(Raw!I376,9,2))</f>
        <v>45834</v>
      </c>
      <c r="N376" s="31" t="n">
        <f aca="false">DATE(LEFT(Raw!J376,4),MID(Raw!J376,6,2),MID(Raw!J376,9,2))+TIME(MID(Raw!J376,12,2),MID(Raw!J376,15,2),MID(Raw!J376,18,2))</f>
        <v>45831.25</v>
      </c>
      <c r="O376" s="31" t="n">
        <f aca="false">DATE(LEFT(Raw!K376,4),MID(Raw!K376,6,2),MID(Raw!K376,9,2))+TIME(MID(Raw!K376,12,2),MID(Raw!K376,15,2),MID(Raw!K376,18,2))</f>
        <v>45835.2</v>
      </c>
      <c r="P376" s="32" t="n">
        <f aca="false">L376-K376</f>
        <v>3</v>
      </c>
      <c r="Q376" s="32" t="n">
        <f aca="false">M376-L376</f>
        <v>3</v>
      </c>
      <c r="R376" s="32" t="n">
        <f aca="false">O376-N376</f>
        <v>3.95</v>
      </c>
      <c r="S376" s="32" t="n">
        <f aca="false">Raw!L376</f>
        <v>1.2</v>
      </c>
      <c r="T376" s="32" t="n">
        <f aca="false">O376-M376</f>
        <v>1.2</v>
      </c>
      <c r="U376" s="0" t="str">
        <f aca="false">IF(ABS(T376-S376)&lt;0.01,"OK","MISMATCH")</f>
        <v>OK</v>
      </c>
      <c r="V376" s="33" t="n">
        <f aca="false">Raw!M376</f>
        <v>1</v>
      </c>
      <c r="W376" s="0" t="str">
        <f aca="false">IF((S376&gt;0)=(V376=1),"OK","MISMATCH")</f>
        <v>OK</v>
      </c>
      <c r="X376" s="0" t="str">
        <f aca="false">_xlfn.IFS(S376&lt;=0,"Early/On time",S376&lt;=2,"Minor (up to 2 days)",S376&lt;=5,"Moderate (2-5 days)",TRUE(),"Severe (over 5 days)")</f>
        <v>Minor (up to 2 days)</v>
      </c>
      <c r="Y376" s="0" t="str">
        <f aca="false">YEAR(K376)&amp;"-"&amp;TEXT(MONTH(K376),"00")</f>
        <v>2025-06</v>
      </c>
      <c r="Z376" s="0" t="str">
        <f aca="false">C376&amp;" → "&amp;D376</f>
        <v>Uttar Pradesh → Surat</v>
      </c>
      <c r="AA376" s="0" t="str">
        <f aca="false">Raw!Q376</f>
        <v>GATI Logistics</v>
      </c>
      <c r="AB376" s="0" t="str">
        <f aca="false">Raw!R376</f>
        <v>No</v>
      </c>
      <c r="AC376" s="0" t="str">
        <f aca="false">Raw!S376</f>
        <v>Expedited</v>
      </c>
      <c r="AD376" s="29" t="n">
        <f aca="false">Raw!N376</f>
        <v>2740.29</v>
      </c>
      <c r="AE376" s="29" t="n">
        <f aca="false">Raw!O376</f>
        <v>3646.67</v>
      </c>
      <c r="AF376" s="29" t="n">
        <f aca="false">Raw!P376</f>
        <v>641.22</v>
      </c>
      <c r="AG376" s="29" t="n">
        <f aca="false">AD376/J376</f>
        <v>632.86143187067</v>
      </c>
    </row>
    <row r="377" customFormat="false" ht="15" hidden="false" customHeight="false" outlineLevel="0" collapsed="false">
      <c r="A377" s="0" t="str">
        <f aca="false">Raw!A377</f>
        <v>SHP0376</v>
      </c>
      <c r="B377" s="0" t="str">
        <f aca="false">Raw!B377</f>
        <v>Inbound</v>
      </c>
      <c r="C377" s="0" t="str">
        <f aca="false">Raw!C377</f>
        <v>Rajasthan</v>
      </c>
      <c r="D377" s="0" t="str">
        <f aca="false">Raw!D377</f>
        <v>Surat</v>
      </c>
      <c r="E377" s="0" t="str">
        <f aca="false">IFERROR(INDEX(Location_Map!$B$2:$B$15,MATCH(C377,Location_Map!$A$2:$A$15,0)),"UNMAPPED")</f>
        <v>Rajasthan</v>
      </c>
      <c r="F377" s="0" t="str">
        <f aca="false">IFERROR(INDEX(Location_Map!$C$2:$C$15,MATCH(C377,Location_Map!$A$2:$A$15,0)),"UNMAPPED")</f>
        <v>North</v>
      </c>
      <c r="G377" s="0" t="str">
        <f aca="false">IFERROR(INDEX(Location_Map!$B$2:$B$15,MATCH(D377,Location_Map!$A$2:$A$15,0)),"UNMAPPED")</f>
        <v>Gujarat</v>
      </c>
      <c r="H377" s="0" t="str">
        <f aca="false">IFERROR(INDEX(Location_Map!$C$2:$C$15,MATCH(D377,Location_Map!$A$2:$A$15,0)),"UNMAPPED")</f>
        <v>West</v>
      </c>
      <c r="I377" s="0" t="str">
        <f aca="false">Raw!E377</f>
        <v>Finished Yarn</v>
      </c>
      <c r="J377" s="28" t="n">
        <f aca="false">Raw!F377</f>
        <v>11.85</v>
      </c>
      <c r="K377" s="30" t="n">
        <f aca="false">DATE(LEFT(Raw!G377,4),MID(Raw!G377,6,2),MID(Raw!G377,9,2))</f>
        <v>45713</v>
      </c>
      <c r="L377" s="30" t="n">
        <f aca="false">DATE(LEFT(Raw!H377,4),MID(Raw!H377,6,2),MID(Raw!H377,9,2))</f>
        <v>45715</v>
      </c>
      <c r="M377" s="30" t="n">
        <f aca="false">DATE(LEFT(Raw!I377,4),MID(Raw!I377,6,2),MID(Raw!I377,9,2))</f>
        <v>45720</v>
      </c>
      <c r="N377" s="31" t="n">
        <f aca="false">DATE(LEFT(Raw!J377,4),MID(Raw!J377,6,2),MID(Raw!J377,9,2))+TIME(MID(Raw!J377,12,2),MID(Raw!J377,15,2),MID(Raw!J377,18,2))</f>
        <v>45714.875</v>
      </c>
      <c r="O377" s="31" t="n">
        <f aca="false">DATE(LEFT(Raw!K377,4),MID(Raw!K377,6,2),MID(Raw!K377,9,2))+TIME(MID(Raw!K377,12,2),MID(Raw!K377,15,2),MID(Raw!K377,18,2))</f>
        <v>45725</v>
      </c>
      <c r="P377" s="32" t="n">
        <f aca="false">L377-K377</f>
        <v>2</v>
      </c>
      <c r="Q377" s="32" t="n">
        <f aca="false">M377-L377</f>
        <v>5</v>
      </c>
      <c r="R377" s="32" t="n">
        <f aca="false">O377-N377</f>
        <v>10.125</v>
      </c>
      <c r="S377" s="32" t="n">
        <f aca="false">Raw!L377</f>
        <v>5</v>
      </c>
      <c r="T377" s="32" t="n">
        <f aca="false">O377-M377</f>
        <v>5</v>
      </c>
      <c r="U377" s="0" t="str">
        <f aca="false">IF(ABS(T377-S377)&lt;0.01,"OK","MISMATCH")</f>
        <v>OK</v>
      </c>
      <c r="V377" s="33" t="n">
        <f aca="false">Raw!M377</f>
        <v>1</v>
      </c>
      <c r="W377" s="0" t="str">
        <f aca="false">IF((S377&gt;0)=(V377=1),"OK","MISMATCH")</f>
        <v>OK</v>
      </c>
      <c r="X377" s="0" t="str">
        <f aca="false">_xlfn.IFS(S377&lt;=0,"Early/On time",S377&lt;=2,"Minor (up to 2 days)",S377&lt;=5,"Moderate (2-5 days)",TRUE(),"Severe (over 5 days)")</f>
        <v>Moderate (2-5 days)</v>
      </c>
      <c r="Y377" s="0" t="str">
        <f aca="false">YEAR(K377)&amp;"-"&amp;TEXT(MONTH(K377),"00")</f>
        <v>2025-02</v>
      </c>
      <c r="Z377" s="0" t="str">
        <f aca="false">C377&amp;" → "&amp;D377</f>
        <v>Rajasthan → Surat</v>
      </c>
      <c r="AA377" s="0" t="str">
        <f aca="false">Raw!Q377</f>
        <v>GATI Logistics</v>
      </c>
      <c r="AB377" s="0" t="str">
        <f aca="false">Raw!R377</f>
        <v>No</v>
      </c>
      <c r="AC377" s="0" t="str">
        <f aca="false">Raw!S377</f>
        <v>Held at warehouse</v>
      </c>
      <c r="AD377" s="29" t="n">
        <f aca="false">Raw!N377</f>
        <v>5539.53</v>
      </c>
      <c r="AE377" s="29" t="n">
        <f aca="false">Raw!O377</f>
        <v>2142.83</v>
      </c>
      <c r="AF377" s="29" t="n">
        <f aca="false">Raw!P377</f>
        <v>1427.12</v>
      </c>
      <c r="AG377" s="29" t="n">
        <f aca="false">AD377/J377</f>
        <v>467.470886075949</v>
      </c>
    </row>
    <row r="378" customFormat="false" ht="15" hidden="false" customHeight="false" outlineLevel="0" collapsed="false">
      <c r="A378" s="0" t="str">
        <f aca="false">Raw!A378</f>
        <v>SHP0377</v>
      </c>
      <c r="B378" s="0" t="str">
        <f aca="false">Raw!B378</f>
        <v>Outbound</v>
      </c>
      <c r="C378" s="0" t="str">
        <f aca="false">Raw!C378</f>
        <v>Surat</v>
      </c>
      <c r="D378" s="0" t="str">
        <f aca="false">Raw!D378</f>
        <v>Karnataka</v>
      </c>
      <c r="E378" s="0" t="str">
        <f aca="false">IFERROR(INDEX(Location_Map!$B$2:$B$15,MATCH(C378,Location_Map!$A$2:$A$15,0)),"UNMAPPED")</f>
        <v>Gujarat</v>
      </c>
      <c r="F378" s="0" t="str">
        <f aca="false">IFERROR(INDEX(Location_Map!$C$2:$C$15,MATCH(C378,Location_Map!$A$2:$A$15,0)),"UNMAPPED")</f>
        <v>West</v>
      </c>
      <c r="G378" s="0" t="str">
        <f aca="false">IFERROR(INDEX(Location_Map!$B$2:$B$15,MATCH(D378,Location_Map!$A$2:$A$15,0)),"UNMAPPED")</f>
        <v>Karnataka</v>
      </c>
      <c r="H378" s="0" t="str">
        <f aca="false">IFERROR(INDEX(Location_Map!$C$2:$C$15,MATCH(D378,Location_Map!$A$2:$A$15,0)),"UNMAPPED")</f>
        <v>South</v>
      </c>
      <c r="I378" s="0" t="str">
        <f aca="false">Raw!E378</f>
        <v>Semi-Processed Yarn</v>
      </c>
      <c r="J378" s="28" t="n">
        <f aca="false">Raw!F378</f>
        <v>19.43</v>
      </c>
      <c r="K378" s="30" t="n">
        <f aca="false">DATE(LEFT(Raw!G378,4),MID(Raw!G378,6,2),MID(Raw!G378,9,2))</f>
        <v>45829</v>
      </c>
      <c r="L378" s="30" t="n">
        <f aca="false">DATE(LEFT(Raw!H378,4),MID(Raw!H378,6,2),MID(Raw!H378,9,2))</f>
        <v>45830</v>
      </c>
      <c r="M378" s="30" t="n">
        <f aca="false">DATE(LEFT(Raw!I378,4),MID(Raw!I378,6,2),MID(Raw!I378,9,2))</f>
        <v>45834</v>
      </c>
      <c r="N378" s="31" t="n">
        <f aca="false">DATE(LEFT(Raw!J378,4),MID(Raw!J378,6,2),MID(Raw!J378,9,2))+TIME(MID(Raw!J378,12,2),MID(Raw!J378,15,2),MID(Raw!J378,18,2))</f>
        <v>45830.2916666667</v>
      </c>
      <c r="O378" s="31" t="n">
        <f aca="false">DATE(LEFT(Raw!K378,4),MID(Raw!K378,6,2),MID(Raw!K378,9,2))+TIME(MID(Raw!K378,12,2),MID(Raw!K378,15,2),MID(Raw!K378,18,2))</f>
        <v>45839.7</v>
      </c>
      <c r="P378" s="32" t="n">
        <f aca="false">L378-K378</f>
        <v>1</v>
      </c>
      <c r="Q378" s="32" t="n">
        <f aca="false">M378-L378</f>
        <v>4</v>
      </c>
      <c r="R378" s="32" t="n">
        <f aca="false">O378-N378</f>
        <v>9.40833333333333</v>
      </c>
      <c r="S378" s="32" t="n">
        <f aca="false">Raw!L378</f>
        <v>5.7</v>
      </c>
      <c r="T378" s="32" t="n">
        <f aca="false">O378-M378</f>
        <v>5.7</v>
      </c>
      <c r="U378" s="0" t="str">
        <f aca="false">IF(ABS(T378-S378)&lt;0.01,"OK","MISMATCH")</f>
        <v>OK</v>
      </c>
      <c r="V378" s="33" t="n">
        <f aca="false">Raw!M378</f>
        <v>1</v>
      </c>
      <c r="W378" s="0" t="str">
        <f aca="false">IF((S378&gt;0)=(V378=1),"OK","MISMATCH")</f>
        <v>OK</v>
      </c>
      <c r="X378" s="0" t="str">
        <f aca="false">_xlfn.IFS(S378&lt;=0,"Early/On time",S378&lt;=2,"Minor (up to 2 days)",S378&lt;=5,"Moderate (2-5 days)",TRUE(),"Severe (over 5 days)")</f>
        <v>Severe (over 5 days)</v>
      </c>
      <c r="Y378" s="0" t="str">
        <f aca="false">YEAR(K378)&amp;"-"&amp;TEXT(MONTH(K378),"00")</f>
        <v>2025-06</v>
      </c>
      <c r="Z378" s="0" t="str">
        <f aca="false">C378&amp;" → "&amp;D378</f>
        <v>Surat → Karnataka</v>
      </c>
      <c r="AA378" s="0" t="str">
        <f aca="false">Raw!Q378</f>
        <v>GATI Logistics</v>
      </c>
      <c r="AB378" s="0" t="str">
        <f aca="false">Raw!R378</f>
        <v>Yes</v>
      </c>
      <c r="AC378" s="0" t="str">
        <f aca="false">Raw!S378</f>
        <v>Returned</v>
      </c>
      <c r="AD378" s="29" t="n">
        <f aca="false">Raw!N378</f>
        <v>8788.05</v>
      </c>
      <c r="AE378" s="29" t="n">
        <f aca="false">Raw!O378</f>
        <v>3691.06</v>
      </c>
      <c r="AF378" s="29" t="n">
        <f aca="false">Raw!P378</f>
        <v>720.5</v>
      </c>
      <c r="AG378" s="29" t="n">
        <f aca="false">AD378/J378</f>
        <v>452.292846114256</v>
      </c>
    </row>
    <row r="379" customFormat="false" ht="15" hidden="false" customHeight="false" outlineLevel="0" collapsed="false">
      <c r="A379" s="0" t="str">
        <f aca="false">Raw!A379</f>
        <v>SHP0378</v>
      </c>
      <c r="B379" s="0" t="str">
        <f aca="false">Raw!B379</f>
        <v>Inbound</v>
      </c>
      <c r="C379" s="0" t="str">
        <f aca="false">Raw!C379</f>
        <v>Rajasthan</v>
      </c>
      <c r="D379" s="0" t="str">
        <f aca="false">Raw!D379</f>
        <v>Surat</v>
      </c>
      <c r="E379" s="0" t="str">
        <f aca="false">IFERROR(INDEX(Location_Map!$B$2:$B$15,MATCH(C379,Location_Map!$A$2:$A$15,0)),"UNMAPPED")</f>
        <v>Rajasthan</v>
      </c>
      <c r="F379" s="0" t="str">
        <f aca="false">IFERROR(INDEX(Location_Map!$C$2:$C$15,MATCH(C379,Location_Map!$A$2:$A$15,0)),"UNMAPPED")</f>
        <v>North</v>
      </c>
      <c r="G379" s="0" t="str">
        <f aca="false">IFERROR(INDEX(Location_Map!$B$2:$B$15,MATCH(D379,Location_Map!$A$2:$A$15,0)),"UNMAPPED")</f>
        <v>Gujarat</v>
      </c>
      <c r="H379" s="0" t="str">
        <f aca="false">IFERROR(INDEX(Location_Map!$C$2:$C$15,MATCH(D379,Location_Map!$A$2:$A$15,0)),"UNMAPPED")</f>
        <v>West</v>
      </c>
      <c r="I379" s="0" t="str">
        <f aca="false">Raw!E379</f>
        <v>Semi-Processed Yarn</v>
      </c>
      <c r="J379" s="28" t="n">
        <f aca="false">Raw!F379</f>
        <v>5.15</v>
      </c>
      <c r="K379" s="30" t="n">
        <f aca="false">DATE(LEFT(Raw!G379,4),MID(Raw!G379,6,2),MID(Raw!G379,9,2))</f>
        <v>45920</v>
      </c>
      <c r="L379" s="30" t="n">
        <f aca="false">DATE(LEFT(Raw!H379,4),MID(Raw!H379,6,2),MID(Raw!H379,9,2))</f>
        <v>45921</v>
      </c>
      <c r="M379" s="30" t="n">
        <f aca="false">DATE(LEFT(Raw!I379,4),MID(Raw!I379,6,2),MID(Raw!I379,9,2))</f>
        <v>45926</v>
      </c>
      <c r="N379" s="31" t="n">
        <f aca="false">DATE(LEFT(Raw!J379,4),MID(Raw!J379,6,2),MID(Raw!J379,9,2))+TIME(MID(Raw!J379,12,2),MID(Raw!J379,15,2),MID(Raw!J379,18,2))</f>
        <v>45921.2916666667</v>
      </c>
      <c r="O379" s="31" t="n">
        <f aca="false">DATE(LEFT(Raw!K379,4),MID(Raw!K379,6,2),MID(Raw!K379,9,2))+TIME(MID(Raw!K379,12,2),MID(Raw!K379,15,2),MID(Raw!K379,18,2))</f>
        <v>45925.4</v>
      </c>
      <c r="P379" s="32" t="n">
        <f aca="false">L379-K379</f>
        <v>1</v>
      </c>
      <c r="Q379" s="32" t="n">
        <f aca="false">M379-L379</f>
        <v>5</v>
      </c>
      <c r="R379" s="32" t="n">
        <f aca="false">O379-N379</f>
        <v>4.10833333333333</v>
      </c>
      <c r="S379" s="32" t="n">
        <f aca="false">Raw!L379</f>
        <v>-0.6</v>
      </c>
      <c r="T379" s="32" t="n">
        <f aca="false">O379-M379</f>
        <v>-0.6</v>
      </c>
      <c r="U379" s="0" t="str">
        <f aca="false">IF(ABS(T379-S379)&lt;0.01,"OK","MISMATCH")</f>
        <v>OK</v>
      </c>
      <c r="V379" s="33" t="n">
        <f aca="false">Raw!M379</f>
        <v>0</v>
      </c>
      <c r="W379" s="0" t="str">
        <f aca="false">IF((S379&gt;0)=(V379=1),"OK","MISMATCH")</f>
        <v>OK</v>
      </c>
      <c r="X379" s="0" t="str">
        <f aca="false">_xlfn.IFS(S379&lt;=0,"Early/On time",S379&lt;=2,"Minor (up to 2 days)",S379&lt;=5,"Moderate (2-5 days)",TRUE(),"Severe (over 5 days)")</f>
        <v>Early/On time</v>
      </c>
      <c r="Y379" s="0" t="str">
        <f aca="false">YEAR(K379)&amp;"-"&amp;TEXT(MONTH(K379),"00")</f>
        <v>2025-09</v>
      </c>
      <c r="Z379" s="0" t="str">
        <f aca="false">C379&amp;" → "&amp;D379</f>
        <v>Rajasthan → Surat</v>
      </c>
      <c r="AA379" s="0" t="str">
        <f aca="false">Raw!Q379</f>
        <v>GATI Logistics</v>
      </c>
      <c r="AB379" s="0" t="str">
        <f aca="false">Raw!R379</f>
        <v>Yes</v>
      </c>
      <c r="AC379" s="0" t="str">
        <f aca="false">Raw!S379</f>
        <v>Normal</v>
      </c>
      <c r="AD379" s="29" t="n">
        <f aca="false">Raw!N379</f>
        <v>3652.38</v>
      </c>
      <c r="AE379" s="29" t="n">
        <f aca="false">Raw!O379</f>
        <v>1214.06</v>
      </c>
      <c r="AF379" s="29" t="n">
        <f aca="false">Raw!P379</f>
        <v>876.53</v>
      </c>
      <c r="AG379" s="29" t="n">
        <f aca="false">AD379/J379</f>
        <v>709.2</v>
      </c>
    </row>
    <row r="380" customFormat="false" ht="15" hidden="false" customHeight="false" outlineLevel="0" collapsed="false">
      <c r="A380" s="0" t="str">
        <f aca="false">Raw!A380</f>
        <v>SHP0379</v>
      </c>
      <c r="B380" s="0" t="str">
        <f aca="false">Raw!B380</f>
        <v>Outbound</v>
      </c>
      <c r="C380" s="0" t="str">
        <f aca="false">Raw!C380</f>
        <v>Surat</v>
      </c>
      <c r="D380" s="0" t="str">
        <f aca="false">Raw!D380</f>
        <v>Jaipur</v>
      </c>
      <c r="E380" s="0" t="str">
        <f aca="false">IFERROR(INDEX(Location_Map!$B$2:$B$15,MATCH(C380,Location_Map!$A$2:$A$15,0)),"UNMAPPED")</f>
        <v>Gujarat</v>
      </c>
      <c r="F380" s="0" t="str">
        <f aca="false">IFERROR(INDEX(Location_Map!$C$2:$C$15,MATCH(C380,Location_Map!$A$2:$A$15,0)),"UNMAPPED")</f>
        <v>West</v>
      </c>
      <c r="G380" s="0" t="str">
        <f aca="false">IFERROR(INDEX(Location_Map!$B$2:$B$15,MATCH(D380,Location_Map!$A$2:$A$15,0)),"UNMAPPED")</f>
        <v>Rajasthan</v>
      </c>
      <c r="H380" s="0" t="str">
        <f aca="false">IFERROR(INDEX(Location_Map!$C$2:$C$15,MATCH(D380,Location_Map!$A$2:$A$15,0)),"UNMAPPED")</f>
        <v>North</v>
      </c>
      <c r="I380" s="0" t="str">
        <f aca="false">Raw!E380</f>
        <v>Raw Yarn</v>
      </c>
      <c r="J380" s="28" t="n">
        <f aca="false">Raw!F380</f>
        <v>5.41</v>
      </c>
      <c r="K380" s="30" t="n">
        <f aca="false">DATE(LEFT(Raw!G380,4),MID(Raw!G380,6,2),MID(Raw!G380,9,2))</f>
        <v>45737</v>
      </c>
      <c r="L380" s="30" t="n">
        <f aca="false">DATE(LEFT(Raw!H380,4),MID(Raw!H380,6,2),MID(Raw!H380,9,2))</f>
        <v>45740</v>
      </c>
      <c r="M380" s="30" t="n">
        <f aca="false">DATE(LEFT(Raw!I380,4),MID(Raw!I380,6,2),MID(Raw!I380,9,2))</f>
        <v>45746</v>
      </c>
      <c r="N380" s="31" t="n">
        <f aca="false">DATE(LEFT(Raw!J380,4),MID(Raw!J380,6,2),MID(Raw!J380,9,2))+TIME(MID(Raw!J380,12,2),MID(Raw!J380,15,2),MID(Raw!J380,18,2))</f>
        <v>45739.8333333333</v>
      </c>
      <c r="O380" s="31" t="n">
        <f aca="false">DATE(LEFT(Raw!K380,4),MID(Raw!K380,6,2),MID(Raw!K380,9,2))+TIME(MID(Raw!K380,12,2),MID(Raw!K380,15,2),MID(Raw!K380,18,2))</f>
        <v>45747.9</v>
      </c>
      <c r="P380" s="32" t="n">
        <f aca="false">L380-K380</f>
        <v>3</v>
      </c>
      <c r="Q380" s="32" t="n">
        <f aca="false">M380-L380</f>
        <v>6</v>
      </c>
      <c r="R380" s="32" t="n">
        <f aca="false">O380-N380</f>
        <v>8.06666666666667</v>
      </c>
      <c r="S380" s="32" t="n">
        <f aca="false">Raw!L380</f>
        <v>1.9</v>
      </c>
      <c r="T380" s="32" t="n">
        <f aca="false">O380-M380</f>
        <v>1.9</v>
      </c>
      <c r="U380" s="0" t="str">
        <f aca="false">IF(ABS(T380-S380)&lt;0.01,"OK","MISMATCH")</f>
        <v>OK</v>
      </c>
      <c r="V380" s="33" t="n">
        <f aca="false">Raw!M380</f>
        <v>1</v>
      </c>
      <c r="W380" s="0" t="str">
        <f aca="false">IF((S380&gt;0)=(V380=1),"OK","MISMATCH")</f>
        <v>OK</v>
      </c>
      <c r="X380" s="0" t="str">
        <f aca="false">_xlfn.IFS(S380&lt;=0,"Early/On time",S380&lt;=2,"Minor (up to 2 days)",S380&lt;=5,"Moderate (2-5 days)",TRUE(),"Severe (over 5 days)")</f>
        <v>Minor (up to 2 days)</v>
      </c>
      <c r="Y380" s="0" t="str">
        <f aca="false">YEAR(K380)&amp;"-"&amp;TEXT(MONTH(K380),"00")</f>
        <v>2025-03</v>
      </c>
      <c r="Z380" s="0" t="str">
        <f aca="false">C380&amp;" → "&amp;D380</f>
        <v>Surat → Jaipur</v>
      </c>
      <c r="AA380" s="0" t="str">
        <f aca="false">Raw!Q380</f>
        <v>BlueDart</v>
      </c>
      <c r="AB380" s="0" t="str">
        <f aca="false">Raw!R380</f>
        <v>No</v>
      </c>
      <c r="AC380" s="0" t="str">
        <f aca="false">Raw!S380</f>
        <v>Expedited</v>
      </c>
      <c r="AD380" s="29" t="n">
        <f aca="false">Raw!N380</f>
        <v>5291.86</v>
      </c>
      <c r="AE380" s="29" t="n">
        <f aca="false">Raw!O380</f>
        <v>3439.77</v>
      </c>
      <c r="AF380" s="29" t="n">
        <f aca="false">Raw!P380</f>
        <v>1424.52</v>
      </c>
      <c r="AG380" s="29" t="n">
        <f aca="false">AD380/J380</f>
        <v>978.162661737523</v>
      </c>
    </row>
    <row r="381" customFormat="false" ht="15" hidden="false" customHeight="false" outlineLevel="0" collapsed="false">
      <c r="A381" s="0" t="str">
        <f aca="false">Raw!A381</f>
        <v>SHP0380</v>
      </c>
      <c r="B381" s="0" t="str">
        <f aca="false">Raw!B381</f>
        <v>Outbound</v>
      </c>
      <c r="C381" s="0" t="str">
        <f aca="false">Raw!C381</f>
        <v>Surat</v>
      </c>
      <c r="D381" s="0" t="str">
        <f aca="false">Raw!D381</f>
        <v>Karnataka</v>
      </c>
      <c r="E381" s="0" t="str">
        <f aca="false">IFERROR(INDEX(Location_Map!$B$2:$B$15,MATCH(C381,Location_Map!$A$2:$A$15,0)),"UNMAPPED")</f>
        <v>Gujarat</v>
      </c>
      <c r="F381" s="0" t="str">
        <f aca="false">IFERROR(INDEX(Location_Map!$C$2:$C$15,MATCH(C381,Location_Map!$A$2:$A$15,0)),"UNMAPPED")</f>
        <v>West</v>
      </c>
      <c r="G381" s="0" t="str">
        <f aca="false">IFERROR(INDEX(Location_Map!$B$2:$B$15,MATCH(D381,Location_Map!$A$2:$A$15,0)),"UNMAPPED")</f>
        <v>Karnataka</v>
      </c>
      <c r="H381" s="0" t="str">
        <f aca="false">IFERROR(INDEX(Location_Map!$C$2:$C$15,MATCH(D381,Location_Map!$A$2:$A$15,0)),"UNMAPPED")</f>
        <v>South</v>
      </c>
      <c r="I381" s="0" t="str">
        <f aca="false">Raw!E381</f>
        <v>Semi-Processed Yarn</v>
      </c>
      <c r="J381" s="28" t="n">
        <f aca="false">Raw!F381</f>
        <v>15.93</v>
      </c>
      <c r="K381" s="30" t="n">
        <f aca="false">DATE(LEFT(Raw!G381,4),MID(Raw!G381,6,2),MID(Raw!G381,9,2))</f>
        <v>45834</v>
      </c>
      <c r="L381" s="30" t="n">
        <f aca="false">DATE(LEFT(Raw!H381,4),MID(Raw!H381,6,2),MID(Raw!H381,9,2))</f>
        <v>45835</v>
      </c>
      <c r="M381" s="30" t="n">
        <f aca="false">DATE(LEFT(Raw!I381,4),MID(Raw!I381,6,2),MID(Raw!I381,9,2))</f>
        <v>45840</v>
      </c>
      <c r="N381" s="31" t="n">
        <f aca="false">DATE(LEFT(Raw!J381,4),MID(Raw!J381,6,2),MID(Raw!J381,9,2))+TIME(MID(Raw!J381,12,2),MID(Raw!J381,15,2),MID(Raw!J381,18,2))</f>
        <v>45835.125</v>
      </c>
      <c r="O381" s="31" t="n">
        <f aca="false">DATE(LEFT(Raw!K381,4),MID(Raw!K381,6,2),MID(Raw!K381,9,2))+TIME(MID(Raw!K381,12,2),MID(Raw!K381,15,2),MID(Raw!K381,18,2))</f>
        <v>45839.3</v>
      </c>
      <c r="P381" s="32" t="n">
        <f aca="false">L381-K381</f>
        <v>1</v>
      </c>
      <c r="Q381" s="32" t="n">
        <f aca="false">M381-L381</f>
        <v>5</v>
      </c>
      <c r="R381" s="32" t="n">
        <f aca="false">O381-N381</f>
        <v>4.175</v>
      </c>
      <c r="S381" s="32" t="n">
        <f aca="false">Raw!L381</f>
        <v>-0.7</v>
      </c>
      <c r="T381" s="32" t="n">
        <f aca="false">O381-M381</f>
        <v>-0.7</v>
      </c>
      <c r="U381" s="0" t="str">
        <f aca="false">IF(ABS(T381-S381)&lt;0.01,"OK","MISMATCH")</f>
        <v>OK</v>
      </c>
      <c r="V381" s="33" t="n">
        <f aca="false">Raw!M381</f>
        <v>0</v>
      </c>
      <c r="W381" s="0" t="str">
        <f aca="false">IF((S381&gt;0)=(V381=1),"OK","MISMATCH")</f>
        <v>OK</v>
      </c>
      <c r="X381" s="0" t="str">
        <f aca="false">_xlfn.IFS(S381&lt;=0,"Early/On time",S381&lt;=2,"Minor (up to 2 days)",S381&lt;=5,"Moderate (2-5 days)",TRUE(),"Severe (over 5 days)")</f>
        <v>Early/On time</v>
      </c>
      <c r="Y381" s="0" t="str">
        <f aca="false">YEAR(K381)&amp;"-"&amp;TEXT(MONTH(K381),"00")</f>
        <v>2025-06</v>
      </c>
      <c r="Z381" s="0" t="str">
        <f aca="false">C381&amp;" → "&amp;D381</f>
        <v>Surat → Karnataka</v>
      </c>
      <c r="AA381" s="0" t="str">
        <f aca="false">Raw!Q381</f>
        <v>TCI Express</v>
      </c>
      <c r="AB381" s="0" t="str">
        <f aca="false">Raw!R381</f>
        <v>No</v>
      </c>
      <c r="AC381" s="0" t="str">
        <f aca="false">Raw!S381</f>
        <v>Damaged</v>
      </c>
      <c r="AD381" s="29" t="n">
        <f aca="false">Raw!N381</f>
        <v>9283.24</v>
      </c>
      <c r="AE381" s="29" t="n">
        <f aca="false">Raw!O381</f>
        <v>4041.7</v>
      </c>
      <c r="AF381" s="29" t="n">
        <f aca="false">Raw!P381</f>
        <v>1012.92</v>
      </c>
      <c r="AG381" s="29" t="n">
        <f aca="false">AD381/J381</f>
        <v>582.752040175769</v>
      </c>
    </row>
    <row r="382" customFormat="false" ht="15" hidden="false" customHeight="false" outlineLevel="0" collapsed="false">
      <c r="A382" s="0" t="str">
        <f aca="false">Raw!A382</f>
        <v>SHP0381</v>
      </c>
      <c r="B382" s="0" t="str">
        <f aca="false">Raw!B382</f>
        <v>Inbound</v>
      </c>
      <c r="C382" s="0" t="str">
        <f aca="false">Raw!C382</f>
        <v>Uttar Pradesh</v>
      </c>
      <c r="D382" s="0" t="str">
        <f aca="false">Raw!D382</f>
        <v>Surat</v>
      </c>
      <c r="E382" s="0" t="str">
        <f aca="false">IFERROR(INDEX(Location_Map!$B$2:$B$15,MATCH(C382,Location_Map!$A$2:$A$15,0)),"UNMAPPED")</f>
        <v>Uttar Pradesh</v>
      </c>
      <c r="F382" s="0" t="str">
        <f aca="false">IFERROR(INDEX(Location_Map!$C$2:$C$15,MATCH(C382,Location_Map!$A$2:$A$15,0)),"UNMAPPED")</f>
        <v>North</v>
      </c>
      <c r="G382" s="0" t="str">
        <f aca="false">IFERROR(INDEX(Location_Map!$B$2:$B$15,MATCH(D382,Location_Map!$A$2:$A$15,0)),"UNMAPPED")</f>
        <v>Gujarat</v>
      </c>
      <c r="H382" s="0" t="str">
        <f aca="false">IFERROR(INDEX(Location_Map!$C$2:$C$15,MATCH(D382,Location_Map!$A$2:$A$15,0)),"UNMAPPED")</f>
        <v>West</v>
      </c>
      <c r="I382" s="0" t="str">
        <f aca="false">Raw!E382</f>
        <v>Raw Yarn</v>
      </c>
      <c r="J382" s="28" t="n">
        <f aca="false">Raw!F382</f>
        <v>14.38</v>
      </c>
      <c r="K382" s="30" t="n">
        <f aca="false">DATE(LEFT(Raw!G382,4),MID(Raw!G382,6,2),MID(Raw!G382,9,2))</f>
        <v>45938</v>
      </c>
      <c r="L382" s="30" t="n">
        <f aca="false">DATE(LEFT(Raw!H382,4),MID(Raw!H382,6,2),MID(Raw!H382,9,2))</f>
        <v>45940</v>
      </c>
      <c r="M382" s="30" t="n">
        <f aca="false">DATE(LEFT(Raw!I382,4),MID(Raw!I382,6,2),MID(Raw!I382,9,2))</f>
        <v>45943</v>
      </c>
      <c r="N382" s="31" t="n">
        <f aca="false">DATE(LEFT(Raw!J382,4),MID(Raw!J382,6,2),MID(Raw!J382,9,2))+TIME(MID(Raw!J382,12,2),MID(Raw!J382,15,2),MID(Raw!J382,18,2))</f>
        <v>45940.0833333333</v>
      </c>
      <c r="O382" s="31" t="n">
        <f aca="false">DATE(LEFT(Raw!K382,4),MID(Raw!K382,6,2),MID(Raw!K382,9,2))+TIME(MID(Raw!K382,12,2),MID(Raw!K382,15,2),MID(Raw!K382,18,2))</f>
        <v>45943.2</v>
      </c>
      <c r="P382" s="32" t="n">
        <f aca="false">L382-K382</f>
        <v>2</v>
      </c>
      <c r="Q382" s="32" t="n">
        <f aca="false">M382-L382</f>
        <v>3</v>
      </c>
      <c r="R382" s="32" t="n">
        <f aca="false">O382-N382</f>
        <v>3.11666666666667</v>
      </c>
      <c r="S382" s="32" t="n">
        <f aca="false">Raw!L382</f>
        <v>0.2</v>
      </c>
      <c r="T382" s="32" t="n">
        <f aca="false">O382-M382</f>
        <v>0.2</v>
      </c>
      <c r="U382" s="0" t="str">
        <f aca="false">IF(ABS(T382-S382)&lt;0.01,"OK","MISMATCH")</f>
        <v>OK</v>
      </c>
      <c r="V382" s="33" t="n">
        <f aca="false">Raw!M382</f>
        <v>1</v>
      </c>
      <c r="W382" s="0" t="str">
        <f aca="false">IF((S382&gt;0)=(V382=1),"OK","MISMATCH")</f>
        <v>OK</v>
      </c>
      <c r="X382" s="0" t="str">
        <f aca="false">_xlfn.IFS(S382&lt;=0,"Early/On time",S382&lt;=2,"Minor (up to 2 days)",S382&lt;=5,"Moderate (2-5 days)",TRUE(),"Severe (over 5 days)")</f>
        <v>Minor (up to 2 days)</v>
      </c>
      <c r="Y382" s="0" t="str">
        <f aca="false">YEAR(K382)&amp;"-"&amp;TEXT(MONTH(K382),"00")</f>
        <v>2025-10</v>
      </c>
      <c r="Z382" s="0" t="str">
        <f aca="false">C382&amp;" → "&amp;D382</f>
        <v>Uttar Pradesh → Surat</v>
      </c>
      <c r="AA382" s="0" t="str">
        <f aca="false">Raw!Q382</f>
        <v>BlueDart</v>
      </c>
      <c r="AB382" s="0" t="str">
        <f aca="false">Raw!R382</f>
        <v>Yes</v>
      </c>
      <c r="AC382" s="0" t="str">
        <f aca="false">Raw!S382</f>
        <v>Expedited</v>
      </c>
      <c r="AD382" s="29" t="n">
        <f aca="false">Raw!N382</f>
        <v>6160.04</v>
      </c>
      <c r="AE382" s="29" t="n">
        <f aca="false">Raw!O382</f>
        <v>2873.32</v>
      </c>
      <c r="AF382" s="29" t="n">
        <f aca="false">Raw!P382</f>
        <v>1273.55</v>
      </c>
      <c r="AG382" s="29" t="n">
        <f aca="false">AD382/J382</f>
        <v>428.375521557719</v>
      </c>
    </row>
    <row r="383" customFormat="false" ht="15" hidden="false" customHeight="false" outlineLevel="0" collapsed="false">
      <c r="A383" s="0" t="str">
        <f aca="false">Raw!A383</f>
        <v>SHP0382</v>
      </c>
      <c r="B383" s="0" t="str">
        <f aca="false">Raw!B383</f>
        <v>Outbound</v>
      </c>
      <c r="C383" s="0" t="str">
        <f aca="false">Raw!C383</f>
        <v>Surat</v>
      </c>
      <c r="D383" s="0" t="str">
        <f aca="false">Raw!D383</f>
        <v>Karnataka</v>
      </c>
      <c r="E383" s="0" t="str">
        <f aca="false">IFERROR(INDEX(Location_Map!$B$2:$B$15,MATCH(C383,Location_Map!$A$2:$A$15,0)),"UNMAPPED")</f>
        <v>Gujarat</v>
      </c>
      <c r="F383" s="0" t="str">
        <f aca="false">IFERROR(INDEX(Location_Map!$C$2:$C$15,MATCH(C383,Location_Map!$A$2:$A$15,0)),"UNMAPPED")</f>
        <v>West</v>
      </c>
      <c r="G383" s="0" t="str">
        <f aca="false">IFERROR(INDEX(Location_Map!$B$2:$B$15,MATCH(D383,Location_Map!$A$2:$A$15,0)),"UNMAPPED")</f>
        <v>Karnataka</v>
      </c>
      <c r="H383" s="0" t="str">
        <f aca="false">IFERROR(INDEX(Location_Map!$C$2:$C$15,MATCH(D383,Location_Map!$A$2:$A$15,0)),"UNMAPPED")</f>
        <v>South</v>
      </c>
      <c r="I383" s="0" t="str">
        <f aca="false">Raw!E383</f>
        <v>Finished Yarn</v>
      </c>
      <c r="J383" s="28" t="n">
        <f aca="false">Raw!F383</f>
        <v>3.34</v>
      </c>
      <c r="K383" s="30" t="n">
        <f aca="false">DATE(LEFT(Raw!G383,4),MID(Raw!G383,6,2),MID(Raw!G383,9,2))</f>
        <v>45845</v>
      </c>
      <c r="L383" s="30" t="n">
        <f aca="false">DATE(LEFT(Raw!H383,4),MID(Raw!H383,6,2),MID(Raw!H383,9,2))</f>
        <v>45847</v>
      </c>
      <c r="M383" s="30" t="n">
        <f aca="false">DATE(LEFT(Raw!I383,4),MID(Raw!I383,6,2),MID(Raw!I383,9,2))</f>
        <v>45849</v>
      </c>
      <c r="N383" s="31" t="n">
        <f aca="false">DATE(LEFT(Raw!J383,4),MID(Raw!J383,6,2),MID(Raw!J383,9,2))+TIME(MID(Raw!J383,12,2),MID(Raw!J383,15,2),MID(Raw!J383,18,2))</f>
        <v>45846.9166666667</v>
      </c>
      <c r="O383" s="31" t="n">
        <f aca="false">DATE(LEFT(Raw!K383,4),MID(Raw!K383,6,2),MID(Raw!K383,9,2))+TIME(MID(Raw!K383,12,2),MID(Raw!K383,15,2),MID(Raw!K383,18,2))</f>
        <v>45848</v>
      </c>
      <c r="P383" s="32" t="n">
        <f aca="false">L383-K383</f>
        <v>2</v>
      </c>
      <c r="Q383" s="32" t="n">
        <f aca="false">M383-L383</f>
        <v>2</v>
      </c>
      <c r="R383" s="32" t="n">
        <f aca="false">O383-N383</f>
        <v>1.08333333333333</v>
      </c>
      <c r="S383" s="32" t="n">
        <f aca="false">Raw!L383</f>
        <v>-1</v>
      </c>
      <c r="T383" s="32" t="n">
        <f aca="false">O383-M383</f>
        <v>-1</v>
      </c>
      <c r="U383" s="0" t="str">
        <f aca="false">IF(ABS(T383-S383)&lt;0.01,"OK","MISMATCH")</f>
        <v>OK</v>
      </c>
      <c r="V383" s="33" t="n">
        <f aca="false">Raw!M383</f>
        <v>0</v>
      </c>
      <c r="W383" s="0" t="str">
        <f aca="false">IF((S383&gt;0)=(V383=1),"OK","MISMATCH")</f>
        <v>OK</v>
      </c>
      <c r="X383" s="0" t="str">
        <f aca="false">_xlfn.IFS(S383&lt;=0,"Early/On time",S383&lt;=2,"Minor (up to 2 days)",S383&lt;=5,"Moderate (2-5 days)",TRUE(),"Severe (over 5 days)")</f>
        <v>Early/On time</v>
      </c>
      <c r="Y383" s="0" t="str">
        <f aca="false">YEAR(K383)&amp;"-"&amp;TEXT(MONTH(K383),"00")</f>
        <v>2025-07</v>
      </c>
      <c r="Z383" s="0" t="str">
        <f aca="false">C383&amp;" → "&amp;D383</f>
        <v>Surat → Karnataka</v>
      </c>
      <c r="AA383" s="0" t="str">
        <f aca="false">Raw!Q383</f>
        <v>VRL Cargo</v>
      </c>
      <c r="AB383" s="0" t="str">
        <f aca="false">Raw!R383</f>
        <v>Yes</v>
      </c>
      <c r="AC383" s="0" t="str">
        <f aca="false">Raw!S383</f>
        <v>Normal</v>
      </c>
      <c r="AD383" s="29" t="n">
        <f aca="false">Raw!N383</f>
        <v>3890.81</v>
      </c>
      <c r="AE383" s="29" t="n">
        <f aca="false">Raw!O383</f>
        <v>4184.03</v>
      </c>
      <c r="AF383" s="29" t="n">
        <f aca="false">Raw!P383</f>
        <v>1253.73</v>
      </c>
      <c r="AG383" s="29" t="n">
        <f aca="false">AD383/J383</f>
        <v>1164.91317365269</v>
      </c>
    </row>
    <row r="384" customFormat="false" ht="15" hidden="false" customHeight="false" outlineLevel="0" collapsed="false">
      <c r="A384" s="0" t="str">
        <f aca="false">Raw!A384</f>
        <v>SHP0383</v>
      </c>
      <c r="B384" s="0" t="str">
        <f aca="false">Raw!B384</f>
        <v>Outbound</v>
      </c>
      <c r="C384" s="0" t="str">
        <f aca="false">Raw!C384</f>
        <v>Surat</v>
      </c>
      <c r="D384" s="0" t="str">
        <f aca="false">Raw!D384</f>
        <v>Kerala</v>
      </c>
      <c r="E384" s="0" t="str">
        <f aca="false">IFERROR(INDEX(Location_Map!$B$2:$B$15,MATCH(C384,Location_Map!$A$2:$A$15,0)),"UNMAPPED")</f>
        <v>Gujarat</v>
      </c>
      <c r="F384" s="0" t="str">
        <f aca="false">IFERROR(INDEX(Location_Map!$C$2:$C$15,MATCH(C384,Location_Map!$A$2:$A$15,0)),"UNMAPPED")</f>
        <v>West</v>
      </c>
      <c r="G384" s="0" t="str">
        <f aca="false">IFERROR(INDEX(Location_Map!$B$2:$B$15,MATCH(D384,Location_Map!$A$2:$A$15,0)),"UNMAPPED")</f>
        <v>Kerala</v>
      </c>
      <c r="H384" s="0" t="str">
        <f aca="false">IFERROR(INDEX(Location_Map!$C$2:$C$15,MATCH(D384,Location_Map!$A$2:$A$15,0)),"UNMAPPED")</f>
        <v>South</v>
      </c>
      <c r="I384" s="0" t="str">
        <f aca="false">Raw!E384</f>
        <v>Semi-Processed Yarn</v>
      </c>
      <c r="J384" s="28" t="n">
        <f aca="false">Raw!F384</f>
        <v>5.09</v>
      </c>
      <c r="K384" s="30" t="n">
        <f aca="false">DATE(LEFT(Raw!G384,4),MID(Raw!G384,6,2),MID(Raw!G384,9,2))</f>
        <v>45758</v>
      </c>
      <c r="L384" s="30" t="n">
        <f aca="false">DATE(LEFT(Raw!H384,4),MID(Raw!H384,6,2),MID(Raw!H384,9,2))</f>
        <v>45760</v>
      </c>
      <c r="M384" s="30" t="n">
        <f aca="false">DATE(LEFT(Raw!I384,4),MID(Raw!I384,6,2),MID(Raw!I384,9,2))</f>
        <v>45766</v>
      </c>
      <c r="N384" s="31" t="n">
        <f aca="false">DATE(LEFT(Raw!J384,4),MID(Raw!J384,6,2),MID(Raw!J384,9,2))+TIME(MID(Raw!J384,12,2),MID(Raw!J384,15,2),MID(Raw!J384,18,2))</f>
        <v>45760.0833333333</v>
      </c>
      <c r="O384" s="31" t="n">
        <f aca="false">DATE(LEFT(Raw!K384,4),MID(Raw!K384,6,2),MID(Raw!K384,9,2))+TIME(MID(Raw!K384,12,2),MID(Raw!K384,15,2),MID(Raw!K384,18,2))</f>
        <v>45768.7</v>
      </c>
      <c r="P384" s="32" t="n">
        <f aca="false">L384-K384</f>
        <v>2</v>
      </c>
      <c r="Q384" s="32" t="n">
        <f aca="false">M384-L384</f>
        <v>6</v>
      </c>
      <c r="R384" s="32" t="n">
        <f aca="false">O384-N384</f>
        <v>8.61666666666667</v>
      </c>
      <c r="S384" s="32" t="n">
        <f aca="false">Raw!L384</f>
        <v>2.7</v>
      </c>
      <c r="T384" s="32" t="n">
        <f aca="false">O384-M384</f>
        <v>2.7</v>
      </c>
      <c r="U384" s="0" t="str">
        <f aca="false">IF(ABS(T384-S384)&lt;0.01,"OK","MISMATCH")</f>
        <v>OK</v>
      </c>
      <c r="V384" s="33" t="n">
        <f aca="false">Raw!M384</f>
        <v>1</v>
      </c>
      <c r="W384" s="0" t="str">
        <f aca="false">IF((S384&gt;0)=(V384=1),"OK","MISMATCH")</f>
        <v>OK</v>
      </c>
      <c r="X384" s="0" t="str">
        <f aca="false">_xlfn.IFS(S384&lt;=0,"Early/On time",S384&lt;=2,"Minor (up to 2 days)",S384&lt;=5,"Moderate (2-5 days)",TRUE(),"Severe (over 5 days)")</f>
        <v>Moderate (2-5 days)</v>
      </c>
      <c r="Y384" s="0" t="str">
        <f aca="false">YEAR(K384)&amp;"-"&amp;TEXT(MONTH(K384),"00")</f>
        <v>2025-04</v>
      </c>
      <c r="Z384" s="0" t="str">
        <f aca="false">C384&amp;" → "&amp;D384</f>
        <v>Surat → Kerala</v>
      </c>
      <c r="AA384" s="0" t="str">
        <f aca="false">Raw!Q384</f>
        <v>Delhivery</v>
      </c>
      <c r="AB384" s="0" t="str">
        <f aca="false">Raw!R384</f>
        <v>No</v>
      </c>
      <c r="AC384" s="0" t="str">
        <f aca="false">Raw!S384</f>
        <v>Returned</v>
      </c>
      <c r="AD384" s="29" t="n">
        <f aca="false">Raw!N384</f>
        <v>4409.63</v>
      </c>
      <c r="AE384" s="29" t="n">
        <f aca="false">Raw!O384</f>
        <v>3443.08</v>
      </c>
      <c r="AF384" s="29" t="n">
        <f aca="false">Raw!P384</f>
        <v>699.84</v>
      </c>
      <c r="AG384" s="29" t="n">
        <f aca="false">AD384/J384</f>
        <v>866.332023575639</v>
      </c>
    </row>
    <row r="385" customFormat="false" ht="15" hidden="false" customHeight="false" outlineLevel="0" collapsed="false">
      <c r="A385" s="0" t="str">
        <f aca="false">Raw!A385</f>
        <v>SHP0384</v>
      </c>
      <c r="B385" s="0" t="str">
        <f aca="false">Raw!B385</f>
        <v>Inbound</v>
      </c>
      <c r="C385" s="0" t="str">
        <f aca="false">Raw!C385</f>
        <v>Chennai</v>
      </c>
      <c r="D385" s="0" t="str">
        <f aca="false">Raw!D385</f>
        <v>Surat</v>
      </c>
      <c r="E385" s="0" t="str">
        <f aca="false">IFERROR(INDEX(Location_Map!$B$2:$B$15,MATCH(C385,Location_Map!$A$2:$A$15,0)),"UNMAPPED")</f>
        <v>Tamil Nadu</v>
      </c>
      <c r="F385" s="0" t="str">
        <f aca="false">IFERROR(INDEX(Location_Map!$C$2:$C$15,MATCH(C385,Location_Map!$A$2:$A$15,0)),"UNMAPPED")</f>
        <v>South</v>
      </c>
      <c r="G385" s="0" t="str">
        <f aca="false">IFERROR(INDEX(Location_Map!$B$2:$B$15,MATCH(D385,Location_Map!$A$2:$A$15,0)),"UNMAPPED")</f>
        <v>Gujarat</v>
      </c>
      <c r="H385" s="0" t="str">
        <f aca="false">IFERROR(INDEX(Location_Map!$C$2:$C$15,MATCH(D385,Location_Map!$A$2:$A$15,0)),"UNMAPPED")</f>
        <v>West</v>
      </c>
      <c r="I385" s="0" t="str">
        <f aca="false">Raw!E385</f>
        <v>Raw Yarn</v>
      </c>
      <c r="J385" s="28" t="n">
        <f aca="false">Raw!F385</f>
        <v>2.05</v>
      </c>
      <c r="K385" s="30" t="n">
        <f aca="false">DATE(LEFT(Raw!G385,4),MID(Raw!G385,6,2),MID(Raw!G385,9,2))</f>
        <v>45828</v>
      </c>
      <c r="L385" s="30" t="n">
        <f aca="false">DATE(LEFT(Raw!H385,4),MID(Raw!H385,6,2),MID(Raw!H385,9,2))</f>
        <v>45831</v>
      </c>
      <c r="M385" s="30" t="n">
        <f aca="false">DATE(LEFT(Raw!I385,4),MID(Raw!I385,6,2),MID(Raw!I385,9,2))</f>
        <v>45833</v>
      </c>
      <c r="N385" s="31" t="n">
        <f aca="false">DATE(LEFT(Raw!J385,4),MID(Raw!J385,6,2),MID(Raw!J385,9,2))+TIME(MID(Raw!J385,12,2),MID(Raw!J385,15,2),MID(Raw!J385,18,2))</f>
        <v>45831.1666666667</v>
      </c>
      <c r="O385" s="31" t="n">
        <f aca="false">DATE(LEFT(Raw!K385,4),MID(Raw!K385,6,2),MID(Raw!K385,9,2))+TIME(MID(Raw!K385,12,2),MID(Raw!K385,15,2),MID(Raw!K385,18,2))</f>
        <v>45832.3</v>
      </c>
      <c r="P385" s="32" t="n">
        <f aca="false">L385-K385</f>
        <v>3</v>
      </c>
      <c r="Q385" s="32" t="n">
        <f aca="false">M385-L385</f>
        <v>2</v>
      </c>
      <c r="R385" s="32" t="n">
        <f aca="false">O385-N385</f>
        <v>1.13333333333333</v>
      </c>
      <c r="S385" s="32" t="n">
        <f aca="false">Raw!L385</f>
        <v>-0.7</v>
      </c>
      <c r="T385" s="32" t="n">
        <f aca="false">O385-M385</f>
        <v>-0.7</v>
      </c>
      <c r="U385" s="0" t="str">
        <f aca="false">IF(ABS(T385-S385)&lt;0.01,"OK","MISMATCH")</f>
        <v>OK</v>
      </c>
      <c r="V385" s="33" t="n">
        <f aca="false">Raw!M385</f>
        <v>0</v>
      </c>
      <c r="W385" s="0" t="str">
        <f aca="false">IF((S385&gt;0)=(V385=1),"OK","MISMATCH")</f>
        <v>OK</v>
      </c>
      <c r="X385" s="0" t="str">
        <f aca="false">_xlfn.IFS(S385&lt;=0,"Early/On time",S385&lt;=2,"Minor (up to 2 days)",S385&lt;=5,"Moderate (2-5 days)",TRUE(),"Severe (over 5 days)")</f>
        <v>Early/On time</v>
      </c>
      <c r="Y385" s="0" t="str">
        <f aca="false">YEAR(K385)&amp;"-"&amp;TEXT(MONTH(K385),"00")</f>
        <v>2025-06</v>
      </c>
      <c r="Z385" s="0" t="str">
        <f aca="false">C385&amp;" → "&amp;D385</f>
        <v>Chennai → Surat</v>
      </c>
      <c r="AA385" s="0" t="str">
        <f aca="false">Raw!Q385</f>
        <v>TCI Express</v>
      </c>
      <c r="AB385" s="0" t="str">
        <f aca="false">Raw!R385</f>
        <v>No</v>
      </c>
      <c r="AC385" s="0" t="str">
        <f aca="false">Raw!S385</f>
        <v>Expedited</v>
      </c>
      <c r="AD385" s="29" t="n">
        <f aca="false">Raw!N385</f>
        <v>2184.7</v>
      </c>
      <c r="AE385" s="29" t="n">
        <f aca="false">Raw!O385</f>
        <v>4716.58</v>
      </c>
      <c r="AF385" s="29" t="n">
        <f aca="false">Raw!P385</f>
        <v>887.32</v>
      </c>
      <c r="AG385" s="29" t="n">
        <f aca="false">AD385/J385</f>
        <v>1065.70731707317</v>
      </c>
    </row>
    <row r="386" customFormat="false" ht="15" hidden="false" customHeight="false" outlineLevel="0" collapsed="false">
      <c r="A386" s="0" t="str">
        <f aca="false">Raw!A386</f>
        <v>SHP0385</v>
      </c>
      <c r="B386" s="0" t="str">
        <f aca="false">Raw!B386</f>
        <v>Inbound</v>
      </c>
      <c r="C386" s="0" t="str">
        <f aca="false">Raw!C386</f>
        <v>Gujarat</v>
      </c>
      <c r="D386" s="0" t="str">
        <f aca="false">Raw!D386</f>
        <v>Surat</v>
      </c>
      <c r="E386" s="0" t="str">
        <f aca="false">IFERROR(INDEX(Location_Map!$B$2:$B$15,MATCH(C386,Location_Map!$A$2:$A$15,0)),"UNMAPPED")</f>
        <v>Gujarat</v>
      </c>
      <c r="F386" s="0" t="str">
        <f aca="false">IFERROR(INDEX(Location_Map!$C$2:$C$15,MATCH(C386,Location_Map!$A$2:$A$15,0)),"UNMAPPED")</f>
        <v>West</v>
      </c>
      <c r="G386" s="0" t="str">
        <f aca="false">IFERROR(INDEX(Location_Map!$B$2:$B$15,MATCH(D386,Location_Map!$A$2:$A$15,0)),"UNMAPPED")</f>
        <v>Gujarat</v>
      </c>
      <c r="H386" s="0" t="str">
        <f aca="false">IFERROR(INDEX(Location_Map!$C$2:$C$15,MATCH(D386,Location_Map!$A$2:$A$15,0)),"UNMAPPED")</f>
        <v>West</v>
      </c>
      <c r="I386" s="0" t="str">
        <f aca="false">Raw!E386</f>
        <v>Raw Yarn</v>
      </c>
      <c r="J386" s="28" t="n">
        <f aca="false">Raw!F386</f>
        <v>2.26</v>
      </c>
      <c r="K386" s="30" t="n">
        <f aca="false">DATE(LEFT(Raw!G386,4),MID(Raw!G386,6,2),MID(Raw!G386,9,2))</f>
        <v>45663</v>
      </c>
      <c r="L386" s="30" t="n">
        <f aca="false">DATE(LEFT(Raw!H386,4),MID(Raw!H386,6,2),MID(Raw!H386,9,2))</f>
        <v>45667</v>
      </c>
      <c r="M386" s="30" t="n">
        <f aca="false">DATE(LEFT(Raw!I386,4),MID(Raw!I386,6,2),MID(Raw!I386,9,2))</f>
        <v>45669</v>
      </c>
      <c r="N386" s="31" t="n">
        <f aca="false">DATE(LEFT(Raw!J386,4),MID(Raw!J386,6,2),MID(Raw!J386,9,2))+TIME(MID(Raw!J386,12,2),MID(Raw!J386,15,2),MID(Raw!J386,18,2))</f>
        <v>45667.0833333333</v>
      </c>
      <c r="O386" s="31" t="n">
        <f aca="false">DATE(LEFT(Raw!K386,4),MID(Raw!K386,6,2),MID(Raw!K386,9,2))+TIME(MID(Raw!K386,12,2),MID(Raw!K386,15,2),MID(Raw!K386,18,2))</f>
        <v>45669.2</v>
      </c>
      <c r="P386" s="32" t="n">
        <f aca="false">L386-K386</f>
        <v>4</v>
      </c>
      <c r="Q386" s="32" t="n">
        <f aca="false">M386-L386</f>
        <v>2</v>
      </c>
      <c r="R386" s="32" t="n">
        <f aca="false">O386-N386</f>
        <v>2.11666666666667</v>
      </c>
      <c r="S386" s="32" t="n">
        <f aca="false">Raw!L386</f>
        <v>0.2</v>
      </c>
      <c r="T386" s="32" t="n">
        <f aca="false">O386-M386</f>
        <v>0.2</v>
      </c>
      <c r="U386" s="0" t="str">
        <f aca="false">IF(ABS(T386-S386)&lt;0.01,"OK","MISMATCH")</f>
        <v>OK</v>
      </c>
      <c r="V386" s="33" t="n">
        <f aca="false">Raw!M386</f>
        <v>1</v>
      </c>
      <c r="W386" s="0" t="str">
        <f aca="false">IF((S386&gt;0)=(V386=1),"OK","MISMATCH")</f>
        <v>OK</v>
      </c>
      <c r="X386" s="0" t="str">
        <f aca="false">_xlfn.IFS(S386&lt;=0,"Early/On time",S386&lt;=2,"Minor (up to 2 days)",S386&lt;=5,"Moderate (2-5 days)",TRUE(),"Severe (over 5 days)")</f>
        <v>Minor (up to 2 days)</v>
      </c>
      <c r="Y386" s="0" t="str">
        <f aca="false">YEAR(K386)&amp;"-"&amp;TEXT(MONTH(K386),"00")</f>
        <v>2025-01</v>
      </c>
      <c r="Z386" s="0" t="str">
        <f aca="false">C386&amp;" → "&amp;D386</f>
        <v>Gujarat → Surat</v>
      </c>
      <c r="AA386" s="0" t="str">
        <f aca="false">Raw!Q386</f>
        <v>TCI Express</v>
      </c>
      <c r="AB386" s="0" t="str">
        <f aca="false">Raw!R386</f>
        <v>Yes</v>
      </c>
      <c r="AC386" s="0" t="str">
        <f aca="false">Raw!S386</f>
        <v>Expedited</v>
      </c>
      <c r="AD386" s="29" t="n">
        <f aca="false">Raw!N386</f>
        <v>2168.93</v>
      </c>
      <c r="AE386" s="29" t="n">
        <f aca="false">Raw!O386</f>
        <v>3671.47</v>
      </c>
      <c r="AF386" s="29" t="n">
        <f aca="false">Raw!P386</f>
        <v>1433.21</v>
      </c>
      <c r="AG386" s="29" t="n">
        <f aca="false">AD386/J386</f>
        <v>959.703539823009</v>
      </c>
    </row>
    <row r="387" customFormat="false" ht="15" hidden="false" customHeight="false" outlineLevel="0" collapsed="false">
      <c r="A387" s="0" t="str">
        <f aca="false">Raw!A387</f>
        <v>SHP0386</v>
      </c>
      <c r="B387" s="0" t="str">
        <f aca="false">Raw!B387</f>
        <v>Inbound</v>
      </c>
      <c r="C387" s="0" t="str">
        <f aca="false">Raw!C387</f>
        <v>Gujarat</v>
      </c>
      <c r="D387" s="0" t="str">
        <f aca="false">Raw!D387</f>
        <v>Surat</v>
      </c>
      <c r="E387" s="0" t="str">
        <f aca="false">IFERROR(INDEX(Location_Map!$B$2:$B$15,MATCH(C387,Location_Map!$A$2:$A$15,0)),"UNMAPPED")</f>
        <v>Gujarat</v>
      </c>
      <c r="F387" s="0" t="str">
        <f aca="false">IFERROR(INDEX(Location_Map!$C$2:$C$15,MATCH(C387,Location_Map!$A$2:$A$15,0)),"UNMAPPED")</f>
        <v>West</v>
      </c>
      <c r="G387" s="0" t="str">
        <f aca="false">IFERROR(INDEX(Location_Map!$B$2:$B$15,MATCH(D387,Location_Map!$A$2:$A$15,0)),"UNMAPPED")</f>
        <v>Gujarat</v>
      </c>
      <c r="H387" s="0" t="str">
        <f aca="false">IFERROR(INDEX(Location_Map!$C$2:$C$15,MATCH(D387,Location_Map!$A$2:$A$15,0)),"UNMAPPED")</f>
        <v>West</v>
      </c>
      <c r="I387" s="0" t="str">
        <f aca="false">Raw!E387</f>
        <v>Finished Yarn</v>
      </c>
      <c r="J387" s="28" t="n">
        <f aca="false">Raw!F387</f>
        <v>6.04</v>
      </c>
      <c r="K387" s="30" t="n">
        <f aca="false">DATE(LEFT(Raw!G387,4),MID(Raw!G387,6,2),MID(Raw!G387,9,2))</f>
        <v>45841</v>
      </c>
      <c r="L387" s="30" t="n">
        <f aca="false">DATE(LEFT(Raw!H387,4),MID(Raw!H387,6,2),MID(Raw!H387,9,2))</f>
        <v>45844</v>
      </c>
      <c r="M387" s="30" t="n">
        <f aca="false">DATE(LEFT(Raw!I387,4),MID(Raw!I387,6,2),MID(Raw!I387,9,2))</f>
        <v>45849</v>
      </c>
      <c r="N387" s="31" t="n">
        <f aca="false">DATE(LEFT(Raw!J387,4),MID(Raw!J387,6,2),MID(Raw!J387,9,2))+TIME(MID(Raw!J387,12,2),MID(Raw!J387,15,2),MID(Raw!J387,18,2))</f>
        <v>45843.8333333333</v>
      </c>
      <c r="O387" s="31" t="n">
        <f aca="false">DATE(LEFT(Raw!K387,4),MID(Raw!K387,6,2),MID(Raw!K387,9,2))+TIME(MID(Raw!K387,12,2),MID(Raw!K387,15,2),MID(Raw!K387,18,2))</f>
        <v>45848</v>
      </c>
      <c r="P387" s="32" t="n">
        <f aca="false">L387-K387</f>
        <v>3</v>
      </c>
      <c r="Q387" s="32" t="n">
        <f aca="false">M387-L387</f>
        <v>5</v>
      </c>
      <c r="R387" s="32" t="n">
        <f aca="false">O387-N387</f>
        <v>4.16666666666667</v>
      </c>
      <c r="S387" s="32" t="n">
        <f aca="false">Raw!L387</f>
        <v>-1</v>
      </c>
      <c r="T387" s="32" t="n">
        <f aca="false">O387-M387</f>
        <v>-1</v>
      </c>
      <c r="U387" s="0" t="str">
        <f aca="false">IF(ABS(T387-S387)&lt;0.01,"OK","MISMATCH")</f>
        <v>OK</v>
      </c>
      <c r="V387" s="33" t="n">
        <f aca="false">Raw!M387</f>
        <v>0</v>
      </c>
      <c r="W387" s="0" t="str">
        <f aca="false">IF((S387&gt;0)=(V387=1),"OK","MISMATCH")</f>
        <v>OK</v>
      </c>
      <c r="X387" s="0" t="str">
        <f aca="false">_xlfn.IFS(S387&lt;=0,"Early/On time",S387&lt;=2,"Minor (up to 2 days)",S387&lt;=5,"Moderate (2-5 days)",TRUE(),"Severe (over 5 days)")</f>
        <v>Early/On time</v>
      </c>
      <c r="Y387" s="0" t="str">
        <f aca="false">YEAR(K387)&amp;"-"&amp;TEXT(MONTH(K387),"00")</f>
        <v>2025-07</v>
      </c>
      <c r="Z387" s="0" t="str">
        <f aca="false">C387&amp;" → "&amp;D387</f>
        <v>Gujarat → Surat</v>
      </c>
      <c r="AA387" s="0" t="str">
        <f aca="false">Raw!Q387</f>
        <v>GATI Logistics</v>
      </c>
      <c r="AB387" s="0" t="str">
        <f aca="false">Raw!R387</f>
        <v>No</v>
      </c>
      <c r="AC387" s="0" t="str">
        <f aca="false">Raw!S387</f>
        <v>Returned</v>
      </c>
      <c r="AD387" s="29" t="n">
        <f aca="false">Raw!N387</f>
        <v>4062.64</v>
      </c>
      <c r="AE387" s="29" t="n">
        <f aca="false">Raw!O387</f>
        <v>3025.32</v>
      </c>
      <c r="AF387" s="29" t="n">
        <f aca="false">Raw!P387</f>
        <v>850.41</v>
      </c>
      <c r="AG387" s="29" t="n">
        <f aca="false">AD387/J387</f>
        <v>672.622516556291</v>
      </c>
    </row>
    <row r="388" customFormat="false" ht="15" hidden="false" customHeight="false" outlineLevel="0" collapsed="false">
      <c r="A388" s="0" t="str">
        <f aca="false">Raw!A388</f>
        <v>SHP0387</v>
      </c>
      <c r="B388" s="0" t="str">
        <f aca="false">Raw!B388</f>
        <v>Outbound</v>
      </c>
      <c r="C388" s="0" t="str">
        <f aca="false">Raw!C388</f>
        <v>Surat</v>
      </c>
      <c r="D388" s="0" t="str">
        <f aca="false">Raw!D388</f>
        <v>Mumbai</v>
      </c>
      <c r="E388" s="0" t="str">
        <f aca="false">IFERROR(INDEX(Location_Map!$B$2:$B$15,MATCH(C388,Location_Map!$A$2:$A$15,0)),"UNMAPPED")</f>
        <v>Gujarat</v>
      </c>
      <c r="F388" s="0" t="str">
        <f aca="false">IFERROR(INDEX(Location_Map!$C$2:$C$15,MATCH(C388,Location_Map!$A$2:$A$15,0)),"UNMAPPED")</f>
        <v>West</v>
      </c>
      <c r="G388" s="0" t="str">
        <f aca="false">IFERROR(INDEX(Location_Map!$B$2:$B$15,MATCH(D388,Location_Map!$A$2:$A$15,0)),"UNMAPPED")</f>
        <v>Maharashtra</v>
      </c>
      <c r="H388" s="0" t="str">
        <f aca="false">IFERROR(INDEX(Location_Map!$C$2:$C$15,MATCH(D388,Location_Map!$A$2:$A$15,0)),"UNMAPPED")</f>
        <v>West</v>
      </c>
      <c r="I388" s="0" t="str">
        <f aca="false">Raw!E388</f>
        <v>Raw Yarn</v>
      </c>
      <c r="J388" s="28" t="n">
        <f aca="false">Raw!F388</f>
        <v>18.35</v>
      </c>
      <c r="K388" s="30" t="n">
        <f aca="false">DATE(LEFT(Raw!G388,4),MID(Raw!G388,6,2),MID(Raw!G388,9,2))</f>
        <v>45759</v>
      </c>
      <c r="L388" s="30" t="n">
        <f aca="false">DATE(LEFT(Raw!H388,4),MID(Raw!H388,6,2),MID(Raw!H388,9,2))</f>
        <v>45761</v>
      </c>
      <c r="M388" s="30" t="n">
        <f aca="false">DATE(LEFT(Raw!I388,4),MID(Raw!I388,6,2),MID(Raw!I388,9,2))</f>
        <v>45764</v>
      </c>
      <c r="N388" s="31" t="n">
        <f aca="false">DATE(LEFT(Raw!J388,4),MID(Raw!J388,6,2),MID(Raw!J388,9,2))+TIME(MID(Raw!J388,12,2),MID(Raw!J388,15,2),MID(Raw!J388,18,2))</f>
        <v>45761.0416666667</v>
      </c>
      <c r="O388" s="31" t="n">
        <f aca="false">DATE(LEFT(Raw!K388,4),MID(Raw!K388,6,2),MID(Raw!K388,9,2))+TIME(MID(Raw!K388,12,2),MID(Raw!K388,15,2),MID(Raw!K388,18,2))</f>
        <v>45769</v>
      </c>
      <c r="P388" s="32" t="n">
        <f aca="false">L388-K388</f>
        <v>2</v>
      </c>
      <c r="Q388" s="32" t="n">
        <f aca="false">M388-L388</f>
        <v>3</v>
      </c>
      <c r="R388" s="32" t="n">
        <f aca="false">O388-N388</f>
        <v>7.95833333333333</v>
      </c>
      <c r="S388" s="32" t="n">
        <f aca="false">Raw!L388</f>
        <v>5</v>
      </c>
      <c r="T388" s="32" t="n">
        <f aca="false">O388-M388</f>
        <v>5</v>
      </c>
      <c r="U388" s="0" t="str">
        <f aca="false">IF(ABS(T388-S388)&lt;0.01,"OK","MISMATCH")</f>
        <v>OK</v>
      </c>
      <c r="V388" s="33" t="n">
        <f aca="false">Raw!M388</f>
        <v>1</v>
      </c>
      <c r="W388" s="0" t="str">
        <f aca="false">IF((S388&gt;0)=(V388=1),"OK","MISMATCH")</f>
        <v>OK</v>
      </c>
      <c r="X388" s="0" t="str">
        <f aca="false">_xlfn.IFS(S388&lt;=0,"Early/On time",S388&lt;=2,"Minor (up to 2 days)",S388&lt;=5,"Moderate (2-5 days)",TRUE(),"Severe (over 5 days)")</f>
        <v>Moderate (2-5 days)</v>
      </c>
      <c r="Y388" s="0" t="str">
        <f aca="false">YEAR(K388)&amp;"-"&amp;TEXT(MONTH(K388),"00")</f>
        <v>2025-04</v>
      </c>
      <c r="Z388" s="0" t="str">
        <f aca="false">C388&amp;" → "&amp;D388</f>
        <v>Surat → Mumbai</v>
      </c>
      <c r="AA388" s="0" t="str">
        <f aca="false">Raw!Q388</f>
        <v>GATI Logistics</v>
      </c>
      <c r="AB388" s="0" t="str">
        <f aca="false">Raw!R388</f>
        <v>No</v>
      </c>
      <c r="AC388" s="0" t="str">
        <f aca="false">Raw!S388</f>
        <v>Damaged</v>
      </c>
      <c r="AD388" s="29" t="n">
        <f aca="false">Raw!N388</f>
        <v>9585.48</v>
      </c>
      <c r="AE388" s="29" t="n">
        <f aca="false">Raw!O388</f>
        <v>2112.52</v>
      </c>
      <c r="AF388" s="29" t="n">
        <f aca="false">Raw!P388</f>
        <v>642.26</v>
      </c>
      <c r="AG388" s="29" t="n">
        <f aca="false">AD388/J388</f>
        <v>522.369482288828</v>
      </c>
    </row>
    <row r="389" customFormat="false" ht="15" hidden="false" customHeight="false" outlineLevel="0" collapsed="false">
      <c r="A389" s="0" t="str">
        <f aca="false">Raw!A389</f>
        <v>SHP0388</v>
      </c>
      <c r="B389" s="0" t="str">
        <f aca="false">Raw!B389</f>
        <v>Inbound</v>
      </c>
      <c r="C389" s="0" t="str">
        <f aca="false">Raw!C389</f>
        <v>Chennai</v>
      </c>
      <c r="D389" s="0" t="str">
        <f aca="false">Raw!D389</f>
        <v>Surat</v>
      </c>
      <c r="E389" s="0" t="str">
        <f aca="false">IFERROR(INDEX(Location_Map!$B$2:$B$15,MATCH(C389,Location_Map!$A$2:$A$15,0)),"UNMAPPED")</f>
        <v>Tamil Nadu</v>
      </c>
      <c r="F389" s="0" t="str">
        <f aca="false">IFERROR(INDEX(Location_Map!$C$2:$C$15,MATCH(C389,Location_Map!$A$2:$A$15,0)),"UNMAPPED")</f>
        <v>South</v>
      </c>
      <c r="G389" s="0" t="str">
        <f aca="false">IFERROR(INDEX(Location_Map!$B$2:$B$15,MATCH(D389,Location_Map!$A$2:$A$15,0)),"UNMAPPED")</f>
        <v>Gujarat</v>
      </c>
      <c r="H389" s="0" t="str">
        <f aca="false">IFERROR(INDEX(Location_Map!$C$2:$C$15,MATCH(D389,Location_Map!$A$2:$A$15,0)),"UNMAPPED")</f>
        <v>West</v>
      </c>
      <c r="I389" s="0" t="str">
        <f aca="false">Raw!E389</f>
        <v>Raw Yarn</v>
      </c>
      <c r="J389" s="28" t="n">
        <f aca="false">Raw!F389</f>
        <v>6.95</v>
      </c>
      <c r="K389" s="30" t="n">
        <f aca="false">DATE(LEFT(Raw!G389,4),MID(Raw!G389,6,2),MID(Raw!G389,9,2))</f>
        <v>45912</v>
      </c>
      <c r="L389" s="30" t="n">
        <f aca="false">DATE(LEFT(Raw!H389,4),MID(Raw!H389,6,2),MID(Raw!H389,9,2))</f>
        <v>45913</v>
      </c>
      <c r="M389" s="30" t="n">
        <f aca="false">DATE(LEFT(Raw!I389,4),MID(Raw!I389,6,2),MID(Raw!I389,9,2))</f>
        <v>45915</v>
      </c>
      <c r="N389" s="31" t="n">
        <f aca="false">DATE(LEFT(Raw!J389,4),MID(Raw!J389,6,2),MID(Raw!J389,9,2))+TIME(MID(Raw!J389,12,2),MID(Raw!J389,15,2),MID(Raw!J389,18,2))</f>
        <v>45913.375</v>
      </c>
      <c r="O389" s="31" t="n">
        <f aca="false">DATE(LEFT(Raw!K389,4),MID(Raw!K389,6,2),MID(Raw!K389,9,2))+TIME(MID(Raw!K389,12,2),MID(Raw!K389,15,2),MID(Raw!K389,18,2))</f>
        <v>45920.1</v>
      </c>
      <c r="P389" s="32" t="n">
        <f aca="false">L389-K389</f>
        <v>1</v>
      </c>
      <c r="Q389" s="32" t="n">
        <f aca="false">M389-L389</f>
        <v>2</v>
      </c>
      <c r="R389" s="32" t="n">
        <f aca="false">O389-N389</f>
        <v>6.725</v>
      </c>
      <c r="S389" s="32" t="n">
        <f aca="false">Raw!L389</f>
        <v>5.1</v>
      </c>
      <c r="T389" s="32" t="n">
        <f aca="false">O389-M389</f>
        <v>5.1</v>
      </c>
      <c r="U389" s="0" t="str">
        <f aca="false">IF(ABS(T389-S389)&lt;0.01,"OK","MISMATCH")</f>
        <v>OK</v>
      </c>
      <c r="V389" s="33" t="n">
        <f aca="false">Raw!M389</f>
        <v>1</v>
      </c>
      <c r="W389" s="0" t="str">
        <f aca="false">IF((S389&gt;0)=(V389=1),"OK","MISMATCH")</f>
        <v>OK</v>
      </c>
      <c r="X389" s="0" t="str">
        <f aca="false">_xlfn.IFS(S389&lt;=0,"Early/On time",S389&lt;=2,"Minor (up to 2 days)",S389&lt;=5,"Moderate (2-5 days)",TRUE(),"Severe (over 5 days)")</f>
        <v>Severe (over 5 days)</v>
      </c>
      <c r="Y389" s="0" t="str">
        <f aca="false">YEAR(K389)&amp;"-"&amp;TEXT(MONTH(K389),"00")</f>
        <v>2025-09</v>
      </c>
      <c r="Z389" s="0" t="str">
        <f aca="false">C389&amp;" → "&amp;D389</f>
        <v>Chennai → Surat</v>
      </c>
      <c r="AA389" s="0" t="str">
        <f aca="false">Raw!Q389</f>
        <v>VRL Cargo</v>
      </c>
      <c r="AB389" s="0" t="str">
        <f aca="false">Raw!R389</f>
        <v>No</v>
      </c>
      <c r="AC389" s="0" t="str">
        <f aca="false">Raw!S389</f>
        <v>Expedited</v>
      </c>
      <c r="AD389" s="29" t="n">
        <f aca="false">Raw!N389</f>
        <v>6475.36</v>
      </c>
      <c r="AE389" s="29" t="n">
        <f aca="false">Raw!O389</f>
        <v>2811.25</v>
      </c>
      <c r="AF389" s="29" t="n">
        <f aca="false">Raw!P389</f>
        <v>698.49</v>
      </c>
      <c r="AG389" s="29" t="n">
        <f aca="false">AD389/J389</f>
        <v>931.706474820144</v>
      </c>
    </row>
    <row r="390" customFormat="false" ht="15" hidden="false" customHeight="false" outlineLevel="0" collapsed="false">
      <c r="A390" s="0" t="str">
        <f aca="false">Raw!A390</f>
        <v>SHP0389</v>
      </c>
      <c r="B390" s="0" t="str">
        <f aca="false">Raw!B390</f>
        <v>Outbound</v>
      </c>
      <c r="C390" s="0" t="str">
        <f aca="false">Raw!C390</f>
        <v>Surat</v>
      </c>
      <c r="D390" s="0" t="str">
        <f aca="false">Raw!D390</f>
        <v>West Bengal</v>
      </c>
      <c r="E390" s="0" t="str">
        <f aca="false">IFERROR(INDEX(Location_Map!$B$2:$B$15,MATCH(C390,Location_Map!$A$2:$A$15,0)),"UNMAPPED")</f>
        <v>Gujarat</v>
      </c>
      <c r="F390" s="0" t="str">
        <f aca="false">IFERROR(INDEX(Location_Map!$C$2:$C$15,MATCH(C390,Location_Map!$A$2:$A$15,0)),"UNMAPPED")</f>
        <v>West</v>
      </c>
      <c r="G390" s="0" t="str">
        <f aca="false">IFERROR(INDEX(Location_Map!$B$2:$B$15,MATCH(D390,Location_Map!$A$2:$A$15,0)),"UNMAPPED")</f>
        <v>West Bengal</v>
      </c>
      <c r="H390" s="0" t="str">
        <f aca="false">IFERROR(INDEX(Location_Map!$C$2:$C$15,MATCH(D390,Location_Map!$A$2:$A$15,0)),"UNMAPPED")</f>
        <v>East</v>
      </c>
      <c r="I390" s="0" t="str">
        <f aca="false">Raw!E390</f>
        <v>Finished Yarn</v>
      </c>
      <c r="J390" s="28" t="n">
        <f aca="false">Raw!F390</f>
        <v>4.13</v>
      </c>
      <c r="K390" s="30" t="n">
        <f aca="false">DATE(LEFT(Raw!G390,4),MID(Raw!G390,6,2),MID(Raw!G390,9,2))</f>
        <v>45729</v>
      </c>
      <c r="L390" s="30" t="n">
        <f aca="false">DATE(LEFT(Raw!H390,4),MID(Raw!H390,6,2),MID(Raw!H390,9,2))</f>
        <v>45732</v>
      </c>
      <c r="M390" s="30" t="n">
        <f aca="false">DATE(LEFT(Raw!I390,4),MID(Raw!I390,6,2),MID(Raw!I390,9,2))</f>
        <v>45738</v>
      </c>
      <c r="N390" s="31" t="n">
        <f aca="false">DATE(LEFT(Raw!J390,4),MID(Raw!J390,6,2),MID(Raw!J390,9,2))+TIME(MID(Raw!J390,12,2),MID(Raw!J390,15,2),MID(Raw!J390,18,2))</f>
        <v>45732.1666666667</v>
      </c>
      <c r="O390" s="31" t="n">
        <f aca="false">DATE(LEFT(Raw!K390,4),MID(Raw!K390,6,2),MID(Raw!K390,9,2))+TIME(MID(Raw!K390,12,2),MID(Raw!K390,15,2),MID(Raw!K390,18,2))</f>
        <v>45740.3</v>
      </c>
      <c r="P390" s="32" t="n">
        <f aca="false">L390-K390</f>
        <v>3</v>
      </c>
      <c r="Q390" s="32" t="n">
        <f aca="false">M390-L390</f>
        <v>6</v>
      </c>
      <c r="R390" s="32" t="n">
        <f aca="false">O390-N390</f>
        <v>8.13333333333333</v>
      </c>
      <c r="S390" s="32" t="n">
        <f aca="false">Raw!L390</f>
        <v>2.3</v>
      </c>
      <c r="T390" s="32" t="n">
        <f aca="false">O390-M390</f>
        <v>2.3</v>
      </c>
      <c r="U390" s="0" t="str">
        <f aca="false">IF(ABS(T390-S390)&lt;0.01,"OK","MISMATCH")</f>
        <v>OK</v>
      </c>
      <c r="V390" s="33" t="n">
        <f aca="false">Raw!M390</f>
        <v>1</v>
      </c>
      <c r="W390" s="0" t="str">
        <f aca="false">IF((S390&gt;0)=(V390=1),"OK","MISMATCH")</f>
        <v>OK</v>
      </c>
      <c r="X390" s="0" t="str">
        <f aca="false">_xlfn.IFS(S390&lt;=0,"Early/On time",S390&lt;=2,"Minor (up to 2 days)",S390&lt;=5,"Moderate (2-5 days)",TRUE(),"Severe (over 5 days)")</f>
        <v>Moderate (2-5 days)</v>
      </c>
      <c r="Y390" s="0" t="str">
        <f aca="false">YEAR(K390)&amp;"-"&amp;TEXT(MONTH(K390),"00")</f>
        <v>2025-03</v>
      </c>
      <c r="Z390" s="0" t="str">
        <f aca="false">C390&amp;" → "&amp;D390</f>
        <v>Surat → West Bengal</v>
      </c>
      <c r="AA390" s="0" t="str">
        <f aca="false">Raw!Q390</f>
        <v>Delhivery</v>
      </c>
      <c r="AB390" s="0" t="str">
        <f aca="false">Raw!R390</f>
        <v>No</v>
      </c>
      <c r="AC390" s="0" t="str">
        <f aca="false">Raw!S390</f>
        <v>Expedited</v>
      </c>
      <c r="AD390" s="29" t="n">
        <f aca="false">Raw!N390</f>
        <v>1542.86</v>
      </c>
      <c r="AE390" s="29" t="n">
        <f aca="false">Raw!O390</f>
        <v>4619.07</v>
      </c>
      <c r="AF390" s="29" t="n">
        <f aca="false">Raw!P390</f>
        <v>1147.52</v>
      </c>
      <c r="AG390" s="29" t="n">
        <f aca="false">AD390/J390</f>
        <v>373.573849878935</v>
      </c>
    </row>
    <row r="391" customFormat="false" ht="15" hidden="false" customHeight="false" outlineLevel="0" collapsed="false">
      <c r="A391" s="0" t="str">
        <f aca="false">Raw!A391</f>
        <v>SHP0390</v>
      </c>
      <c r="B391" s="0" t="str">
        <f aca="false">Raw!B391</f>
        <v>Inbound</v>
      </c>
      <c r="C391" s="0" t="str">
        <f aca="false">Raw!C391</f>
        <v>Chennai</v>
      </c>
      <c r="D391" s="0" t="str">
        <f aca="false">Raw!D391</f>
        <v>Surat</v>
      </c>
      <c r="E391" s="0" t="str">
        <f aca="false">IFERROR(INDEX(Location_Map!$B$2:$B$15,MATCH(C391,Location_Map!$A$2:$A$15,0)),"UNMAPPED")</f>
        <v>Tamil Nadu</v>
      </c>
      <c r="F391" s="0" t="str">
        <f aca="false">IFERROR(INDEX(Location_Map!$C$2:$C$15,MATCH(C391,Location_Map!$A$2:$A$15,0)),"UNMAPPED")</f>
        <v>South</v>
      </c>
      <c r="G391" s="0" t="str">
        <f aca="false">IFERROR(INDEX(Location_Map!$B$2:$B$15,MATCH(D391,Location_Map!$A$2:$A$15,0)),"UNMAPPED")</f>
        <v>Gujarat</v>
      </c>
      <c r="H391" s="0" t="str">
        <f aca="false">IFERROR(INDEX(Location_Map!$C$2:$C$15,MATCH(D391,Location_Map!$A$2:$A$15,0)),"UNMAPPED")</f>
        <v>West</v>
      </c>
      <c r="I391" s="0" t="str">
        <f aca="false">Raw!E391</f>
        <v>Finished Yarn</v>
      </c>
      <c r="J391" s="28" t="n">
        <f aca="false">Raw!F391</f>
        <v>6.19</v>
      </c>
      <c r="K391" s="30" t="n">
        <f aca="false">DATE(LEFT(Raw!G391,4),MID(Raw!G391,6,2),MID(Raw!G391,9,2))</f>
        <v>45711</v>
      </c>
      <c r="L391" s="30" t="n">
        <f aca="false">DATE(LEFT(Raw!H391,4),MID(Raw!H391,6,2),MID(Raw!H391,9,2))</f>
        <v>45713</v>
      </c>
      <c r="M391" s="30" t="n">
        <f aca="false">DATE(LEFT(Raw!I391,4),MID(Raw!I391,6,2),MID(Raw!I391,9,2))</f>
        <v>45717</v>
      </c>
      <c r="N391" s="31" t="n">
        <f aca="false">DATE(LEFT(Raw!J391,4),MID(Raw!J391,6,2),MID(Raw!J391,9,2))+TIME(MID(Raw!J391,12,2),MID(Raw!J391,15,2),MID(Raw!J391,18,2))</f>
        <v>45713.1666666667</v>
      </c>
      <c r="O391" s="31" t="n">
        <f aca="false">DATE(LEFT(Raw!K391,4),MID(Raw!K391,6,2),MID(Raw!K391,9,2))+TIME(MID(Raw!K391,12,2),MID(Raw!K391,15,2),MID(Raw!K391,18,2))</f>
        <v>45716</v>
      </c>
      <c r="P391" s="32" t="n">
        <f aca="false">L391-K391</f>
        <v>2</v>
      </c>
      <c r="Q391" s="32" t="n">
        <f aca="false">M391-L391</f>
        <v>4</v>
      </c>
      <c r="R391" s="32" t="n">
        <f aca="false">O391-N391</f>
        <v>2.83333333333333</v>
      </c>
      <c r="S391" s="32" t="n">
        <f aca="false">Raw!L391</f>
        <v>-1</v>
      </c>
      <c r="T391" s="32" t="n">
        <f aca="false">O391-M391</f>
        <v>-1</v>
      </c>
      <c r="U391" s="0" t="str">
        <f aca="false">IF(ABS(T391-S391)&lt;0.01,"OK","MISMATCH")</f>
        <v>OK</v>
      </c>
      <c r="V391" s="33" t="n">
        <f aca="false">Raw!M391</f>
        <v>0</v>
      </c>
      <c r="W391" s="0" t="str">
        <f aca="false">IF((S391&gt;0)=(V391=1),"OK","MISMATCH")</f>
        <v>OK</v>
      </c>
      <c r="X391" s="0" t="str">
        <f aca="false">_xlfn.IFS(S391&lt;=0,"Early/On time",S391&lt;=2,"Minor (up to 2 days)",S391&lt;=5,"Moderate (2-5 days)",TRUE(),"Severe (over 5 days)")</f>
        <v>Early/On time</v>
      </c>
      <c r="Y391" s="0" t="str">
        <f aca="false">YEAR(K391)&amp;"-"&amp;TEXT(MONTH(K391),"00")</f>
        <v>2025-02</v>
      </c>
      <c r="Z391" s="0" t="str">
        <f aca="false">C391&amp;" → "&amp;D391</f>
        <v>Chennai → Surat</v>
      </c>
      <c r="AA391" s="0" t="str">
        <f aca="false">Raw!Q391</f>
        <v>Delhivery</v>
      </c>
      <c r="AB391" s="0" t="str">
        <f aca="false">Raw!R391</f>
        <v>Yes</v>
      </c>
      <c r="AC391" s="0" t="str">
        <f aca="false">Raw!S391</f>
        <v>Damaged</v>
      </c>
      <c r="AD391" s="29" t="n">
        <f aca="false">Raw!N391</f>
        <v>5377.47</v>
      </c>
      <c r="AE391" s="29" t="n">
        <f aca="false">Raw!O391</f>
        <v>2849.56</v>
      </c>
      <c r="AF391" s="29" t="n">
        <f aca="false">Raw!P391</f>
        <v>1364.96</v>
      </c>
      <c r="AG391" s="29" t="n">
        <f aca="false">AD391/J391</f>
        <v>868.735056542811</v>
      </c>
    </row>
    <row r="392" customFormat="false" ht="15" hidden="false" customHeight="false" outlineLevel="0" collapsed="false">
      <c r="A392" s="0" t="str">
        <f aca="false">Raw!A392</f>
        <v>SHP0391</v>
      </c>
      <c r="B392" s="0" t="str">
        <f aca="false">Raw!B392</f>
        <v>Inbound</v>
      </c>
      <c r="C392" s="0" t="str">
        <f aca="false">Raw!C392</f>
        <v>Gujarat</v>
      </c>
      <c r="D392" s="0" t="str">
        <f aca="false">Raw!D392</f>
        <v>Surat</v>
      </c>
      <c r="E392" s="0" t="str">
        <f aca="false">IFERROR(INDEX(Location_Map!$B$2:$B$15,MATCH(C392,Location_Map!$A$2:$A$15,0)),"UNMAPPED")</f>
        <v>Gujarat</v>
      </c>
      <c r="F392" s="0" t="str">
        <f aca="false">IFERROR(INDEX(Location_Map!$C$2:$C$15,MATCH(C392,Location_Map!$A$2:$A$15,0)),"UNMAPPED")</f>
        <v>West</v>
      </c>
      <c r="G392" s="0" t="str">
        <f aca="false">IFERROR(INDEX(Location_Map!$B$2:$B$15,MATCH(D392,Location_Map!$A$2:$A$15,0)),"UNMAPPED")</f>
        <v>Gujarat</v>
      </c>
      <c r="H392" s="0" t="str">
        <f aca="false">IFERROR(INDEX(Location_Map!$C$2:$C$15,MATCH(D392,Location_Map!$A$2:$A$15,0)),"UNMAPPED")</f>
        <v>West</v>
      </c>
      <c r="I392" s="0" t="str">
        <f aca="false">Raw!E392</f>
        <v>Finished Yarn</v>
      </c>
      <c r="J392" s="28" t="n">
        <f aca="false">Raw!F392</f>
        <v>5.74</v>
      </c>
      <c r="K392" s="30" t="n">
        <f aca="false">DATE(LEFT(Raw!G392,4),MID(Raw!G392,6,2),MID(Raw!G392,9,2))</f>
        <v>45873</v>
      </c>
      <c r="L392" s="30" t="n">
        <f aca="false">DATE(LEFT(Raw!H392,4),MID(Raw!H392,6,2),MID(Raw!H392,9,2))</f>
        <v>45877</v>
      </c>
      <c r="M392" s="30" t="n">
        <f aca="false">DATE(LEFT(Raw!I392,4),MID(Raw!I392,6,2),MID(Raw!I392,9,2))</f>
        <v>45880</v>
      </c>
      <c r="N392" s="31" t="n">
        <f aca="false">DATE(LEFT(Raw!J392,4),MID(Raw!J392,6,2),MID(Raw!J392,9,2))+TIME(MID(Raw!J392,12,2),MID(Raw!J392,15,2),MID(Raw!J392,18,2))</f>
        <v>45876.7916666667</v>
      </c>
      <c r="O392" s="31" t="n">
        <f aca="false">DATE(LEFT(Raw!K392,4),MID(Raw!K392,6,2),MID(Raw!K392,9,2))+TIME(MID(Raw!K392,12,2),MID(Raw!K392,15,2),MID(Raw!K392,18,2))</f>
        <v>45885.4</v>
      </c>
      <c r="P392" s="32" t="n">
        <f aca="false">L392-K392</f>
        <v>4</v>
      </c>
      <c r="Q392" s="32" t="n">
        <f aca="false">M392-L392</f>
        <v>3</v>
      </c>
      <c r="R392" s="32" t="n">
        <f aca="false">O392-N392</f>
        <v>8.60833333333333</v>
      </c>
      <c r="S392" s="32" t="n">
        <f aca="false">Raw!L392</f>
        <v>5.4</v>
      </c>
      <c r="T392" s="32" t="n">
        <f aca="false">O392-M392</f>
        <v>5.4</v>
      </c>
      <c r="U392" s="0" t="str">
        <f aca="false">IF(ABS(T392-S392)&lt;0.01,"OK","MISMATCH")</f>
        <v>OK</v>
      </c>
      <c r="V392" s="33" t="n">
        <f aca="false">Raw!M392</f>
        <v>1</v>
      </c>
      <c r="W392" s="0" t="str">
        <f aca="false">IF((S392&gt;0)=(V392=1),"OK","MISMATCH")</f>
        <v>OK</v>
      </c>
      <c r="X392" s="0" t="str">
        <f aca="false">_xlfn.IFS(S392&lt;=0,"Early/On time",S392&lt;=2,"Minor (up to 2 days)",S392&lt;=5,"Moderate (2-5 days)",TRUE(),"Severe (over 5 days)")</f>
        <v>Severe (over 5 days)</v>
      </c>
      <c r="Y392" s="0" t="str">
        <f aca="false">YEAR(K392)&amp;"-"&amp;TEXT(MONTH(K392),"00")</f>
        <v>2025-08</v>
      </c>
      <c r="Z392" s="0" t="str">
        <f aca="false">C392&amp;" → "&amp;D392</f>
        <v>Gujarat → Surat</v>
      </c>
      <c r="AA392" s="0" t="str">
        <f aca="false">Raw!Q392</f>
        <v>Delhivery</v>
      </c>
      <c r="AB392" s="0" t="str">
        <f aca="false">Raw!R392</f>
        <v>Yes</v>
      </c>
      <c r="AC392" s="0" t="str">
        <f aca="false">Raw!S392</f>
        <v>Damaged</v>
      </c>
      <c r="AD392" s="29" t="n">
        <f aca="false">Raw!N392</f>
        <v>3808.89</v>
      </c>
      <c r="AE392" s="29" t="n">
        <f aca="false">Raw!O392</f>
        <v>4760.88</v>
      </c>
      <c r="AF392" s="29" t="n">
        <f aca="false">Raw!P392</f>
        <v>1103.8</v>
      </c>
      <c r="AG392" s="29" t="n">
        <f aca="false">AD392/J392</f>
        <v>663.56968641115</v>
      </c>
    </row>
    <row r="393" customFormat="false" ht="15" hidden="false" customHeight="false" outlineLevel="0" collapsed="false">
      <c r="A393" s="0" t="str">
        <f aca="false">Raw!A393</f>
        <v>SHP0392</v>
      </c>
      <c r="B393" s="0" t="str">
        <f aca="false">Raw!B393</f>
        <v>Inbound</v>
      </c>
      <c r="C393" s="0" t="str">
        <f aca="false">Raw!C393</f>
        <v>Gujarat</v>
      </c>
      <c r="D393" s="0" t="str">
        <f aca="false">Raw!D393</f>
        <v>Surat</v>
      </c>
      <c r="E393" s="0" t="str">
        <f aca="false">IFERROR(INDEX(Location_Map!$B$2:$B$15,MATCH(C393,Location_Map!$A$2:$A$15,0)),"UNMAPPED")</f>
        <v>Gujarat</v>
      </c>
      <c r="F393" s="0" t="str">
        <f aca="false">IFERROR(INDEX(Location_Map!$C$2:$C$15,MATCH(C393,Location_Map!$A$2:$A$15,0)),"UNMAPPED")</f>
        <v>West</v>
      </c>
      <c r="G393" s="0" t="str">
        <f aca="false">IFERROR(INDEX(Location_Map!$B$2:$B$15,MATCH(D393,Location_Map!$A$2:$A$15,0)),"UNMAPPED")</f>
        <v>Gujarat</v>
      </c>
      <c r="H393" s="0" t="str">
        <f aca="false">IFERROR(INDEX(Location_Map!$C$2:$C$15,MATCH(D393,Location_Map!$A$2:$A$15,0)),"UNMAPPED")</f>
        <v>West</v>
      </c>
      <c r="I393" s="0" t="str">
        <f aca="false">Raw!E393</f>
        <v>Semi-Processed Yarn</v>
      </c>
      <c r="J393" s="28" t="n">
        <f aca="false">Raw!F393</f>
        <v>17.4</v>
      </c>
      <c r="K393" s="30" t="n">
        <f aca="false">DATE(LEFT(Raw!G393,4),MID(Raw!G393,6,2),MID(Raw!G393,9,2))</f>
        <v>45904</v>
      </c>
      <c r="L393" s="30" t="n">
        <f aca="false">DATE(LEFT(Raw!H393,4),MID(Raw!H393,6,2),MID(Raw!H393,9,2))</f>
        <v>45905</v>
      </c>
      <c r="M393" s="30" t="n">
        <f aca="false">DATE(LEFT(Raw!I393,4),MID(Raw!I393,6,2),MID(Raw!I393,9,2))</f>
        <v>45911</v>
      </c>
      <c r="N393" s="31" t="n">
        <f aca="false">DATE(LEFT(Raw!J393,4),MID(Raw!J393,6,2),MID(Raw!J393,9,2))+TIME(MID(Raw!J393,12,2),MID(Raw!J393,15,2),MID(Raw!J393,18,2))</f>
        <v>45904.7916666667</v>
      </c>
      <c r="O393" s="31" t="n">
        <f aca="false">DATE(LEFT(Raw!K393,4),MID(Raw!K393,6,2),MID(Raw!K393,9,2))+TIME(MID(Raw!K393,12,2),MID(Raw!K393,15,2),MID(Raw!K393,18,2))</f>
        <v>45910</v>
      </c>
      <c r="P393" s="32" t="n">
        <f aca="false">L393-K393</f>
        <v>1</v>
      </c>
      <c r="Q393" s="32" t="n">
        <f aca="false">M393-L393</f>
        <v>6</v>
      </c>
      <c r="R393" s="32" t="n">
        <f aca="false">O393-N393</f>
        <v>5.20833333333333</v>
      </c>
      <c r="S393" s="32" t="n">
        <f aca="false">Raw!L393</f>
        <v>-1</v>
      </c>
      <c r="T393" s="32" t="n">
        <f aca="false">O393-M393</f>
        <v>-1</v>
      </c>
      <c r="U393" s="0" t="str">
        <f aca="false">IF(ABS(T393-S393)&lt;0.01,"OK","MISMATCH")</f>
        <v>OK</v>
      </c>
      <c r="V393" s="33" t="n">
        <f aca="false">Raw!M393</f>
        <v>0</v>
      </c>
      <c r="W393" s="0" t="str">
        <f aca="false">IF((S393&gt;0)=(V393=1),"OK","MISMATCH")</f>
        <v>OK</v>
      </c>
      <c r="X393" s="0" t="str">
        <f aca="false">_xlfn.IFS(S393&lt;=0,"Early/On time",S393&lt;=2,"Minor (up to 2 days)",S393&lt;=5,"Moderate (2-5 days)",TRUE(),"Severe (over 5 days)")</f>
        <v>Early/On time</v>
      </c>
      <c r="Y393" s="0" t="str">
        <f aca="false">YEAR(K393)&amp;"-"&amp;TEXT(MONTH(K393),"00")</f>
        <v>2025-09</v>
      </c>
      <c r="Z393" s="0" t="str">
        <f aca="false">C393&amp;" → "&amp;D393</f>
        <v>Gujarat → Surat</v>
      </c>
      <c r="AA393" s="0" t="str">
        <f aca="false">Raw!Q393</f>
        <v>TCI Express</v>
      </c>
      <c r="AB393" s="0" t="str">
        <f aca="false">Raw!R393</f>
        <v>No</v>
      </c>
      <c r="AC393" s="0" t="str">
        <f aca="false">Raw!S393</f>
        <v>Damaged</v>
      </c>
      <c r="AD393" s="29" t="n">
        <f aca="false">Raw!N393</f>
        <v>6502.95</v>
      </c>
      <c r="AE393" s="29" t="n">
        <f aca="false">Raw!O393</f>
        <v>4799.6</v>
      </c>
      <c r="AF393" s="29" t="n">
        <f aca="false">Raw!P393</f>
        <v>637.09</v>
      </c>
      <c r="AG393" s="29" t="n">
        <f aca="false">AD393/J393</f>
        <v>373.73275862069</v>
      </c>
    </row>
    <row r="394" customFormat="false" ht="15" hidden="false" customHeight="false" outlineLevel="0" collapsed="false">
      <c r="A394" s="0" t="str">
        <f aca="false">Raw!A394</f>
        <v>SHP0393</v>
      </c>
      <c r="B394" s="0" t="str">
        <f aca="false">Raw!B394</f>
        <v>Inbound</v>
      </c>
      <c r="C394" s="0" t="str">
        <f aca="false">Raw!C394</f>
        <v>Punjab</v>
      </c>
      <c r="D394" s="0" t="str">
        <f aca="false">Raw!D394</f>
        <v>Surat</v>
      </c>
      <c r="E394" s="0" t="str">
        <f aca="false">IFERROR(INDEX(Location_Map!$B$2:$B$15,MATCH(C394,Location_Map!$A$2:$A$15,0)),"UNMAPPED")</f>
        <v>Punjab</v>
      </c>
      <c r="F394" s="0" t="str">
        <f aca="false">IFERROR(INDEX(Location_Map!$C$2:$C$15,MATCH(C394,Location_Map!$A$2:$A$15,0)),"UNMAPPED")</f>
        <v>North</v>
      </c>
      <c r="G394" s="0" t="str">
        <f aca="false">IFERROR(INDEX(Location_Map!$B$2:$B$15,MATCH(D394,Location_Map!$A$2:$A$15,0)),"UNMAPPED")</f>
        <v>Gujarat</v>
      </c>
      <c r="H394" s="0" t="str">
        <f aca="false">IFERROR(INDEX(Location_Map!$C$2:$C$15,MATCH(D394,Location_Map!$A$2:$A$15,0)),"UNMAPPED")</f>
        <v>West</v>
      </c>
      <c r="I394" s="0" t="str">
        <f aca="false">Raw!E394</f>
        <v>Semi-Processed Yarn</v>
      </c>
      <c r="J394" s="28" t="n">
        <f aca="false">Raw!F394</f>
        <v>14.94</v>
      </c>
      <c r="K394" s="30" t="n">
        <f aca="false">DATE(LEFT(Raw!G394,4),MID(Raw!G394,6,2),MID(Raw!G394,9,2))</f>
        <v>45847</v>
      </c>
      <c r="L394" s="30" t="n">
        <f aca="false">DATE(LEFT(Raw!H394,4),MID(Raw!H394,6,2),MID(Raw!H394,9,2))</f>
        <v>45850</v>
      </c>
      <c r="M394" s="30" t="n">
        <f aca="false">DATE(LEFT(Raw!I394,4),MID(Raw!I394,6,2),MID(Raw!I394,9,2))</f>
        <v>45853</v>
      </c>
      <c r="N394" s="31" t="n">
        <f aca="false">DATE(LEFT(Raw!J394,4),MID(Raw!J394,6,2),MID(Raw!J394,9,2))+TIME(MID(Raw!J394,12,2),MID(Raw!J394,15,2),MID(Raw!J394,18,2))</f>
        <v>45850.25</v>
      </c>
      <c r="O394" s="31" t="n">
        <f aca="false">DATE(LEFT(Raw!K394,4),MID(Raw!K394,6,2),MID(Raw!K394,9,2))+TIME(MID(Raw!K394,12,2),MID(Raw!K394,15,2),MID(Raw!K394,18,2))</f>
        <v>45857.7</v>
      </c>
      <c r="P394" s="32" t="n">
        <f aca="false">L394-K394</f>
        <v>3</v>
      </c>
      <c r="Q394" s="32" t="n">
        <f aca="false">M394-L394</f>
        <v>3</v>
      </c>
      <c r="R394" s="32" t="n">
        <f aca="false">O394-N394</f>
        <v>7.45</v>
      </c>
      <c r="S394" s="32" t="n">
        <f aca="false">Raw!L394</f>
        <v>4.7</v>
      </c>
      <c r="T394" s="32" t="n">
        <f aca="false">O394-M394</f>
        <v>4.7</v>
      </c>
      <c r="U394" s="0" t="str">
        <f aca="false">IF(ABS(T394-S394)&lt;0.01,"OK","MISMATCH")</f>
        <v>OK</v>
      </c>
      <c r="V394" s="33" t="n">
        <f aca="false">Raw!M394</f>
        <v>1</v>
      </c>
      <c r="W394" s="0" t="str">
        <f aca="false">IF((S394&gt;0)=(V394=1),"OK","MISMATCH")</f>
        <v>OK</v>
      </c>
      <c r="X394" s="0" t="str">
        <f aca="false">_xlfn.IFS(S394&lt;=0,"Early/On time",S394&lt;=2,"Minor (up to 2 days)",S394&lt;=5,"Moderate (2-5 days)",TRUE(),"Severe (over 5 days)")</f>
        <v>Moderate (2-5 days)</v>
      </c>
      <c r="Y394" s="0" t="str">
        <f aca="false">YEAR(K394)&amp;"-"&amp;TEXT(MONTH(K394),"00")</f>
        <v>2025-07</v>
      </c>
      <c r="Z394" s="0" t="str">
        <f aca="false">C394&amp;" → "&amp;D394</f>
        <v>Punjab → Surat</v>
      </c>
      <c r="AA394" s="0" t="str">
        <f aca="false">Raw!Q394</f>
        <v>VRL Cargo</v>
      </c>
      <c r="AB394" s="0" t="str">
        <f aca="false">Raw!R394</f>
        <v>No</v>
      </c>
      <c r="AC394" s="0" t="str">
        <f aca="false">Raw!S394</f>
        <v>Expedited</v>
      </c>
      <c r="AD394" s="29" t="n">
        <f aca="false">Raw!N394</f>
        <v>9172.1</v>
      </c>
      <c r="AE394" s="29" t="n">
        <f aca="false">Raw!O394</f>
        <v>4726.22</v>
      </c>
      <c r="AF394" s="29" t="n">
        <f aca="false">Raw!P394</f>
        <v>1320.98</v>
      </c>
      <c r="AG394" s="29" t="n">
        <f aca="false">AD394/J394</f>
        <v>613.929049531459</v>
      </c>
    </row>
    <row r="395" customFormat="false" ht="15" hidden="false" customHeight="false" outlineLevel="0" collapsed="false">
      <c r="A395" s="0" t="str">
        <f aca="false">Raw!A395</f>
        <v>SHP0394</v>
      </c>
      <c r="B395" s="0" t="str">
        <f aca="false">Raw!B395</f>
        <v>Outbound</v>
      </c>
      <c r="C395" s="0" t="str">
        <f aca="false">Raw!C395</f>
        <v>Surat</v>
      </c>
      <c r="D395" s="0" t="str">
        <f aca="false">Raw!D395</f>
        <v>Kerala</v>
      </c>
      <c r="E395" s="0" t="str">
        <f aca="false">IFERROR(INDEX(Location_Map!$B$2:$B$15,MATCH(C395,Location_Map!$A$2:$A$15,0)),"UNMAPPED")</f>
        <v>Gujarat</v>
      </c>
      <c r="F395" s="0" t="str">
        <f aca="false">IFERROR(INDEX(Location_Map!$C$2:$C$15,MATCH(C395,Location_Map!$A$2:$A$15,0)),"UNMAPPED")</f>
        <v>West</v>
      </c>
      <c r="G395" s="0" t="str">
        <f aca="false">IFERROR(INDEX(Location_Map!$B$2:$B$15,MATCH(D395,Location_Map!$A$2:$A$15,0)),"UNMAPPED")</f>
        <v>Kerala</v>
      </c>
      <c r="H395" s="0" t="str">
        <f aca="false">IFERROR(INDEX(Location_Map!$C$2:$C$15,MATCH(D395,Location_Map!$A$2:$A$15,0)),"UNMAPPED")</f>
        <v>South</v>
      </c>
      <c r="I395" s="0" t="str">
        <f aca="false">Raw!E395</f>
        <v>Finished Yarn</v>
      </c>
      <c r="J395" s="28" t="n">
        <f aca="false">Raw!F395</f>
        <v>11.77</v>
      </c>
      <c r="K395" s="30" t="n">
        <f aca="false">DATE(LEFT(Raw!G395,4),MID(Raw!G395,6,2),MID(Raw!G395,9,2))</f>
        <v>45855</v>
      </c>
      <c r="L395" s="30" t="n">
        <f aca="false">DATE(LEFT(Raw!H395,4),MID(Raw!H395,6,2),MID(Raw!H395,9,2))</f>
        <v>45859</v>
      </c>
      <c r="M395" s="30" t="n">
        <f aca="false">DATE(LEFT(Raw!I395,4),MID(Raw!I395,6,2),MID(Raw!I395,9,2))</f>
        <v>45862</v>
      </c>
      <c r="N395" s="31" t="n">
        <f aca="false">DATE(LEFT(Raw!J395,4),MID(Raw!J395,6,2),MID(Raw!J395,9,2))+TIME(MID(Raw!J395,12,2),MID(Raw!J395,15,2),MID(Raw!J395,18,2))</f>
        <v>45859.1666666667</v>
      </c>
      <c r="O395" s="31" t="n">
        <f aca="false">DATE(LEFT(Raw!K395,4),MID(Raw!K395,6,2),MID(Raw!K395,9,2))+TIME(MID(Raw!K395,12,2),MID(Raw!K395,15,2),MID(Raw!K395,18,2))</f>
        <v>45864.3</v>
      </c>
      <c r="P395" s="32" t="n">
        <f aca="false">L395-K395</f>
        <v>4</v>
      </c>
      <c r="Q395" s="32" t="n">
        <f aca="false">M395-L395</f>
        <v>3</v>
      </c>
      <c r="R395" s="32" t="n">
        <f aca="false">O395-N395</f>
        <v>5.13333333333333</v>
      </c>
      <c r="S395" s="32" t="n">
        <f aca="false">Raw!L395</f>
        <v>2.3</v>
      </c>
      <c r="T395" s="32" t="n">
        <f aca="false">O395-M395</f>
        <v>2.3</v>
      </c>
      <c r="U395" s="0" t="str">
        <f aca="false">IF(ABS(T395-S395)&lt;0.01,"OK","MISMATCH")</f>
        <v>OK</v>
      </c>
      <c r="V395" s="33" t="n">
        <f aca="false">Raw!M395</f>
        <v>1</v>
      </c>
      <c r="W395" s="0" t="str">
        <f aca="false">IF((S395&gt;0)=(V395=1),"OK","MISMATCH")</f>
        <v>OK</v>
      </c>
      <c r="X395" s="0" t="str">
        <f aca="false">_xlfn.IFS(S395&lt;=0,"Early/On time",S395&lt;=2,"Minor (up to 2 days)",S395&lt;=5,"Moderate (2-5 days)",TRUE(),"Severe (over 5 days)")</f>
        <v>Moderate (2-5 days)</v>
      </c>
      <c r="Y395" s="0" t="str">
        <f aca="false">YEAR(K395)&amp;"-"&amp;TEXT(MONTH(K395),"00")</f>
        <v>2025-07</v>
      </c>
      <c r="Z395" s="0" t="str">
        <f aca="false">C395&amp;" → "&amp;D395</f>
        <v>Surat → Kerala</v>
      </c>
      <c r="AA395" s="0" t="str">
        <f aca="false">Raw!Q395</f>
        <v>VRL Cargo</v>
      </c>
      <c r="AB395" s="0" t="str">
        <f aca="false">Raw!R395</f>
        <v>No</v>
      </c>
      <c r="AC395" s="0" t="str">
        <f aca="false">Raw!S395</f>
        <v>Normal</v>
      </c>
      <c r="AD395" s="29" t="n">
        <f aca="false">Raw!N395</f>
        <v>3640.44</v>
      </c>
      <c r="AE395" s="29" t="n">
        <f aca="false">Raw!O395</f>
        <v>4306.2</v>
      </c>
      <c r="AF395" s="29" t="n">
        <f aca="false">Raw!P395</f>
        <v>1300.98</v>
      </c>
      <c r="AG395" s="29" t="n">
        <f aca="false">AD395/J395</f>
        <v>309.298215802889</v>
      </c>
    </row>
    <row r="396" customFormat="false" ht="15" hidden="false" customHeight="false" outlineLevel="0" collapsed="false">
      <c r="A396" s="0" t="str">
        <f aca="false">Raw!A396</f>
        <v>SHP0395</v>
      </c>
      <c r="B396" s="0" t="str">
        <f aca="false">Raw!B396</f>
        <v>Inbound</v>
      </c>
      <c r="C396" s="0" t="str">
        <f aca="false">Raw!C396</f>
        <v>Rajasthan</v>
      </c>
      <c r="D396" s="0" t="str">
        <f aca="false">Raw!D396</f>
        <v>Surat</v>
      </c>
      <c r="E396" s="0" t="str">
        <f aca="false">IFERROR(INDEX(Location_Map!$B$2:$B$15,MATCH(C396,Location_Map!$A$2:$A$15,0)),"UNMAPPED")</f>
        <v>Rajasthan</v>
      </c>
      <c r="F396" s="0" t="str">
        <f aca="false">IFERROR(INDEX(Location_Map!$C$2:$C$15,MATCH(C396,Location_Map!$A$2:$A$15,0)),"UNMAPPED")</f>
        <v>North</v>
      </c>
      <c r="G396" s="0" t="str">
        <f aca="false">IFERROR(INDEX(Location_Map!$B$2:$B$15,MATCH(D396,Location_Map!$A$2:$A$15,0)),"UNMAPPED")</f>
        <v>Gujarat</v>
      </c>
      <c r="H396" s="0" t="str">
        <f aca="false">IFERROR(INDEX(Location_Map!$C$2:$C$15,MATCH(D396,Location_Map!$A$2:$A$15,0)),"UNMAPPED")</f>
        <v>West</v>
      </c>
      <c r="I396" s="0" t="str">
        <f aca="false">Raw!E396</f>
        <v>Finished Yarn</v>
      </c>
      <c r="J396" s="28" t="n">
        <f aca="false">Raw!F396</f>
        <v>2.98</v>
      </c>
      <c r="K396" s="30" t="n">
        <f aca="false">DATE(LEFT(Raw!G396,4),MID(Raw!G396,6,2),MID(Raw!G396,9,2))</f>
        <v>45831</v>
      </c>
      <c r="L396" s="30" t="n">
        <f aca="false">DATE(LEFT(Raw!H396,4),MID(Raw!H396,6,2),MID(Raw!H396,9,2))</f>
        <v>45833</v>
      </c>
      <c r="M396" s="30" t="n">
        <f aca="false">DATE(LEFT(Raw!I396,4),MID(Raw!I396,6,2),MID(Raw!I396,9,2))</f>
        <v>45837</v>
      </c>
      <c r="N396" s="31" t="n">
        <f aca="false">DATE(LEFT(Raw!J396,4),MID(Raw!J396,6,2),MID(Raw!J396,9,2))+TIME(MID(Raw!J396,12,2),MID(Raw!J396,15,2),MID(Raw!J396,18,2))</f>
        <v>45832.7916666667</v>
      </c>
      <c r="O396" s="31" t="n">
        <f aca="false">DATE(LEFT(Raw!K396,4),MID(Raw!K396,6,2),MID(Raw!K396,9,2))+TIME(MID(Raw!K396,12,2),MID(Raw!K396,15,2),MID(Raw!K396,18,2))</f>
        <v>45839.4</v>
      </c>
      <c r="P396" s="32" t="n">
        <f aca="false">L396-K396</f>
        <v>2</v>
      </c>
      <c r="Q396" s="32" t="n">
        <f aca="false">M396-L396</f>
        <v>4</v>
      </c>
      <c r="R396" s="32" t="n">
        <f aca="false">O396-N396</f>
        <v>6.60833333333333</v>
      </c>
      <c r="S396" s="32" t="n">
        <f aca="false">Raw!L396</f>
        <v>2.4</v>
      </c>
      <c r="T396" s="32" t="n">
        <f aca="false">O396-M396</f>
        <v>2.4</v>
      </c>
      <c r="U396" s="0" t="str">
        <f aca="false">IF(ABS(T396-S396)&lt;0.01,"OK","MISMATCH")</f>
        <v>OK</v>
      </c>
      <c r="V396" s="33" t="n">
        <f aca="false">Raw!M396</f>
        <v>1</v>
      </c>
      <c r="W396" s="0" t="str">
        <f aca="false">IF((S396&gt;0)=(V396=1),"OK","MISMATCH")</f>
        <v>OK</v>
      </c>
      <c r="X396" s="0" t="str">
        <f aca="false">_xlfn.IFS(S396&lt;=0,"Early/On time",S396&lt;=2,"Minor (up to 2 days)",S396&lt;=5,"Moderate (2-5 days)",TRUE(),"Severe (over 5 days)")</f>
        <v>Moderate (2-5 days)</v>
      </c>
      <c r="Y396" s="0" t="str">
        <f aca="false">YEAR(K396)&amp;"-"&amp;TEXT(MONTH(K396),"00")</f>
        <v>2025-06</v>
      </c>
      <c r="Z396" s="0" t="str">
        <f aca="false">C396&amp;" → "&amp;D396</f>
        <v>Rajasthan → Surat</v>
      </c>
      <c r="AA396" s="0" t="str">
        <f aca="false">Raw!Q396</f>
        <v>Delhivery</v>
      </c>
      <c r="AB396" s="0" t="str">
        <f aca="false">Raw!R396</f>
        <v>Yes</v>
      </c>
      <c r="AC396" s="0" t="str">
        <f aca="false">Raw!S396</f>
        <v>Damaged</v>
      </c>
      <c r="AD396" s="29" t="n">
        <f aca="false">Raw!N396</f>
        <v>2736.62</v>
      </c>
      <c r="AE396" s="29" t="n">
        <f aca="false">Raw!O396</f>
        <v>4453.86</v>
      </c>
      <c r="AF396" s="29" t="n">
        <f aca="false">Raw!P396</f>
        <v>723.06</v>
      </c>
      <c r="AG396" s="29" t="n">
        <f aca="false">AD396/J396</f>
        <v>918.328859060403</v>
      </c>
    </row>
    <row r="397" customFormat="false" ht="15" hidden="false" customHeight="false" outlineLevel="0" collapsed="false">
      <c r="A397" s="0" t="str">
        <f aca="false">Raw!A397</f>
        <v>SHP0396</v>
      </c>
      <c r="B397" s="0" t="str">
        <f aca="false">Raw!B397</f>
        <v>Inbound</v>
      </c>
      <c r="C397" s="0" t="str">
        <f aca="false">Raw!C397</f>
        <v>Chennai</v>
      </c>
      <c r="D397" s="0" t="str">
        <f aca="false">Raw!D397</f>
        <v>Surat</v>
      </c>
      <c r="E397" s="0" t="str">
        <f aca="false">IFERROR(INDEX(Location_Map!$B$2:$B$15,MATCH(C397,Location_Map!$A$2:$A$15,0)),"UNMAPPED")</f>
        <v>Tamil Nadu</v>
      </c>
      <c r="F397" s="0" t="str">
        <f aca="false">IFERROR(INDEX(Location_Map!$C$2:$C$15,MATCH(C397,Location_Map!$A$2:$A$15,0)),"UNMAPPED")</f>
        <v>South</v>
      </c>
      <c r="G397" s="0" t="str">
        <f aca="false">IFERROR(INDEX(Location_Map!$B$2:$B$15,MATCH(D397,Location_Map!$A$2:$A$15,0)),"UNMAPPED")</f>
        <v>Gujarat</v>
      </c>
      <c r="H397" s="0" t="str">
        <f aca="false">IFERROR(INDEX(Location_Map!$C$2:$C$15,MATCH(D397,Location_Map!$A$2:$A$15,0)),"UNMAPPED")</f>
        <v>West</v>
      </c>
      <c r="I397" s="0" t="str">
        <f aca="false">Raw!E397</f>
        <v>Semi-Processed Yarn</v>
      </c>
      <c r="J397" s="28" t="n">
        <f aca="false">Raw!F397</f>
        <v>17.59</v>
      </c>
      <c r="K397" s="30" t="n">
        <f aca="false">DATE(LEFT(Raw!G397,4),MID(Raw!G397,6,2),MID(Raw!G397,9,2))</f>
        <v>45894</v>
      </c>
      <c r="L397" s="30" t="n">
        <f aca="false">DATE(LEFT(Raw!H397,4),MID(Raw!H397,6,2),MID(Raw!H397,9,2))</f>
        <v>45897</v>
      </c>
      <c r="M397" s="30" t="n">
        <f aca="false">DATE(LEFT(Raw!I397,4),MID(Raw!I397,6,2),MID(Raw!I397,9,2))</f>
        <v>45903</v>
      </c>
      <c r="N397" s="31" t="n">
        <f aca="false">DATE(LEFT(Raw!J397,4),MID(Raw!J397,6,2),MID(Raw!J397,9,2))+TIME(MID(Raw!J397,12,2),MID(Raw!J397,15,2),MID(Raw!J397,18,2))</f>
        <v>45897.2916666667</v>
      </c>
      <c r="O397" s="31" t="n">
        <f aca="false">DATE(LEFT(Raw!K397,4),MID(Raw!K397,6,2),MID(Raw!K397,9,2))+TIME(MID(Raw!K397,12,2),MID(Raw!K397,15,2),MID(Raw!K397,18,2))</f>
        <v>45903</v>
      </c>
      <c r="P397" s="32" t="n">
        <f aca="false">L397-K397</f>
        <v>3</v>
      </c>
      <c r="Q397" s="32" t="n">
        <f aca="false">M397-L397</f>
        <v>6</v>
      </c>
      <c r="R397" s="32" t="n">
        <f aca="false">O397-N397</f>
        <v>5.70833333333333</v>
      </c>
      <c r="S397" s="32" t="n">
        <f aca="false">Raw!L397</f>
        <v>-0</v>
      </c>
      <c r="T397" s="32" t="n">
        <f aca="false">O397-M397</f>
        <v>0</v>
      </c>
      <c r="U397" s="0" t="str">
        <f aca="false">IF(ABS(T397-S397)&lt;0.01,"OK","MISMATCH")</f>
        <v>OK</v>
      </c>
      <c r="V397" s="33" t="n">
        <f aca="false">Raw!M397</f>
        <v>0</v>
      </c>
      <c r="W397" s="0" t="str">
        <f aca="false">IF((S397&gt;0)=(V397=1),"OK","MISMATCH")</f>
        <v>OK</v>
      </c>
      <c r="X397" s="0" t="str">
        <f aca="false">_xlfn.IFS(S397&lt;=0,"Early/On time",S397&lt;=2,"Minor (up to 2 days)",S397&lt;=5,"Moderate (2-5 days)",TRUE(),"Severe (over 5 days)")</f>
        <v>Early/On time</v>
      </c>
      <c r="Y397" s="0" t="str">
        <f aca="false">YEAR(K397)&amp;"-"&amp;TEXT(MONTH(K397),"00")</f>
        <v>2025-08</v>
      </c>
      <c r="Z397" s="0" t="str">
        <f aca="false">C397&amp;" → "&amp;D397</f>
        <v>Chennai → Surat</v>
      </c>
      <c r="AA397" s="0" t="str">
        <f aca="false">Raw!Q397</f>
        <v>GATI Logistics</v>
      </c>
      <c r="AB397" s="0" t="str">
        <f aca="false">Raw!R397</f>
        <v>No</v>
      </c>
      <c r="AC397" s="0" t="str">
        <f aca="false">Raw!S397</f>
        <v>Held at warehouse</v>
      </c>
      <c r="AD397" s="29" t="n">
        <f aca="false">Raw!N397</f>
        <v>13156.07</v>
      </c>
      <c r="AE397" s="29" t="n">
        <f aca="false">Raw!O397</f>
        <v>2038.68</v>
      </c>
      <c r="AF397" s="29" t="n">
        <f aca="false">Raw!P397</f>
        <v>1469.72</v>
      </c>
      <c r="AG397" s="29" t="n">
        <f aca="false">AD397/J397</f>
        <v>747.928936895964</v>
      </c>
    </row>
    <row r="398" customFormat="false" ht="15" hidden="false" customHeight="false" outlineLevel="0" collapsed="false">
      <c r="A398" s="0" t="str">
        <f aca="false">Raw!A398</f>
        <v>SHP0397</v>
      </c>
      <c r="B398" s="0" t="str">
        <f aca="false">Raw!B398</f>
        <v>Inbound</v>
      </c>
      <c r="C398" s="0" t="str">
        <f aca="false">Raw!C398</f>
        <v>Chennai</v>
      </c>
      <c r="D398" s="0" t="str">
        <f aca="false">Raw!D398</f>
        <v>Surat</v>
      </c>
      <c r="E398" s="0" t="str">
        <f aca="false">IFERROR(INDEX(Location_Map!$B$2:$B$15,MATCH(C398,Location_Map!$A$2:$A$15,0)),"UNMAPPED")</f>
        <v>Tamil Nadu</v>
      </c>
      <c r="F398" s="0" t="str">
        <f aca="false">IFERROR(INDEX(Location_Map!$C$2:$C$15,MATCH(C398,Location_Map!$A$2:$A$15,0)),"UNMAPPED")</f>
        <v>South</v>
      </c>
      <c r="G398" s="0" t="str">
        <f aca="false">IFERROR(INDEX(Location_Map!$B$2:$B$15,MATCH(D398,Location_Map!$A$2:$A$15,0)),"UNMAPPED")</f>
        <v>Gujarat</v>
      </c>
      <c r="H398" s="0" t="str">
        <f aca="false">IFERROR(INDEX(Location_Map!$C$2:$C$15,MATCH(D398,Location_Map!$A$2:$A$15,0)),"UNMAPPED")</f>
        <v>West</v>
      </c>
      <c r="I398" s="0" t="str">
        <f aca="false">Raw!E398</f>
        <v>Raw Yarn</v>
      </c>
      <c r="J398" s="28" t="n">
        <f aca="false">Raw!F398</f>
        <v>9.19</v>
      </c>
      <c r="K398" s="30" t="n">
        <f aca="false">DATE(LEFT(Raw!G398,4),MID(Raw!G398,6,2),MID(Raw!G398,9,2))</f>
        <v>45762</v>
      </c>
      <c r="L398" s="30" t="n">
        <f aca="false">DATE(LEFT(Raw!H398,4),MID(Raw!H398,6,2),MID(Raw!H398,9,2))</f>
        <v>45763</v>
      </c>
      <c r="M398" s="30" t="n">
        <f aca="false">DATE(LEFT(Raw!I398,4),MID(Raw!I398,6,2),MID(Raw!I398,9,2))</f>
        <v>45768</v>
      </c>
      <c r="N398" s="31" t="n">
        <f aca="false">DATE(LEFT(Raw!J398,4),MID(Raw!J398,6,2),MID(Raw!J398,9,2))+TIME(MID(Raw!J398,12,2),MID(Raw!J398,15,2),MID(Raw!J398,18,2))</f>
        <v>45763</v>
      </c>
      <c r="O398" s="31" t="n">
        <f aca="false">DATE(LEFT(Raw!K398,4),MID(Raw!K398,6,2),MID(Raw!K398,9,2))+TIME(MID(Raw!K398,12,2),MID(Raw!K398,15,2),MID(Raw!K398,18,2))</f>
        <v>45770.1</v>
      </c>
      <c r="P398" s="32" t="n">
        <f aca="false">L398-K398</f>
        <v>1</v>
      </c>
      <c r="Q398" s="32" t="n">
        <f aca="false">M398-L398</f>
        <v>5</v>
      </c>
      <c r="R398" s="32" t="n">
        <f aca="false">O398-N398</f>
        <v>7.1</v>
      </c>
      <c r="S398" s="32" t="n">
        <f aca="false">Raw!L398</f>
        <v>2.1</v>
      </c>
      <c r="T398" s="32" t="n">
        <f aca="false">O398-M398</f>
        <v>2.1</v>
      </c>
      <c r="U398" s="0" t="str">
        <f aca="false">IF(ABS(T398-S398)&lt;0.01,"OK","MISMATCH")</f>
        <v>OK</v>
      </c>
      <c r="V398" s="33" t="n">
        <f aca="false">Raw!M398</f>
        <v>1</v>
      </c>
      <c r="W398" s="0" t="str">
        <f aca="false">IF((S398&gt;0)=(V398=1),"OK","MISMATCH")</f>
        <v>OK</v>
      </c>
      <c r="X398" s="0" t="str">
        <f aca="false">_xlfn.IFS(S398&lt;=0,"Early/On time",S398&lt;=2,"Minor (up to 2 days)",S398&lt;=5,"Moderate (2-5 days)",TRUE(),"Severe (over 5 days)")</f>
        <v>Moderate (2-5 days)</v>
      </c>
      <c r="Y398" s="0" t="str">
        <f aca="false">YEAR(K398)&amp;"-"&amp;TEXT(MONTH(K398),"00")</f>
        <v>2025-04</v>
      </c>
      <c r="Z398" s="0" t="str">
        <f aca="false">C398&amp;" → "&amp;D398</f>
        <v>Chennai → Surat</v>
      </c>
      <c r="AA398" s="0" t="str">
        <f aca="false">Raw!Q398</f>
        <v>BlueDart</v>
      </c>
      <c r="AB398" s="0" t="str">
        <f aca="false">Raw!R398</f>
        <v>No</v>
      </c>
      <c r="AC398" s="0" t="str">
        <f aca="false">Raw!S398</f>
        <v>Returned</v>
      </c>
      <c r="AD398" s="29" t="n">
        <f aca="false">Raw!N398</f>
        <v>4258.14</v>
      </c>
      <c r="AE398" s="29" t="n">
        <f aca="false">Raw!O398</f>
        <v>2011.43</v>
      </c>
      <c r="AF398" s="29" t="n">
        <f aca="false">Raw!P398</f>
        <v>1077.63</v>
      </c>
      <c r="AG398" s="29" t="n">
        <f aca="false">AD398/J398</f>
        <v>463.34494015234</v>
      </c>
    </row>
    <row r="399" customFormat="false" ht="15" hidden="false" customHeight="false" outlineLevel="0" collapsed="false">
      <c r="A399" s="0" t="str">
        <f aca="false">Raw!A399</f>
        <v>SHP0398</v>
      </c>
      <c r="B399" s="0" t="str">
        <f aca="false">Raw!B399</f>
        <v>Outbound</v>
      </c>
      <c r="C399" s="0" t="str">
        <f aca="false">Raw!C399</f>
        <v>Surat</v>
      </c>
      <c r="D399" s="0" t="str">
        <f aca="false">Raw!D399</f>
        <v>Madhya Pradesh</v>
      </c>
      <c r="E399" s="0" t="str">
        <f aca="false">IFERROR(INDEX(Location_Map!$B$2:$B$15,MATCH(C399,Location_Map!$A$2:$A$15,0)),"UNMAPPED")</f>
        <v>Gujarat</v>
      </c>
      <c r="F399" s="0" t="str">
        <f aca="false">IFERROR(INDEX(Location_Map!$C$2:$C$15,MATCH(C399,Location_Map!$A$2:$A$15,0)),"UNMAPPED")</f>
        <v>West</v>
      </c>
      <c r="G399" s="0" t="str">
        <f aca="false">IFERROR(INDEX(Location_Map!$B$2:$B$15,MATCH(D399,Location_Map!$A$2:$A$15,0)),"UNMAPPED")</f>
        <v>Madhya Pradesh</v>
      </c>
      <c r="H399" s="0" t="str">
        <f aca="false">IFERROR(INDEX(Location_Map!$C$2:$C$15,MATCH(D399,Location_Map!$A$2:$A$15,0)),"UNMAPPED")</f>
        <v>Central</v>
      </c>
      <c r="I399" s="0" t="str">
        <f aca="false">Raw!E399</f>
        <v>Raw Yarn</v>
      </c>
      <c r="J399" s="28" t="n">
        <f aca="false">Raw!F399</f>
        <v>7.82</v>
      </c>
      <c r="K399" s="30" t="n">
        <f aca="false">DATE(LEFT(Raw!G399,4),MID(Raw!G399,6,2),MID(Raw!G399,9,2))</f>
        <v>45905</v>
      </c>
      <c r="L399" s="30" t="n">
        <f aca="false">DATE(LEFT(Raw!H399,4),MID(Raw!H399,6,2),MID(Raw!H399,9,2))</f>
        <v>45909</v>
      </c>
      <c r="M399" s="30" t="n">
        <f aca="false">DATE(LEFT(Raw!I399,4),MID(Raw!I399,6,2),MID(Raw!I399,9,2))</f>
        <v>45913</v>
      </c>
      <c r="N399" s="31" t="n">
        <f aca="false">DATE(LEFT(Raw!J399,4),MID(Raw!J399,6,2),MID(Raw!J399,9,2))+TIME(MID(Raw!J399,12,2),MID(Raw!J399,15,2),MID(Raw!J399,18,2))</f>
        <v>45909.2916666667</v>
      </c>
      <c r="O399" s="31" t="n">
        <f aca="false">DATE(LEFT(Raw!K399,4),MID(Raw!K399,6,2),MID(Raw!K399,9,2))+TIME(MID(Raw!K399,12,2),MID(Raw!K399,15,2),MID(Raw!K399,18,2))</f>
        <v>45913.6</v>
      </c>
      <c r="P399" s="32" t="n">
        <f aca="false">L399-K399</f>
        <v>4</v>
      </c>
      <c r="Q399" s="32" t="n">
        <f aca="false">M399-L399</f>
        <v>4</v>
      </c>
      <c r="R399" s="32" t="n">
        <f aca="false">O399-N399</f>
        <v>4.30833333333333</v>
      </c>
      <c r="S399" s="32" t="n">
        <f aca="false">Raw!L399</f>
        <v>0.6</v>
      </c>
      <c r="T399" s="32" t="n">
        <f aca="false">O399-M399</f>
        <v>0.6</v>
      </c>
      <c r="U399" s="0" t="str">
        <f aca="false">IF(ABS(T399-S399)&lt;0.01,"OK","MISMATCH")</f>
        <v>OK</v>
      </c>
      <c r="V399" s="33" t="n">
        <f aca="false">Raw!M399</f>
        <v>1</v>
      </c>
      <c r="W399" s="0" t="str">
        <f aca="false">IF((S399&gt;0)=(V399=1),"OK","MISMATCH")</f>
        <v>OK</v>
      </c>
      <c r="X399" s="0" t="str">
        <f aca="false">_xlfn.IFS(S399&lt;=0,"Early/On time",S399&lt;=2,"Minor (up to 2 days)",S399&lt;=5,"Moderate (2-5 days)",TRUE(),"Severe (over 5 days)")</f>
        <v>Minor (up to 2 days)</v>
      </c>
      <c r="Y399" s="0" t="str">
        <f aca="false">YEAR(K399)&amp;"-"&amp;TEXT(MONTH(K399),"00")</f>
        <v>2025-09</v>
      </c>
      <c r="Z399" s="0" t="str">
        <f aca="false">C399&amp;" → "&amp;D399</f>
        <v>Surat → Madhya Pradesh</v>
      </c>
      <c r="AA399" s="0" t="str">
        <f aca="false">Raw!Q399</f>
        <v>Delhivery</v>
      </c>
      <c r="AB399" s="0" t="str">
        <f aca="false">Raw!R399</f>
        <v>Yes</v>
      </c>
      <c r="AC399" s="0" t="str">
        <f aca="false">Raw!S399</f>
        <v>Damaged</v>
      </c>
      <c r="AD399" s="29" t="n">
        <f aca="false">Raw!N399</f>
        <v>4031.77</v>
      </c>
      <c r="AE399" s="29" t="n">
        <f aca="false">Raw!O399</f>
        <v>1207.14</v>
      </c>
      <c r="AF399" s="29" t="n">
        <f aca="false">Raw!P399</f>
        <v>1057.31</v>
      </c>
      <c r="AG399" s="29" t="n">
        <f aca="false">AD399/J399</f>
        <v>515.571611253197</v>
      </c>
    </row>
    <row r="400" customFormat="false" ht="15" hidden="false" customHeight="false" outlineLevel="0" collapsed="false">
      <c r="A400" s="0" t="str">
        <f aca="false">Raw!A400</f>
        <v>SHP0399</v>
      </c>
      <c r="B400" s="0" t="str">
        <f aca="false">Raw!B400</f>
        <v>Inbound</v>
      </c>
      <c r="C400" s="0" t="str">
        <f aca="false">Raw!C400</f>
        <v>Punjab</v>
      </c>
      <c r="D400" s="0" t="str">
        <f aca="false">Raw!D400</f>
        <v>Surat</v>
      </c>
      <c r="E400" s="0" t="str">
        <f aca="false">IFERROR(INDEX(Location_Map!$B$2:$B$15,MATCH(C400,Location_Map!$A$2:$A$15,0)),"UNMAPPED")</f>
        <v>Punjab</v>
      </c>
      <c r="F400" s="0" t="str">
        <f aca="false">IFERROR(INDEX(Location_Map!$C$2:$C$15,MATCH(C400,Location_Map!$A$2:$A$15,0)),"UNMAPPED")</f>
        <v>North</v>
      </c>
      <c r="G400" s="0" t="str">
        <f aca="false">IFERROR(INDEX(Location_Map!$B$2:$B$15,MATCH(D400,Location_Map!$A$2:$A$15,0)),"UNMAPPED")</f>
        <v>Gujarat</v>
      </c>
      <c r="H400" s="0" t="str">
        <f aca="false">IFERROR(INDEX(Location_Map!$C$2:$C$15,MATCH(D400,Location_Map!$A$2:$A$15,0)),"UNMAPPED")</f>
        <v>West</v>
      </c>
      <c r="I400" s="0" t="str">
        <f aca="false">Raw!E400</f>
        <v>Semi-Processed Yarn</v>
      </c>
      <c r="J400" s="28" t="n">
        <f aca="false">Raw!F400</f>
        <v>3.96</v>
      </c>
      <c r="K400" s="30" t="n">
        <f aca="false">DATE(LEFT(Raw!G400,4),MID(Raw!G400,6,2),MID(Raw!G400,9,2))</f>
        <v>45908</v>
      </c>
      <c r="L400" s="30" t="n">
        <f aca="false">DATE(LEFT(Raw!H400,4),MID(Raw!H400,6,2),MID(Raw!H400,9,2))</f>
        <v>45910</v>
      </c>
      <c r="M400" s="30" t="n">
        <f aca="false">DATE(LEFT(Raw!I400,4),MID(Raw!I400,6,2),MID(Raw!I400,9,2))</f>
        <v>45916</v>
      </c>
      <c r="N400" s="31" t="n">
        <f aca="false">DATE(LEFT(Raw!J400,4),MID(Raw!J400,6,2),MID(Raw!J400,9,2))+TIME(MID(Raw!J400,12,2),MID(Raw!J400,15,2),MID(Raw!J400,18,2))</f>
        <v>45910.375</v>
      </c>
      <c r="O400" s="31" t="n">
        <f aca="false">DATE(LEFT(Raw!K400,4),MID(Raw!K400,6,2),MID(Raw!K400,9,2))+TIME(MID(Raw!K400,12,2),MID(Raw!K400,15,2),MID(Raw!K400,18,2))</f>
        <v>45916.6</v>
      </c>
      <c r="P400" s="32" t="n">
        <f aca="false">L400-K400</f>
        <v>2</v>
      </c>
      <c r="Q400" s="32" t="n">
        <f aca="false">M400-L400</f>
        <v>6</v>
      </c>
      <c r="R400" s="32" t="n">
        <f aca="false">O400-N400</f>
        <v>6.225</v>
      </c>
      <c r="S400" s="32" t="n">
        <f aca="false">Raw!L400</f>
        <v>0.6</v>
      </c>
      <c r="T400" s="32" t="n">
        <f aca="false">O400-M400</f>
        <v>0.6</v>
      </c>
      <c r="U400" s="0" t="str">
        <f aca="false">IF(ABS(T400-S400)&lt;0.01,"OK","MISMATCH")</f>
        <v>OK</v>
      </c>
      <c r="V400" s="33" t="n">
        <f aca="false">Raw!M400</f>
        <v>1</v>
      </c>
      <c r="W400" s="0" t="str">
        <f aca="false">IF((S400&gt;0)=(V400=1),"OK","MISMATCH")</f>
        <v>OK</v>
      </c>
      <c r="X400" s="0" t="str">
        <f aca="false">_xlfn.IFS(S400&lt;=0,"Early/On time",S400&lt;=2,"Minor (up to 2 days)",S400&lt;=5,"Moderate (2-5 days)",TRUE(),"Severe (over 5 days)")</f>
        <v>Minor (up to 2 days)</v>
      </c>
      <c r="Y400" s="0" t="str">
        <f aca="false">YEAR(K400)&amp;"-"&amp;TEXT(MONTH(K400),"00")</f>
        <v>2025-09</v>
      </c>
      <c r="Z400" s="0" t="str">
        <f aca="false">C400&amp;" → "&amp;D400</f>
        <v>Punjab → Surat</v>
      </c>
      <c r="AA400" s="0" t="str">
        <f aca="false">Raw!Q400</f>
        <v>GATI Logistics</v>
      </c>
      <c r="AB400" s="0" t="str">
        <f aca="false">Raw!R400</f>
        <v>Yes</v>
      </c>
      <c r="AC400" s="0" t="str">
        <f aca="false">Raw!S400</f>
        <v>Expedited</v>
      </c>
      <c r="AD400" s="29" t="n">
        <f aca="false">Raw!N400</f>
        <v>2356.32</v>
      </c>
      <c r="AE400" s="29" t="n">
        <f aca="false">Raw!O400</f>
        <v>4047.53</v>
      </c>
      <c r="AF400" s="29" t="n">
        <f aca="false">Raw!P400</f>
        <v>1281.51</v>
      </c>
      <c r="AG400" s="29" t="n">
        <f aca="false">AD400/J400</f>
        <v>595.030303030303</v>
      </c>
    </row>
    <row r="401" customFormat="false" ht="15" hidden="false" customHeight="false" outlineLevel="0" collapsed="false">
      <c r="A401" s="0" t="str">
        <f aca="false">Raw!A401</f>
        <v>SHP0400</v>
      </c>
      <c r="B401" s="0" t="str">
        <f aca="false">Raw!B401</f>
        <v>Outbound</v>
      </c>
      <c r="C401" s="0" t="str">
        <f aca="false">Raw!C401</f>
        <v>Surat</v>
      </c>
      <c r="D401" s="0" t="str">
        <f aca="false">Raw!D401</f>
        <v>Madhya Pradesh</v>
      </c>
      <c r="E401" s="0" t="str">
        <f aca="false">IFERROR(INDEX(Location_Map!$B$2:$B$15,MATCH(C401,Location_Map!$A$2:$A$15,0)),"UNMAPPED")</f>
        <v>Gujarat</v>
      </c>
      <c r="F401" s="0" t="str">
        <f aca="false">IFERROR(INDEX(Location_Map!$C$2:$C$15,MATCH(C401,Location_Map!$A$2:$A$15,0)),"UNMAPPED")</f>
        <v>West</v>
      </c>
      <c r="G401" s="0" t="str">
        <f aca="false">IFERROR(INDEX(Location_Map!$B$2:$B$15,MATCH(D401,Location_Map!$A$2:$A$15,0)),"UNMAPPED")</f>
        <v>Madhya Pradesh</v>
      </c>
      <c r="H401" s="0" t="str">
        <f aca="false">IFERROR(INDEX(Location_Map!$C$2:$C$15,MATCH(D401,Location_Map!$A$2:$A$15,0)),"UNMAPPED")</f>
        <v>Central</v>
      </c>
      <c r="I401" s="0" t="str">
        <f aca="false">Raw!E401</f>
        <v>Finished Yarn</v>
      </c>
      <c r="J401" s="28" t="n">
        <f aca="false">Raw!F401</f>
        <v>6.24</v>
      </c>
      <c r="K401" s="30" t="n">
        <f aca="false">DATE(LEFT(Raw!G401,4),MID(Raw!G401,6,2),MID(Raw!G401,9,2))</f>
        <v>45719</v>
      </c>
      <c r="L401" s="30" t="n">
        <f aca="false">DATE(LEFT(Raw!H401,4),MID(Raw!H401,6,2),MID(Raw!H401,9,2))</f>
        <v>45720</v>
      </c>
      <c r="M401" s="30" t="n">
        <f aca="false">DATE(LEFT(Raw!I401,4),MID(Raw!I401,6,2),MID(Raw!I401,9,2))</f>
        <v>45726</v>
      </c>
      <c r="N401" s="31" t="n">
        <f aca="false">DATE(LEFT(Raw!J401,4),MID(Raw!J401,6,2),MID(Raw!J401,9,2))+TIME(MID(Raw!J401,12,2),MID(Raw!J401,15,2),MID(Raw!J401,18,2))</f>
        <v>45720</v>
      </c>
      <c r="O401" s="31" t="n">
        <f aca="false">DATE(LEFT(Raw!K401,4),MID(Raw!K401,6,2),MID(Raw!K401,9,2))+TIME(MID(Raw!K401,12,2),MID(Raw!K401,15,2),MID(Raw!K401,18,2))</f>
        <v>45729.7</v>
      </c>
      <c r="P401" s="32" t="n">
        <f aca="false">L401-K401</f>
        <v>1</v>
      </c>
      <c r="Q401" s="32" t="n">
        <f aca="false">M401-L401</f>
        <v>6</v>
      </c>
      <c r="R401" s="32" t="n">
        <f aca="false">O401-N401</f>
        <v>9.7</v>
      </c>
      <c r="S401" s="32" t="n">
        <f aca="false">Raw!L401</f>
        <v>3.7</v>
      </c>
      <c r="T401" s="32" t="n">
        <f aca="false">O401-M401</f>
        <v>3.7</v>
      </c>
      <c r="U401" s="0" t="str">
        <f aca="false">IF(ABS(T401-S401)&lt;0.01,"OK","MISMATCH")</f>
        <v>OK</v>
      </c>
      <c r="V401" s="33" t="n">
        <f aca="false">Raw!M401</f>
        <v>1</v>
      </c>
      <c r="W401" s="0" t="str">
        <f aca="false">IF((S401&gt;0)=(V401=1),"OK","MISMATCH")</f>
        <v>OK</v>
      </c>
      <c r="X401" s="0" t="str">
        <f aca="false">_xlfn.IFS(S401&lt;=0,"Early/On time",S401&lt;=2,"Minor (up to 2 days)",S401&lt;=5,"Moderate (2-5 days)",TRUE(),"Severe (over 5 days)")</f>
        <v>Moderate (2-5 days)</v>
      </c>
      <c r="Y401" s="0" t="str">
        <f aca="false">YEAR(K401)&amp;"-"&amp;TEXT(MONTH(K401),"00")</f>
        <v>2025-03</v>
      </c>
      <c r="Z401" s="0" t="str">
        <f aca="false">C401&amp;" → "&amp;D401</f>
        <v>Surat → Madhya Pradesh</v>
      </c>
      <c r="AA401" s="0" t="str">
        <f aca="false">Raw!Q401</f>
        <v>TCI Express</v>
      </c>
      <c r="AB401" s="0" t="str">
        <f aca="false">Raw!R401</f>
        <v>Yes</v>
      </c>
      <c r="AC401" s="0" t="str">
        <f aca="false">Raw!S401</f>
        <v>Returned</v>
      </c>
      <c r="AD401" s="29" t="n">
        <f aca="false">Raw!N401</f>
        <v>2617.4</v>
      </c>
      <c r="AE401" s="29" t="n">
        <f aca="false">Raw!O401</f>
        <v>3406.73</v>
      </c>
      <c r="AF401" s="29" t="n">
        <f aca="false">Raw!P401</f>
        <v>1437.11</v>
      </c>
      <c r="AG401" s="29" t="n">
        <f aca="false">AD401/J401</f>
        <v>419.455128205128</v>
      </c>
    </row>
    <row r="402" customFormat="false" ht="15" hidden="false" customHeight="false" outlineLevel="0" collapsed="false">
      <c r="A402" s="0" t="str">
        <f aca="false">Raw!A402</f>
        <v>SHP0401</v>
      </c>
      <c r="B402" s="0" t="str">
        <f aca="false">Raw!B402</f>
        <v>Outbound</v>
      </c>
      <c r="C402" s="0" t="str">
        <f aca="false">Raw!C402</f>
        <v>Surat</v>
      </c>
      <c r="D402" s="0" t="str">
        <f aca="false">Raw!D402</f>
        <v>Karnataka</v>
      </c>
      <c r="E402" s="0" t="str">
        <f aca="false">IFERROR(INDEX(Location_Map!$B$2:$B$15,MATCH(C402,Location_Map!$A$2:$A$15,0)),"UNMAPPED")</f>
        <v>Gujarat</v>
      </c>
      <c r="F402" s="0" t="str">
        <f aca="false">IFERROR(INDEX(Location_Map!$C$2:$C$15,MATCH(C402,Location_Map!$A$2:$A$15,0)),"UNMAPPED")</f>
        <v>West</v>
      </c>
      <c r="G402" s="0" t="str">
        <f aca="false">IFERROR(INDEX(Location_Map!$B$2:$B$15,MATCH(D402,Location_Map!$A$2:$A$15,0)),"UNMAPPED")</f>
        <v>Karnataka</v>
      </c>
      <c r="H402" s="0" t="str">
        <f aca="false">IFERROR(INDEX(Location_Map!$C$2:$C$15,MATCH(D402,Location_Map!$A$2:$A$15,0)),"UNMAPPED")</f>
        <v>South</v>
      </c>
      <c r="I402" s="0" t="str">
        <f aca="false">Raw!E402</f>
        <v>Raw Yarn</v>
      </c>
      <c r="J402" s="28" t="n">
        <f aca="false">Raw!F402</f>
        <v>6.92</v>
      </c>
      <c r="K402" s="30" t="n">
        <f aca="false">DATE(LEFT(Raw!G402,4),MID(Raw!G402,6,2),MID(Raw!G402,9,2))</f>
        <v>45732</v>
      </c>
      <c r="L402" s="30" t="n">
        <f aca="false">DATE(LEFT(Raw!H402,4),MID(Raw!H402,6,2),MID(Raw!H402,9,2))</f>
        <v>45735</v>
      </c>
      <c r="M402" s="30" t="n">
        <f aca="false">DATE(LEFT(Raw!I402,4),MID(Raw!I402,6,2),MID(Raw!I402,9,2))</f>
        <v>45738</v>
      </c>
      <c r="N402" s="31" t="n">
        <f aca="false">DATE(LEFT(Raw!J402,4),MID(Raw!J402,6,2),MID(Raw!J402,9,2))+TIME(MID(Raw!J402,12,2),MID(Raw!J402,15,2),MID(Raw!J402,18,2))</f>
        <v>45735.3333333333</v>
      </c>
      <c r="O402" s="31" t="n">
        <f aca="false">DATE(LEFT(Raw!K402,4),MID(Raw!K402,6,2),MID(Raw!K402,9,2))+TIME(MID(Raw!K402,12,2),MID(Raw!K402,15,2),MID(Raw!K402,18,2))</f>
        <v>45740.2</v>
      </c>
      <c r="P402" s="32" t="n">
        <f aca="false">L402-K402</f>
        <v>3</v>
      </c>
      <c r="Q402" s="32" t="n">
        <f aca="false">M402-L402</f>
        <v>3</v>
      </c>
      <c r="R402" s="32" t="n">
        <f aca="false">O402-N402</f>
        <v>4.86666666666667</v>
      </c>
      <c r="S402" s="32" t="n">
        <f aca="false">Raw!L402</f>
        <v>2.2</v>
      </c>
      <c r="T402" s="32" t="n">
        <f aca="false">O402-M402</f>
        <v>2.2</v>
      </c>
      <c r="U402" s="0" t="str">
        <f aca="false">IF(ABS(T402-S402)&lt;0.01,"OK","MISMATCH")</f>
        <v>OK</v>
      </c>
      <c r="V402" s="33" t="n">
        <f aca="false">Raw!M402</f>
        <v>1</v>
      </c>
      <c r="W402" s="0" t="str">
        <f aca="false">IF((S402&gt;0)=(V402=1),"OK","MISMATCH")</f>
        <v>OK</v>
      </c>
      <c r="X402" s="0" t="str">
        <f aca="false">_xlfn.IFS(S402&lt;=0,"Early/On time",S402&lt;=2,"Minor (up to 2 days)",S402&lt;=5,"Moderate (2-5 days)",TRUE(),"Severe (over 5 days)")</f>
        <v>Moderate (2-5 days)</v>
      </c>
      <c r="Y402" s="0" t="str">
        <f aca="false">YEAR(K402)&amp;"-"&amp;TEXT(MONTH(K402),"00")</f>
        <v>2025-03</v>
      </c>
      <c r="Z402" s="0" t="str">
        <f aca="false">C402&amp;" → "&amp;D402</f>
        <v>Surat → Karnataka</v>
      </c>
      <c r="AA402" s="0" t="str">
        <f aca="false">Raw!Q402</f>
        <v>Delhivery</v>
      </c>
      <c r="AB402" s="0" t="str">
        <f aca="false">Raw!R402</f>
        <v>No</v>
      </c>
      <c r="AC402" s="0" t="str">
        <f aca="false">Raw!S402</f>
        <v>Held at warehouse</v>
      </c>
      <c r="AD402" s="29" t="n">
        <f aca="false">Raw!N402</f>
        <v>3959.12</v>
      </c>
      <c r="AE402" s="29" t="n">
        <f aca="false">Raw!O402</f>
        <v>1956.57</v>
      </c>
      <c r="AF402" s="29" t="n">
        <f aca="false">Raw!P402</f>
        <v>1012.3</v>
      </c>
      <c r="AG402" s="29" t="n">
        <f aca="false">AD402/J402</f>
        <v>572.127167630058</v>
      </c>
    </row>
    <row r="403" customFormat="false" ht="15" hidden="false" customHeight="false" outlineLevel="0" collapsed="false">
      <c r="A403" s="0" t="str">
        <f aca="false">Raw!A403</f>
        <v>SHP0402</v>
      </c>
      <c r="B403" s="0" t="str">
        <f aca="false">Raw!B403</f>
        <v>Inbound</v>
      </c>
      <c r="C403" s="0" t="str">
        <f aca="false">Raw!C403</f>
        <v>Uttar Pradesh</v>
      </c>
      <c r="D403" s="0" t="str">
        <f aca="false">Raw!D403</f>
        <v>Surat</v>
      </c>
      <c r="E403" s="0" t="str">
        <f aca="false">IFERROR(INDEX(Location_Map!$B$2:$B$15,MATCH(C403,Location_Map!$A$2:$A$15,0)),"UNMAPPED")</f>
        <v>Uttar Pradesh</v>
      </c>
      <c r="F403" s="0" t="str">
        <f aca="false">IFERROR(INDEX(Location_Map!$C$2:$C$15,MATCH(C403,Location_Map!$A$2:$A$15,0)),"UNMAPPED")</f>
        <v>North</v>
      </c>
      <c r="G403" s="0" t="str">
        <f aca="false">IFERROR(INDEX(Location_Map!$B$2:$B$15,MATCH(D403,Location_Map!$A$2:$A$15,0)),"UNMAPPED")</f>
        <v>Gujarat</v>
      </c>
      <c r="H403" s="0" t="str">
        <f aca="false">IFERROR(INDEX(Location_Map!$C$2:$C$15,MATCH(D403,Location_Map!$A$2:$A$15,0)),"UNMAPPED")</f>
        <v>West</v>
      </c>
      <c r="I403" s="0" t="str">
        <f aca="false">Raw!E403</f>
        <v>Finished Yarn</v>
      </c>
      <c r="J403" s="28" t="n">
        <f aca="false">Raw!F403</f>
        <v>15.7</v>
      </c>
      <c r="K403" s="30" t="n">
        <f aca="false">DATE(LEFT(Raw!G403,4),MID(Raw!G403,6,2),MID(Raw!G403,9,2))</f>
        <v>45671</v>
      </c>
      <c r="L403" s="30" t="n">
        <f aca="false">DATE(LEFT(Raw!H403,4),MID(Raw!H403,6,2),MID(Raw!H403,9,2))</f>
        <v>45674</v>
      </c>
      <c r="M403" s="30" t="n">
        <f aca="false">DATE(LEFT(Raw!I403,4),MID(Raw!I403,6,2),MID(Raw!I403,9,2))</f>
        <v>45678</v>
      </c>
      <c r="N403" s="31" t="n">
        <f aca="false">DATE(LEFT(Raw!J403,4),MID(Raw!J403,6,2),MID(Raw!J403,9,2))+TIME(MID(Raw!J403,12,2),MID(Raw!J403,15,2),MID(Raw!J403,18,2))</f>
        <v>45673.875</v>
      </c>
      <c r="O403" s="31" t="n">
        <f aca="false">DATE(LEFT(Raw!K403,4),MID(Raw!K403,6,2),MID(Raw!K403,9,2))+TIME(MID(Raw!K403,12,2),MID(Raw!K403,15,2),MID(Raw!K403,18,2))</f>
        <v>45681.3</v>
      </c>
      <c r="P403" s="32" t="n">
        <f aca="false">L403-K403</f>
        <v>3</v>
      </c>
      <c r="Q403" s="32" t="n">
        <f aca="false">M403-L403</f>
        <v>4</v>
      </c>
      <c r="R403" s="32" t="n">
        <f aca="false">O403-N403</f>
        <v>7.425</v>
      </c>
      <c r="S403" s="32" t="n">
        <f aca="false">Raw!L403</f>
        <v>3.3</v>
      </c>
      <c r="T403" s="32" t="n">
        <f aca="false">O403-M403</f>
        <v>3.3</v>
      </c>
      <c r="U403" s="0" t="str">
        <f aca="false">IF(ABS(T403-S403)&lt;0.01,"OK","MISMATCH")</f>
        <v>OK</v>
      </c>
      <c r="V403" s="33" t="n">
        <f aca="false">Raw!M403</f>
        <v>1</v>
      </c>
      <c r="W403" s="0" t="str">
        <f aca="false">IF((S403&gt;0)=(V403=1),"OK","MISMATCH")</f>
        <v>OK</v>
      </c>
      <c r="X403" s="0" t="str">
        <f aca="false">_xlfn.IFS(S403&lt;=0,"Early/On time",S403&lt;=2,"Minor (up to 2 days)",S403&lt;=5,"Moderate (2-5 days)",TRUE(),"Severe (over 5 days)")</f>
        <v>Moderate (2-5 days)</v>
      </c>
      <c r="Y403" s="0" t="str">
        <f aca="false">YEAR(K403)&amp;"-"&amp;TEXT(MONTH(K403),"00")</f>
        <v>2025-01</v>
      </c>
      <c r="Z403" s="0" t="str">
        <f aca="false">C403&amp;" → "&amp;D403</f>
        <v>Uttar Pradesh → Surat</v>
      </c>
      <c r="AA403" s="0" t="str">
        <f aca="false">Raw!Q403</f>
        <v>BlueDart</v>
      </c>
      <c r="AB403" s="0" t="str">
        <f aca="false">Raw!R403</f>
        <v>No</v>
      </c>
      <c r="AC403" s="0" t="str">
        <f aca="false">Raw!S403</f>
        <v>Held at warehouse</v>
      </c>
      <c r="AD403" s="29" t="n">
        <f aca="false">Raw!N403</f>
        <v>6678.78</v>
      </c>
      <c r="AE403" s="29" t="n">
        <f aca="false">Raw!O403</f>
        <v>4760.73</v>
      </c>
      <c r="AF403" s="29" t="n">
        <f aca="false">Raw!P403</f>
        <v>546.79</v>
      </c>
      <c r="AG403" s="29" t="n">
        <f aca="false">AD403/J403</f>
        <v>425.4</v>
      </c>
    </row>
    <row r="404" customFormat="false" ht="15" hidden="false" customHeight="false" outlineLevel="0" collapsed="false">
      <c r="A404" s="0" t="str">
        <f aca="false">Raw!A404</f>
        <v>SHP0403</v>
      </c>
      <c r="B404" s="0" t="str">
        <f aca="false">Raw!B404</f>
        <v>Inbound</v>
      </c>
      <c r="C404" s="0" t="str">
        <f aca="false">Raw!C404</f>
        <v>Rajasthan</v>
      </c>
      <c r="D404" s="0" t="str">
        <f aca="false">Raw!D404</f>
        <v>Surat</v>
      </c>
      <c r="E404" s="0" t="str">
        <f aca="false">IFERROR(INDEX(Location_Map!$B$2:$B$15,MATCH(C404,Location_Map!$A$2:$A$15,0)),"UNMAPPED")</f>
        <v>Rajasthan</v>
      </c>
      <c r="F404" s="0" t="str">
        <f aca="false">IFERROR(INDEX(Location_Map!$C$2:$C$15,MATCH(C404,Location_Map!$A$2:$A$15,0)),"UNMAPPED")</f>
        <v>North</v>
      </c>
      <c r="G404" s="0" t="str">
        <f aca="false">IFERROR(INDEX(Location_Map!$B$2:$B$15,MATCH(D404,Location_Map!$A$2:$A$15,0)),"UNMAPPED")</f>
        <v>Gujarat</v>
      </c>
      <c r="H404" s="0" t="str">
        <f aca="false">IFERROR(INDEX(Location_Map!$C$2:$C$15,MATCH(D404,Location_Map!$A$2:$A$15,0)),"UNMAPPED")</f>
        <v>West</v>
      </c>
      <c r="I404" s="0" t="str">
        <f aca="false">Raw!E404</f>
        <v>Semi-Processed Yarn</v>
      </c>
      <c r="J404" s="28" t="n">
        <f aca="false">Raw!F404</f>
        <v>7.07</v>
      </c>
      <c r="K404" s="30" t="n">
        <f aca="false">DATE(LEFT(Raw!G404,4),MID(Raw!G404,6,2),MID(Raw!G404,9,2))</f>
        <v>45789</v>
      </c>
      <c r="L404" s="30" t="n">
        <f aca="false">DATE(LEFT(Raw!H404,4),MID(Raw!H404,6,2),MID(Raw!H404,9,2))</f>
        <v>45793</v>
      </c>
      <c r="M404" s="30" t="n">
        <f aca="false">DATE(LEFT(Raw!I404,4),MID(Raw!I404,6,2),MID(Raw!I404,9,2))</f>
        <v>45796</v>
      </c>
      <c r="N404" s="31" t="n">
        <f aca="false">DATE(LEFT(Raw!J404,4),MID(Raw!J404,6,2),MID(Raw!J404,9,2))+TIME(MID(Raw!J404,12,2),MID(Raw!J404,15,2),MID(Raw!J404,18,2))</f>
        <v>45793.2916666667</v>
      </c>
      <c r="O404" s="31" t="n">
        <f aca="false">DATE(LEFT(Raw!K404,4),MID(Raw!K404,6,2),MID(Raw!K404,9,2))+TIME(MID(Raw!K404,12,2),MID(Raw!K404,15,2),MID(Raw!K404,18,2))</f>
        <v>45797.1</v>
      </c>
      <c r="P404" s="32" t="n">
        <f aca="false">L404-K404</f>
        <v>4</v>
      </c>
      <c r="Q404" s="32" t="n">
        <f aca="false">M404-L404</f>
        <v>3</v>
      </c>
      <c r="R404" s="32" t="n">
        <f aca="false">O404-N404</f>
        <v>3.80833333333333</v>
      </c>
      <c r="S404" s="32" t="n">
        <f aca="false">Raw!L404</f>
        <v>1.1</v>
      </c>
      <c r="T404" s="32" t="n">
        <f aca="false">O404-M404</f>
        <v>1.1</v>
      </c>
      <c r="U404" s="0" t="str">
        <f aca="false">IF(ABS(T404-S404)&lt;0.01,"OK","MISMATCH")</f>
        <v>OK</v>
      </c>
      <c r="V404" s="33" t="n">
        <f aca="false">Raw!M404</f>
        <v>1</v>
      </c>
      <c r="W404" s="0" t="str">
        <f aca="false">IF((S404&gt;0)=(V404=1),"OK","MISMATCH")</f>
        <v>OK</v>
      </c>
      <c r="X404" s="0" t="str">
        <f aca="false">_xlfn.IFS(S404&lt;=0,"Early/On time",S404&lt;=2,"Minor (up to 2 days)",S404&lt;=5,"Moderate (2-5 days)",TRUE(),"Severe (over 5 days)")</f>
        <v>Minor (up to 2 days)</v>
      </c>
      <c r="Y404" s="0" t="str">
        <f aca="false">YEAR(K404)&amp;"-"&amp;TEXT(MONTH(K404),"00")</f>
        <v>2025-05</v>
      </c>
      <c r="Z404" s="0" t="str">
        <f aca="false">C404&amp;" → "&amp;D404</f>
        <v>Rajasthan → Surat</v>
      </c>
      <c r="AA404" s="0" t="str">
        <f aca="false">Raw!Q404</f>
        <v>GATI Logistics</v>
      </c>
      <c r="AB404" s="0" t="str">
        <f aca="false">Raw!R404</f>
        <v>No</v>
      </c>
      <c r="AC404" s="0" t="str">
        <f aca="false">Raw!S404</f>
        <v>Held at warehouse</v>
      </c>
      <c r="AD404" s="29" t="n">
        <f aca="false">Raw!N404</f>
        <v>4166.57</v>
      </c>
      <c r="AE404" s="29" t="n">
        <f aca="false">Raw!O404</f>
        <v>2112.4</v>
      </c>
      <c r="AF404" s="29" t="n">
        <f aca="false">Raw!P404</f>
        <v>716.96</v>
      </c>
      <c r="AG404" s="29" t="n">
        <f aca="false">AD404/J404</f>
        <v>589.330975954738</v>
      </c>
    </row>
    <row r="405" customFormat="false" ht="15" hidden="false" customHeight="false" outlineLevel="0" collapsed="false">
      <c r="A405" s="0" t="str">
        <f aca="false">Raw!A405</f>
        <v>SHP0404</v>
      </c>
      <c r="B405" s="0" t="str">
        <f aca="false">Raw!B405</f>
        <v>Outbound</v>
      </c>
      <c r="C405" s="0" t="str">
        <f aca="false">Raw!C405</f>
        <v>Surat</v>
      </c>
      <c r="D405" s="0" t="str">
        <f aca="false">Raw!D405</f>
        <v>West Bengal</v>
      </c>
      <c r="E405" s="0" t="str">
        <f aca="false">IFERROR(INDEX(Location_Map!$B$2:$B$15,MATCH(C405,Location_Map!$A$2:$A$15,0)),"UNMAPPED")</f>
        <v>Gujarat</v>
      </c>
      <c r="F405" s="0" t="str">
        <f aca="false">IFERROR(INDEX(Location_Map!$C$2:$C$15,MATCH(C405,Location_Map!$A$2:$A$15,0)),"UNMAPPED")</f>
        <v>West</v>
      </c>
      <c r="G405" s="0" t="str">
        <f aca="false">IFERROR(INDEX(Location_Map!$B$2:$B$15,MATCH(D405,Location_Map!$A$2:$A$15,0)),"UNMAPPED")</f>
        <v>West Bengal</v>
      </c>
      <c r="H405" s="0" t="str">
        <f aca="false">IFERROR(INDEX(Location_Map!$C$2:$C$15,MATCH(D405,Location_Map!$A$2:$A$15,0)),"UNMAPPED")</f>
        <v>East</v>
      </c>
      <c r="I405" s="0" t="str">
        <f aca="false">Raw!E405</f>
        <v>Semi-Processed Yarn</v>
      </c>
      <c r="J405" s="28" t="n">
        <f aca="false">Raw!F405</f>
        <v>6.47</v>
      </c>
      <c r="K405" s="30" t="n">
        <f aca="false">DATE(LEFT(Raw!G405,4),MID(Raw!G405,6,2),MID(Raw!G405,9,2))</f>
        <v>45824</v>
      </c>
      <c r="L405" s="30" t="n">
        <f aca="false">DATE(LEFT(Raw!H405,4),MID(Raw!H405,6,2),MID(Raw!H405,9,2))</f>
        <v>45825</v>
      </c>
      <c r="M405" s="30" t="n">
        <f aca="false">DATE(LEFT(Raw!I405,4),MID(Raw!I405,6,2),MID(Raw!I405,9,2))</f>
        <v>45830</v>
      </c>
      <c r="N405" s="31" t="n">
        <f aca="false">DATE(LEFT(Raw!J405,4),MID(Raw!J405,6,2),MID(Raw!J405,9,2))+TIME(MID(Raw!J405,12,2),MID(Raw!J405,15,2),MID(Raw!J405,18,2))</f>
        <v>45825.2916666667</v>
      </c>
      <c r="O405" s="31" t="n">
        <f aca="false">DATE(LEFT(Raw!K405,4),MID(Raw!K405,6,2),MID(Raw!K405,9,2))+TIME(MID(Raw!K405,12,2),MID(Raw!K405,15,2),MID(Raw!K405,18,2))</f>
        <v>45829.6</v>
      </c>
      <c r="P405" s="32" t="n">
        <f aca="false">L405-K405</f>
        <v>1</v>
      </c>
      <c r="Q405" s="32" t="n">
        <f aca="false">M405-L405</f>
        <v>5</v>
      </c>
      <c r="R405" s="32" t="n">
        <f aca="false">O405-N405</f>
        <v>4.30833333333333</v>
      </c>
      <c r="S405" s="32" t="n">
        <f aca="false">Raw!L405</f>
        <v>-0.4</v>
      </c>
      <c r="T405" s="32" t="n">
        <f aca="false">O405-M405</f>
        <v>-0.400000000002917</v>
      </c>
      <c r="U405" s="0" t="str">
        <f aca="false">IF(ABS(T405-S405)&lt;0.01,"OK","MISMATCH")</f>
        <v>OK</v>
      </c>
      <c r="V405" s="33" t="n">
        <f aca="false">Raw!M405</f>
        <v>0</v>
      </c>
      <c r="W405" s="0" t="str">
        <f aca="false">IF((S405&gt;0)=(V405=1),"OK","MISMATCH")</f>
        <v>OK</v>
      </c>
      <c r="X405" s="0" t="str">
        <f aca="false">_xlfn.IFS(S405&lt;=0,"Early/On time",S405&lt;=2,"Minor (up to 2 days)",S405&lt;=5,"Moderate (2-5 days)",TRUE(),"Severe (over 5 days)")</f>
        <v>Early/On time</v>
      </c>
      <c r="Y405" s="0" t="str">
        <f aca="false">YEAR(K405)&amp;"-"&amp;TEXT(MONTH(K405),"00")</f>
        <v>2025-06</v>
      </c>
      <c r="Z405" s="0" t="str">
        <f aca="false">C405&amp;" → "&amp;D405</f>
        <v>Surat → West Bengal</v>
      </c>
      <c r="AA405" s="0" t="str">
        <f aca="false">Raw!Q405</f>
        <v>TCI Express</v>
      </c>
      <c r="AB405" s="0" t="str">
        <f aca="false">Raw!R405</f>
        <v>Yes</v>
      </c>
      <c r="AC405" s="0" t="str">
        <f aca="false">Raw!S405</f>
        <v>Returned</v>
      </c>
      <c r="AD405" s="29" t="n">
        <f aca="false">Raw!N405</f>
        <v>3164.18</v>
      </c>
      <c r="AE405" s="29" t="n">
        <f aca="false">Raw!O405</f>
        <v>3840.46</v>
      </c>
      <c r="AF405" s="29" t="n">
        <f aca="false">Raw!P405</f>
        <v>595.73</v>
      </c>
      <c r="AG405" s="29" t="n">
        <f aca="false">AD405/J405</f>
        <v>489.054095826893</v>
      </c>
    </row>
    <row r="406" customFormat="false" ht="15" hidden="false" customHeight="false" outlineLevel="0" collapsed="false">
      <c r="A406" s="0" t="str">
        <f aca="false">Raw!A406</f>
        <v>SHP0405</v>
      </c>
      <c r="B406" s="0" t="str">
        <f aca="false">Raw!B406</f>
        <v>Outbound</v>
      </c>
      <c r="C406" s="0" t="str">
        <f aca="false">Raw!C406</f>
        <v>Surat</v>
      </c>
      <c r="D406" s="0" t="str">
        <f aca="false">Raw!D406</f>
        <v>Assam</v>
      </c>
      <c r="E406" s="0" t="str">
        <f aca="false">IFERROR(INDEX(Location_Map!$B$2:$B$15,MATCH(C406,Location_Map!$A$2:$A$15,0)),"UNMAPPED")</f>
        <v>Gujarat</v>
      </c>
      <c r="F406" s="0" t="str">
        <f aca="false">IFERROR(INDEX(Location_Map!$C$2:$C$15,MATCH(C406,Location_Map!$A$2:$A$15,0)),"UNMAPPED")</f>
        <v>West</v>
      </c>
      <c r="G406" s="0" t="str">
        <f aca="false">IFERROR(INDEX(Location_Map!$B$2:$B$15,MATCH(D406,Location_Map!$A$2:$A$15,0)),"UNMAPPED")</f>
        <v>Assam</v>
      </c>
      <c r="H406" s="0" t="str">
        <f aca="false">IFERROR(INDEX(Location_Map!$C$2:$C$15,MATCH(D406,Location_Map!$A$2:$A$15,0)),"UNMAPPED")</f>
        <v>North-East</v>
      </c>
      <c r="I406" s="0" t="str">
        <f aca="false">Raw!E406</f>
        <v>Raw Yarn</v>
      </c>
      <c r="J406" s="28" t="n">
        <f aca="false">Raw!F406</f>
        <v>7.04</v>
      </c>
      <c r="K406" s="30" t="n">
        <f aca="false">DATE(LEFT(Raw!G406,4),MID(Raw!G406,6,2),MID(Raw!G406,9,2))</f>
        <v>45948</v>
      </c>
      <c r="L406" s="30" t="n">
        <f aca="false">DATE(LEFT(Raw!H406,4),MID(Raw!H406,6,2),MID(Raw!H406,9,2))</f>
        <v>45950</v>
      </c>
      <c r="M406" s="30" t="n">
        <f aca="false">DATE(LEFT(Raw!I406,4),MID(Raw!I406,6,2),MID(Raw!I406,9,2))</f>
        <v>45956</v>
      </c>
      <c r="N406" s="31" t="n">
        <f aca="false">DATE(LEFT(Raw!J406,4),MID(Raw!J406,6,2),MID(Raw!J406,9,2))+TIME(MID(Raw!J406,12,2),MID(Raw!J406,15,2),MID(Raw!J406,18,2))</f>
        <v>45950.2916666667</v>
      </c>
      <c r="O406" s="31" t="n">
        <f aca="false">DATE(LEFT(Raw!K406,4),MID(Raw!K406,6,2),MID(Raw!K406,9,2))+TIME(MID(Raw!K406,12,2),MID(Raw!K406,15,2),MID(Raw!K406,18,2))</f>
        <v>45955</v>
      </c>
      <c r="P406" s="32" t="n">
        <f aca="false">L406-K406</f>
        <v>2</v>
      </c>
      <c r="Q406" s="32" t="n">
        <f aca="false">M406-L406</f>
        <v>6</v>
      </c>
      <c r="R406" s="32" t="n">
        <f aca="false">O406-N406</f>
        <v>4.70833333333333</v>
      </c>
      <c r="S406" s="32" t="n">
        <f aca="false">Raw!L406</f>
        <v>-1</v>
      </c>
      <c r="T406" s="32" t="n">
        <f aca="false">O406-M406</f>
        <v>-1</v>
      </c>
      <c r="U406" s="0" t="str">
        <f aca="false">IF(ABS(T406-S406)&lt;0.01,"OK","MISMATCH")</f>
        <v>OK</v>
      </c>
      <c r="V406" s="33" t="n">
        <f aca="false">Raw!M406</f>
        <v>0</v>
      </c>
      <c r="W406" s="0" t="str">
        <f aca="false">IF((S406&gt;0)=(V406=1),"OK","MISMATCH")</f>
        <v>OK</v>
      </c>
      <c r="X406" s="0" t="str">
        <f aca="false">_xlfn.IFS(S406&lt;=0,"Early/On time",S406&lt;=2,"Minor (up to 2 days)",S406&lt;=5,"Moderate (2-5 days)",TRUE(),"Severe (over 5 days)")</f>
        <v>Early/On time</v>
      </c>
      <c r="Y406" s="0" t="str">
        <f aca="false">YEAR(K406)&amp;"-"&amp;TEXT(MONTH(K406),"00")</f>
        <v>2025-10</v>
      </c>
      <c r="Z406" s="0" t="str">
        <f aca="false">C406&amp;" → "&amp;D406</f>
        <v>Surat → Assam</v>
      </c>
      <c r="AA406" s="0" t="str">
        <f aca="false">Raw!Q406</f>
        <v>BlueDart</v>
      </c>
      <c r="AB406" s="0" t="str">
        <f aca="false">Raw!R406</f>
        <v>No</v>
      </c>
      <c r="AC406" s="0" t="str">
        <f aca="false">Raw!S406</f>
        <v>Held at warehouse</v>
      </c>
      <c r="AD406" s="29" t="n">
        <f aca="false">Raw!N406</f>
        <v>4045.64</v>
      </c>
      <c r="AE406" s="29" t="n">
        <f aca="false">Raw!O406</f>
        <v>4009.59</v>
      </c>
      <c r="AF406" s="29" t="n">
        <f aca="false">Raw!P406</f>
        <v>1031.29</v>
      </c>
      <c r="AG406" s="29" t="n">
        <f aca="false">AD406/J406</f>
        <v>574.664772727273</v>
      </c>
    </row>
    <row r="407" customFormat="false" ht="15" hidden="false" customHeight="false" outlineLevel="0" collapsed="false">
      <c r="A407" s="0" t="str">
        <f aca="false">Raw!A407</f>
        <v>SHP0406</v>
      </c>
      <c r="B407" s="0" t="str">
        <f aca="false">Raw!B407</f>
        <v>Inbound</v>
      </c>
      <c r="C407" s="0" t="str">
        <f aca="false">Raw!C407</f>
        <v>Punjab</v>
      </c>
      <c r="D407" s="0" t="str">
        <f aca="false">Raw!D407</f>
        <v>Surat</v>
      </c>
      <c r="E407" s="0" t="str">
        <f aca="false">IFERROR(INDEX(Location_Map!$B$2:$B$15,MATCH(C407,Location_Map!$A$2:$A$15,0)),"UNMAPPED")</f>
        <v>Punjab</v>
      </c>
      <c r="F407" s="0" t="str">
        <f aca="false">IFERROR(INDEX(Location_Map!$C$2:$C$15,MATCH(C407,Location_Map!$A$2:$A$15,0)),"UNMAPPED")</f>
        <v>North</v>
      </c>
      <c r="G407" s="0" t="str">
        <f aca="false">IFERROR(INDEX(Location_Map!$B$2:$B$15,MATCH(D407,Location_Map!$A$2:$A$15,0)),"UNMAPPED")</f>
        <v>Gujarat</v>
      </c>
      <c r="H407" s="0" t="str">
        <f aca="false">IFERROR(INDEX(Location_Map!$C$2:$C$15,MATCH(D407,Location_Map!$A$2:$A$15,0)),"UNMAPPED")</f>
        <v>West</v>
      </c>
      <c r="I407" s="0" t="str">
        <f aca="false">Raw!E407</f>
        <v>Raw Yarn</v>
      </c>
      <c r="J407" s="28" t="n">
        <f aca="false">Raw!F407</f>
        <v>13.87</v>
      </c>
      <c r="K407" s="30" t="n">
        <f aca="false">DATE(LEFT(Raw!G407,4),MID(Raw!G407,6,2),MID(Raw!G407,9,2))</f>
        <v>45786</v>
      </c>
      <c r="L407" s="30" t="n">
        <f aca="false">DATE(LEFT(Raw!H407,4),MID(Raw!H407,6,2),MID(Raw!H407,9,2))</f>
        <v>45789</v>
      </c>
      <c r="M407" s="30" t="n">
        <f aca="false">DATE(LEFT(Raw!I407,4),MID(Raw!I407,6,2),MID(Raw!I407,9,2))</f>
        <v>45793</v>
      </c>
      <c r="N407" s="31" t="n">
        <f aca="false">DATE(LEFT(Raw!J407,4),MID(Raw!J407,6,2),MID(Raw!J407,9,2))+TIME(MID(Raw!J407,12,2),MID(Raw!J407,15,2),MID(Raw!J407,18,2))</f>
        <v>45789.3333333333</v>
      </c>
      <c r="O407" s="31" t="n">
        <f aca="false">DATE(LEFT(Raw!K407,4),MID(Raw!K407,6,2),MID(Raw!K407,9,2))+TIME(MID(Raw!K407,12,2),MID(Raw!K407,15,2),MID(Raw!K407,18,2))</f>
        <v>45793</v>
      </c>
      <c r="P407" s="32" t="n">
        <f aca="false">L407-K407</f>
        <v>3</v>
      </c>
      <c r="Q407" s="32" t="n">
        <f aca="false">M407-L407</f>
        <v>4</v>
      </c>
      <c r="R407" s="32" t="n">
        <f aca="false">O407-N407</f>
        <v>3.66666666666667</v>
      </c>
      <c r="S407" s="32" t="n">
        <f aca="false">Raw!L407</f>
        <v>0</v>
      </c>
      <c r="T407" s="32" t="n">
        <f aca="false">O407-M407</f>
        <v>0</v>
      </c>
      <c r="U407" s="0" t="str">
        <f aca="false">IF(ABS(T407-S407)&lt;0.01,"OK","MISMATCH")</f>
        <v>OK</v>
      </c>
      <c r="V407" s="33" t="n">
        <f aca="false">Raw!M407</f>
        <v>0</v>
      </c>
      <c r="W407" s="0" t="str">
        <f aca="false">IF((S407&gt;0)=(V407=1),"OK","MISMATCH")</f>
        <v>OK</v>
      </c>
      <c r="X407" s="0" t="str">
        <f aca="false">_xlfn.IFS(S407&lt;=0,"Early/On time",S407&lt;=2,"Minor (up to 2 days)",S407&lt;=5,"Moderate (2-5 days)",TRUE(),"Severe (over 5 days)")</f>
        <v>Early/On time</v>
      </c>
      <c r="Y407" s="0" t="str">
        <f aca="false">YEAR(K407)&amp;"-"&amp;TEXT(MONTH(K407),"00")</f>
        <v>2025-05</v>
      </c>
      <c r="Z407" s="0" t="str">
        <f aca="false">C407&amp;" → "&amp;D407</f>
        <v>Punjab → Surat</v>
      </c>
      <c r="AA407" s="0" t="str">
        <f aca="false">Raw!Q407</f>
        <v>TCI Express</v>
      </c>
      <c r="AB407" s="0" t="str">
        <f aca="false">Raw!R407</f>
        <v>Yes</v>
      </c>
      <c r="AC407" s="0" t="str">
        <f aca="false">Raw!S407</f>
        <v>Damaged</v>
      </c>
      <c r="AD407" s="29" t="n">
        <f aca="false">Raw!N407</f>
        <v>6062.36</v>
      </c>
      <c r="AE407" s="29" t="n">
        <f aca="false">Raw!O407</f>
        <v>3161.19</v>
      </c>
      <c r="AF407" s="29" t="n">
        <f aca="false">Raw!P407</f>
        <v>1344.67</v>
      </c>
      <c r="AG407" s="29" t="n">
        <f aca="false">AD407/J407</f>
        <v>437.084354722423</v>
      </c>
    </row>
    <row r="408" customFormat="false" ht="15" hidden="false" customHeight="false" outlineLevel="0" collapsed="false">
      <c r="A408" s="0" t="str">
        <f aca="false">Raw!A408</f>
        <v>SHP0407</v>
      </c>
      <c r="B408" s="0" t="str">
        <f aca="false">Raw!B408</f>
        <v>Inbound</v>
      </c>
      <c r="C408" s="0" t="str">
        <f aca="false">Raw!C408</f>
        <v>Punjab</v>
      </c>
      <c r="D408" s="0" t="str">
        <f aca="false">Raw!D408</f>
        <v>Surat</v>
      </c>
      <c r="E408" s="0" t="str">
        <f aca="false">IFERROR(INDEX(Location_Map!$B$2:$B$15,MATCH(C408,Location_Map!$A$2:$A$15,0)),"UNMAPPED")</f>
        <v>Punjab</v>
      </c>
      <c r="F408" s="0" t="str">
        <f aca="false">IFERROR(INDEX(Location_Map!$C$2:$C$15,MATCH(C408,Location_Map!$A$2:$A$15,0)),"UNMAPPED")</f>
        <v>North</v>
      </c>
      <c r="G408" s="0" t="str">
        <f aca="false">IFERROR(INDEX(Location_Map!$B$2:$B$15,MATCH(D408,Location_Map!$A$2:$A$15,0)),"UNMAPPED")</f>
        <v>Gujarat</v>
      </c>
      <c r="H408" s="0" t="str">
        <f aca="false">IFERROR(INDEX(Location_Map!$C$2:$C$15,MATCH(D408,Location_Map!$A$2:$A$15,0)),"UNMAPPED")</f>
        <v>West</v>
      </c>
      <c r="I408" s="0" t="str">
        <f aca="false">Raw!E408</f>
        <v>Semi-Processed Yarn</v>
      </c>
      <c r="J408" s="28" t="n">
        <f aca="false">Raw!F408</f>
        <v>9.19</v>
      </c>
      <c r="K408" s="30" t="n">
        <f aca="false">DATE(LEFT(Raw!G408,4),MID(Raw!G408,6,2),MID(Raw!G408,9,2))</f>
        <v>45771</v>
      </c>
      <c r="L408" s="30" t="n">
        <f aca="false">DATE(LEFT(Raw!H408,4),MID(Raw!H408,6,2),MID(Raw!H408,9,2))</f>
        <v>45775</v>
      </c>
      <c r="M408" s="30" t="n">
        <f aca="false">DATE(LEFT(Raw!I408,4),MID(Raw!I408,6,2),MID(Raw!I408,9,2))</f>
        <v>45778</v>
      </c>
      <c r="N408" s="31" t="n">
        <f aca="false">DATE(LEFT(Raw!J408,4),MID(Raw!J408,6,2),MID(Raw!J408,9,2))+TIME(MID(Raw!J408,12,2),MID(Raw!J408,15,2),MID(Raw!J408,18,2))</f>
        <v>45775.125</v>
      </c>
      <c r="O408" s="31" t="n">
        <f aca="false">DATE(LEFT(Raw!K408,4),MID(Raw!K408,6,2),MID(Raw!K408,9,2))+TIME(MID(Raw!K408,12,2),MID(Raw!K408,15,2),MID(Raw!K408,18,2))</f>
        <v>45779.8</v>
      </c>
      <c r="P408" s="32" t="n">
        <f aca="false">L408-K408</f>
        <v>4</v>
      </c>
      <c r="Q408" s="32" t="n">
        <f aca="false">M408-L408</f>
        <v>3</v>
      </c>
      <c r="R408" s="32" t="n">
        <f aca="false">O408-N408</f>
        <v>4.675</v>
      </c>
      <c r="S408" s="32" t="n">
        <f aca="false">Raw!L408</f>
        <v>1.8</v>
      </c>
      <c r="T408" s="32" t="n">
        <f aca="false">O408-M408</f>
        <v>1.8</v>
      </c>
      <c r="U408" s="0" t="str">
        <f aca="false">IF(ABS(T408-S408)&lt;0.01,"OK","MISMATCH")</f>
        <v>OK</v>
      </c>
      <c r="V408" s="33" t="n">
        <f aca="false">Raw!M408</f>
        <v>1</v>
      </c>
      <c r="W408" s="0" t="str">
        <f aca="false">IF((S408&gt;0)=(V408=1),"OK","MISMATCH")</f>
        <v>OK</v>
      </c>
      <c r="X408" s="0" t="str">
        <f aca="false">_xlfn.IFS(S408&lt;=0,"Early/On time",S408&lt;=2,"Minor (up to 2 days)",S408&lt;=5,"Moderate (2-5 days)",TRUE(),"Severe (over 5 days)")</f>
        <v>Minor (up to 2 days)</v>
      </c>
      <c r="Y408" s="0" t="str">
        <f aca="false">YEAR(K408)&amp;"-"&amp;TEXT(MONTH(K408),"00")</f>
        <v>2025-04</v>
      </c>
      <c r="Z408" s="0" t="str">
        <f aca="false">C408&amp;" → "&amp;D408</f>
        <v>Punjab → Surat</v>
      </c>
      <c r="AA408" s="0" t="str">
        <f aca="false">Raw!Q408</f>
        <v>TCI Express</v>
      </c>
      <c r="AB408" s="0" t="str">
        <f aca="false">Raw!R408</f>
        <v>No</v>
      </c>
      <c r="AC408" s="0" t="str">
        <f aca="false">Raw!S408</f>
        <v>Damaged</v>
      </c>
      <c r="AD408" s="29" t="n">
        <f aca="false">Raw!N408</f>
        <v>4430.3</v>
      </c>
      <c r="AE408" s="29" t="n">
        <f aca="false">Raw!O408</f>
        <v>2300.84</v>
      </c>
      <c r="AF408" s="29" t="n">
        <f aca="false">Raw!P408</f>
        <v>539.27</v>
      </c>
      <c r="AG408" s="29" t="n">
        <f aca="false">AD408/J408</f>
        <v>482.078346028292</v>
      </c>
    </row>
    <row r="409" customFormat="false" ht="15" hidden="false" customHeight="false" outlineLevel="0" collapsed="false">
      <c r="A409" s="0" t="str">
        <f aca="false">Raw!A409</f>
        <v>SHP0408</v>
      </c>
      <c r="B409" s="0" t="str">
        <f aca="false">Raw!B409</f>
        <v>Inbound</v>
      </c>
      <c r="C409" s="0" t="str">
        <f aca="false">Raw!C409</f>
        <v>Punjab</v>
      </c>
      <c r="D409" s="0" t="str">
        <f aca="false">Raw!D409</f>
        <v>Surat</v>
      </c>
      <c r="E409" s="0" t="str">
        <f aca="false">IFERROR(INDEX(Location_Map!$B$2:$B$15,MATCH(C409,Location_Map!$A$2:$A$15,0)),"UNMAPPED")</f>
        <v>Punjab</v>
      </c>
      <c r="F409" s="0" t="str">
        <f aca="false">IFERROR(INDEX(Location_Map!$C$2:$C$15,MATCH(C409,Location_Map!$A$2:$A$15,0)),"UNMAPPED")</f>
        <v>North</v>
      </c>
      <c r="G409" s="0" t="str">
        <f aca="false">IFERROR(INDEX(Location_Map!$B$2:$B$15,MATCH(D409,Location_Map!$A$2:$A$15,0)),"UNMAPPED")</f>
        <v>Gujarat</v>
      </c>
      <c r="H409" s="0" t="str">
        <f aca="false">IFERROR(INDEX(Location_Map!$C$2:$C$15,MATCH(D409,Location_Map!$A$2:$A$15,0)),"UNMAPPED")</f>
        <v>West</v>
      </c>
      <c r="I409" s="0" t="str">
        <f aca="false">Raw!E409</f>
        <v>Raw Yarn</v>
      </c>
      <c r="J409" s="28" t="n">
        <f aca="false">Raw!F409</f>
        <v>6.17</v>
      </c>
      <c r="K409" s="30" t="n">
        <f aca="false">DATE(LEFT(Raw!G409,4),MID(Raw!G409,6,2),MID(Raw!G409,9,2))</f>
        <v>45659</v>
      </c>
      <c r="L409" s="30" t="n">
        <f aca="false">DATE(LEFT(Raw!H409,4),MID(Raw!H409,6,2),MID(Raw!H409,9,2))</f>
        <v>45663</v>
      </c>
      <c r="M409" s="30" t="n">
        <f aca="false">DATE(LEFT(Raw!I409,4),MID(Raw!I409,6,2),MID(Raw!I409,9,2))</f>
        <v>45668</v>
      </c>
      <c r="N409" s="31" t="n">
        <f aca="false">DATE(LEFT(Raw!J409,4),MID(Raw!J409,6,2),MID(Raw!J409,9,2))+TIME(MID(Raw!J409,12,2),MID(Raw!J409,15,2),MID(Raw!J409,18,2))</f>
        <v>45663.375</v>
      </c>
      <c r="O409" s="31" t="n">
        <f aca="false">DATE(LEFT(Raw!K409,4),MID(Raw!K409,6,2),MID(Raw!K409,9,2))+TIME(MID(Raw!K409,12,2),MID(Raw!K409,15,2),MID(Raw!K409,18,2))</f>
        <v>45673.7</v>
      </c>
      <c r="P409" s="32" t="n">
        <f aca="false">L409-K409</f>
        <v>4</v>
      </c>
      <c r="Q409" s="32" t="n">
        <f aca="false">M409-L409</f>
        <v>5</v>
      </c>
      <c r="R409" s="32" t="n">
        <f aca="false">O409-N409</f>
        <v>10.325</v>
      </c>
      <c r="S409" s="32" t="n">
        <f aca="false">Raw!L409</f>
        <v>5.7</v>
      </c>
      <c r="T409" s="32" t="n">
        <f aca="false">O409-M409</f>
        <v>5.7</v>
      </c>
      <c r="U409" s="0" t="str">
        <f aca="false">IF(ABS(T409-S409)&lt;0.01,"OK","MISMATCH")</f>
        <v>OK</v>
      </c>
      <c r="V409" s="33" t="n">
        <f aca="false">Raw!M409</f>
        <v>1</v>
      </c>
      <c r="W409" s="0" t="str">
        <f aca="false">IF((S409&gt;0)=(V409=1),"OK","MISMATCH")</f>
        <v>OK</v>
      </c>
      <c r="X409" s="0" t="str">
        <f aca="false">_xlfn.IFS(S409&lt;=0,"Early/On time",S409&lt;=2,"Minor (up to 2 days)",S409&lt;=5,"Moderate (2-5 days)",TRUE(),"Severe (over 5 days)")</f>
        <v>Severe (over 5 days)</v>
      </c>
      <c r="Y409" s="0" t="str">
        <f aca="false">YEAR(K409)&amp;"-"&amp;TEXT(MONTH(K409),"00")</f>
        <v>2025-01</v>
      </c>
      <c r="Z409" s="0" t="str">
        <f aca="false">C409&amp;" → "&amp;D409</f>
        <v>Punjab → Surat</v>
      </c>
      <c r="AA409" s="0" t="str">
        <f aca="false">Raw!Q409</f>
        <v>VRL Cargo</v>
      </c>
      <c r="AB409" s="0" t="str">
        <f aca="false">Raw!R409</f>
        <v>No</v>
      </c>
      <c r="AC409" s="0" t="str">
        <f aca="false">Raw!S409</f>
        <v>Expedited</v>
      </c>
      <c r="AD409" s="29" t="n">
        <f aca="false">Raw!N409</f>
        <v>3884.3</v>
      </c>
      <c r="AE409" s="29" t="n">
        <f aca="false">Raw!O409</f>
        <v>2383.22</v>
      </c>
      <c r="AF409" s="29" t="n">
        <f aca="false">Raw!P409</f>
        <v>1171.09</v>
      </c>
      <c r="AG409" s="29" t="n">
        <f aca="false">AD409/J409</f>
        <v>629.546191247974</v>
      </c>
    </row>
    <row r="410" customFormat="false" ht="15" hidden="false" customHeight="false" outlineLevel="0" collapsed="false">
      <c r="A410" s="0" t="str">
        <f aca="false">Raw!A410</f>
        <v>SHP0409</v>
      </c>
      <c r="B410" s="0" t="str">
        <f aca="false">Raw!B410</f>
        <v>Outbound</v>
      </c>
      <c r="C410" s="0" t="str">
        <f aca="false">Raw!C410</f>
        <v>Surat</v>
      </c>
      <c r="D410" s="0" t="str">
        <f aca="false">Raw!D410</f>
        <v>Uttarakhand</v>
      </c>
      <c r="E410" s="0" t="str">
        <f aca="false">IFERROR(INDEX(Location_Map!$B$2:$B$15,MATCH(C410,Location_Map!$A$2:$A$15,0)),"UNMAPPED")</f>
        <v>Gujarat</v>
      </c>
      <c r="F410" s="0" t="str">
        <f aca="false">IFERROR(INDEX(Location_Map!$C$2:$C$15,MATCH(C410,Location_Map!$A$2:$A$15,0)),"UNMAPPED")</f>
        <v>West</v>
      </c>
      <c r="G410" s="0" t="str">
        <f aca="false">IFERROR(INDEX(Location_Map!$B$2:$B$15,MATCH(D410,Location_Map!$A$2:$A$15,0)),"UNMAPPED")</f>
        <v>Uttarakhand</v>
      </c>
      <c r="H410" s="0" t="str">
        <f aca="false">IFERROR(INDEX(Location_Map!$C$2:$C$15,MATCH(D410,Location_Map!$A$2:$A$15,0)),"UNMAPPED")</f>
        <v>North</v>
      </c>
      <c r="I410" s="0" t="str">
        <f aca="false">Raw!E410</f>
        <v>Finished Yarn</v>
      </c>
      <c r="J410" s="28" t="n">
        <f aca="false">Raw!F410</f>
        <v>16.3</v>
      </c>
      <c r="K410" s="30" t="n">
        <f aca="false">DATE(LEFT(Raw!G410,4),MID(Raw!G410,6,2),MID(Raw!G410,9,2))</f>
        <v>45942</v>
      </c>
      <c r="L410" s="30" t="n">
        <f aca="false">DATE(LEFT(Raw!H410,4),MID(Raw!H410,6,2),MID(Raw!H410,9,2))</f>
        <v>45944</v>
      </c>
      <c r="M410" s="30" t="n">
        <f aca="false">DATE(LEFT(Raw!I410,4),MID(Raw!I410,6,2),MID(Raw!I410,9,2))</f>
        <v>45948</v>
      </c>
      <c r="N410" s="31" t="n">
        <f aca="false">DATE(LEFT(Raw!J410,4),MID(Raw!J410,6,2),MID(Raw!J410,9,2))+TIME(MID(Raw!J410,12,2),MID(Raw!J410,15,2),MID(Raw!J410,18,2))</f>
        <v>45944.125</v>
      </c>
      <c r="O410" s="31" t="n">
        <f aca="false">DATE(LEFT(Raw!K410,4),MID(Raw!K410,6,2),MID(Raw!K410,9,2))+TIME(MID(Raw!K410,12,2),MID(Raw!K410,15,2),MID(Raw!K410,18,2))</f>
        <v>45954.5</v>
      </c>
      <c r="P410" s="32" t="n">
        <f aca="false">L410-K410</f>
        <v>2</v>
      </c>
      <c r="Q410" s="32" t="n">
        <f aca="false">M410-L410</f>
        <v>4</v>
      </c>
      <c r="R410" s="32" t="n">
        <f aca="false">O410-N410</f>
        <v>10.375</v>
      </c>
      <c r="S410" s="32" t="n">
        <f aca="false">Raw!L410</f>
        <v>6.5</v>
      </c>
      <c r="T410" s="32" t="n">
        <f aca="false">O410-M410</f>
        <v>6.5</v>
      </c>
      <c r="U410" s="0" t="str">
        <f aca="false">IF(ABS(T410-S410)&lt;0.01,"OK","MISMATCH")</f>
        <v>OK</v>
      </c>
      <c r="V410" s="33" t="n">
        <f aca="false">Raw!M410</f>
        <v>1</v>
      </c>
      <c r="W410" s="0" t="str">
        <f aca="false">IF((S410&gt;0)=(V410=1),"OK","MISMATCH")</f>
        <v>OK</v>
      </c>
      <c r="X410" s="0" t="str">
        <f aca="false">_xlfn.IFS(S410&lt;=0,"Early/On time",S410&lt;=2,"Minor (up to 2 days)",S410&lt;=5,"Moderate (2-5 days)",TRUE(),"Severe (over 5 days)")</f>
        <v>Severe (over 5 days)</v>
      </c>
      <c r="Y410" s="0" t="str">
        <f aca="false">YEAR(K410)&amp;"-"&amp;TEXT(MONTH(K410),"00")</f>
        <v>2025-10</v>
      </c>
      <c r="Z410" s="0" t="str">
        <f aca="false">C410&amp;" → "&amp;D410</f>
        <v>Surat → Uttarakhand</v>
      </c>
      <c r="AA410" s="0" t="str">
        <f aca="false">Raw!Q410</f>
        <v>GATI Logistics</v>
      </c>
      <c r="AB410" s="0" t="str">
        <f aca="false">Raw!R410</f>
        <v>Yes</v>
      </c>
      <c r="AC410" s="0" t="str">
        <f aca="false">Raw!S410</f>
        <v>Normal</v>
      </c>
      <c r="AD410" s="29" t="n">
        <f aca="false">Raw!N410</f>
        <v>9098.11</v>
      </c>
      <c r="AE410" s="29" t="n">
        <f aca="false">Raw!O410</f>
        <v>3752.18</v>
      </c>
      <c r="AF410" s="29" t="n">
        <f aca="false">Raw!P410</f>
        <v>620.39</v>
      </c>
      <c r="AG410" s="29" t="n">
        <f aca="false">AD410/J410</f>
        <v>558.166257668712</v>
      </c>
    </row>
    <row r="411" customFormat="false" ht="15" hidden="false" customHeight="false" outlineLevel="0" collapsed="false">
      <c r="A411" s="0" t="str">
        <f aca="false">Raw!A411</f>
        <v>SHP0410</v>
      </c>
      <c r="B411" s="0" t="str">
        <f aca="false">Raw!B411</f>
        <v>Outbound</v>
      </c>
      <c r="C411" s="0" t="str">
        <f aca="false">Raw!C411</f>
        <v>Surat</v>
      </c>
      <c r="D411" s="0" t="str">
        <f aca="false">Raw!D411</f>
        <v>Mumbai</v>
      </c>
      <c r="E411" s="0" t="str">
        <f aca="false">IFERROR(INDEX(Location_Map!$B$2:$B$15,MATCH(C411,Location_Map!$A$2:$A$15,0)),"UNMAPPED")</f>
        <v>Gujarat</v>
      </c>
      <c r="F411" s="0" t="str">
        <f aca="false">IFERROR(INDEX(Location_Map!$C$2:$C$15,MATCH(C411,Location_Map!$A$2:$A$15,0)),"UNMAPPED")</f>
        <v>West</v>
      </c>
      <c r="G411" s="0" t="str">
        <f aca="false">IFERROR(INDEX(Location_Map!$B$2:$B$15,MATCH(D411,Location_Map!$A$2:$A$15,0)),"UNMAPPED")</f>
        <v>Maharashtra</v>
      </c>
      <c r="H411" s="0" t="str">
        <f aca="false">IFERROR(INDEX(Location_Map!$C$2:$C$15,MATCH(D411,Location_Map!$A$2:$A$15,0)),"UNMAPPED")</f>
        <v>West</v>
      </c>
      <c r="I411" s="0" t="str">
        <f aca="false">Raw!E411</f>
        <v>Raw Yarn</v>
      </c>
      <c r="J411" s="28" t="n">
        <f aca="false">Raw!F411</f>
        <v>18.83</v>
      </c>
      <c r="K411" s="30" t="n">
        <f aca="false">DATE(LEFT(Raw!G411,4),MID(Raw!G411,6,2),MID(Raw!G411,9,2))</f>
        <v>45712</v>
      </c>
      <c r="L411" s="30" t="n">
        <f aca="false">DATE(LEFT(Raw!H411,4),MID(Raw!H411,6,2),MID(Raw!H411,9,2))</f>
        <v>45715</v>
      </c>
      <c r="M411" s="30" t="n">
        <f aca="false">DATE(LEFT(Raw!I411,4),MID(Raw!I411,6,2),MID(Raw!I411,9,2))</f>
        <v>45721</v>
      </c>
      <c r="N411" s="31" t="n">
        <f aca="false">DATE(LEFT(Raw!J411,4),MID(Raw!J411,6,2),MID(Raw!J411,9,2))+TIME(MID(Raw!J411,12,2),MID(Raw!J411,15,2),MID(Raw!J411,18,2))</f>
        <v>45715.375</v>
      </c>
      <c r="O411" s="31" t="n">
        <f aca="false">DATE(LEFT(Raw!K411,4),MID(Raw!K411,6,2),MID(Raw!K411,9,2))+TIME(MID(Raw!K411,12,2),MID(Raw!K411,15,2),MID(Raw!K411,18,2))</f>
        <v>45722.3</v>
      </c>
      <c r="P411" s="32" t="n">
        <f aca="false">L411-K411</f>
        <v>3</v>
      </c>
      <c r="Q411" s="32" t="n">
        <f aca="false">M411-L411</f>
        <v>6</v>
      </c>
      <c r="R411" s="32" t="n">
        <f aca="false">O411-N411</f>
        <v>6.925</v>
      </c>
      <c r="S411" s="32" t="n">
        <f aca="false">Raw!L411</f>
        <v>1.3</v>
      </c>
      <c r="T411" s="32" t="n">
        <f aca="false">O411-M411</f>
        <v>1.3</v>
      </c>
      <c r="U411" s="0" t="str">
        <f aca="false">IF(ABS(T411-S411)&lt;0.01,"OK","MISMATCH")</f>
        <v>OK</v>
      </c>
      <c r="V411" s="33" t="n">
        <f aca="false">Raw!M411</f>
        <v>1</v>
      </c>
      <c r="W411" s="0" t="str">
        <f aca="false">IF((S411&gt;0)=(V411=1),"OK","MISMATCH")</f>
        <v>OK</v>
      </c>
      <c r="X411" s="0" t="str">
        <f aca="false">_xlfn.IFS(S411&lt;=0,"Early/On time",S411&lt;=2,"Minor (up to 2 days)",S411&lt;=5,"Moderate (2-5 days)",TRUE(),"Severe (over 5 days)")</f>
        <v>Minor (up to 2 days)</v>
      </c>
      <c r="Y411" s="0" t="str">
        <f aca="false">YEAR(K411)&amp;"-"&amp;TEXT(MONTH(K411),"00")</f>
        <v>2025-02</v>
      </c>
      <c r="Z411" s="0" t="str">
        <f aca="false">C411&amp;" → "&amp;D411</f>
        <v>Surat → Mumbai</v>
      </c>
      <c r="AA411" s="0" t="str">
        <f aca="false">Raw!Q411</f>
        <v>TCI Express</v>
      </c>
      <c r="AB411" s="0" t="str">
        <f aca="false">Raw!R411</f>
        <v>Yes</v>
      </c>
      <c r="AC411" s="0" t="str">
        <f aca="false">Raw!S411</f>
        <v>Expedited</v>
      </c>
      <c r="AD411" s="29" t="n">
        <f aca="false">Raw!N411</f>
        <v>10919.15</v>
      </c>
      <c r="AE411" s="29" t="n">
        <f aca="false">Raw!O411</f>
        <v>4105.16</v>
      </c>
      <c r="AF411" s="29" t="n">
        <f aca="false">Raw!P411</f>
        <v>630.5</v>
      </c>
      <c r="AG411" s="29" t="n">
        <f aca="false">AD411/J411</f>
        <v>579.880509824748</v>
      </c>
    </row>
    <row r="412" customFormat="false" ht="15" hidden="false" customHeight="false" outlineLevel="0" collapsed="false">
      <c r="A412" s="0" t="str">
        <f aca="false">Raw!A412</f>
        <v>SHP0411</v>
      </c>
      <c r="B412" s="0" t="str">
        <f aca="false">Raw!B412</f>
        <v>Inbound</v>
      </c>
      <c r="C412" s="0" t="str">
        <f aca="false">Raw!C412</f>
        <v>Chennai</v>
      </c>
      <c r="D412" s="0" t="str">
        <f aca="false">Raw!D412</f>
        <v>Surat</v>
      </c>
      <c r="E412" s="0" t="str">
        <f aca="false">IFERROR(INDEX(Location_Map!$B$2:$B$15,MATCH(C412,Location_Map!$A$2:$A$15,0)),"UNMAPPED")</f>
        <v>Tamil Nadu</v>
      </c>
      <c r="F412" s="0" t="str">
        <f aca="false">IFERROR(INDEX(Location_Map!$C$2:$C$15,MATCH(C412,Location_Map!$A$2:$A$15,0)),"UNMAPPED")</f>
        <v>South</v>
      </c>
      <c r="G412" s="0" t="str">
        <f aca="false">IFERROR(INDEX(Location_Map!$B$2:$B$15,MATCH(D412,Location_Map!$A$2:$A$15,0)),"UNMAPPED")</f>
        <v>Gujarat</v>
      </c>
      <c r="H412" s="0" t="str">
        <f aca="false">IFERROR(INDEX(Location_Map!$C$2:$C$15,MATCH(D412,Location_Map!$A$2:$A$15,0)),"UNMAPPED")</f>
        <v>West</v>
      </c>
      <c r="I412" s="0" t="str">
        <f aca="false">Raw!E412</f>
        <v>Raw Yarn</v>
      </c>
      <c r="J412" s="28" t="n">
        <f aca="false">Raw!F412</f>
        <v>11.74</v>
      </c>
      <c r="K412" s="30" t="n">
        <f aca="false">DATE(LEFT(Raw!G412,4),MID(Raw!G412,6,2),MID(Raw!G412,9,2))</f>
        <v>45790</v>
      </c>
      <c r="L412" s="30" t="n">
        <f aca="false">DATE(LEFT(Raw!H412,4),MID(Raw!H412,6,2),MID(Raw!H412,9,2))</f>
        <v>45794</v>
      </c>
      <c r="M412" s="30" t="n">
        <f aca="false">DATE(LEFT(Raw!I412,4),MID(Raw!I412,6,2),MID(Raw!I412,9,2))</f>
        <v>45797</v>
      </c>
      <c r="N412" s="31" t="n">
        <f aca="false">DATE(LEFT(Raw!J412,4),MID(Raw!J412,6,2),MID(Raw!J412,9,2))+TIME(MID(Raw!J412,12,2),MID(Raw!J412,15,2),MID(Raw!J412,18,2))</f>
        <v>45794.0416666667</v>
      </c>
      <c r="O412" s="31" t="n">
        <f aca="false">DATE(LEFT(Raw!K412,4),MID(Raw!K412,6,2),MID(Raw!K412,9,2))+TIME(MID(Raw!K412,12,2),MID(Raw!K412,15,2),MID(Raw!K412,18,2))</f>
        <v>45798.4</v>
      </c>
      <c r="P412" s="32" t="n">
        <f aca="false">L412-K412</f>
        <v>4</v>
      </c>
      <c r="Q412" s="32" t="n">
        <f aca="false">M412-L412</f>
        <v>3</v>
      </c>
      <c r="R412" s="32" t="n">
        <f aca="false">O412-N412</f>
        <v>4.35833333333333</v>
      </c>
      <c r="S412" s="32" t="n">
        <f aca="false">Raw!L412</f>
        <v>1.4</v>
      </c>
      <c r="T412" s="32" t="n">
        <f aca="false">O412-M412</f>
        <v>1.4</v>
      </c>
      <c r="U412" s="0" t="str">
        <f aca="false">IF(ABS(T412-S412)&lt;0.01,"OK","MISMATCH")</f>
        <v>OK</v>
      </c>
      <c r="V412" s="33" t="n">
        <f aca="false">Raw!M412</f>
        <v>1</v>
      </c>
      <c r="W412" s="0" t="str">
        <f aca="false">IF((S412&gt;0)=(V412=1),"OK","MISMATCH")</f>
        <v>OK</v>
      </c>
      <c r="X412" s="0" t="str">
        <f aca="false">_xlfn.IFS(S412&lt;=0,"Early/On time",S412&lt;=2,"Minor (up to 2 days)",S412&lt;=5,"Moderate (2-5 days)",TRUE(),"Severe (over 5 days)")</f>
        <v>Minor (up to 2 days)</v>
      </c>
      <c r="Y412" s="0" t="str">
        <f aca="false">YEAR(K412)&amp;"-"&amp;TEXT(MONTH(K412),"00")</f>
        <v>2025-05</v>
      </c>
      <c r="Z412" s="0" t="str">
        <f aca="false">C412&amp;" → "&amp;D412</f>
        <v>Chennai → Surat</v>
      </c>
      <c r="AA412" s="0" t="str">
        <f aca="false">Raw!Q412</f>
        <v>VRL Cargo</v>
      </c>
      <c r="AB412" s="0" t="str">
        <f aca="false">Raw!R412</f>
        <v>No</v>
      </c>
      <c r="AC412" s="0" t="str">
        <f aca="false">Raw!S412</f>
        <v>Held at warehouse</v>
      </c>
      <c r="AD412" s="29" t="n">
        <f aca="false">Raw!N412</f>
        <v>5173.22</v>
      </c>
      <c r="AE412" s="29" t="n">
        <f aca="false">Raw!O412</f>
        <v>1638.5</v>
      </c>
      <c r="AF412" s="29" t="n">
        <f aca="false">Raw!P412</f>
        <v>835.62</v>
      </c>
      <c r="AG412" s="29" t="n">
        <f aca="false">AD412/J412</f>
        <v>440.649063032368</v>
      </c>
    </row>
    <row r="413" customFormat="false" ht="15" hidden="false" customHeight="false" outlineLevel="0" collapsed="false">
      <c r="A413" s="0" t="str">
        <f aca="false">Raw!A413</f>
        <v>SHP0412</v>
      </c>
      <c r="B413" s="0" t="str">
        <f aca="false">Raw!B413</f>
        <v>Inbound</v>
      </c>
      <c r="C413" s="0" t="str">
        <f aca="false">Raw!C413</f>
        <v>Uttar Pradesh</v>
      </c>
      <c r="D413" s="0" t="str">
        <f aca="false">Raw!D413</f>
        <v>Surat</v>
      </c>
      <c r="E413" s="0" t="str">
        <f aca="false">IFERROR(INDEX(Location_Map!$B$2:$B$15,MATCH(C413,Location_Map!$A$2:$A$15,0)),"UNMAPPED")</f>
        <v>Uttar Pradesh</v>
      </c>
      <c r="F413" s="0" t="str">
        <f aca="false">IFERROR(INDEX(Location_Map!$C$2:$C$15,MATCH(C413,Location_Map!$A$2:$A$15,0)),"UNMAPPED")</f>
        <v>North</v>
      </c>
      <c r="G413" s="0" t="str">
        <f aca="false">IFERROR(INDEX(Location_Map!$B$2:$B$15,MATCH(D413,Location_Map!$A$2:$A$15,0)),"UNMAPPED")</f>
        <v>Gujarat</v>
      </c>
      <c r="H413" s="0" t="str">
        <f aca="false">IFERROR(INDEX(Location_Map!$C$2:$C$15,MATCH(D413,Location_Map!$A$2:$A$15,0)),"UNMAPPED")</f>
        <v>West</v>
      </c>
      <c r="I413" s="0" t="str">
        <f aca="false">Raw!E413</f>
        <v>Semi-Processed Yarn</v>
      </c>
      <c r="J413" s="28" t="n">
        <f aca="false">Raw!F413</f>
        <v>2.46</v>
      </c>
      <c r="K413" s="30" t="n">
        <f aca="false">DATE(LEFT(Raw!G413,4),MID(Raw!G413,6,2),MID(Raw!G413,9,2))</f>
        <v>45728</v>
      </c>
      <c r="L413" s="30" t="n">
        <f aca="false">DATE(LEFT(Raw!H413,4),MID(Raw!H413,6,2),MID(Raw!H413,9,2))</f>
        <v>45732</v>
      </c>
      <c r="M413" s="30" t="n">
        <f aca="false">DATE(LEFT(Raw!I413,4),MID(Raw!I413,6,2),MID(Raw!I413,9,2))</f>
        <v>45738</v>
      </c>
      <c r="N413" s="31" t="n">
        <f aca="false">DATE(LEFT(Raw!J413,4),MID(Raw!J413,6,2),MID(Raw!J413,9,2))+TIME(MID(Raw!J413,12,2),MID(Raw!J413,15,2),MID(Raw!J413,18,2))</f>
        <v>45732.0416666667</v>
      </c>
      <c r="O413" s="31" t="n">
        <f aca="false">DATE(LEFT(Raw!K413,4),MID(Raw!K413,6,2),MID(Raw!K413,9,2))+TIME(MID(Raw!K413,12,2),MID(Raw!K413,15,2),MID(Raw!K413,18,2))</f>
        <v>45737.7</v>
      </c>
      <c r="P413" s="32" t="n">
        <f aca="false">L413-K413</f>
        <v>4</v>
      </c>
      <c r="Q413" s="32" t="n">
        <f aca="false">M413-L413</f>
        <v>6</v>
      </c>
      <c r="R413" s="32" t="n">
        <f aca="false">O413-N413</f>
        <v>5.65833333333333</v>
      </c>
      <c r="S413" s="32" t="n">
        <f aca="false">Raw!L413</f>
        <v>-0.3</v>
      </c>
      <c r="T413" s="32" t="n">
        <f aca="false">O413-M413</f>
        <v>-0.300000000005833</v>
      </c>
      <c r="U413" s="0" t="str">
        <f aca="false">IF(ABS(T413-S413)&lt;0.01,"OK","MISMATCH")</f>
        <v>OK</v>
      </c>
      <c r="V413" s="33" t="n">
        <f aca="false">Raw!M413</f>
        <v>0</v>
      </c>
      <c r="W413" s="0" t="str">
        <f aca="false">IF((S413&gt;0)=(V413=1),"OK","MISMATCH")</f>
        <v>OK</v>
      </c>
      <c r="X413" s="0" t="str">
        <f aca="false">_xlfn.IFS(S413&lt;=0,"Early/On time",S413&lt;=2,"Minor (up to 2 days)",S413&lt;=5,"Moderate (2-5 days)",TRUE(),"Severe (over 5 days)")</f>
        <v>Early/On time</v>
      </c>
      <c r="Y413" s="0" t="str">
        <f aca="false">YEAR(K413)&amp;"-"&amp;TEXT(MONTH(K413),"00")</f>
        <v>2025-03</v>
      </c>
      <c r="Z413" s="0" t="str">
        <f aca="false">C413&amp;" → "&amp;D413</f>
        <v>Uttar Pradesh → Surat</v>
      </c>
      <c r="AA413" s="0" t="str">
        <f aca="false">Raw!Q413</f>
        <v>TCI Express</v>
      </c>
      <c r="AB413" s="0" t="str">
        <f aca="false">Raw!R413</f>
        <v>Yes</v>
      </c>
      <c r="AC413" s="0" t="str">
        <f aca="false">Raw!S413</f>
        <v>Normal</v>
      </c>
      <c r="AD413" s="29" t="n">
        <f aca="false">Raw!N413</f>
        <v>1531.53</v>
      </c>
      <c r="AE413" s="29" t="n">
        <f aca="false">Raw!O413</f>
        <v>4473.64</v>
      </c>
      <c r="AF413" s="29" t="n">
        <f aca="false">Raw!P413</f>
        <v>1426.46</v>
      </c>
      <c r="AG413" s="29" t="n">
        <f aca="false">AD413/J413</f>
        <v>622.573170731707</v>
      </c>
    </row>
    <row r="414" customFormat="false" ht="15" hidden="false" customHeight="false" outlineLevel="0" collapsed="false">
      <c r="A414" s="0" t="str">
        <f aca="false">Raw!A414</f>
        <v>SHP0413</v>
      </c>
      <c r="B414" s="0" t="str">
        <f aca="false">Raw!B414</f>
        <v>Inbound</v>
      </c>
      <c r="C414" s="0" t="str">
        <f aca="false">Raw!C414</f>
        <v>Rajasthan</v>
      </c>
      <c r="D414" s="0" t="str">
        <f aca="false">Raw!D414</f>
        <v>Surat</v>
      </c>
      <c r="E414" s="0" t="str">
        <f aca="false">IFERROR(INDEX(Location_Map!$B$2:$B$15,MATCH(C414,Location_Map!$A$2:$A$15,0)),"UNMAPPED")</f>
        <v>Rajasthan</v>
      </c>
      <c r="F414" s="0" t="str">
        <f aca="false">IFERROR(INDEX(Location_Map!$C$2:$C$15,MATCH(C414,Location_Map!$A$2:$A$15,0)),"UNMAPPED")</f>
        <v>North</v>
      </c>
      <c r="G414" s="0" t="str">
        <f aca="false">IFERROR(INDEX(Location_Map!$B$2:$B$15,MATCH(D414,Location_Map!$A$2:$A$15,0)),"UNMAPPED")</f>
        <v>Gujarat</v>
      </c>
      <c r="H414" s="0" t="str">
        <f aca="false">IFERROR(INDEX(Location_Map!$C$2:$C$15,MATCH(D414,Location_Map!$A$2:$A$15,0)),"UNMAPPED")</f>
        <v>West</v>
      </c>
      <c r="I414" s="0" t="str">
        <f aca="false">Raw!E414</f>
        <v>Raw Yarn</v>
      </c>
      <c r="J414" s="28" t="n">
        <f aca="false">Raw!F414</f>
        <v>8.97</v>
      </c>
      <c r="K414" s="30" t="n">
        <f aca="false">DATE(LEFT(Raw!G414,4),MID(Raw!G414,6,2),MID(Raw!G414,9,2))</f>
        <v>45673</v>
      </c>
      <c r="L414" s="30" t="n">
        <f aca="false">DATE(LEFT(Raw!H414,4),MID(Raw!H414,6,2),MID(Raw!H414,9,2))</f>
        <v>45674</v>
      </c>
      <c r="M414" s="30" t="n">
        <f aca="false">DATE(LEFT(Raw!I414,4),MID(Raw!I414,6,2),MID(Raw!I414,9,2))</f>
        <v>45676</v>
      </c>
      <c r="N414" s="31" t="n">
        <f aca="false">DATE(LEFT(Raw!J414,4),MID(Raw!J414,6,2),MID(Raw!J414,9,2))+TIME(MID(Raw!J414,12,2),MID(Raw!J414,15,2),MID(Raw!J414,18,2))</f>
        <v>45674.375</v>
      </c>
      <c r="O414" s="31" t="n">
        <f aca="false">DATE(LEFT(Raw!K414,4),MID(Raw!K414,6,2),MID(Raw!K414,9,2))+TIME(MID(Raw!K414,12,2),MID(Raw!K414,15,2),MID(Raw!K414,18,2))</f>
        <v>45675.9</v>
      </c>
      <c r="P414" s="32" t="n">
        <f aca="false">L414-K414</f>
        <v>1</v>
      </c>
      <c r="Q414" s="32" t="n">
        <f aca="false">M414-L414</f>
        <v>2</v>
      </c>
      <c r="R414" s="32" t="n">
        <f aca="false">O414-N414</f>
        <v>1.525</v>
      </c>
      <c r="S414" s="32" t="n">
        <f aca="false">Raw!L414</f>
        <v>-0.1</v>
      </c>
      <c r="T414" s="32" t="n">
        <f aca="false">O414-M414</f>
        <v>-0.1</v>
      </c>
      <c r="U414" s="0" t="str">
        <f aca="false">IF(ABS(T414-S414)&lt;0.01,"OK","MISMATCH")</f>
        <v>OK</v>
      </c>
      <c r="V414" s="33" t="n">
        <f aca="false">Raw!M414</f>
        <v>0</v>
      </c>
      <c r="W414" s="0" t="str">
        <f aca="false">IF((S414&gt;0)=(V414=1),"OK","MISMATCH")</f>
        <v>OK</v>
      </c>
      <c r="X414" s="0" t="str">
        <f aca="false">_xlfn.IFS(S414&lt;=0,"Early/On time",S414&lt;=2,"Minor (up to 2 days)",S414&lt;=5,"Moderate (2-5 days)",TRUE(),"Severe (over 5 days)")</f>
        <v>Early/On time</v>
      </c>
      <c r="Y414" s="0" t="str">
        <f aca="false">YEAR(K414)&amp;"-"&amp;TEXT(MONTH(K414),"00")</f>
        <v>2025-01</v>
      </c>
      <c r="Z414" s="0" t="str">
        <f aca="false">C414&amp;" → "&amp;D414</f>
        <v>Rajasthan → Surat</v>
      </c>
      <c r="AA414" s="0" t="str">
        <f aca="false">Raw!Q414</f>
        <v>GATI Logistics</v>
      </c>
      <c r="AB414" s="0" t="str">
        <f aca="false">Raw!R414</f>
        <v>No</v>
      </c>
      <c r="AC414" s="0" t="str">
        <f aca="false">Raw!S414</f>
        <v>Returned</v>
      </c>
      <c r="AD414" s="29" t="n">
        <f aca="false">Raw!N414</f>
        <v>3517.18</v>
      </c>
      <c r="AE414" s="29" t="n">
        <f aca="false">Raw!O414</f>
        <v>2590.74</v>
      </c>
      <c r="AF414" s="29" t="n">
        <f aca="false">Raw!P414</f>
        <v>1473.8</v>
      </c>
      <c r="AG414" s="29" t="n">
        <f aca="false">AD414/J414</f>
        <v>392.104793756968</v>
      </c>
    </row>
    <row r="415" customFormat="false" ht="15" hidden="false" customHeight="false" outlineLevel="0" collapsed="false">
      <c r="A415" s="0" t="str">
        <f aca="false">Raw!A415</f>
        <v>SHP0414</v>
      </c>
      <c r="B415" s="0" t="str">
        <f aca="false">Raw!B415</f>
        <v>Outbound</v>
      </c>
      <c r="C415" s="0" t="str">
        <f aca="false">Raw!C415</f>
        <v>Surat</v>
      </c>
      <c r="D415" s="0" t="str">
        <f aca="false">Raw!D415</f>
        <v>Mumbai</v>
      </c>
      <c r="E415" s="0" t="str">
        <f aca="false">IFERROR(INDEX(Location_Map!$B$2:$B$15,MATCH(C415,Location_Map!$A$2:$A$15,0)),"UNMAPPED")</f>
        <v>Gujarat</v>
      </c>
      <c r="F415" s="0" t="str">
        <f aca="false">IFERROR(INDEX(Location_Map!$C$2:$C$15,MATCH(C415,Location_Map!$A$2:$A$15,0)),"UNMAPPED")</f>
        <v>West</v>
      </c>
      <c r="G415" s="0" t="str">
        <f aca="false">IFERROR(INDEX(Location_Map!$B$2:$B$15,MATCH(D415,Location_Map!$A$2:$A$15,0)),"UNMAPPED")</f>
        <v>Maharashtra</v>
      </c>
      <c r="H415" s="0" t="str">
        <f aca="false">IFERROR(INDEX(Location_Map!$C$2:$C$15,MATCH(D415,Location_Map!$A$2:$A$15,0)),"UNMAPPED")</f>
        <v>West</v>
      </c>
      <c r="I415" s="0" t="str">
        <f aca="false">Raw!E415</f>
        <v>Finished Yarn</v>
      </c>
      <c r="J415" s="28" t="n">
        <f aca="false">Raw!F415</f>
        <v>11.34</v>
      </c>
      <c r="K415" s="30" t="n">
        <f aca="false">DATE(LEFT(Raw!G415,4),MID(Raw!G415,6,2),MID(Raw!G415,9,2))</f>
        <v>45740</v>
      </c>
      <c r="L415" s="30" t="n">
        <f aca="false">DATE(LEFT(Raw!H415,4),MID(Raw!H415,6,2),MID(Raw!H415,9,2))</f>
        <v>45743</v>
      </c>
      <c r="M415" s="30" t="n">
        <f aca="false">DATE(LEFT(Raw!I415,4),MID(Raw!I415,6,2),MID(Raw!I415,9,2))</f>
        <v>45748</v>
      </c>
      <c r="N415" s="31" t="n">
        <f aca="false">DATE(LEFT(Raw!J415,4),MID(Raw!J415,6,2),MID(Raw!J415,9,2))+TIME(MID(Raw!J415,12,2),MID(Raw!J415,15,2),MID(Raw!J415,18,2))</f>
        <v>45743.25</v>
      </c>
      <c r="O415" s="31" t="n">
        <f aca="false">DATE(LEFT(Raw!K415,4),MID(Raw!K415,6,2),MID(Raw!K415,9,2))+TIME(MID(Raw!K415,12,2),MID(Raw!K415,15,2),MID(Raw!K415,18,2))</f>
        <v>45753.1</v>
      </c>
      <c r="P415" s="32" t="n">
        <f aca="false">L415-K415</f>
        <v>3</v>
      </c>
      <c r="Q415" s="32" t="n">
        <f aca="false">M415-L415</f>
        <v>5</v>
      </c>
      <c r="R415" s="32" t="n">
        <f aca="false">O415-N415</f>
        <v>9.85</v>
      </c>
      <c r="S415" s="32" t="n">
        <f aca="false">Raw!L415</f>
        <v>5.1</v>
      </c>
      <c r="T415" s="32" t="n">
        <f aca="false">O415-M415</f>
        <v>5.1</v>
      </c>
      <c r="U415" s="0" t="str">
        <f aca="false">IF(ABS(T415-S415)&lt;0.01,"OK","MISMATCH")</f>
        <v>OK</v>
      </c>
      <c r="V415" s="33" t="n">
        <f aca="false">Raw!M415</f>
        <v>1</v>
      </c>
      <c r="W415" s="0" t="str">
        <f aca="false">IF((S415&gt;0)=(V415=1),"OK","MISMATCH")</f>
        <v>OK</v>
      </c>
      <c r="X415" s="0" t="str">
        <f aca="false">_xlfn.IFS(S415&lt;=0,"Early/On time",S415&lt;=2,"Minor (up to 2 days)",S415&lt;=5,"Moderate (2-5 days)",TRUE(),"Severe (over 5 days)")</f>
        <v>Severe (over 5 days)</v>
      </c>
      <c r="Y415" s="0" t="str">
        <f aca="false">YEAR(K415)&amp;"-"&amp;TEXT(MONTH(K415),"00")</f>
        <v>2025-03</v>
      </c>
      <c r="Z415" s="0" t="str">
        <f aca="false">C415&amp;" → "&amp;D415</f>
        <v>Surat → Mumbai</v>
      </c>
      <c r="AA415" s="0" t="str">
        <f aca="false">Raw!Q415</f>
        <v>TCI Express</v>
      </c>
      <c r="AB415" s="0" t="str">
        <f aca="false">Raw!R415</f>
        <v>Yes</v>
      </c>
      <c r="AC415" s="0" t="str">
        <f aca="false">Raw!S415</f>
        <v>Normal</v>
      </c>
      <c r="AD415" s="29" t="n">
        <f aca="false">Raw!N415</f>
        <v>4264.92</v>
      </c>
      <c r="AE415" s="29" t="n">
        <f aca="false">Raw!O415</f>
        <v>1887.13</v>
      </c>
      <c r="AF415" s="29" t="n">
        <f aca="false">Raw!P415</f>
        <v>817.55</v>
      </c>
      <c r="AG415" s="29" t="n">
        <f aca="false">AD415/J415</f>
        <v>376.095238095238</v>
      </c>
    </row>
    <row r="416" customFormat="false" ht="15" hidden="false" customHeight="false" outlineLevel="0" collapsed="false">
      <c r="A416" s="0" t="str">
        <f aca="false">Raw!A416</f>
        <v>SHP0415</v>
      </c>
      <c r="B416" s="0" t="str">
        <f aca="false">Raw!B416</f>
        <v>Outbound</v>
      </c>
      <c r="C416" s="0" t="str">
        <f aca="false">Raw!C416</f>
        <v>Surat</v>
      </c>
      <c r="D416" s="0" t="str">
        <f aca="false">Raw!D416</f>
        <v>Uttarakhand</v>
      </c>
      <c r="E416" s="0" t="str">
        <f aca="false">IFERROR(INDEX(Location_Map!$B$2:$B$15,MATCH(C416,Location_Map!$A$2:$A$15,0)),"UNMAPPED")</f>
        <v>Gujarat</v>
      </c>
      <c r="F416" s="0" t="str">
        <f aca="false">IFERROR(INDEX(Location_Map!$C$2:$C$15,MATCH(C416,Location_Map!$A$2:$A$15,0)),"UNMAPPED")</f>
        <v>West</v>
      </c>
      <c r="G416" s="0" t="str">
        <f aca="false">IFERROR(INDEX(Location_Map!$B$2:$B$15,MATCH(D416,Location_Map!$A$2:$A$15,0)),"UNMAPPED")</f>
        <v>Uttarakhand</v>
      </c>
      <c r="H416" s="0" t="str">
        <f aca="false">IFERROR(INDEX(Location_Map!$C$2:$C$15,MATCH(D416,Location_Map!$A$2:$A$15,0)),"UNMAPPED")</f>
        <v>North</v>
      </c>
      <c r="I416" s="0" t="str">
        <f aca="false">Raw!E416</f>
        <v>Raw Yarn</v>
      </c>
      <c r="J416" s="28" t="n">
        <f aca="false">Raw!F416</f>
        <v>5.93</v>
      </c>
      <c r="K416" s="30" t="n">
        <f aca="false">DATE(LEFT(Raw!G416,4),MID(Raw!G416,6,2),MID(Raw!G416,9,2))</f>
        <v>45684</v>
      </c>
      <c r="L416" s="30" t="n">
        <f aca="false">DATE(LEFT(Raw!H416,4),MID(Raw!H416,6,2),MID(Raw!H416,9,2))</f>
        <v>45685</v>
      </c>
      <c r="M416" s="30" t="n">
        <f aca="false">DATE(LEFT(Raw!I416,4),MID(Raw!I416,6,2),MID(Raw!I416,9,2))</f>
        <v>45690</v>
      </c>
      <c r="N416" s="31" t="n">
        <f aca="false">DATE(LEFT(Raw!J416,4),MID(Raw!J416,6,2),MID(Raw!J416,9,2))+TIME(MID(Raw!J416,12,2),MID(Raw!J416,15,2),MID(Raw!J416,18,2))</f>
        <v>45685.25</v>
      </c>
      <c r="O416" s="31" t="n">
        <f aca="false">DATE(LEFT(Raw!K416,4),MID(Raw!K416,6,2),MID(Raw!K416,9,2))+TIME(MID(Raw!K416,12,2),MID(Raw!K416,15,2),MID(Raw!K416,18,2))</f>
        <v>45689</v>
      </c>
      <c r="P416" s="32" t="n">
        <f aca="false">L416-K416</f>
        <v>1</v>
      </c>
      <c r="Q416" s="32" t="n">
        <f aca="false">M416-L416</f>
        <v>5</v>
      </c>
      <c r="R416" s="32" t="n">
        <f aca="false">O416-N416</f>
        <v>3.75</v>
      </c>
      <c r="S416" s="32" t="n">
        <f aca="false">Raw!L416</f>
        <v>-1</v>
      </c>
      <c r="T416" s="32" t="n">
        <f aca="false">O416-M416</f>
        <v>-1</v>
      </c>
      <c r="U416" s="0" t="str">
        <f aca="false">IF(ABS(T416-S416)&lt;0.01,"OK","MISMATCH")</f>
        <v>OK</v>
      </c>
      <c r="V416" s="33" t="n">
        <f aca="false">Raw!M416</f>
        <v>0</v>
      </c>
      <c r="W416" s="0" t="str">
        <f aca="false">IF((S416&gt;0)=(V416=1),"OK","MISMATCH")</f>
        <v>OK</v>
      </c>
      <c r="X416" s="0" t="str">
        <f aca="false">_xlfn.IFS(S416&lt;=0,"Early/On time",S416&lt;=2,"Minor (up to 2 days)",S416&lt;=5,"Moderate (2-5 days)",TRUE(),"Severe (over 5 days)")</f>
        <v>Early/On time</v>
      </c>
      <c r="Y416" s="0" t="str">
        <f aca="false">YEAR(K416)&amp;"-"&amp;TEXT(MONTH(K416),"00")</f>
        <v>2025-01</v>
      </c>
      <c r="Z416" s="0" t="str">
        <f aca="false">C416&amp;" → "&amp;D416</f>
        <v>Surat → Uttarakhand</v>
      </c>
      <c r="AA416" s="0" t="str">
        <f aca="false">Raw!Q416</f>
        <v>VRL Cargo</v>
      </c>
      <c r="AB416" s="0" t="str">
        <f aca="false">Raw!R416</f>
        <v>Yes</v>
      </c>
      <c r="AC416" s="0" t="str">
        <f aca="false">Raw!S416</f>
        <v>Returned</v>
      </c>
      <c r="AD416" s="29" t="n">
        <f aca="false">Raw!N416</f>
        <v>2685.89</v>
      </c>
      <c r="AE416" s="29" t="n">
        <f aca="false">Raw!O416</f>
        <v>2327.99</v>
      </c>
      <c r="AF416" s="29" t="n">
        <f aca="false">Raw!P416</f>
        <v>1162.8</v>
      </c>
      <c r="AG416" s="29" t="n">
        <f aca="false">AD416/J416</f>
        <v>452.932546374368</v>
      </c>
    </row>
    <row r="417" customFormat="false" ht="15" hidden="false" customHeight="false" outlineLevel="0" collapsed="false">
      <c r="A417" s="0" t="str">
        <f aca="false">Raw!A417</f>
        <v>SHP0416</v>
      </c>
      <c r="B417" s="0" t="str">
        <f aca="false">Raw!B417</f>
        <v>Inbound</v>
      </c>
      <c r="C417" s="0" t="str">
        <f aca="false">Raw!C417</f>
        <v>Punjab</v>
      </c>
      <c r="D417" s="0" t="str">
        <f aca="false">Raw!D417</f>
        <v>Surat</v>
      </c>
      <c r="E417" s="0" t="str">
        <f aca="false">IFERROR(INDEX(Location_Map!$B$2:$B$15,MATCH(C417,Location_Map!$A$2:$A$15,0)),"UNMAPPED")</f>
        <v>Punjab</v>
      </c>
      <c r="F417" s="0" t="str">
        <f aca="false">IFERROR(INDEX(Location_Map!$C$2:$C$15,MATCH(C417,Location_Map!$A$2:$A$15,0)),"UNMAPPED")</f>
        <v>North</v>
      </c>
      <c r="G417" s="0" t="str">
        <f aca="false">IFERROR(INDEX(Location_Map!$B$2:$B$15,MATCH(D417,Location_Map!$A$2:$A$15,0)),"UNMAPPED")</f>
        <v>Gujarat</v>
      </c>
      <c r="H417" s="0" t="str">
        <f aca="false">IFERROR(INDEX(Location_Map!$C$2:$C$15,MATCH(D417,Location_Map!$A$2:$A$15,0)),"UNMAPPED")</f>
        <v>West</v>
      </c>
      <c r="I417" s="0" t="str">
        <f aca="false">Raw!E417</f>
        <v>Semi-Processed Yarn</v>
      </c>
      <c r="J417" s="28" t="n">
        <f aca="false">Raw!F417</f>
        <v>17.54</v>
      </c>
      <c r="K417" s="30" t="n">
        <f aca="false">DATE(LEFT(Raw!G417,4),MID(Raw!G417,6,2),MID(Raw!G417,9,2))</f>
        <v>45885</v>
      </c>
      <c r="L417" s="30" t="n">
        <f aca="false">DATE(LEFT(Raw!H417,4),MID(Raw!H417,6,2),MID(Raw!H417,9,2))</f>
        <v>45888</v>
      </c>
      <c r="M417" s="30" t="n">
        <f aca="false">DATE(LEFT(Raw!I417,4),MID(Raw!I417,6,2),MID(Raw!I417,9,2))</f>
        <v>45893</v>
      </c>
      <c r="N417" s="31" t="n">
        <f aca="false">DATE(LEFT(Raw!J417,4),MID(Raw!J417,6,2),MID(Raw!J417,9,2))+TIME(MID(Raw!J417,12,2),MID(Raw!J417,15,2),MID(Raw!J417,18,2))</f>
        <v>45888.375</v>
      </c>
      <c r="O417" s="31" t="n">
        <f aca="false">DATE(LEFT(Raw!K417,4),MID(Raw!K417,6,2),MID(Raw!K417,9,2))+TIME(MID(Raw!K417,12,2),MID(Raw!K417,15,2),MID(Raw!K417,18,2))</f>
        <v>45893.2</v>
      </c>
      <c r="P417" s="32" t="n">
        <f aca="false">L417-K417</f>
        <v>3</v>
      </c>
      <c r="Q417" s="32" t="n">
        <f aca="false">M417-L417</f>
        <v>5</v>
      </c>
      <c r="R417" s="32" t="n">
        <f aca="false">O417-N417</f>
        <v>4.825</v>
      </c>
      <c r="S417" s="32" t="n">
        <f aca="false">Raw!L417</f>
        <v>0.2</v>
      </c>
      <c r="T417" s="32" t="n">
        <f aca="false">O417-M417</f>
        <v>0.2</v>
      </c>
      <c r="U417" s="0" t="str">
        <f aca="false">IF(ABS(T417-S417)&lt;0.01,"OK","MISMATCH")</f>
        <v>OK</v>
      </c>
      <c r="V417" s="33" t="n">
        <f aca="false">Raw!M417</f>
        <v>1</v>
      </c>
      <c r="W417" s="0" t="str">
        <f aca="false">IF((S417&gt;0)=(V417=1),"OK","MISMATCH")</f>
        <v>OK</v>
      </c>
      <c r="X417" s="0" t="str">
        <f aca="false">_xlfn.IFS(S417&lt;=0,"Early/On time",S417&lt;=2,"Minor (up to 2 days)",S417&lt;=5,"Moderate (2-5 days)",TRUE(),"Severe (over 5 days)")</f>
        <v>Minor (up to 2 days)</v>
      </c>
      <c r="Y417" s="0" t="str">
        <f aca="false">YEAR(K417)&amp;"-"&amp;TEXT(MONTH(K417),"00")</f>
        <v>2025-08</v>
      </c>
      <c r="Z417" s="0" t="str">
        <f aca="false">C417&amp;" → "&amp;D417</f>
        <v>Punjab → Surat</v>
      </c>
      <c r="AA417" s="0" t="str">
        <f aca="false">Raw!Q417</f>
        <v>TCI Express</v>
      </c>
      <c r="AB417" s="0" t="str">
        <f aca="false">Raw!R417</f>
        <v>Yes</v>
      </c>
      <c r="AC417" s="0" t="str">
        <f aca="false">Raw!S417</f>
        <v>Held at warehouse</v>
      </c>
      <c r="AD417" s="29" t="n">
        <f aca="false">Raw!N417</f>
        <v>6661.44</v>
      </c>
      <c r="AE417" s="29" t="n">
        <f aca="false">Raw!O417</f>
        <v>3287.98</v>
      </c>
      <c r="AF417" s="29" t="n">
        <f aca="false">Raw!P417</f>
        <v>1305.43</v>
      </c>
      <c r="AG417" s="29" t="n">
        <f aca="false">AD417/J417</f>
        <v>379.785632839225</v>
      </c>
    </row>
    <row r="418" customFormat="false" ht="15" hidden="false" customHeight="false" outlineLevel="0" collapsed="false">
      <c r="A418" s="0" t="str">
        <f aca="false">Raw!A418</f>
        <v>SHP0417</v>
      </c>
      <c r="B418" s="0" t="str">
        <f aca="false">Raw!B418</f>
        <v>Outbound</v>
      </c>
      <c r="C418" s="0" t="str">
        <f aca="false">Raw!C418</f>
        <v>Surat</v>
      </c>
      <c r="D418" s="0" t="str">
        <f aca="false">Raw!D418</f>
        <v>Jaipur</v>
      </c>
      <c r="E418" s="0" t="str">
        <f aca="false">IFERROR(INDEX(Location_Map!$B$2:$B$15,MATCH(C418,Location_Map!$A$2:$A$15,0)),"UNMAPPED")</f>
        <v>Gujarat</v>
      </c>
      <c r="F418" s="0" t="str">
        <f aca="false">IFERROR(INDEX(Location_Map!$C$2:$C$15,MATCH(C418,Location_Map!$A$2:$A$15,0)),"UNMAPPED")</f>
        <v>West</v>
      </c>
      <c r="G418" s="0" t="str">
        <f aca="false">IFERROR(INDEX(Location_Map!$B$2:$B$15,MATCH(D418,Location_Map!$A$2:$A$15,0)),"UNMAPPED")</f>
        <v>Rajasthan</v>
      </c>
      <c r="H418" s="0" t="str">
        <f aca="false">IFERROR(INDEX(Location_Map!$C$2:$C$15,MATCH(D418,Location_Map!$A$2:$A$15,0)),"UNMAPPED")</f>
        <v>North</v>
      </c>
      <c r="I418" s="0" t="str">
        <f aca="false">Raw!E418</f>
        <v>Finished Yarn</v>
      </c>
      <c r="J418" s="28" t="n">
        <f aca="false">Raw!F418</f>
        <v>15.44</v>
      </c>
      <c r="K418" s="30" t="n">
        <f aca="false">DATE(LEFT(Raw!G418,4),MID(Raw!G418,6,2),MID(Raw!G418,9,2))</f>
        <v>45704</v>
      </c>
      <c r="L418" s="30" t="n">
        <f aca="false">DATE(LEFT(Raw!H418,4),MID(Raw!H418,6,2),MID(Raw!H418,9,2))</f>
        <v>45705</v>
      </c>
      <c r="M418" s="30" t="n">
        <f aca="false">DATE(LEFT(Raw!I418,4),MID(Raw!I418,6,2),MID(Raw!I418,9,2))</f>
        <v>45710</v>
      </c>
      <c r="N418" s="31" t="n">
        <f aca="false">DATE(LEFT(Raw!J418,4),MID(Raw!J418,6,2),MID(Raw!J418,9,2))+TIME(MID(Raw!J418,12,2),MID(Raw!J418,15,2),MID(Raw!J418,18,2))</f>
        <v>45704.8333333333</v>
      </c>
      <c r="O418" s="31" t="n">
        <f aca="false">DATE(LEFT(Raw!K418,4),MID(Raw!K418,6,2),MID(Raw!K418,9,2))+TIME(MID(Raw!K418,12,2),MID(Raw!K418,15,2),MID(Raw!K418,18,2))</f>
        <v>45709</v>
      </c>
      <c r="P418" s="32" t="n">
        <f aca="false">L418-K418</f>
        <v>1</v>
      </c>
      <c r="Q418" s="32" t="n">
        <f aca="false">M418-L418</f>
        <v>5</v>
      </c>
      <c r="R418" s="32" t="n">
        <f aca="false">O418-N418</f>
        <v>4.16666666666667</v>
      </c>
      <c r="S418" s="32" t="n">
        <f aca="false">Raw!L418</f>
        <v>-1</v>
      </c>
      <c r="T418" s="32" t="n">
        <f aca="false">O418-M418</f>
        <v>-1</v>
      </c>
      <c r="U418" s="0" t="str">
        <f aca="false">IF(ABS(T418-S418)&lt;0.01,"OK","MISMATCH")</f>
        <v>OK</v>
      </c>
      <c r="V418" s="33" t="n">
        <f aca="false">Raw!M418</f>
        <v>0</v>
      </c>
      <c r="W418" s="0" t="str">
        <f aca="false">IF((S418&gt;0)=(V418=1),"OK","MISMATCH")</f>
        <v>OK</v>
      </c>
      <c r="X418" s="0" t="str">
        <f aca="false">_xlfn.IFS(S418&lt;=0,"Early/On time",S418&lt;=2,"Minor (up to 2 days)",S418&lt;=5,"Moderate (2-5 days)",TRUE(),"Severe (over 5 days)")</f>
        <v>Early/On time</v>
      </c>
      <c r="Y418" s="0" t="str">
        <f aca="false">YEAR(K418)&amp;"-"&amp;TEXT(MONTH(K418),"00")</f>
        <v>2025-02</v>
      </c>
      <c r="Z418" s="0" t="str">
        <f aca="false">C418&amp;" → "&amp;D418</f>
        <v>Surat → Jaipur</v>
      </c>
      <c r="AA418" s="0" t="str">
        <f aca="false">Raw!Q418</f>
        <v>VRL Cargo</v>
      </c>
      <c r="AB418" s="0" t="str">
        <f aca="false">Raw!R418</f>
        <v>Yes</v>
      </c>
      <c r="AC418" s="0" t="str">
        <f aca="false">Raw!S418</f>
        <v>Held at warehouse</v>
      </c>
      <c r="AD418" s="29" t="n">
        <f aca="false">Raw!N418</f>
        <v>3586.03</v>
      </c>
      <c r="AE418" s="29" t="n">
        <f aca="false">Raw!O418</f>
        <v>2567.64</v>
      </c>
      <c r="AF418" s="29" t="n">
        <f aca="false">Raw!P418</f>
        <v>1197.16</v>
      </c>
      <c r="AG418" s="29" t="n">
        <f aca="false">AD418/J418</f>
        <v>232.255829015544</v>
      </c>
    </row>
    <row r="419" customFormat="false" ht="15" hidden="false" customHeight="false" outlineLevel="0" collapsed="false">
      <c r="A419" s="0" t="str">
        <f aca="false">Raw!A419</f>
        <v>SHP0418</v>
      </c>
      <c r="B419" s="0" t="str">
        <f aca="false">Raw!B419</f>
        <v>Outbound</v>
      </c>
      <c r="C419" s="0" t="str">
        <f aca="false">Raw!C419</f>
        <v>Surat</v>
      </c>
      <c r="D419" s="0" t="str">
        <f aca="false">Raw!D419</f>
        <v>Madhya Pradesh</v>
      </c>
      <c r="E419" s="0" t="str">
        <f aca="false">IFERROR(INDEX(Location_Map!$B$2:$B$15,MATCH(C419,Location_Map!$A$2:$A$15,0)),"UNMAPPED")</f>
        <v>Gujarat</v>
      </c>
      <c r="F419" s="0" t="str">
        <f aca="false">IFERROR(INDEX(Location_Map!$C$2:$C$15,MATCH(C419,Location_Map!$A$2:$A$15,0)),"UNMAPPED")</f>
        <v>West</v>
      </c>
      <c r="G419" s="0" t="str">
        <f aca="false">IFERROR(INDEX(Location_Map!$B$2:$B$15,MATCH(D419,Location_Map!$A$2:$A$15,0)),"UNMAPPED")</f>
        <v>Madhya Pradesh</v>
      </c>
      <c r="H419" s="0" t="str">
        <f aca="false">IFERROR(INDEX(Location_Map!$C$2:$C$15,MATCH(D419,Location_Map!$A$2:$A$15,0)),"UNMAPPED")</f>
        <v>Central</v>
      </c>
      <c r="I419" s="0" t="str">
        <f aca="false">Raw!E419</f>
        <v>Finished Yarn</v>
      </c>
      <c r="J419" s="28" t="n">
        <f aca="false">Raw!F419</f>
        <v>4.68</v>
      </c>
      <c r="K419" s="30" t="n">
        <f aca="false">DATE(LEFT(Raw!G419,4),MID(Raw!G419,6,2),MID(Raw!G419,9,2))</f>
        <v>45850</v>
      </c>
      <c r="L419" s="30" t="n">
        <f aca="false">DATE(LEFT(Raw!H419,4),MID(Raw!H419,6,2),MID(Raw!H419,9,2))</f>
        <v>45852</v>
      </c>
      <c r="M419" s="30" t="n">
        <f aca="false">DATE(LEFT(Raw!I419,4),MID(Raw!I419,6,2),MID(Raw!I419,9,2))</f>
        <v>45857</v>
      </c>
      <c r="N419" s="31" t="n">
        <f aca="false">DATE(LEFT(Raw!J419,4),MID(Raw!J419,6,2),MID(Raw!J419,9,2))+TIME(MID(Raw!J419,12,2),MID(Raw!J419,15,2),MID(Raw!J419,18,2))</f>
        <v>45851.9166666667</v>
      </c>
      <c r="O419" s="31" t="n">
        <f aca="false">DATE(LEFT(Raw!K419,4),MID(Raw!K419,6,2),MID(Raw!K419,9,2))+TIME(MID(Raw!K419,12,2),MID(Raw!K419,15,2),MID(Raw!K419,18,2))</f>
        <v>45858.3</v>
      </c>
      <c r="P419" s="32" t="n">
        <f aca="false">L419-K419</f>
        <v>2</v>
      </c>
      <c r="Q419" s="32" t="n">
        <f aca="false">M419-L419</f>
        <v>5</v>
      </c>
      <c r="R419" s="32" t="n">
        <f aca="false">O419-N419</f>
        <v>6.38333333333333</v>
      </c>
      <c r="S419" s="32" t="n">
        <f aca="false">Raw!L419</f>
        <v>1.3</v>
      </c>
      <c r="T419" s="32" t="n">
        <f aca="false">O419-M419</f>
        <v>1.3</v>
      </c>
      <c r="U419" s="0" t="str">
        <f aca="false">IF(ABS(T419-S419)&lt;0.01,"OK","MISMATCH")</f>
        <v>OK</v>
      </c>
      <c r="V419" s="33" t="n">
        <f aca="false">Raw!M419</f>
        <v>1</v>
      </c>
      <c r="W419" s="0" t="str">
        <f aca="false">IF((S419&gt;0)=(V419=1),"OK","MISMATCH")</f>
        <v>OK</v>
      </c>
      <c r="X419" s="0" t="str">
        <f aca="false">_xlfn.IFS(S419&lt;=0,"Early/On time",S419&lt;=2,"Minor (up to 2 days)",S419&lt;=5,"Moderate (2-5 days)",TRUE(),"Severe (over 5 days)")</f>
        <v>Minor (up to 2 days)</v>
      </c>
      <c r="Y419" s="0" t="str">
        <f aca="false">YEAR(K419)&amp;"-"&amp;TEXT(MONTH(K419),"00")</f>
        <v>2025-07</v>
      </c>
      <c r="Z419" s="0" t="str">
        <f aca="false">C419&amp;" → "&amp;D419</f>
        <v>Surat → Madhya Pradesh</v>
      </c>
      <c r="AA419" s="0" t="str">
        <f aca="false">Raw!Q419</f>
        <v>GATI Logistics</v>
      </c>
      <c r="AB419" s="0" t="str">
        <f aca="false">Raw!R419</f>
        <v>Yes</v>
      </c>
      <c r="AC419" s="0" t="str">
        <f aca="false">Raw!S419</f>
        <v>Damaged</v>
      </c>
      <c r="AD419" s="29" t="n">
        <f aca="false">Raw!N419</f>
        <v>2102.06</v>
      </c>
      <c r="AE419" s="29" t="n">
        <f aca="false">Raw!O419</f>
        <v>1444.55</v>
      </c>
      <c r="AF419" s="29" t="n">
        <f aca="false">Raw!P419</f>
        <v>1148.11</v>
      </c>
      <c r="AG419" s="29" t="n">
        <f aca="false">AD419/J419</f>
        <v>449.15811965812</v>
      </c>
    </row>
    <row r="420" customFormat="false" ht="15" hidden="false" customHeight="false" outlineLevel="0" collapsed="false">
      <c r="A420" s="0" t="str">
        <f aca="false">Raw!A420</f>
        <v>SHP0419</v>
      </c>
      <c r="B420" s="0" t="str">
        <f aca="false">Raw!B420</f>
        <v>Inbound</v>
      </c>
      <c r="C420" s="0" t="str">
        <f aca="false">Raw!C420</f>
        <v>Uttar Pradesh</v>
      </c>
      <c r="D420" s="0" t="str">
        <f aca="false">Raw!D420</f>
        <v>Surat</v>
      </c>
      <c r="E420" s="0" t="str">
        <f aca="false">IFERROR(INDEX(Location_Map!$B$2:$B$15,MATCH(C420,Location_Map!$A$2:$A$15,0)),"UNMAPPED")</f>
        <v>Uttar Pradesh</v>
      </c>
      <c r="F420" s="0" t="str">
        <f aca="false">IFERROR(INDEX(Location_Map!$C$2:$C$15,MATCH(C420,Location_Map!$A$2:$A$15,0)),"UNMAPPED")</f>
        <v>North</v>
      </c>
      <c r="G420" s="0" t="str">
        <f aca="false">IFERROR(INDEX(Location_Map!$B$2:$B$15,MATCH(D420,Location_Map!$A$2:$A$15,0)),"UNMAPPED")</f>
        <v>Gujarat</v>
      </c>
      <c r="H420" s="0" t="str">
        <f aca="false">IFERROR(INDEX(Location_Map!$C$2:$C$15,MATCH(D420,Location_Map!$A$2:$A$15,0)),"UNMAPPED")</f>
        <v>West</v>
      </c>
      <c r="I420" s="0" t="str">
        <f aca="false">Raw!E420</f>
        <v>Semi-Processed Yarn</v>
      </c>
      <c r="J420" s="28" t="n">
        <f aca="false">Raw!F420</f>
        <v>17.63</v>
      </c>
      <c r="K420" s="30" t="n">
        <f aca="false">DATE(LEFT(Raw!G420,4),MID(Raw!G420,6,2),MID(Raw!G420,9,2))</f>
        <v>45895</v>
      </c>
      <c r="L420" s="30" t="n">
        <f aca="false">DATE(LEFT(Raw!H420,4),MID(Raw!H420,6,2),MID(Raw!H420,9,2))</f>
        <v>45896</v>
      </c>
      <c r="M420" s="30" t="n">
        <f aca="false">DATE(LEFT(Raw!I420,4),MID(Raw!I420,6,2),MID(Raw!I420,9,2))</f>
        <v>45901</v>
      </c>
      <c r="N420" s="31" t="n">
        <f aca="false">DATE(LEFT(Raw!J420,4),MID(Raw!J420,6,2),MID(Raw!J420,9,2))+TIME(MID(Raw!J420,12,2),MID(Raw!J420,15,2),MID(Raw!J420,18,2))</f>
        <v>45896</v>
      </c>
      <c r="O420" s="31" t="n">
        <f aca="false">DATE(LEFT(Raw!K420,4),MID(Raw!K420,6,2),MID(Raw!K420,9,2))+TIME(MID(Raw!K420,12,2),MID(Raw!K420,15,2),MID(Raw!K420,18,2))</f>
        <v>45904.4</v>
      </c>
      <c r="P420" s="32" t="n">
        <f aca="false">L420-K420</f>
        <v>1</v>
      </c>
      <c r="Q420" s="32" t="n">
        <f aca="false">M420-L420</f>
        <v>5</v>
      </c>
      <c r="R420" s="32" t="n">
        <f aca="false">O420-N420</f>
        <v>8.4</v>
      </c>
      <c r="S420" s="32" t="n">
        <f aca="false">Raw!L420</f>
        <v>3.4</v>
      </c>
      <c r="T420" s="32" t="n">
        <f aca="false">O420-M420</f>
        <v>3.4</v>
      </c>
      <c r="U420" s="0" t="str">
        <f aca="false">IF(ABS(T420-S420)&lt;0.01,"OK","MISMATCH")</f>
        <v>OK</v>
      </c>
      <c r="V420" s="33" t="n">
        <f aca="false">Raw!M420</f>
        <v>1</v>
      </c>
      <c r="W420" s="0" t="str">
        <f aca="false">IF((S420&gt;0)=(V420=1),"OK","MISMATCH")</f>
        <v>OK</v>
      </c>
      <c r="X420" s="0" t="str">
        <f aca="false">_xlfn.IFS(S420&lt;=0,"Early/On time",S420&lt;=2,"Minor (up to 2 days)",S420&lt;=5,"Moderate (2-5 days)",TRUE(),"Severe (over 5 days)")</f>
        <v>Moderate (2-5 days)</v>
      </c>
      <c r="Y420" s="0" t="str">
        <f aca="false">YEAR(K420)&amp;"-"&amp;TEXT(MONTH(K420),"00")</f>
        <v>2025-08</v>
      </c>
      <c r="Z420" s="0" t="str">
        <f aca="false">C420&amp;" → "&amp;D420</f>
        <v>Uttar Pradesh → Surat</v>
      </c>
      <c r="AA420" s="0" t="str">
        <f aca="false">Raw!Q420</f>
        <v>GATI Logistics</v>
      </c>
      <c r="AB420" s="0" t="str">
        <f aca="false">Raw!R420</f>
        <v>Yes</v>
      </c>
      <c r="AC420" s="0" t="str">
        <f aca="false">Raw!S420</f>
        <v>Expedited</v>
      </c>
      <c r="AD420" s="29" t="n">
        <f aca="false">Raw!N420</f>
        <v>7991.15</v>
      </c>
      <c r="AE420" s="29" t="n">
        <f aca="false">Raw!O420</f>
        <v>1324.92</v>
      </c>
      <c r="AF420" s="29" t="n">
        <f aca="false">Raw!P420</f>
        <v>1492.58</v>
      </c>
      <c r="AG420" s="29" t="n">
        <f aca="false">AD420/J420</f>
        <v>453.26999432785</v>
      </c>
    </row>
    <row r="421" customFormat="false" ht="15" hidden="false" customHeight="false" outlineLevel="0" collapsed="false">
      <c r="A421" s="0" t="str">
        <f aca="false">Raw!A421</f>
        <v>SHP0420</v>
      </c>
      <c r="B421" s="0" t="str">
        <f aca="false">Raw!B421</f>
        <v>Inbound</v>
      </c>
      <c r="C421" s="0" t="str">
        <f aca="false">Raw!C421</f>
        <v>Rajasthan</v>
      </c>
      <c r="D421" s="0" t="str">
        <f aca="false">Raw!D421</f>
        <v>Surat</v>
      </c>
      <c r="E421" s="0" t="str">
        <f aca="false">IFERROR(INDEX(Location_Map!$B$2:$B$15,MATCH(C421,Location_Map!$A$2:$A$15,0)),"UNMAPPED")</f>
        <v>Rajasthan</v>
      </c>
      <c r="F421" s="0" t="str">
        <f aca="false">IFERROR(INDEX(Location_Map!$C$2:$C$15,MATCH(C421,Location_Map!$A$2:$A$15,0)),"UNMAPPED")</f>
        <v>North</v>
      </c>
      <c r="G421" s="0" t="str">
        <f aca="false">IFERROR(INDEX(Location_Map!$B$2:$B$15,MATCH(D421,Location_Map!$A$2:$A$15,0)),"UNMAPPED")</f>
        <v>Gujarat</v>
      </c>
      <c r="H421" s="0" t="str">
        <f aca="false">IFERROR(INDEX(Location_Map!$C$2:$C$15,MATCH(D421,Location_Map!$A$2:$A$15,0)),"UNMAPPED")</f>
        <v>West</v>
      </c>
      <c r="I421" s="0" t="str">
        <f aca="false">Raw!E421</f>
        <v>Finished Yarn</v>
      </c>
      <c r="J421" s="28" t="n">
        <f aca="false">Raw!F421</f>
        <v>3.97</v>
      </c>
      <c r="K421" s="30" t="n">
        <f aca="false">DATE(LEFT(Raw!G421,4),MID(Raw!G421,6,2),MID(Raw!G421,9,2))</f>
        <v>45954</v>
      </c>
      <c r="L421" s="30" t="n">
        <f aca="false">DATE(LEFT(Raw!H421,4),MID(Raw!H421,6,2),MID(Raw!H421,9,2))</f>
        <v>45958</v>
      </c>
      <c r="M421" s="30" t="n">
        <f aca="false">DATE(LEFT(Raw!I421,4),MID(Raw!I421,6,2),MID(Raw!I421,9,2))</f>
        <v>45962</v>
      </c>
      <c r="N421" s="31" t="n">
        <f aca="false">DATE(LEFT(Raw!J421,4),MID(Raw!J421,6,2),MID(Raw!J421,9,2))+TIME(MID(Raw!J421,12,2),MID(Raw!J421,15,2),MID(Raw!J421,18,2))</f>
        <v>45958.125</v>
      </c>
      <c r="O421" s="31" t="n">
        <f aca="false">DATE(LEFT(Raw!K421,4),MID(Raw!K421,6,2),MID(Raw!K421,9,2))+TIME(MID(Raw!K421,12,2),MID(Raw!K421,15,2),MID(Raw!K421,18,2))</f>
        <v>45970.2</v>
      </c>
      <c r="P421" s="32" t="n">
        <f aca="false">L421-K421</f>
        <v>4</v>
      </c>
      <c r="Q421" s="32" t="n">
        <f aca="false">M421-L421</f>
        <v>4</v>
      </c>
      <c r="R421" s="32" t="n">
        <f aca="false">O421-N421</f>
        <v>12.075</v>
      </c>
      <c r="S421" s="32" t="n">
        <f aca="false">Raw!L421</f>
        <v>8.2</v>
      </c>
      <c r="T421" s="32" t="n">
        <f aca="false">O421-M421</f>
        <v>8.2</v>
      </c>
      <c r="U421" s="0" t="str">
        <f aca="false">IF(ABS(T421-S421)&lt;0.01,"OK","MISMATCH")</f>
        <v>OK</v>
      </c>
      <c r="V421" s="33" t="n">
        <f aca="false">Raw!M421</f>
        <v>1</v>
      </c>
      <c r="W421" s="0" t="str">
        <f aca="false">IF((S421&gt;0)=(V421=1),"OK","MISMATCH")</f>
        <v>OK</v>
      </c>
      <c r="X421" s="0" t="str">
        <f aca="false">_xlfn.IFS(S421&lt;=0,"Early/On time",S421&lt;=2,"Minor (up to 2 days)",S421&lt;=5,"Moderate (2-5 days)",TRUE(),"Severe (over 5 days)")</f>
        <v>Severe (over 5 days)</v>
      </c>
      <c r="Y421" s="0" t="str">
        <f aca="false">YEAR(K421)&amp;"-"&amp;TEXT(MONTH(K421),"00")</f>
        <v>2025-10</v>
      </c>
      <c r="Z421" s="0" t="str">
        <f aca="false">C421&amp;" → "&amp;D421</f>
        <v>Rajasthan → Surat</v>
      </c>
      <c r="AA421" s="0" t="str">
        <f aca="false">Raw!Q421</f>
        <v>BlueDart</v>
      </c>
      <c r="AB421" s="0" t="str">
        <f aca="false">Raw!R421</f>
        <v>Yes</v>
      </c>
      <c r="AC421" s="0" t="str">
        <f aca="false">Raw!S421</f>
        <v>Returned</v>
      </c>
      <c r="AD421" s="29" t="n">
        <f aca="false">Raw!N421</f>
        <v>2989.1</v>
      </c>
      <c r="AE421" s="29" t="n">
        <f aca="false">Raw!O421</f>
        <v>4940.7</v>
      </c>
      <c r="AF421" s="29" t="n">
        <f aca="false">Raw!P421</f>
        <v>1268.01</v>
      </c>
      <c r="AG421" s="29" t="n">
        <f aca="false">AD421/J421</f>
        <v>752.921914357683</v>
      </c>
    </row>
    <row r="422" customFormat="false" ht="15" hidden="false" customHeight="false" outlineLevel="0" collapsed="false">
      <c r="A422" s="0" t="str">
        <f aca="false">Raw!A422</f>
        <v>SHP0421</v>
      </c>
      <c r="B422" s="0" t="str">
        <f aca="false">Raw!B422</f>
        <v>Outbound</v>
      </c>
      <c r="C422" s="0" t="str">
        <f aca="false">Raw!C422</f>
        <v>Surat</v>
      </c>
      <c r="D422" s="0" t="str">
        <f aca="false">Raw!D422</f>
        <v>Gujarat</v>
      </c>
      <c r="E422" s="0" t="str">
        <f aca="false">IFERROR(INDEX(Location_Map!$B$2:$B$15,MATCH(C422,Location_Map!$A$2:$A$15,0)),"UNMAPPED")</f>
        <v>Gujarat</v>
      </c>
      <c r="F422" s="0" t="str">
        <f aca="false">IFERROR(INDEX(Location_Map!$C$2:$C$15,MATCH(C422,Location_Map!$A$2:$A$15,0)),"UNMAPPED")</f>
        <v>West</v>
      </c>
      <c r="G422" s="0" t="str">
        <f aca="false">IFERROR(INDEX(Location_Map!$B$2:$B$15,MATCH(D422,Location_Map!$A$2:$A$15,0)),"UNMAPPED")</f>
        <v>Gujarat</v>
      </c>
      <c r="H422" s="0" t="str">
        <f aca="false">IFERROR(INDEX(Location_Map!$C$2:$C$15,MATCH(D422,Location_Map!$A$2:$A$15,0)),"UNMAPPED")</f>
        <v>West</v>
      </c>
      <c r="I422" s="0" t="str">
        <f aca="false">Raw!E422</f>
        <v>Raw Yarn</v>
      </c>
      <c r="J422" s="28" t="n">
        <f aca="false">Raw!F422</f>
        <v>9.25</v>
      </c>
      <c r="K422" s="30" t="n">
        <f aca="false">DATE(LEFT(Raw!G422,4),MID(Raw!G422,6,2),MID(Raw!G422,9,2))</f>
        <v>45791</v>
      </c>
      <c r="L422" s="30" t="n">
        <f aca="false">DATE(LEFT(Raw!H422,4),MID(Raw!H422,6,2),MID(Raw!H422,9,2))</f>
        <v>45794</v>
      </c>
      <c r="M422" s="30" t="n">
        <f aca="false">DATE(LEFT(Raw!I422,4),MID(Raw!I422,6,2),MID(Raw!I422,9,2))</f>
        <v>45796</v>
      </c>
      <c r="N422" s="31" t="n">
        <f aca="false">DATE(LEFT(Raw!J422,4),MID(Raw!J422,6,2),MID(Raw!J422,9,2))+TIME(MID(Raw!J422,12,2),MID(Raw!J422,15,2),MID(Raw!J422,18,2))</f>
        <v>45794.0416666667</v>
      </c>
      <c r="O422" s="31" t="n">
        <f aca="false">DATE(LEFT(Raw!K422,4),MID(Raw!K422,6,2),MID(Raw!K422,9,2))+TIME(MID(Raw!K422,12,2),MID(Raw!K422,15,2),MID(Raw!K422,18,2))</f>
        <v>45804.7</v>
      </c>
      <c r="P422" s="32" t="n">
        <f aca="false">L422-K422</f>
        <v>3</v>
      </c>
      <c r="Q422" s="32" t="n">
        <f aca="false">M422-L422</f>
        <v>2</v>
      </c>
      <c r="R422" s="32" t="n">
        <f aca="false">O422-N422</f>
        <v>10.6583333333333</v>
      </c>
      <c r="S422" s="32" t="n">
        <f aca="false">Raw!L422</f>
        <v>8.7</v>
      </c>
      <c r="T422" s="32" t="n">
        <f aca="false">O422-M422</f>
        <v>8.7</v>
      </c>
      <c r="U422" s="0" t="str">
        <f aca="false">IF(ABS(T422-S422)&lt;0.01,"OK","MISMATCH")</f>
        <v>OK</v>
      </c>
      <c r="V422" s="33" t="n">
        <f aca="false">Raw!M422</f>
        <v>1</v>
      </c>
      <c r="W422" s="0" t="str">
        <f aca="false">IF((S422&gt;0)=(V422=1),"OK","MISMATCH")</f>
        <v>OK</v>
      </c>
      <c r="X422" s="0" t="str">
        <f aca="false">_xlfn.IFS(S422&lt;=0,"Early/On time",S422&lt;=2,"Minor (up to 2 days)",S422&lt;=5,"Moderate (2-5 days)",TRUE(),"Severe (over 5 days)")</f>
        <v>Severe (over 5 days)</v>
      </c>
      <c r="Y422" s="0" t="str">
        <f aca="false">YEAR(K422)&amp;"-"&amp;TEXT(MONTH(K422),"00")</f>
        <v>2025-05</v>
      </c>
      <c r="Z422" s="0" t="str">
        <f aca="false">C422&amp;" → "&amp;D422</f>
        <v>Surat → Gujarat</v>
      </c>
      <c r="AA422" s="0" t="str">
        <f aca="false">Raw!Q422</f>
        <v>Delhivery</v>
      </c>
      <c r="AB422" s="0" t="str">
        <f aca="false">Raw!R422</f>
        <v>No</v>
      </c>
      <c r="AC422" s="0" t="str">
        <f aca="false">Raw!S422</f>
        <v>Held at warehouse</v>
      </c>
      <c r="AD422" s="29" t="n">
        <f aca="false">Raw!N422</f>
        <v>6979.96</v>
      </c>
      <c r="AE422" s="29" t="n">
        <f aca="false">Raw!O422</f>
        <v>4293.09</v>
      </c>
      <c r="AF422" s="29" t="n">
        <f aca="false">Raw!P422</f>
        <v>1056.19</v>
      </c>
      <c r="AG422" s="29" t="n">
        <f aca="false">AD422/J422</f>
        <v>754.59027027027</v>
      </c>
    </row>
    <row r="423" customFormat="false" ht="15" hidden="false" customHeight="false" outlineLevel="0" collapsed="false">
      <c r="A423" s="0" t="str">
        <f aca="false">Raw!A423</f>
        <v>SHP0422</v>
      </c>
      <c r="B423" s="0" t="str">
        <f aca="false">Raw!B423</f>
        <v>Inbound</v>
      </c>
      <c r="C423" s="0" t="str">
        <f aca="false">Raw!C423</f>
        <v>Gujarat</v>
      </c>
      <c r="D423" s="0" t="str">
        <f aca="false">Raw!D423</f>
        <v>Surat</v>
      </c>
      <c r="E423" s="0" t="str">
        <f aca="false">IFERROR(INDEX(Location_Map!$B$2:$B$15,MATCH(C423,Location_Map!$A$2:$A$15,0)),"UNMAPPED")</f>
        <v>Gujarat</v>
      </c>
      <c r="F423" s="0" t="str">
        <f aca="false">IFERROR(INDEX(Location_Map!$C$2:$C$15,MATCH(C423,Location_Map!$A$2:$A$15,0)),"UNMAPPED")</f>
        <v>West</v>
      </c>
      <c r="G423" s="0" t="str">
        <f aca="false">IFERROR(INDEX(Location_Map!$B$2:$B$15,MATCH(D423,Location_Map!$A$2:$A$15,0)),"UNMAPPED")</f>
        <v>Gujarat</v>
      </c>
      <c r="H423" s="0" t="str">
        <f aca="false">IFERROR(INDEX(Location_Map!$C$2:$C$15,MATCH(D423,Location_Map!$A$2:$A$15,0)),"UNMAPPED")</f>
        <v>West</v>
      </c>
      <c r="I423" s="0" t="str">
        <f aca="false">Raw!E423</f>
        <v>Finished Yarn</v>
      </c>
      <c r="J423" s="28" t="n">
        <f aca="false">Raw!F423</f>
        <v>15.81</v>
      </c>
      <c r="K423" s="30" t="n">
        <f aca="false">DATE(LEFT(Raw!G423,4),MID(Raw!G423,6,2),MID(Raw!G423,9,2))</f>
        <v>45662</v>
      </c>
      <c r="L423" s="30" t="n">
        <f aca="false">DATE(LEFT(Raw!H423,4),MID(Raw!H423,6,2),MID(Raw!H423,9,2))</f>
        <v>45666</v>
      </c>
      <c r="M423" s="30" t="n">
        <f aca="false">DATE(LEFT(Raw!I423,4),MID(Raw!I423,6,2),MID(Raw!I423,9,2))</f>
        <v>45668</v>
      </c>
      <c r="N423" s="31" t="n">
        <f aca="false">DATE(LEFT(Raw!J423,4),MID(Raw!J423,6,2),MID(Raw!J423,9,2))+TIME(MID(Raw!J423,12,2),MID(Raw!J423,15,2),MID(Raw!J423,18,2))</f>
        <v>45665.7916666667</v>
      </c>
      <c r="O423" s="31" t="n">
        <f aca="false">DATE(LEFT(Raw!K423,4),MID(Raw!K423,6,2),MID(Raw!K423,9,2))+TIME(MID(Raw!K423,12,2),MID(Raw!K423,15,2),MID(Raw!K423,18,2))</f>
        <v>45670</v>
      </c>
      <c r="P423" s="32" t="n">
        <f aca="false">L423-K423</f>
        <v>4</v>
      </c>
      <c r="Q423" s="32" t="n">
        <f aca="false">M423-L423</f>
        <v>2</v>
      </c>
      <c r="R423" s="32" t="n">
        <f aca="false">O423-N423</f>
        <v>4.20833333333333</v>
      </c>
      <c r="S423" s="32" t="n">
        <f aca="false">Raw!L423</f>
        <v>2</v>
      </c>
      <c r="T423" s="32" t="n">
        <f aca="false">O423-M423</f>
        <v>2</v>
      </c>
      <c r="U423" s="0" t="str">
        <f aca="false">IF(ABS(T423-S423)&lt;0.01,"OK","MISMATCH")</f>
        <v>OK</v>
      </c>
      <c r="V423" s="33" t="n">
        <f aca="false">Raw!M423</f>
        <v>1</v>
      </c>
      <c r="W423" s="0" t="str">
        <f aca="false">IF((S423&gt;0)=(V423=1),"OK","MISMATCH")</f>
        <v>OK</v>
      </c>
      <c r="X423" s="0" t="str">
        <f aca="false">_xlfn.IFS(S423&lt;=0,"Early/On time",S423&lt;=2,"Minor (up to 2 days)",S423&lt;=5,"Moderate (2-5 days)",TRUE(),"Severe (over 5 days)")</f>
        <v>Minor (up to 2 days)</v>
      </c>
      <c r="Y423" s="0" t="str">
        <f aca="false">YEAR(K423)&amp;"-"&amp;TEXT(MONTH(K423),"00")</f>
        <v>2025-01</v>
      </c>
      <c r="Z423" s="0" t="str">
        <f aca="false">C423&amp;" → "&amp;D423</f>
        <v>Gujarat → Surat</v>
      </c>
      <c r="AA423" s="0" t="str">
        <f aca="false">Raw!Q423</f>
        <v>BlueDart</v>
      </c>
      <c r="AB423" s="0" t="str">
        <f aca="false">Raw!R423</f>
        <v>Yes</v>
      </c>
      <c r="AC423" s="0" t="str">
        <f aca="false">Raw!S423</f>
        <v>Expedited</v>
      </c>
      <c r="AD423" s="29" t="n">
        <f aca="false">Raw!N423</f>
        <v>6084.16</v>
      </c>
      <c r="AE423" s="29" t="n">
        <f aca="false">Raw!O423</f>
        <v>3608.37</v>
      </c>
      <c r="AF423" s="29" t="n">
        <f aca="false">Raw!P423</f>
        <v>1280.92</v>
      </c>
      <c r="AG423" s="29" t="n">
        <f aca="false">AD423/J423</f>
        <v>384.829854522454</v>
      </c>
    </row>
    <row r="424" customFormat="false" ht="15" hidden="false" customHeight="false" outlineLevel="0" collapsed="false">
      <c r="A424" s="0" t="str">
        <f aca="false">Raw!A424</f>
        <v>SHP0423</v>
      </c>
      <c r="B424" s="0" t="str">
        <f aca="false">Raw!B424</f>
        <v>Outbound</v>
      </c>
      <c r="C424" s="0" t="str">
        <f aca="false">Raw!C424</f>
        <v>Surat</v>
      </c>
      <c r="D424" s="0" t="str">
        <f aca="false">Raw!D424</f>
        <v>West Bengal</v>
      </c>
      <c r="E424" s="0" t="str">
        <f aca="false">IFERROR(INDEX(Location_Map!$B$2:$B$15,MATCH(C424,Location_Map!$A$2:$A$15,0)),"UNMAPPED")</f>
        <v>Gujarat</v>
      </c>
      <c r="F424" s="0" t="str">
        <f aca="false">IFERROR(INDEX(Location_Map!$C$2:$C$15,MATCH(C424,Location_Map!$A$2:$A$15,0)),"UNMAPPED")</f>
        <v>West</v>
      </c>
      <c r="G424" s="0" t="str">
        <f aca="false">IFERROR(INDEX(Location_Map!$B$2:$B$15,MATCH(D424,Location_Map!$A$2:$A$15,0)),"UNMAPPED")</f>
        <v>West Bengal</v>
      </c>
      <c r="H424" s="0" t="str">
        <f aca="false">IFERROR(INDEX(Location_Map!$C$2:$C$15,MATCH(D424,Location_Map!$A$2:$A$15,0)),"UNMAPPED")</f>
        <v>East</v>
      </c>
      <c r="I424" s="0" t="str">
        <f aca="false">Raw!E424</f>
        <v>Raw Yarn</v>
      </c>
      <c r="J424" s="28" t="n">
        <f aca="false">Raw!F424</f>
        <v>16.04</v>
      </c>
      <c r="K424" s="30" t="n">
        <f aca="false">DATE(LEFT(Raw!G424,4),MID(Raw!G424,6,2),MID(Raw!G424,9,2))</f>
        <v>45838</v>
      </c>
      <c r="L424" s="30" t="n">
        <f aca="false">DATE(LEFT(Raw!H424,4),MID(Raw!H424,6,2),MID(Raw!H424,9,2))</f>
        <v>45841</v>
      </c>
      <c r="M424" s="30" t="n">
        <f aca="false">DATE(LEFT(Raw!I424,4),MID(Raw!I424,6,2),MID(Raw!I424,9,2))</f>
        <v>45845</v>
      </c>
      <c r="N424" s="31" t="n">
        <f aca="false">DATE(LEFT(Raw!J424,4),MID(Raw!J424,6,2),MID(Raw!J424,9,2))+TIME(MID(Raw!J424,12,2),MID(Raw!J424,15,2),MID(Raw!J424,18,2))</f>
        <v>45841.25</v>
      </c>
      <c r="O424" s="31" t="n">
        <f aca="false">DATE(LEFT(Raw!K424,4),MID(Raw!K424,6,2),MID(Raw!K424,9,2))+TIME(MID(Raw!K424,12,2),MID(Raw!K424,15,2),MID(Raw!K424,18,2))</f>
        <v>45849.7</v>
      </c>
      <c r="P424" s="32" t="n">
        <f aca="false">L424-K424</f>
        <v>3</v>
      </c>
      <c r="Q424" s="32" t="n">
        <f aca="false">M424-L424</f>
        <v>4</v>
      </c>
      <c r="R424" s="32" t="n">
        <f aca="false">O424-N424</f>
        <v>8.45</v>
      </c>
      <c r="S424" s="32" t="n">
        <f aca="false">Raw!L424</f>
        <v>4.7</v>
      </c>
      <c r="T424" s="32" t="n">
        <f aca="false">O424-M424</f>
        <v>4.7</v>
      </c>
      <c r="U424" s="0" t="str">
        <f aca="false">IF(ABS(T424-S424)&lt;0.01,"OK","MISMATCH")</f>
        <v>OK</v>
      </c>
      <c r="V424" s="33" t="n">
        <f aca="false">Raw!M424</f>
        <v>1</v>
      </c>
      <c r="W424" s="0" t="str">
        <f aca="false">IF((S424&gt;0)=(V424=1),"OK","MISMATCH")</f>
        <v>OK</v>
      </c>
      <c r="X424" s="0" t="str">
        <f aca="false">_xlfn.IFS(S424&lt;=0,"Early/On time",S424&lt;=2,"Minor (up to 2 days)",S424&lt;=5,"Moderate (2-5 days)",TRUE(),"Severe (over 5 days)")</f>
        <v>Moderate (2-5 days)</v>
      </c>
      <c r="Y424" s="0" t="str">
        <f aca="false">YEAR(K424)&amp;"-"&amp;TEXT(MONTH(K424),"00")</f>
        <v>2025-06</v>
      </c>
      <c r="Z424" s="0" t="str">
        <f aca="false">C424&amp;" → "&amp;D424</f>
        <v>Surat → West Bengal</v>
      </c>
      <c r="AA424" s="0" t="str">
        <f aca="false">Raw!Q424</f>
        <v>VRL Cargo</v>
      </c>
      <c r="AB424" s="0" t="str">
        <f aca="false">Raw!R424</f>
        <v>Yes</v>
      </c>
      <c r="AC424" s="0" t="str">
        <f aca="false">Raw!S424</f>
        <v>Damaged</v>
      </c>
      <c r="AD424" s="29" t="n">
        <f aca="false">Raw!N424</f>
        <v>7025.8</v>
      </c>
      <c r="AE424" s="29" t="n">
        <f aca="false">Raw!O424</f>
        <v>4775.71</v>
      </c>
      <c r="AF424" s="29" t="n">
        <f aca="false">Raw!P424</f>
        <v>1265.83</v>
      </c>
      <c r="AG424" s="29" t="n">
        <f aca="false">AD424/J424</f>
        <v>438.017456359102</v>
      </c>
    </row>
    <row r="425" customFormat="false" ht="15" hidden="false" customHeight="false" outlineLevel="0" collapsed="false">
      <c r="A425" s="0" t="str">
        <f aca="false">Raw!A425</f>
        <v>SHP0424</v>
      </c>
      <c r="B425" s="0" t="str">
        <f aca="false">Raw!B425</f>
        <v>Outbound</v>
      </c>
      <c r="C425" s="0" t="str">
        <f aca="false">Raw!C425</f>
        <v>Surat</v>
      </c>
      <c r="D425" s="0" t="str">
        <f aca="false">Raw!D425</f>
        <v>Kerala</v>
      </c>
      <c r="E425" s="0" t="str">
        <f aca="false">IFERROR(INDEX(Location_Map!$B$2:$B$15,MATCH(C425,Location_Map!$A$2:$A$15,0)),"UNMAPPED")</f>
        <v>Gujarat</v>
      </c>
      <c r="F425" s="0" t="str">
        <f aca="false">IFERROR(INDEX(Location_Map!$C$2:$C$15,MATCH(C425,Location_Map!$A$2:$A$15,0)),"UNMAPPED")</f>
        <v>West</v>
      </c>
      <c r="G425" s="0" t="str">
        <f aca="false">IFERROR(INDEX(Location_Map!$B$2:$B$15,MATCH(D425,Location_Map!$A$2:$A$15,0)),"UNMAPPED")</f>
        <v>Kerala</v>
      </c>
      <c r="H425" s="0" t="str">
        <f aca="false">IFERROR(INDEX(Location_Map!$C$2:$C$15,MATCH(D425,Location_Map!$A$2:$A$15,0)),"UNMAPPED")</f>
        <v>South</v>
      </c>
      <c r="I425" s="0" t="str">
        <f aca="false">Raw!E425</f>
        <v>Raw Yarn</v>
      </c>
      <c r="J425" s="28" t="n">
        <f aca="false">Raw!F425</f>
        <v>1.1</v>
      </c>
      <c r="K425" s="30" t="n">
        <f aca="false">DATE(LEFT(Raw!G425,4),MID(Raw!G425,6,2),MID(Raw!G425,9,2))</f>
        <v>45658</v>
      </c>
      <c r="L425" s="30" t="n">
        <f aca="false">DATE(LEFT(Raw!H425,4),MID(Raw!H425,6,2),MID(Raw!H425,9,2))</f>
        <v>45660</v>
      </c>
      <c r="M425" s="30" t="n">
        <f aca="false">DATE(LEFT(Raw!I425,4),MID(Raw!I425,6,2),MID(Raw!I425,9,2))</f>
        <v>45665</v>
      </c>
      <c r="N425" s="31" t="n">
        <f aca="false">DATE(LEFT(Raw!J425,4),MID(Raw!J425,6,2),MID(Raw!J425,9,2))+TIME(MID(Raw!J425,12,2),MID(Raw!J425,15,2),MID(Raw!J425,18,2))</f>
        <v>45660.125</v>
      </c>
      <c r="O425" s="31" t="n">
        <f aca="false">DATE(LEFT(Raw!K425,4),MID(Raw!K425,6,2),MID(Raw!K425,9,2))+TIME(MID(Raw!K425,12,2),MID(Raw!K425,15,2),MID(Raw!K425,18,2))</f>
        <v>45668.4</v>
      </c>
      <c r="P425" s="32" t="n">
        <f aca="false">L425-K425</f>
        <v>2</v>
      </c>
      <c r="Q425" s="32" t="n">
        <f aca="false">M425-L425</f>
        <v>5</v>
      </c>
      <c r="R425" s="32" t="n">
        <f aca="false">O425-N425</f>
        <v>8.275</v>
      </c>
      <c r="S425" s="32" t="n">
        <f aca="false">Raw!L425</f>
        <v>3.4</v>
      </c>
      <c r="T425" s="32" t="n">
        <f aca="false">O425-M425</f>
        <v>3.4</v>
      </c>
      <c r="U425" s="0" t="str">
        <f aca="false">IF(ABS(T425-S425)&lt;0.01,"OK","MISMATCH")</f>
        <v>OK</v>
      </c>
      <c r="V425" s="33" t="n">
        <f aca="false">Raw!M425</f>
        <v>1</v>
      </c>
      <c r="W425" s="0" t="str">
        <f aca="false">IF((S425&gt;0)=(V425=1),"OK","MISMATCH")</f>
        <v>OK</v>
      </c>
      <c r="X425" s="0" t="str">
        <f aca="false">_xlfn.IFS(S425&lt;=0,"Early/On time",S425&lt;=2,"Minor (up to 2 days)",S425&lt;=5,"Moderate (2-5 days)",TRUE(),"Severe (over 5 days)")</f>
        <v>Moderate (2-5 days)</v>
      </c>
      <c r="Y425" s="0" t="str">
        <f aca="false">YEAR(K425)&amp;"-"&amp;TEXT(MONTH(K425),"00")</f>
        <v>2025-01</v>
      </c>
      <c r="Z425" s="0" t="str">
        <f aca="false">C425&amp;" → "&amp;D425</f>
        <v>Surat → Kerala</v>
      </c>
      <c r="AA425" s="0" t="str">
        <f aca="false">Raw!Q425</f>
        <v>Delhivery</v>
      </c>
      <c r="AB425" s="0" t="str">
        <f aca="false">Raw!R425</f>
        <v>Yes</v>
      </c>
      <c r="AC425" s="0" t="str">
        <f aca="false">Raw!S425</f>
        <v>Returned</v>
      </c>
      <c r="AD425" s="29" t="n">
        <f aca="false">Raw!N425</f>
        <v>1379.14</v>
      </c>
      <c r="AE425" s="29" t="n">
        <f aca="false">Raw!O425</f>
        <v>4772.25</v>
      </c>
      <c r="AF425" s="29" t="n">
        <f aca="false">Raw!P425</f>
        <v>823.82</v>
      </c>
      <c r="AG425" s="29" t="n">
        <f aca="false">AD425/J425</f>
        <v>1253.76363636364</v>
      </c>
    </row>
    <row r="426" customFormat="false" ht="15" hidden="false" customHeight="false" outlineLevel="0" collapsed="false">
      <c r="A426" s="0" t="str">
        <f aca="false">Raw!A426</f>
        <v>SHP0425</v>
      </c>
      <c r="B426" s="0" t="str">
        <f aca="false">Raw!B426</f>
        <v>Outbound</v>
      </c>
      <c r="C426" s="0" t="str">
        <f aca="false">Raw!C426</f>
        <v>Surat</v>
      </c>
      <c r="D426" s="0" t="str">
        <f aca="false">Raw!D426</f>
        <v>Karnataka</v>
      </c>
      <c r="E426" s="0" t="str">
        <f aca="false">IFERROR(INDEX(Location_Map!$B$2:$B$15,MATCH(C426,Location_Map!$A$2:$A$15,0)),"UNMAPPED")</f>
        <v>Gujarat</v>
      </c>
      <c r="F426" s="0" t="str">
        <f aca="false">IFERROR(INDEX(Location_Map!$C$2:$C$15,MATCH(C426,Location_Map!$A$2:$A$15,0)),"UNMAPPED")</f>
        <v>West</v>
      </c>
      <c r="G426" s="0" t="str">
        <f aca="false">IFERROR(INDEX(Location_Map!$B$2:$B$15,MATCH(D426,Location_Map!$A$2:$A$15,0)),"UNMAPPED")</f>
        <v>Karnataka</v>
      </c>
      <c r="H426" s="0" t="str">
        <f aca="false">IFERROR(INDEX(Location_Map!$C$2:$C$15,MATCH(D426,Location_Map!$A$2:$A$15,0)),"UNMAPPED")</f>
        <v>South</v>
      </c>
      <c r="I426" s="0" t="str">
        <f aca="false">Raw!E426</f>
        <v>Finished Yarn</v>
      </c>
      <c r="J426" s="28" t="n">
        <f aca="false">Raw!F426</f>
        <v>13.56</v>
      </c>
      <c r="K426" s="30" t="n">
        <f aca="false">DATE(LEFT(Raw!G426,4),MID(Raw!G426,6,2),MID(Raw!G426,9,2))</f>
        <v>45853</v>
      </c>
      <c r="L426" s="30" t="n">
        <f aca="false">DATE(LEFT(Raw!H426,4),MID(Raw!H426,6,2),MID(Raw!H426,9,2))</f>
        <v>45855</v>
      </c>
      <c r="M426" s="30" t="n">
        <f aca="false">DATE(LEFT(Raw!I426,4),MID(Raw!I426,6,2),MID(Raw!I426,9,2))</f>
        <v>45861</v>
      </c>
      <c r="N426" s="31" t="n">
        <f aca="false">DATE(LEFT(Raw!J426,4),MID(Raw!J426,6,2),MID(Raw!J426,9,2))+TIME(MID(Raw!J426,12,2),MID(Raw!J426,15,2),MID(Raw!J426,18,2))</f>
        <v>45855.2083333333</v>
      </c>
      <c r="O426" s="31" t="n">
        <f aca="false">DATE(LEFT(Raw!K426,4),MID(Raw!K426,6,2),MID(Raw!K426,9,2))+TIME(MID(Raw!K426,12,2),MID(Raw!K426,15,2),MID(Raw!K426,18,2))</f>
        <v>45866.2</v>
      </c>
      <c r="P426" s="32" t="n">
        <f aca="false">L426-K426</f>
        <v>2</v>
      </c>
      <c r="Q426" s="32" t="n">
        <f aca="false">M426-L426</f>
        <v>6</v>
      </c>
      <c r="R426" s="32" t="n">
        <f aca="false">O426-N426</f>
        <v>10.9916666666667</v>
      </c>
      <c r="S426" s="32" t="n">
        <f aca="false">Raw!L426</f>
        <v>5.2</v>
      </c>
      <c r="T426" s="32" t="n">
        <f aca="false">O426-M426</f>
        <v>5.2</v>
      </c>
      <c r="U426" s="0" t="str">
        <f aca="false">IF(ABS(T426-S426)&lt;0.01,"OK","MISMATCH")</f>
        <v>OK</v>
      </c>
      <c r="V426" s="33" t="n">
        <f aca="false">Raw!M426</f>
        <v>1</v>
      </c>
      <c r="W426" s="0" t="str">
        <f aca="false">IF((S426&gt;0)=(V426=1),"OK","MISMATCH")</f>
        <v>OK</v>
      </c>
      <c r="X426" s="0" t="str">
        <f aca="false">_xlfn.IFS(S426&lt;=0,"Early/On time",S426&lt;=2,"Minor (up to 2 days)",S426&lt;=5,"Moderate (2-5 days)",TRUE(),"Severe (over 5 days)")</f>
        <v>Severe (over 5 days)</v>
      </c>
      <c r="Y426" s="0" t="str">
        <f aca="false">YEAR(K426)&amp;"-"&amp;TEXT(MONTH(K426),"00")</f>
        <v>2025-07</v>
      </c>
      <c r="Z426" s="0" t="str">
        <f aca="false">C426&amp;" → "&amp;D426</f>
        <v>Surat → Karnataka</v>
      </c>
      <c r="AA426" s="0" t="str">
        <f aca="false">Raw!Q426</f>
        <v>Delhivery</v>
      </c>
      <c r="AB426" s="0" t="str">
        <f aca="false">Raw!R426</f>
        <v>No</v>
      </c>
      <c r="AC426" s="0" t="str">
        <f aca="false">Raw!S426</f>
        <v>Damaged</v>
      </c>
      <c r="AD426" s="29" t="n">
        <f aca="false">Raw!N426</f>
        <v>6251.19</v>
      </c>
      <c r="AE426" s="29" t="n">
        <f aca="false">Raw!O426</f>
        <v>1733.81</v>
      </c>
      <c r="AF426" s="29" t="n">
        <f aca="false">Raw!P426</f>
        <v>1094.14</v>
      </c>
      <c r="AG426" s="29" t="n">
        <f aca="false">AD426/J426</f>
        <v>461.002212389381</v>
      </c>
    </row>
    <row r="427" customFormat="false" ht="15" hidden="false" customHeight="false" outlineLevel="0" collapsed="false">
      <c r="A427" s="0" t="str">
        <f aca="false">Raw!A427</f>
        <v>SHP0426</v>
      </c>
      <c r="B427" s="0" t="str">
        <f aca="false">Raw!B427</f>
        <v>Outbound</v>
      </c>
      <c r="C427" s="0" t="str">
        <f aca="false">Raw!C427</f>
        <v>Surat</v>
      </c>
      <c r="D427" s="0" t="str">
        <f aca="false">Raw!D427</f>
        <v>Assam</v>
      </c>
      <c r="E427" s="0" t="str">
        <f aca="false">IFERROR(INDEX(Location_Map!$B$2:$B$15,MATCH(C427,Location_Map!$A$2:$A$15,0)),"UNMAPPED")</f>
        <v>Gujarat</v>
      </c>
      <c r="F427" s="0" t="str">
        <f aca="false">IFERROR(INDEX(Location_Map!$C$2:$C$15,MATCH(C427,Location_Map!$A$2:$A$15,0)),"UNMAPPED")</f>
        <v>West</v>
      </c>
      <c r="G427" s="0" t="str">
        <f aca="false">IFERROR(INDEX(Location_Map!$B$2:$B$15,MATCH(D427,Location_Map!$A$2:$A$15,0)),"UNMAPPED")</f>
        <v>Assam</v>
      </c>
      <c r="H427" s="0" t="str">
        <f aca="false">IFERROR(INDEX(Location_Map!$C$2:$C$15,MATCH(D427,Location_Map!$A$2:$A$15,0)),"UNMAPPED")</f>
        <v>North-East</v>
      </c>
      <c r="I427" s="0" t="str">
        <f aca="false">Raw!E427</f>
        <v>Finished Yarn</v>
      </c>
      <c r="J427" s="28" t="n">
        <f aca="false">Raw!F427</f>
        <v>8.82</v>
      </c>
      <c r="K427" s="30" t="n">
        <f aca="false">DATE(LEFT(Raw!G427,4),MID(Raw!G427,6,2),MID(Raw!G427,9,2))</f>
        <v>45695</v>
      </c>
      <c r="L427" s="30" t="n">
        <f aca="false">DATE(LEFT(Raw!H427,4),MID(Raw!H427,6,2),MID(Raw!H427,9,2))</f>
        <v>45696</v>
      </c>
      <c r="M427" s="30" t="n">
        <f aca="false">DATE(LEFT(Raw!I427,4),MID(Raw!I427,6,2),MID(Raw!I427,9,2))</f>
        <v>45699</v>
      </c>
      <c r="N427" s="31" t="n">
        <f aca="false">DATE(LEFT(Raw!J427,4),MID(Raw!J427,6,2),MID(Raw!J427,9,2))+TIME(MID(Raw!J427,12,2),MID(Raw!J427,15,2),MID(Raw!J427,18,2))</f>
        <v>45696.125</v>
      </c>
      <c r="O427" s="31" t="n">
        <f aca="false">DATE(LEFT(Raw!K427,4),MID(Raw!K427,6,2),MID(Raw!K427,9,2))+TIME(MID(Raw!K427,12,2),MID(Raw!K427,15,2),MID(Raw!K427,18,2))</f>
        <v>45702</v>
      </c>
      <c r="P427" s="32" t="n">
        <f aca="false">L427-K427</f>
        <v>1</v>
      </c>
      <c r="Q427" s="32" t="n">
        <f aca="false">M427-L427</f>
        <v>3</v>
      </c>
      <c r="R427" s="32" t="n">
        <f aca="false">O427-N427</f>
        <v>5.875</v>
      </c>
      <c r="S427" s="32" t="n">
        <f aca="false">Raw!L427</f>
        <v>3</v>
      </c>
      <c r="T427" s="32" t="n">
        <f aca="false">O427-M427</f>
        <v>3</v>
      </c>
      <c r="U427" s="0" t="str">
        <f aca="false">IF(ABS(T427-S427)&lt;0.01,"OK","MISMATCH")</f>
        <v>OK</v>
      </c>
      <c r="V427" s="33" t="n">
        <f aca="false">Raw!M427</f>
        <v>1</v>
      </c>
      <c r="W427" s="0" t="str">
        <f aca="false">IF((S427&gt;0)=(V427=1),"OK","MISMATCH")</f>
        <v>OK</v>
      </c>
      <c r="X427" s="0" t="str">
        <f aca="false">_xlfn.IFS(S427&lt;=0,"Early/On time",S427&lt;=2,"Minor (up to 2 days)",S427&lt;=5,"Moderate (2-5 days)",TRUE(),"Severe (over 5 days)")</f>
        <v>Moderate (2-5 days)</v>
      </c>
      <c r="Y427" s="0" t="str">
        <f aca="false">YEAR(K427)&amp;"-"&amp;TEXT(MONTH(K427),"00")</f>
        <v>2025-02</v>
      </c>
      <c r="Z427" s="0" t="str">
        <f aca="false">C427&amp;" → "&amp;D427</f>
        <v>Surat → Assam</v>
      </c>
      <c r="AA427" s="0" t="str">
        <f aca="false">Raw!Q427</f>
        <v>GATI Logistics</v>
      </c>
      <c r="AB427" s="0" t="str">
        <f aca="false">Raw!R427</f>
        <v>No</v>
      </c>
      <c r="AC427" s="0" t="str">
        <f aca="false">Raw!S427</f>
        <v>Normal</v>
      </c>
      <c r="AD427" s="29" t="n">
        <f aca="false">Raw!N427</f>
        <v>2825.82</v>
      </c>
      <c r="AE427" s="29" t="n">
        <f aca="false">Raw!O427</f>
        <v>3525.5</v>
      </c>
      <c r="AF427" s="29" t="n">
        <f aca="false">Raw!P427</f>
        <v>926.4</v>
      </c>
      <c r="AG427" s="29" t="n">
        <f aca="false">AD427/J427</f>
        <v>320.387755102041</v>
      </c>
    </row>
    <row r="428" customFormat="false" ht="15" hidden="false" customHeight="false" outlineLevel="0" collapsed="false">
      <c r="A428" s="0" t="str">
        <f aca="false">Raw!A428</f>
        <v>SHP0427</v>
      </c>
      <c r="B428" s="0" t="str">
        <f aca="false">Raw!B428</f>
        <v>Inbound</v>
      </c>
      <c r="C428" s="0" t="str">
        <f aca="false">Raw!C428</f>
        <v>Chennai</v>
      </c>
      <c r="D428" s="0" t="str">
        <f aca="false">Raw!D428</f>
        <v>Surat</v>
      </c>
      <c r="E428" s="0" t="str">
        <f aca="false">IFERROR(INDEX(Location_Map!$B$2:$B$15,MATCH(C428,Location_Map!$A$2:$A$15,0)),"UNMAPPED")</f>
        <v>Tamil Nadu</v>
      </c>
      <c r="F428" s="0" t="str">
        <f aca="false">IFERROR(INDEX(Location_Map!$C$2:$C$15,MATCH(C428,Location_Map!$A$2:$A$15,0)),"UNMAPPED")</f>
        <v>South</v>
      </c>
      <c r="G428" s="0" t="str">
        <f aca="false">IFERROR(INDEX(Location_Map!$B$2:$B$15,MATCH(D428,Location_Map!$A$2:$A$15,0)),"UNMAPPED")</f>
        <v>Gujarat</v>
      </c>
      <c r="H428" s="0" t="str">
        <f aca="false">IFERROR(INDEX(Location_Map!$C$2:$C$15,MATCH(D428,Location_Map!$A$2:$A$15,0)),"UNMAPPED")</f>
        <v>West</v>
      </c>
      <c r="I428" s="0" t="str">
        <f aca="false">Raw!E428</f>
        <v>Raw Yarn</v>
      </c>
      <c r="J428" s="28" t="n">
        <f aca="false">Raw!F428</f>
        <v>11.41</v>
      </c>
      <c r="K428" s="30" t="n">
        <f aca="false">DATE(LEFT(Raw!G428,4),MID(Raw!G428,6,2),MID(Raw!G428,9,2))</f>
        <v>45710</v>
      </c>
      <c r="L428" s="30" t="n">
        <f aca="false">DATE(LEFT(Raw!H428,4),MID(Raw!H428,6,2),MID(Raw!H428,9,2))</f>
        <v>45712</v>
      </c>
      <c r="M428" s="30" t="n">
        <f aca="false">DATE(LEFT(Raw!I428,4),MID(Raw!I428,6,2),MID(Raw!I428,9,2))</f>
        <v>45714</v>
      </c>
      <c r="N428" s="31" t="n">
        <f aca="false">DATE(LEFT(Raw!J428,4),MID(Raw!J428,6,2),MID(Raw!J428,9,2))+TIME(MID(Raw!J428,12,2),MID(Raw!J428,15,2),MID(Raw!J428,18,2))</f>
        <v>45712.2916666667</v>
      </c>
      <c r="O428" s="31" t="n">
        <f aca="false">DATE(LEFT(Raw!K428,4),MID(Raw!K428,6,2),MID(Raw!K428,9,2))+TIME(MID(Raw!K428,12,2),MID(Raw!K428,15,2),MID(Raw!K428,18,2))</f>
        <v>45716.6</v>
      </c>
      <c r="P428" s="32" t="n">
        <f aca="false">L428-K428</f>
        <v>2</v>
      </c>
      <c r="Q428" s="32" t="n">
        <f aca="false">M428-L428</f>
        <v>2</v>
      </c>
      <c r="R428" s="32" t="n">
        <f aca="false">O428-N428</f>
        <v>4.30833333333333</v>
      </c>
      <c r="S428" s="32" t="n">
        <f aca="false">Raw!L428</f>
        <v>2.6</v>
      </c>
      <c r="T428" s="32" t="n">
        <f aca="false">O428-M428</f>
        <v>2.6</v>
      </c>
      <c r="U428" s="0" t="str">
        <f aca="false">IF(ABS(T428-S428)&lt;0.01,"OK","MISMATCH")</f>
        <v>OK</v>
      </c>
      <c r="V428" s="33" t="n">
        <f aca="false">Raw!M428</f>
        <v>1</v>
      </c>
      <c r="W428" s="0" t="str">
        <f aca="false">IF((S428&gt;0)=(V428=1),"OK","MISMATCH")</f>
        <v>OK</v>
      </c>
      <c r="X428" s="0" t="str">
        <f aca="false">_xlfn.IFS(S428&lt;=0,"Early/On time",S428&lt;=2,"Minor (up to 2 days)",S428&lt;=5,"Moderate (2-5 days)",TRUE(),"Severe (over 5 days)")</f>
        <v>Moderate (2-5 days)</v>
      </c>
      <c r="Y428" s="0" t="str">
        <f aca="false">YEAR(K428)&amp;"-"&amp;TEXT(MONTH(K428),"00")</f>
        <v>2025-02</v>
      </c>
      <c r="Z428" s="0" t="str">
        <f aca="false">C428&amp;" → "&amp;D428</f>
        <v>Chennai → Surat</v>
      </c>
      <c r="AA428" s="0" t="str">
        <f aca="false">Raw!Q428</f>
        <v>BlueDart</v>
      </c>
      <c r="AB428" s="0" t="str">
        <f aca="false">Raw!R428</f>
        <v>No</v>
      </c>
      <c r="AC428" s="0" t="str">
        <f aca="false">Raw!S428</f>
        <v>Held at warehouse</v>
      </c>
      <c r="AD428" s="29" t="n">
        <f aca="false">Raw!N428</f>
        <v>3548.04</v>
      </c>
      <c r="AE428" s="29" t="n">
        <f aca="false">Raw!O428</f>
        <v>3186.79</v>
      </c>
      <c r="AF428" s="29" t="n">
        <f aca="false">Raw!P428</f>
        <v>1339.82</v>
      </c>
      <c r="AG428" s="29" t="n">
        <f aca="false">AD428/J428</f>
        <v>310.958808063103</v>
      </c>
    </row>
    <row r="429" customFormat="false" ht="15" hidden="false" customHeight="false" outlineLevel="0" collapsed="false">
      <c r="A429" s="0" t="str">
        <f aca="false">Raw!A429</f>
        <v>SHP0428</v>
      </c>
      <c r="B429" s="0" t="str">
        <f aca="false">Raw!B429</f>
        <v>Inbound</v>
      </c>
      <c r="C429" s="0" t="str">
        <f aca="false">Raw!C429</f>
        <v>Punjab</v>
      </c>
      <c r="D429" s="0" t="str">
        <f aca="false">Raw!D429</f>
        <v>Surat</v>
      </c>
      <c r="E429" s="0" t="str">
        <f aca="false">IFERROR(INDEX(Location_Map!$B$2:$B$15,MATCH(C429,Location_Map!$A$2:$A$15,0)),"UNMAPPED")</f>
        <v>Punjab</v>
      </c>
      <c r="F429" s="0" t="str">
        <f aca="false">IFERROR(INDEX(Location_Map!$C$2:$C$15,MATCH(C429,Location_Map!$A$2:$A$15,0)),"UNMAPPED")</f>
        <v>North</v>
      </c>
      <c r="G429" s="0" t="str">
        <f aca="false">IFERROR(INDEX(Location_Map!$B$2:$B$15,MATCH(D429,Location_Map!$A$2:$A$15,0)),"UNMAPPED")</f>
        <v>Gujarat</v>
      </c>
      <c r="H429" s="0" t="str">
        <f aca="false">IFERROR(INDEX(Location_Map!$C$2:$C$15,MATCH(D429,Location_Map!$A$2:$A$15,0)),"UNMAPPED")</f>
        <v>West</v>
      </c>
      <c r="I429" s="0" t="str">
        <f aca="false">Raw!E429</f>
        <v>Semi-Processed Yarn</v>
      </c>
      <c r="J429" s="28" t="n">
        <f aca="false">Raw!F429</f>
        <v>3.42</v>
      </c>
      <c r="K429" s="30" t="n">
        <f aca="false">DATE(LEFT(Raw!G429,4),MID(Raw!G429,6,2),MID(Raw!G429,9,2))</f>
        <v>45898</v>
      </c>
      <c r="L429" s="30" t="n">
        <f aca="false">DATE(LEFT(Raw!H429,4),MID(Raw!H429,6,2),MID(Raw!H429,9,2))</f>
        <v>45902</v>
      </c>
      <c r="M429" s="30" t="n">
        <f aca="false">DATE(LEFT(Raw!I429,4),MID(Raw!I429,6,2),MID(Raw!I429,9,2))</f>
        <v>45907</v>
      </c>
      <c r="N429" s="31" t="n">
        <f aca="false">DATE(LEFT(Raw!J429,4),MID(Raw!J429,6,2),MID(Raw!J429,9,2))+TIME(MID(Raw!J429,12,2),MID(Raw!J429,15,2),MID(Raw!J429,18,2))</f>
        <v>45902.2916666667</v>
      </c>
      <c r="O429" s="31" t="n">
        <f aca="false">DATE(LEFT(Raw!K429,4),MID(Raw!K429,6,2),MID(Raw!K429,9,2))+TIME(MID(Raw!K429,12,2),MID(Raw!K429,15,2),MID(Raw!K429,18,2))</f>
        <v>45911.8</v>
      </c>
      <c r="P429" s="32" t="n">
        <f aca="false">L429-K429</f>
        <v>4</v>
      </c>
      <c r="Q429" s="32" t="n">
        <f aca="false">M429-L429</f>
        <v>5</v>
      </c>
      <c r="R429" s="32" t="n">
        <f aca="false">O429-N429</f>
        <v>9.50833333333333</v>
      </c>
      <c r="S429" s="32" t="n">
        <f aca="false">Raw!L429</f>
        <v>4.8</v>
      </c>
      <c r="T429" s="32" t="n">
        <f aca="false">O429-M429</f>
        <v>4.8</v>
      </c>
      <c r="U429" s="0" t="str">
        <f aca="false">IF(ABS(T429-S429)&lt;0.01,"OK","MISMATCH")</f>
        <v>OK</v>
      </c>
      <c r="V429" s="33" t="n">
        <f aca="false">Raw!M429</f>
        <v>1</v>
      </c>
      <c r="W429" s="0" t="str">
        <f aca="false">IF((S429&gt;0)=(V429=1),"OK","MISMATCH")</f>
        <v>OK</v>
      </c>
      <c r="X429" s="0" t="str">
        <f aca="false">_xlfn.IFS(S429&lt;=0,"Early/On time",S429&lt;=2,"Minor (up to 2 days)",S429&lt;=5,"Moderate (2-5 days)",TRUE(),"Severe (over 5 days)")</f>
        <v>Moderate (2-5 days)</v>
      </c>
      <c r="Y429" s="0" t="str">
        <f aca="false">YEAR(K429)&amp;"-"&amp;TEXT(MONTH(K429),"00")</f>
        <v>2025-08</v>
      </c>
      <c r="Z429" s="0" t="str">
        <f aca="false">C429&amp;" → "&amp;D429</f>
        <v>Punjab → Surat</v>
      </c>
      <c r="AA429" s="0" t="str">
        <f aca="false">Raw!Q429</f>
        <v>TCI Express</v>
      </c>
      <c r="AB429" s="0" t="str">
        <f aca="false">Raw!R429</f>
        <v>Yes</v>
      </c>
      <c r="AC429" s="0" t="str">
        <f aca="false">Raw!S429</f>
        <v>Held at warehouse</v>
      </c>
      <c r="AD429" s="29" t="n">
        <f aca="false">Raw!N429</f>
        <v>2318.12</v>
      </c>
      <c r="AE429" s="29" t="n">
        <f aca="false">Raw!O429</f>
        <v>3791.33</v>
      </c>
      <c r="AF429" s="29" t="n">
        <f aca="false">Raw!P429</f>
        <v>1400.26</v>
      </c>
      <c r="AG429" s="29" t="n">
        <f aca="false">AD429/J429</f>
        <v>677.812865497076</v>
      </c>
    </row>
    <row r="430" customFormat="false" ht="15" hidden="false" customHeight="false" outlineLevel="0" collapsed="false">
      <c r="A430" s="0" t="str">
        <f aca="false">Raw!A430</f>
        <v>SHP0429</v>
      </c>
      <c r="B430" s="0" t="str">
        <f aca="false">Raw!B430</f>
        <v>Inbound</v>
      </c>
      <c r="C430" s="0" t="str">
        <f aca="false">Raw!C430</f>
        <v>Rajasthan</v>
      </c>
      <c r="D430" s="0" t="str">
        <f aca="false">Raw!D430</f>
        <v>Surat</v>
      </c>
      <c r="E430" s="0" t="str">
        <f aca="false">IFERROR(INDEX(Location_Map!$B$2:$B$15,MATCH(C430,Location_Map!$A$2:$A$15,0)),"UNMAPPED")</f>
        <v>Rajasthan</v>
      </c>
      <c r="F430" s="0" t="str">
        <f aca="false">IFERROR(INDEX(Location_Map!$C$2:$C$15,MATCH(C430,Location_Map!$A$2:$A$15,0)),"UNMAPPED")</f>
        <v>North</v>
      </c>
      <c r="G430" s="0" t="str">
        <f aca="false">IFERROR(INDEX(Location_Map!$B$2:$B$15,MATCH(D430,Location_Map!$A$2:$A$15,0)),"UNMAPPED")</f>
        <v>Gujarat</v>
      </c>
      <c r="H430" s="0" t="str">
        <f aca="false">IFERROR(INDEX(Location_Map!$C$2:$C$15,MATCH(D430,Location_Map!$A$2:$A$15,0)),"UNMAPPED")</f>
        <v>West</v>
      </c>
      <c r="I430" s="0" t="str">
        <f aca="false">Raw!E430</f>
        <v>Semi-Processed Yarn</v>
      </c>
      <c r="J430" s="28" t="n">
        <f aca="false">Raw!F430</f>
        <v>16.05</v>
      </c>
      <c r="K430" s="30" t="n">
        <f aca="false">DATE(LEFT(Raw!G430,4),MID(Raw!G430,6,2),MID(Raw!G430,9,2))</f>
        <v>45860</v>
      </c>
      <c r="L430" s="30" t="n">
        <f aca="false">DATE(LEFT(Raw!H430,4),MID(Raw!H430,6,2),MID(Raw!H430,9,2))</f>
        <v>45863</v>
      </c>
      <c r="M430" s="30" t="n">
        <f aca="false">DATE(LEFT(Raw!I430,4),MID(Raw!I430,6,2),MID(Raw!I430,9,2))</f>
        <v>45866</v>
      </c>
      <c r="N430" s="31" t="n">
        <f aca="false">DATE(LEFT(Raw!J430,4),MID(Raw!J430,6,2),MID(Raw!J430,9,2))+TIME(MID(Raw!J430,12,2),MID(Raw!J430,15,2),MID(Raw!J430,18,2))</f>
        <v>45863.2916666667</v>
      </c>
      <c r="O430" s="31" t="n">
        <f aca="false">DATE(LEFT(Raw!K430,4),MID(Raw!K430,6,2),MID(Raw!K430,9,2))+TIME(MID(Raw!K430,12,2),MID(Raw!K430,15,2),MID(Raw!K430,18,2))</f>
        <v>45865</v>
      </c>
      <c r="P430" s="32" t="n">
        <f aca="false">L430-K430</f>
        <v>3</v>
      </c>
      <c r="Q430" s="32" t="n">
        <f aca="false">M430-L430</f>
        <v>3</v>
      </c>
      <c r="R430" s="32" t="n">
        <f aca="false">O430-N430</f>
        <v>1.70833333333333</v>
      </c>
      <c r="S430" s="32" t="n">
        <f aca="false">Raw!L430</f>
        <v>-1</v>
      </c>
      <c r="T430" s="32" t="n">
        <f aca="false">O430-M430</f>
        <v>-1</v>
      </c>
      <c r="U430" s="0" t="str">
        <f aca="false">IF(ABS(T430-S430)&lt;0.01,"OK","MISMATCH")</f>
        <v>OK</v>
      </c>
      <c r="V430" s="33" t="n">
        <f aca="false">Raw!M430</f>
        <v>0</v>
      </c>
      <c r="W430" s="0" t="str">
        <f aca="false">IF((S430&gt;0)=(V430=1),"OK","MISMATCH")</f>
        <v>OK</v>
      </c>
      <c r="X430" s="0" t="str">
        <f aca="false">_xlfn.IFS(S430&lt;=0,"Early/On time",S430&lt;=2,"Minor (up to 2 days)",S430&lt;=5,"Moderate (2-5 days)",TRUE(),"Severe (over 5 days)")</f>
        <v>Early/On time</v>
      </c>
      <c r="Y430" s="0" t="str">
        <f aca="false">YEAR(K430)&amp;"-"&amp;TEXT(MONTH(K430),"00")</f>
        <v>2025-07</v>
      </c>
      <c r="Z430" s="0" t="str">
        <f aca="false">C430&amp;" → "&amp;D430</f>
        <v>Rajasthan → Surat</v>
      </c>
      <c r="AA430" s="0" t="str">
        <f aca="false">Raw!Q430</f>
        <v>VRL Cargo</v>
      </c>
      <c r="AB430" s="0" t="str">
        <f aca="false">Raw!R430</f>
        <v>No</v>
      </c>
      <c r="AC430" s="0" t="str">
        <f aca="false">Raw!S430</f>
        <v>Normal</v>
      </c>
      <c r="AD430" s="29" t="n">
        <f aca="false">Raw!N430</f>
        <v>5257.42</v>
      </c>
      <c r="AE430" s="29" t="n">
        <f aca="false">Raw!O430</f>
        <v>3647.34</v>
      </c>
      <c r="AF430" s="29" t="n">
        <f aca="false">Raw!P430</f>
        <v>1133.71</v>
      </c>
      <c r="AG430" s="29" t="n">
        <f aca="false">AD430/J430</f>
        <v>327.565109034268</v>
      </c>
    </row>
    <row r="431" customFormat="false" ht="15" hidden="false" customHeight="false" outlineLevel="0" collapsed="false">
      <c r="A431" s="0" t="str">
        <f aca="false">Raw!A431</f>
        <v>SHP0430</v>
      </c>
      <c r="B431" s="0" t="str">
        <f aca="false">Raw!B431</f>
        <v>Outbound</v>
      </c>
      <c r="C431" s="0" t="str">
        <f aca="false">Raw!C431</f>
        <v>Surat</v>
      </c>
      <c r="D431" s="0" t="str">
        <f aca="false">Raw!D431</f>
        <v>Kerala</v>
      </c>
      <c r="E431" s="0" t="str">
        <f aca="false">IFERROR(INDEX(Location_Map!$B$2:$B$15,MATCH(C431,Location_Map!$A$2:$A$15,0)),"UNMAPPED")</f>
        <v>Gujarat</v>
      </c>
      <c r="F431" s="0" t="str">
        <f aca="false">IFERROR(INDEX(Location_Map!$C$2:$C$15,MATCH(C431,Location_Map!$A$2:$A$15,0)),"UNMAPPED")</f>
        <v>West</v>
      </c>
      <c r="G431" s="0" t="str">
        <f aca="false">IFERROR(INDEX(Location_Map!$B$2:$B$15,MATCH(D431,Location_Map!$A$2:$A$15,0)),"UNMAPPED")</f>
        <v>Kerala</v>
      </c>
      <c r="H431" s="0" t="str">
        <f aca="false">IFERROR(INDEX(Location_Map!$C$2:$C$15,MATCH(D431,Location_Map!$A$2:$A$15,0)),"UNMAPPED")</f>
        <v>South</v>
      </c>
      <c r="I431" s="0" t="str">
        <f aca="false">Raw!E431</f>
        <v>Raw Yarn</v>
      </c>
      <c r="J431" s="28" t="n">
        <f aca="false">Raw!F431</f>
        <v>12.28</v>
      </c>
      <c r="K431" s="30" t="n">
        <f aca="false">DATE(LEFT(Raw!G431,4),MID(Raw!G431,6,2),MID(Raw!G431,9,2))</f>
        <v>45662</v>
      </c>
      <c r="L431" s="30" t="n">
        <f aca="false">DATE(LEFT(Raw!H431,4),MID(Raw!H431,6,2),MID(Raw!H431,9,2))</f>
        <v>45665</v>
      </c>
      <c r="M431" s="30" t="n">
        <f aca="false">DATE(LEFT(Raw!I431,4),MID(Raw!I431,6,2),MID(Raw!I431,9,2))</f>
        <v>45667</v>
      </c>
      <c r="N431" s="31" t="n">
        <f aca="false">DATE(LEFT(Raw!J431,4),MID(Raw!J431,6,2),MID(Raw!J431,9,2))+TIME(MID(Raw!J431,12,2),MID(Raw!J431,15,2),MID(Raw!J431,18,2))</f>
        <v>45665.2916666667</v>
      </c>
      <c r="O431" s="31" t="n">
        <f aca="false">DATE(LEFT(Raw!K431,4),MID(Raw!K431,6,2),MID(Raw!K431,9,2))+TIME(MID(Raw!K431,12,2),MID(Raw!K431,15,2),MID(Raw!K431,18,2))</f>
        <v>45670.5</v>
      </c>
      <c r="P431" s="32" t="n">
        <f aca="false">L431-K431</f>
        <v>3</v>
      </c>
      <c r="Q431" s="32" t="n">
        <f aca="false">M431-L431</f>
        <v>2</v>
      </c>
      <c r="R431" s="32" t="n">
        <f aca="false">O431-N431</f>
        <v>5.20833333333333</v>
      </c>
      <c r="S431" s="32" t="n">
        <f aca="false">Raw!L431</f>
        <v>3.5</v>
      </c>
      <c r="T431" s="32" t="n">
        <f aca="false">O431-M431</f>
        <v>3.5</v>
      </c>
      <c r="U431" s="0" t="str">
        <f aca="false">IF(ABS(T431-S431)&lt;0.01,"OK","MISMATCH")</f>
        <v>OK</v>
      </c>
      <c r="V431" s="33" t="n">
        <f aca="false">Raw!M431</f>
        <v>1</v>
      </c>
      <c r="W431" s="0" t="str">
        <f aca="false">IF((S431&gt;0)=(V431=1),"OK","MISMATCH")</f>
        <v>OK</v>
      </c>
      <c r="X431" s="0" t="str">
        <f aca="false">_xlfn.IFS(S431&lt;=0,"Early/On time",S431&lt;=2,"Minor (up to 2 days)",S431&lt;=5,"Moderate (2-5 days)",TRUE(),"Severe (over 5 days)")</f>
        <v>Moderate (2-5 days)</v>
      </c>
      <c r="Y431" s="0" t="str">
        <f aca="false">YEAR(K431)&amp;"-"&amp;TEXT(MONTH(K431),"00")</f>
        <v>2025-01</v>
      </c>
      <c r="Z431" s="0" t="str">
        <f aca="false">C431&amp;" → "&amp;D431</f>
        <v>Surat → Kerala</v>
      </c>
      <c r="AA431" s="0" t="str">
        <f aca="false">Raw!Q431</f>
        <v>GATI Logistics</v>
      </c>
      <c r="AB431" s="0" t="str">
        <f aca="false">Raw!R431</f>
        <v>Yes</v>
      </c>
      <c r="AC431" s="0" t="str">
        <f aca="false">Raw!S431</f>
        <v>Held at warehouse</v>
      </c>
      <c r="AD431" s="29" t="n">
        <f aca="false">Raw!N431</f>
        <v>5815.52</v>
      </c>
      <c r="AE431" s="29" t="n">
        <f aca="false">Raw!O431</f>
        <v>1505.08</v>
      </c>
      <c r="AF431" s="29" t="n">
        <f aca="false">Raw!P431</f>
        <v>1313.43</v>
      </c>
      <c r="AG431" s="29" t="n">
        <f aca="false">AD431/J431</f>
        <v>473.57654723127</v>
      </c>
    </row>
    <row r="432" customFormat="false" ht="15" hidden="false" customHeight="false" outlineLevel="0" collapsed="false">
      <c r="A432" s="0" t="str">
        <f aca="false">Raw!A432</f>
        <v>SHP0431</v>
      </c>
      <c r="B432" s="0" t="str">
        <f aca="false">Raw!B432</f>
        <v>Inbound</v>
      </c>
      <c r="C432" s="0" t="str">
        <f aca="false">Raw!C432</f>
        <v>Chennai</v>
      </c>
      <c r="D432" s="0" t="str">
        <f aca="false">Raw!D432</f>
        <v>Surat</v>
      </c>
      <c r="E432" s="0" t="str">
        <f aca="false">IFERROR(INDEX(Location_Map!$B$2:$B$15,MATCH(C432,Location_Map!$A$2:$A$15,0)),"UNMAPPED")</f>
        <v>Tamil Nadu</v>
      </c>
      <c r="F432" s="0" t="str">
        <f aca="false">IFERROR(INDEX(Location_Map!$C$2:$C$15,MATCH(C432,Location_Map!$A$2:$A$15,0)),"UNMAPPED")</f>
        <v>South</v>
      </c>
      <c r="G432" s="0" t="str">
        <f aca="false">IFERROR(INDEX(Location_Map!$B$2:$B$15,MATCH(D432,Location_Map!$A$2:$A$15,0)),"UNMAPPED")</f>
        <v>Gujarat</v>
      </c>
      <c r="H432" s="0" t="str">
        <f aca="false">IFERROR(INDEX(Location_Map!$C$2:$C$15,MATCH(D432,Location_Map!$A$2:$A$15,0)),"UNMAPPED")</f>
        <v>West</v>
      </c>
      <c r="I432" s="0" t="str">
        <f aca="false">Raw!E432</f>
        <v>Finished Yarn</v>
      </c>
      <c r="J432" s="28" t="n">
        <f aca="false">Raw!F432</f>
        <v>18.56</v>
      </c>
      <c r="K432" s="30" t="n">
        <f aca="false">DATE(LEFT(Raw!G432,4),MID(Raw!G432,6,2),MID(Raw!G432,9,2))</f>
        <v>45796</v>
      </c>
      <c r="L432" s="30" t="n">
        <f aca="false">DATE(LEFT(Raw!H432,4),MID(Raw!H432,6,2),MID(Raw!H432,9,2))</f>
        <v>45798</v>
      </c>
      <c r="M432" s="30" t="n">
        <f aca="false">DATE(LEFT(Raw!I432,4),MID(Raw!I432,6,2),MID(Raw!I432,9,2))</f>
        <v>45804</v>
      </c>
      <c r="N432" s="31" t="n">
        <f aca="false">DATE(LEFT(Raw!J432,4),MID(Raw!J432,6,2),MID(Raw!J432,9,2))+TIME(MID(Raw!J432,12,2),MID(Raw!J432,15,2),MID(Raw!J432,18,2))</f>
        <v>45798.0833333333</v>
      </c>
      <c r="O432" s="31" t="n">
        <f aca="false">DATE(LEFT(Raw!K432,4),MID(Raw!K432,6,2),MID(Raw!K432,9,2))+TIME(MID(Raw!K432,12,2),MID(Raw!K432,15,2),MID(Raw!K432,18,2))</f>
        <v>45805.4</v>
      </c>
      <c r="P432" s="32" t="n">
        <f aca="false">L432-K432</f>
        <v>2</v>
      </c>
      <c r="Q432" s="32" t="n">
        <f aca="false">M432-L432</f>
        <v>6</v>
      </c>
      <c r="R432" s="32" t="n">
        <f aca="false">O432-N432</f>
        <v>7.31666666666667</v>
      </c>
      <c r="S432" s="32" t="n">
        <f aca="false">Raw!L432</f>
        <v>1.4</v>
      </c>
      <c r="T432" s="32" t="n">
        <f aca="false">O432-M432</f>
        <v>1.4</v>
      </c>
      <c r="U432" s="0" t="str">
        <f aca="false">IF(ABS(T432-S432)&lt;0.01,"OK","MISMATCH")</f>
        <v>OK</v>
      </c>
      <c r="V432" s="33" t="n">
        <f aca="false">Raw!M432</f>
        <v>1</v>
      </c>
      <c r="W432" s="0" t="str">
        <f aca="false">IF((S432&gt;0)=(V432=1),"OK","MISMATCH")</f>
        <v>OK</v>
      </c>
      <c r="X432" s="0" t="str">
        <f aca="false">_xlfn.IFS(S432&lt;=0,"Early/On time",S432&lt;=2,"Minor (up to 2 days)",S432&lt;=5,"Moderate (2-5 days)",TRUE(),"Severe (over 5 days)")</f>
        <v>Minor (up to 2 days)</v>
      </c>
      <c r="Y432" s="0" t="str">
        <f aca="false">YEAR(K432)&amp;"-"&amp;TEXT(MONTH(K432),"00")</f>
        <v>2025-05</v>
      </c>
      <c r="Z432" s="0" t="str">
        <f aca="false">C432&amp;" → "&amp;D432</f>
        <v>Chennai → Surat</v>
      </c>
      <c r="AA432" s="0" t="str">
        <f aca="false">Raw!Q432</f>
        <v>TCI Express</v>
      </c>
      <c r="AB432" s="0" t="str">
        <f aca="false">Raw!R432</f>
        <v>No</v>
      </c>
      <c r="AC432" s="0" t="str">
        <f aca="false">Raw!S432</f>
        <v>Held at warehouse</v>
      </c>
      <c r="AD432" s="29" t="n">
        <f aca="false">Raw!N432</f>
        <v>6374.77</v>
      </c>
      <c r="AE432" s="29" t="n">
        <f aca="false">Raw!O432</f>
        <v>4564.8</v>
      </c>
      <c r="AF432" s="29" t="n">
        <f aca="false">Raw!P432</f>
        <v>513.63</v>
      </c>
      <c r="AG432" s="29" t="n">
        <f aca="false">AD432/J432</f>
        <v>343.468211206897</v>
      </c>
    </row>
    <row r="433" customFormat="false" ht="15" hidden="false" customHeight="false" outlineLevel="0" collapsed="false">
      <c r="A433" s="0" t="str">
        <f aca="false">Raw!A433</f>
        <v>SHP0432</v>
      </c>
      <c r="B433" s="0" t="str">
        <f aca="false">Raw!B433</f>
        <v>Inbound</v>
      </c>
      <c r="C433" s="0" t="str">
        <f aca="false">Raw!C433</f>
        <v>Gujarat</v>
      </c>
      <c r="D433" s="0" t="str">
        <f aca="false">Raw!D433</f>
        <v>Surat</v>
      </c>
      <c r="E433" s="0" t="str">
        <f aca="false">IFERROR(INDEX(Location_Map!$B$2:$B$15,MATCH(C433,Location_Map!$A$2:$A$15,0)),"UNMAPPED")</f>
        <v>Gujarat</v>
      </c>
      <c r="F433" s="0" t="str">
        <f aca="false">IFERROR(INDEX(Location_Map!$C$2:$C$15,MATCH(C433,Location_Map!$A$2:$A$15,0)),"UNMAPPED")</f>
        <v>West</v>
      </c>
      <c r="G433" s="0" t="str">
        <f aca="false">IFERROR(INDEX(Location_Map!$B$2:$B$15,MATCH(D433,Location_Map!$A$2:$A$15,0)),"UNMAPPED")</f>
        <v>Gujarat</v>
      </c>
      <c r="H433" s="0" t="str">
        <f aca="false">IFERROR(INDEX(Location_Map!$C$2:$C$15,MATCH(D433,Location_Map!$A$2:$A$15,0)),"UNMAPPED")</f>
        <v>West</v>
      </c>
      <c r="I433" s="0" t="str">
        <f aca="false">Raw!E433</f>
        <v>Semi-Processed Yarn</v>
      </c>
      <c r="J433" s="28" t="n">
        <f aca="false">Raw!F433</f>
        <v>7.13</v>
      </c>
      <c r="K433" s="30" t="n">
        <f aca="false">DATE(LEFT(Raw!G433,4),MID(Raw!G433,6,2),MID(Raw!G433,9,2))</f>
        <v>45824</v>
      </c>
      <c r="L433" s="30" t="n">
        <f aca="false">DATE(LEFT(Raw!H433,4),MID(Raw!H433,6,2),MID(Raw!H433,9,2))</f>
        <v>45825</v>
      </c>
      <c r="M433" s="30" t="n">
        <f aca="false">DATE(LEFT(Raw!I433,4),MID(Raw!I433,6,2),MID(Raw!I433,9,2))</f>
        <v>45831</v>
      </c>
      <c r="N433" s="31" t="n">
        <f aca="false">DATE(LEFT(Raw!J433,4),MID(Raw!J433,6,2),MID(Raw!J433,9,2))+TIME(MID(Raw!J433,12,2),MID(Raw!J433,15,2),MID(Raw!J433,18,2))</f>
        <v>45825.2083333333</v>
      </c>
      <c r="O433" s="31" t="n">
        <f aca="false">DATE(LEFT(Raw!K433,4),MID(Raw!K433,6,2),MID(Raw!K433,9,2))+TIME(MID(Raw!K433,12,2),MID(Raw!K433,15,2),MID(Raw!K433,18,2))</f>
        <v>45830.4</v>
      </c>
      <c r="P433" s="32" t="n">
        <f aca="false">L433-K433</f>
        <v>1</v>
      </c>
      <c r="Q433" s="32" t="n">
        <f aca="false">M433-L433</f>
        <v>6</v>
      </c>
      <c r="R433" s="32" t="n">
        <f aca="false">O433-N433</f>
        <v>5.19166666666667</v>
      </c>
      <c r="S433" s="32" t="n">
        <f aca="false">Raw!L433</f>
        <v>-0.6</v>
      </c>
      <c r="T433" s="32" t="n">
        <f aca="false">O433-M433</f>
        <v>-0.6</v>
      </c>
      <c r="U433" s="0" t="str">
        <f aca="false">IF(ABS(T433-S433)&lt;0.01,"OK","MISMATCH")</f>
        <v>OK</v>
      </c>
      <c r="V433" s="33" t="n">
        <f aca="false">Raw!M433</f>
        <v>0</v>
      </c>
      <c r="W433" s="0" t="str">
        <f aca="false">IF((S433&gt;0)=(V433=1),"OK","MISMATCH")</f>
        <v>OK</v>
      </c>
      <c r="X433" s="0" t="str">
        <f aca="false">_xlfn.IFS(S433&lt;=0,"Early/On time",S433&lt;=2,"Minor (up to 2 days)",S433&lt;=5,"Moderate (2-5 days)",TRUE(),"Severe (over 5 days)")</f>
        <v>Early/On time</v>
      </c>
      <c r="Y433" s="0" t="str">
        <f aca="false">YEAR(K433)&amp;"-"&amp;TEXT(MONTH(K433),"00")</f>
        <v>2025-06</v>
      </c>
      <c r="Z433" s="0" t="str">
        <f aca="false">C433&amp;" → "&amp;D433</f>
        <v>Gujarat → Surat</v>
      </c>
      <c r="AA433" s="0" t="str">
        <f aca="false">Raw!Q433</f>
        <v>TCI Express</v>
      </c>
      <c r="AB433" s="0" t="str">
        <f aca="false">Raw!R433</f>
        <v>No</v>
      </c>
      <c r="AC433" s="0" t="str">
        <f aca="false">Raw!S433</f>
        <v>Held at warehouse</v>
      </c>
      <c r="AD433" s="29" t="n">
        <f aca="false">Raw!N433</f>
        <v>5984.85</v>
      </c>
      <c r="AE433" s="29" t="n">
        <f aca="false">Raw!O433</f>
        <v>3212.45</v>
      </c>
      <c r="AF433" s="29" t="n">
        <f aca="false">Raw!P433</f>
        <v>1312.26</v>
      </c>
      <c r="AG433" s="29" t="n">
        <f aca="false">AD433/J433</f>
        <v>839.389901823282</v>
      </c>
    </row>
    <row r="434" customFormat="false" ht="15" hidden="false" customHeight="false" outlineLevel="0" collapsed="false">
      <c r="A434" s="0" t="str">
        <f aca="false">Raw!A434</f>
        <v>SHP0433</v>
      </c>
      <c r="B434" s="0" t="str">
        <f aca="false">Raw!B434</f>
        <v>Inbound</v>
      </c>
      <c r="C434" s="0" t="str">
        <f aca="false">Raw!C434</f>
        <v>Gujarat</v>
      </c>
      <c r="D434" s="0" t="str">
        <f aca="false">Raw!D434</f>
        <v>Surat</v>
      </c>
      <c r="E434" s="0" t="str">
        <f aca="false">IFERROR(INDEX(Location_Map!$B$2:$B$15,MATCH(C434,Location_Map!$A$2:$A$15,0)),"UNMAPPED")</f>
        <v>Gujarat</v>
      </c>
      <c r="F434" s="0" t="str">
        <f aca="false">IFERROR(INDEX(Location_Map!$C$2:$C$15,MATCH(C434,Location_Map!$A$2:$A$15,0)),"UNMAPPED")</f>
        <v>West</v>
      </c>
      <c r="G434" s="0" t="str">
        <f aca="false">IFERROR(INDEX(Location_Map!$B$2:$B$15,MATCH(D434,Location_Map!$A$2:$A$15,0)),"UNMAPPED")</f>
        <v>Gujarat</v>
      </c>
      <c r="H434" s="0" t="str">
        <f aca="false">IFERROR(INDEX(Location_Map!$C$2:$C$15,MATCH(D434,Location_Map!$A$2:$A$15,0)),"UNMAPPED")</f>
        <v>West</v>
      </c>
      <c r="I434" s="0" t="str">
        <f aca="false">Raw!E434</f>
        <v>Raw Yarn</v>
      </c>
      <c r="J434" s="28" t="n">
        <f aca="false">Raw!F434</f>
        <v>8.3</v>
      </c>
      <c r="K434" s="30" t="n">
        <f aca="false">DATE(LEFT(Raw!G434,4),MID(Raw!G434,6,2),MID(Raw!G434,9,2))</f>
        <v>45857</v>
      </c>
      <c r="L434" s="30" t="n">
        <f aca="false">DATE(LEFT(Raw!H434,4),MID(Raw!H434,6,2),MID(Raw!H434,9,2))</f>
        <v>45861</v>
      </c>
      <c r="M434" s="30" t="n">
        <f aca="false">DATE(LEFT(Raw!I434,4),MID(Raw!I434,6,2),MID(Raw!I434,9,2))</f>
        <v>45865</v>
      </c>
      <c r="N434" s="31" t="n">
        <f aca="false">DATE(LEFT(Raw!J434,4),MID(Raw!J434,6,2),MID(Raw!J434,9,2))+TIME(MID(Raw!J434,12,2),MID(Raw!J434,15,2),MID(Raw!J434,18,2))</f>
        <v>45860.9166666667</v>
      </c>
      <c r="O434" s="31" t="n">
        <f aca="false">DATE(LEFT(Raw!K434,4),MID(Raw!K434,6,2),MID(Raw!K434,9,2))+TIME(MID(Raw!K434,12,2),MID(Raw!K434,15,2),MID(Raw!K434,18,2))</f>
        <v>45866</v>
      </c>
      <c r="P434" s="32" t="n">
        <f aca="false">L434-K434</f>
        <v>4</v>
      </c>
      <c r="Q434" s="32" t="n">
        <f aca="false">M434-L434</f>
        <v>4</v>
      </c>
      <c r="R434" s="32" t="n">
        <f aca="false">O434-N434</f>
        <v>5.08333333333333</v>
      </c>
      <c r="S434" s="32" t="n">
        <f aca="false">Raw!L434</f>
        <v>1</v>
      </c>
      <c r="T434" s="32" t="n">
        <f aca="false">O434-M434</f>
        <v>1</v>
      </c>
      <c r="U434" s="0" t="str">
        <f aca="false">IF(ABS(T434-S434)&lt;0.01,"OK","MISMATCH")</f>
        <v>OK</v>
      </c>
      <c r="V434" s="33" t="n">
        <f aca="false">Raw!M434</f>
        <v>1</v>
      </c>
      <c r="W434" s="0" t="str">
        <f aca="false">IF((S434&gt;0)=(V434=1),"OK","MISMATCH")</f>
        <v>OK</v>
      </c>
      <c r="X434" s="0" t="str">
        <f aca="false">_xlfn.IFS(S434&lt;=0,"Early/On time",S434&lt;=2,"Minor (up to 2 days)",S434&lt;=5,"Moderate (2-5 days)",TRUE(),"Severe (over 5 days)")</f>
        <v>Minor (up to 2 days)</v>
      </c>
      <c r="Y434" s="0" t="str">
        <f aca="false">YEAR(K434)&amp;"-"&amp;TEXT(MONTH(K434),"00")</f>
        <v>2025-07</v>
      </c>
      <c r="Z434" s="0" t="str">
        <f aca="false">C434&amp;" → "&amp;D434</f>
        <v>Gujarat → Surat</v>
      </c>
      <c r="AA434" s="0" t="str">
        <f aca="false">Raw!Q434</f>
        <v>TCI Express</v>
      </c>
      <c r="AB434" s="0" t="str">
        <f aca="false">Raw!R434</f>
        <v>No</v>
      </c>
      <c r="AC434" s="0" t="str">
        <f aca="false">Raw!S434</f>
        <v>Returned</v>
      </c>
      <c r="AD434" s="29" t="n">
        <f aca="false">Raw!N434</f>
        <v>2573.32</v>
      </c>
      <c r="AE434" s="29" t="n">
        <f aca="false">Raw!O434</f>
        <v>4318.89</v>
      </c>
      <c r="AF434" s="29" t="n">
        <f aca="false">Raw!P434</f>
        <v>1476.79</v>
      </c>
      <c r="AG434" s="29" t="n">
        <f aca="false">AD434/J434</f>
        <v>310.038554216867</v>
      </c>
    </row>
    <row r="435" customFormat="false" ht="15" hidden="false" customHeight="false" outlineLevel="0" collapsed="false">
      <c r="A435" s="0" t="str">
        <f aca="false">Raw!A435</f>
        <v>SHP0434</v>
      </c>
      <c r="B435" s="0" t="str">
        <f aca="false">Raw!B435</f>
        <v>Inbound</v>
      </c>
      <c r="C435" s="0" t="str">
        <f aca="false">Raw!C435</f>
        <v>Rajasthan</v>
      </c>
      <c r="D435" s="0" t="str">
        <f aca="false">Raw!D435</f>
        <v>Surat</v>
      </c>
      <c r="E435" s="0" t="str">
        <f aca="false">IFERROR(INDEX(Location_Map!$B$2:$B$15,MATCH(C435,Location_Map!$A$2:$A$15,0)),"UNMAPPED")</f>
        <v>Rajasthan</v>
      </c>
      <c r="F435" s="0" t="str">
        <f aca="false">IFERROR(INDEX(Location_Map!$C$2:$C$15,MATCH(C435,Location_Map!$A$2:$A$15,0)),"UNMAPPED")</f>
        <v>North</v>
      </c>
      <c r="G435" s="0" t="str">
        <f aca="false">IFERROR(INDEX(Location_Map!$B$2:$B$15,MATCH(D435,Location_Map!$A$2:$A$15,0)),"UNMAPPED")</f>
        <v>Gujarat</v>
      </c>
      <c r="H435" s="0" t="str">
        <f aca="false">IFERROR(INDEX(Location_Map!$C$2:$C$15,MATCH(D435,Location_Map!$A$2:$A$15,0)),"UNMAPPED")</f>
        <v>West</v>
      </c>
      <c r="I435" s="0" t="str">
        <f aca="false">Raw!E435</f>
        <v>Raw Yarn</v>
      </c>
      <c r="J435" s="28" t="n">
        <f aca="false">Raw!F435</f>
        <v>8.69</v>
      </c>
      <c r="K435" s="30" t="n">
        <f aca="false">DATE(LEFT(Raw!G435,4),MID(Raw!G435,6,2),MID(Raw!G435,9,2))</f>
        <v>45684</v>
      </c>
      <c r="L435" s="30" t="n">
        <f aca="false">DATE(LEFT(Raw!H435,4),MID(Raw!H435,6,2),MID(Raw!H435,9,2))</f>
        <v>45685</v>
      </c>
      <c r="M435" s="30" t="n">
        <f aca="false">DATE(LEFT(Raw!I435,4),MID(Raw!I435,6,2),MID(Raw!I435,9,2))</f>
        <v>45690</v>
      </c>
      <c r="N435" s="31" t="n">
        <f aca="false">DATE(LEFT(Raw!J435,4),MID(Raw!J435,6,2),MID(Raw!J435,9,2))+TIME(MID(Raw!J435,12,2),MID(Raw!J435,15,2),MID(Raw!J435,18,2))</f>
        <v>45685.3333333333</v>
      </c>
      <c r="O435" s="31" t="n">
        <f aca="false">DATE(LEFT(Raw!K435,4),MID(Raw!K435,6,2),MID(Raw!K435,9,2))+TIME(MID(Raw!K435,12,2),MID(Raw!K435,15,2),MID(Raw!K435,18,2))</f>
        <v>45691.4</v>
      </c>
      <c r="P435" s="32" t="n">
        <f aca="false">L435-K435</f>
        <v>1</v>
      </c>
      <c r="Q435" s="32" t="n">
        <f aca="false">M435-L435</f>
        <v>5</v>
      </c>
      <c r="R435" s="32" t="n">
        <f aca="false">O435-N435</f>
        <v>6.06666666666667</v>
      </c>
      <c r="S435" s="32" t="n">
        <f aca="false">Raw!L435</f>
        <v>1.4</v>
      </c>
      <c r="T435" s="32" t="n">
        <f aca="false">O435-M435</f>
        <v>1.4</v>
      </c>
      <c r="U435" s="0" t="str">
        <f aca="false">IF(ABS(T435-S435)&lt;0.01,"OK","MISMATCH")</f>
        <v>OK</v>
      </c>
      <c r="V435" s="33" t="n">
        <f aca="false">Raw!M435</f>
        <v>1</v>
      </c>
      <c r="W435" s="0" t="str">
        <f aca="false">IF((S435&gt;0)=(V435=1),"OK","MISMATCH")</f>
        <v>OK</v>
      </c>
      <c r="X435" s="0" t="str">
        <f aca="false">_xlfn.IFS(S435&lt;=0,"Early/On time",S435&lt;=2,"Minor (up to 2 days)",S435&lt;=5,"Moderate (2-5 days)",TRUE(),"Severe (over 5 days)")</f>
        <v>Minor (up to 2 days)</v>
      </c>
      <c r="Y435" s="0" t="str">
        <f aca="false">YEAR(K435)&amp;"-"&amp;TEXT(MONTH(K435),"00")</f>
        <v>2025-01</v>
      </c>
      <c r="Z435" s="0" t="str">
        <f aca="false">C435&amp;" → "&amp;D435</f>
        <v>Rajasthan → Surat</v>
      </c>
      <c r="AA435" s="0" t="str">
        <f aca="false">Raw!Q435</f>
        <v>GATI Logistics</v>
      </c>
      <c r="AB435" s="0" t="str">
        <f aca="false">Raw!R435</f>
        <v>Yes</v>
      </c>
      <c r="AC435" s="0" t="str">
        <f aca="false">Raw!S435</f>
        <v>Held at warehouse</v>
      </c>
      <c r="AD435" s="29" t="n">
        <f aca="false">Raw!N435</f>
        <v>4041.97</v>
      </c>
      <c r="AE435" s="29" t="n">
        <f aca="false">Raw!O435</f>
        <v>2905.85</v>
      </c>
      <c r="AF435" s="29" t="n">
        <f aca="false">Raw!P435</f>
        <v>818.3</v>
      </c>
      <c r="AG435" s="29" t="n">
        <f aca="false">AD435/J435</f>
        <v>465.128883774453</v>
      </c>
    </row>
    <row r="436" customFormat="false" ht="15" hidden="false" customHeight="false" outlineLevel="0" collapsed="false">
      <c r="A436" s="0" t="str">
        <f aca="false">Raw!A436</f>
        <v>SHP0435</v>
      </c>
      <c r="B436" s="0" t="str">
        <f aca="false">Raw!B436</f>
        <v>Inbound</v>
      </c>
      <c r="C436" s="0" t="str">
        <f aca="false">Raw!C436</f>
        <v>Uttar Pradesh</v>
      </c>
      <c r="D436" s="0" t="str">
        <f aca="false">Raw!D436</f>
        <v>Surat</v>
      </c>
      <c r="E436" s="0" t="str">
        <f aca="false">IFERROR(INDEX(Location_Map!$B$2:$B$15,MATCH(C436,Location_Map!$A$2:$A$15,0)),"UNMAPPED")</f>
        <v>Uttar Pradesh</v>
      </c>
      <c r="F436" s="0" t="str">
        <f aca="false">IFERROR(INDEX(Location_Map!$C$2:$C$15,MATCH(C436,Location_Map!$A$2:$A$15,0)),"UNMAPPED")</f>
        <v>North</v>
      </c>
      <c r="G436" s="0" t="str">
        <f aca="false">IFERROR(INDEX(Location_Map!$B$2:$B$15,MATCH(D436,Location_Map!$A$2:$A$15,0)),"UNMAPPED")</f>
        <v>Gujarat</v>
      </c>
      <c r="H436" s="0" t="str">
        <f aca="false">IFERROR(INDEX(Location_Map!$C$2:$C$15,MATCH(D436,Location_Map!$A$2:$A$15,0)),"UNMAPPED")</f>
        <v>West</v>
      </c>
      <c r="I436" s="0" t="str">
        <f aca="false">Raw!E436</f>
        <v>Finished Yarn</v>
      </c>
      <c r="J436" s="28" t="n">
        <f aca="false">Raw!F436</f>
        <v>10.29</v>
      </c>
      <c r="K436" s="30" t="n">
        <f aca="false">DATE(LEFT(Raw!G436,4),MID(Raw!G436,6,2),MID(Raw!G436,9,2))</f>
        <v>45915</v>
      </c>
      <c r="L436" s="30" t="n">
        <f aca="false">DATE(LEFT(Raw!H436,4),MID(Raw!H436,6,2),MID(Raw!H436,9,2))</f>
        <v>45918</v>
      </c>
      <c r="M436" s="30" t="n">
        <f aca="false">DATE(LEFT(Raw!I436,4),MID(Raw!I436,6,2),MID(Raw!I436,9,2))</f>
        <v>45922</v>
      </c>
      <c r="N436" s="31" t="n">
        <f aca="false">DATE(LEFT(Raw!J436,4),MID(Raw!J436,6,2),MID(Raw!J436,9,2))+TIME(MID(Raw!J436,12,2),MID(Raw!J436,15,2),MID(Raw!J436,18,2))</f>
        <v>45917.9583333333</v>
      </c>
      <c r="O436" s="31" t="n">
        <f aca="false">DATE(LEFT(Raw!K436,4),MID(Raw!K436,6,2),MID(Raw!K436,9,2))+TIME(MID(Raw!K436,12,2),MID(Raw!K436,15,2),MID(Raw!K436,18,2))</f>
        <v>45928</v>
      </c>
      <c r="P436" s="32" t="n">
        <f aca="false">L436-K436</f>
        <v>3</v>
      </c>
      <c r="Q436" s="32" t="n">
        <f aca="false">M436-L436</f>
        <v>4</v>
      </c>
      <c r="R436" s="32" t="n">
        <f aca="false">O436-N436</f>
        <v>10.0416666666667</v>
      </c>
      <c r="S436" s="32" t="n">
        <f aca="false">Raw!L436</f>
        <v>6</v>
      </c>
      <c r="T436" s="32" t="n">
        <f aca="false">O436-M436</f>
        <v>6</v>
      </c>
      <c r="U436" s="0" t="str">
        <f aca="false">IF(ABS(T436-S436)&lt;0.01,"OK","MISMATCH")</f>
        <v>OK</v>
      </c>
      <c r="V436" s="33" t="n">
        <f aca="false">Raw!M436</f>
        <v>1</v>
      </c>
      <c r="W436" s="0" t="str">
        <f aca="false">IF((S436&gt;0)=(V436=1),"OK","MISMATCH")</f>
        <v>OK</v>
      </c>
      <c r="X436" s="0" t="str">
        <f aca="false">_xlfn.IFS(S436&lt;=0,"Early/On time",S436&lt;=2,"Minor (up to 2 days)",S436&lt;=5,"Moderate (2-5 days)",TRUE(),"Severe (over 5 days)")</f>
        <v>Severe (over 5 days)</v>
      </c>
      <c r="Y436" s="0" t="str">
        <f aca="false">YEAR(K436)&amp;"-"&amp;TEXT(MONTH(K436),"00")</f>
        <v>2025-09</v>
      </c>
      <c r="Z436" s="0" t="str">
        <f aca="false">C436&amp;" → "&amp;D436</f>
        <v>Uttar Pradesh → Surat</v>
      </c>
      <c r="AA436" s="0" t="str">
        <f aca="false">Raw!Q436</f>
        <v>BlueDart</v>
      </c>
      <c r="AB436" s="0" t="str">
        <f aca="false">Raw!R436</f>
        <v>No</v>
      </c>
      <c r="AC436" s="0" t="str">
        <f aca="false">Raw!S436</f>
        <v>Normal</v>
      </c>
      <c r="AD436" s="29" t="n">
        <f aca="false">Raw!N436</f>
        <v>6226.21</v>
      </c>
      <c r="AE436" s="29" t="n">
        <f aca="false">Raw!O436</f>
        <v>3802.45</v>
      </c>
      <c r="AF436" s="29" t="n">
        <f aca="false">Raw!P436</f>
        <v>1253.47</v>
      </c>
      <c r="AG436" s="29" t="n">
        <f aca="false">AD436/J436</f>
        <v>605.073858114675</v>
      </c>
    </row>
    <row r="437" customFormat="false" ht="15" hidden="false" customHeight="false" outlineLevel="0" collapsed="false">
      <c r="A437" s="0" t="str">
        <f aca="false">Raw!A437</f>
        <v>SHP0436</v>
      </c>
      <c r="B437" s="0" t="str">
        <f aca="false">Raw!B437</f>
        <v>Inbound</v>
      </c>
      <c r="C437" s="0" t="str">
        <f aca="false">Raw!C437</f>
        <v>Rajasthan</v>
      </c>
      <c r="D437" s="0" t="str">
        <f aca="false">Raw!D437</f>
        <v>Surat</v>
      </c>
      <c r="E437" s="0" t="str">
        <f aca="false">IFERROR(INDEX(Location_Map!$B$2:$B$15,MATCH(C437,Location_Map!$A$2:$A$15,0)),"UNMAPPED")</f>
        <v>Rajasthan</v>
      </c>
      <c r="F437" s="0" t="str">
        <f aca="false">IFERROR(INDEX(Location_Map!$C$2:$C$15,MATCH(C437,Location_Map!$A$2:$A$15,0)),"UNMAPPED")</f>
        <v>North</v>
      </c>
      <c r="G437" s="0" t="str">
        <f aca="false">IFERROR(INDEX(Location_Map!$B$2:$B$15,MATCH(D437,Location_Map!$A$2:$A$15,0)),"UNMAPPED")</f>
        <v>Gujarat</v>
      </c>
      <c r="H437" s="0" t="str">
        <f aca="false">IFERROR(INDEX(Location_Map!$C$2:$C$15,MATCH(D437,Location_Map!$A$2:$A$15,0)),"UNMAPPED")</f>
        <v>West</v>
      </c>
      <c r="I437" s="0" t="str">
        <f aca="false">Raw!E437</f>
        <v>Raw Yarn</v>
      </c>
      <c r="J437" s="28" t="n">
        <f aca="false">Raw!F437</f>
        <v>17.58</v>
      </c>
      <c r="K437" s="30" t="n">
        <f aca="false">DATE(LEFT(Raw!G437,4),MID(Raw!G437,6,2),MID(Raw!G437,9,2))</f>
        <v>45807</v>
      </c>
      <c r="L437" s="30" t="n">
        <f aca="false">DATE(LEFT(Raw!H437,4),MID(Raw!H437,6,2),MID(Raw!H437,9,2))</f>
        <v>45810</v>
      </c>
      <c r="M437" s="30" t="n">
        <f aca="false">DATE(LEFT(Raw!I437,4),MID(Raw!I437,6,2),MID(Raw!I437,9,2))</f>
        <v>45816</v>
      </c>
      <c r="N437" s="31" t="n">
        <f aca="false">DATE(LEFT(Raw!J437,4),MID(Raw!J437,6,2),MID(Raw!J437,9,2))+TIME(MID(Raw!J437,12,2),MID(Raw!J437,15,2),MID(Raw!J437,18,2))</f>
        <v>45810.2083333333</v>
      </c>
      <c r="O437" s="31" t="n">
        <f aca="false">DATE(LEFT(Raw!K437,4),MID(Raw!K437,6,2),MID(Raw!K437,9,2))+TIME(MID(Raw!K437,12,2),MID(Raw!K437,15,2),MID(Raw!K437,18,2))</f>
        <v>45815.7</v>
      </c>
      <c r="P437" s="32" t="n">
        <f aca="false">L437-K437</f>
        <v>3</v>
      </c>
      <c r="Q437" s="32" t="n">
        <f aca="false">M437-L437</f>
        <v>6</v>
      </c>
      <c r="R437" s="32" t="n">
        <f aca="false">O437-N437</f>
        <v>5.49166666666667</v>
      </c>
      <c r="S437" s="32" t="n">
        <f aca="false">Raw!L437</f>
        <v>-0.3</v>
      </c>
      <c r="T437" s="32" t="n">
        <f aca="false">O437-M437</f>
        <v>-0.300000000005833</v>
      </c>
      <c r="U437" s="0" t="str">
        <f aca="false">IF(ABS(T437-S437)&lt;0.01,"OK","MISMATCH")</f>
        <v>OK</v>
      </c>
      <c r="V437" s="33" t="n">
        <f aca="false">Raw!M437</f>
        <v>0</v>
      </c>
      <c r="W437" s="0" t="str">
        <f aca="false">IF((S437&gt;0)=(V437=1),"OK","MISMATCH")</f>
        <v>OK</v>
      </c>
      <c r="X437" s="0" t="str">
        <f aca="false">_xlfn.IFS(S437&lt;=0,"Early/On time",S437&lt;=2,"Minor (up to 2 days)",S437&lt;=5,"Moderate (2-5 days)",TRUE(),"Severe (over 5 days)")</f>
        <v>Early/On time</v>
      </c>
      <c r="Y437" s="0" t="str">
        <f aca="false">YEAR(K437)&amp;"-"&amp;TEXT(MONTH(K437),"00")</f>
        <v>2025-05</v>
      </c>
      <c r="Z437" s="0" t="str">
        <f aca="false">C437&amp;" → "&amp;D437</f>
        <v>Rajasthan → Surat</v>
      </c>
      <c r="AA437" s="0" t="str">
        <f aca="false">Raw!Q437</f>
        <v>Delhivery</v>
      </c>
      <c r="AB437" s="0" t="str">
        <f aca="false">Raw!R437</f>
        <v>Yes</v>
      </c>
      <c r="AC437" s="0" t="str">
        <f aca="false">Raw!S437</f>
        <v>Returned</v>
      </c>
      <c r="AD437" s="29" t="n">
        <f aca="false">Raw!N437</f>
        <v>4499.18</v>
      </c>
      <c r="AE437" s="29" t="n">
        <f aca="false">Raw!O437</f>
        <v>2138.17</v>
      </c>
      <c r="AF437" s="29" t="n">
        <f aca="false">Raw!P437</f>
        <v>943.03</v>
      </c>
      <c r="AG437" s="29" t="n">
        <f aca="false">AD437/J437</f>
        <v>255.926052332196</v>
      </c>
    </row>
    <row r="438" customFormat="false" ht="15" hidden="false" customHeight="false" outlineLevel="0" collapsed="false">
      <c r="A438" s="0" t="str">
        <f aca="false">Raw!A438</f>
        <v>SHP0437</v>
      </c>
      <c r="B438" s="0" t="str">
        <f aca="false">Raw!B438</f>
        <v>Inbound</v>
      </c>
      <c r="C438" s="0" t="str">
        <f aca="false">Raw!C438</f>
        <v>Rajasthan</v>
      </c>
      <c r="D438" s="0" t="str">
        <f aca="false">Raw!D438</f>
        <v>Surat</v>
      </c>
      <c r="E438" s="0" t="str">
        <f aca="false">IFERROR(INDEX(Location_Map!$B$2:$B$15,MATCH(C438,Location_Map!$A$2:$A$15,0)),"UNMAPPED")</f>
        <v>Rajasthan</v>
      </c>
      <c r="F438" s="0" t="str">
        <f aca="false">IFERROR(INDEX(Location_Map!$C$2:$C$15,MATCH(C438,Location_Map!$A$2:$A$15,0)),"UNMAPPED")</f>
        <v>North</v>
      </c>
      <c r="G438" s="0" t="str">
        <f aca="false">IFERROR(INDEX(Location_Map!$B$2:$B$15,MATCH(D438,Location_Map!$A$2:$A$15,0)),"UNMAPPED")</f>
        <v>Gujarat</v>
      </c>
      <c r="H438" s="0" t="str">
        <f aca="false">IFERROR(INDEX(Location_Map!$C$2:$C$15,MATCH(D438,Location_Map!$A$2:$A$15,0)),"UNMAPPED")</f>
        <v>West</v>
      </c>
      <c r="I438" s="0" t="str">
        <f aca="false">Raw!E438</f>
        <v>Raw Yarn</v>
      </c>
      <c r="J438" s="28" t="n">
        <f aca="false">Raw!F438</f>
        <v>12.73</v>
      </c>
      <c r="K438" s="30" t="n">
        <f aca="false">DATE(LEFT(Raw!G438,4),MID(Raw!G438,6,2),MID(Raw!G438,9,2))</f>
        <v>45912</v>
      </c>
      <c r="L438" s="30" t="n">
        <f aca="false">DATE(LEFT(Raw!H438,4),MID(Raw!H438,6,2),MID(Raw!H438,9,2))</f>
        <v>45913</v>
      </c>
      <c r="M438" s="30" t="n">
        <f aca="false">DATE(LEFT(Raw!I438,4),MID(Raw!I438,6,2),MID(Raw!I438,9,2))</f>
        <v>45918</v>
      </c>
      <c r="N438" s="31" t="n">
        <f aca="false">DATE(LEFT(Raw!J438,4),MID(Raw!J438,6,2),MID(Raw!J438,9,2))+TIME(MID(Raw!J438,12,2),MID(Raw!J438,15,2),MID(Raw!J438,18,2))</f>
        <v>45912.875</v>
      </c>
      <c r="O438" s="31" t="n">
        <f aca="false">DATE(LEFT(Raw!K438,4),MID(Raw!K438,6,2),MID(Raw!K438,9,2))+TIME(MID(Raw!K438,12,2),MID(Raw!K438,15,2),MID(Raw!K438,18,2))</f>
        <v>45923.7</v>
      </c>
      <c r="P438" s="32" t="n">
        <f aca="false">L438-K438</f>
        <v>1</v>
      </c>
      <c r="Q438" s="32" t="n">
        <f aca="false">M438-L438</f>
        <v>5</v>
      </c>
      <c r="R438" s="32" t="n">
        <f aca="false">O438-N438</f>
        <v>10.825</v>
      </c>
      <c r="S438" s="32" t="n">
        <f aca="false">Raw!L438</f>
        <v>5.7</v>
      </c>
      <c r="T438" s="32" t="n">
        <f aca="false">O438-M438</f>
        <v>5.7</v>
      </c>
      <c r="U438" s="0" t="str">
        <f aca="false">IF(ABS(T438-S438)&lt;0.01,"OK","MISMATCH")</f>
        <v>OK</v>
      </c>
      <c r="V438" s="33" t="n">
        <f aca="false">Raw!M438</f>
        <v>1</v>
      </c>
      <c r="W438" s="0" t="str">
        <f aca="false">IF((S438&gt;0)=(V438=1),"OK","MISMATCH")</f>
        <v>OK</v>
      </c>
      <c r="X438" s="0" t="str">
        <f aca="false">_xlfn.IFS(S438&lt;=0,"Early/On time",S438&lt;=2,"Minor (up to 2 days)",S438&lt;=5,"Moderate (2-5 days)",TRUE(),"Severe (over 5 days)")</f>
        <v>Severe (over 5 days)</v>
      </c>
      <c r="Y438" s="0" t="str">
        <f aca="false">YEAR(K438)&amp;"-"&amp;TEXT(MONTH(K438),"00")</f>
        <v>2025-09</v>
      </c>
      <c r="Z438" s="0" t="str">
        <f aca="false">C438&amp;" → "&amp;D438</f>
        <v>Rajasthan → Surat</v>
      </c>
      <c r="AA438" s="0" t="str">
        <f aca="false">Raw!Q438</f>
        <v>VRL Cargo</v>
      </c>
      <c r="AB438" s="0" t="str">
        <f aca="false">Raw!R438</f>
        <v>No</v>
      </c>
      <c r="AC438" s="0" t="str">
        <f aca="false">Raw!S438</f>
        <v>Held at warehouse</v>
      </c>
      <c r="AD438" s="29" t="n">
        <f aca="false">Raw!N438</f>
        <v>6501.2</v>
      </c>
      <c r="AE438" s="29" t="n">
        <f aca="false">Raw!O438</f>
        <v>3165.5</v>
      </c>
      <c r="AF438" s="29" t="n">
        <f aca="false">Raw!P438</f>
        <v>586.03</v>
      </c>
      <c r="AG438" s="29" t="n">
        <f aca="false">AD438/J438</f>
        <v>510.69913589945</v>
      </c>
    </row>
    <row r="439" customFormat="false" ht="15" hidden="false" customHeight="false" outlineLevel="0" collapsed="false">
      <c r="A439" s="0" t="str">
        <f aca="false">Raw!A439</f>
        <v>SHP0438</v>
      </c>
      <c r="B439" s="0" t="str">
        <f aca="false">Raw!B439</f>
        <v>Inbound</v>
      </c>
      <c r="C439" s="0" t="str">
        <f aca="false">Raw!C439</f>
        <v>Chennai</v>
      </c>
      <c r="D439" s="0" t="str">
        <f aca="false">Raw!D439</f>
        <v>Surat</v>
      </c>
      <c r="E439" s="0" t="str">
        <f aca="false">IFERROR(INDEX(Location_Map!$B$2:$B$15,MATCH(C439,Location_Map!$A$2:$A$15,0)),"UNMAPPED")</f>
        <v>Tamil Nadu</v>
      </c>
      <c r="F439" s="0" t="str">
        <f aca="false">IFERROR(INDEX(Location_Map!$C$2:$C$15,MATCH(C439,Location_Map!$A$2:$A$15,0)),"UNMAPPED")</f>
        <v>South</v>
      </c>
      <c r="G439" s="0" t="str">
        <f aca="false">IFERROR(INDEX(Location_Map!$B$2:$B$15,MATCH(D439,Location_Map!$A$2:$A$15,0)),"UNMAPPED")</f>
        <v>Gujarat</v>
      </c>
      <c r="H439" s="0" t="str">
        <f aca="false">IFERROR(INDEX(Location_Map!$C$2:$C$15,MATCH(D439,Location_Map!$A$2:$A$15,0)),"UNMAPPED")</f>
        <v>West</v>
      </c>
      <c r="I439" s="0" t="str">
        <f aca="false">Raw!E439</f>
        <v>Raw Yarn</v>
      </c>
      <c r="J439" s="28" t="n">
        <f aca="false">Raw!F439</f>
        <v>2.08</v>
      </c>
      <c r="K439" s="30" t="n">
        <f aca="false">DATE(LEFT(Raw!G439,4),MID(Raw!G439,6,2),MID(Raw!G439,9,2))</f>
        <v>45689</v>
      </c>
      <c r="L439" s="30" t="n">
        <f aca="false">DATE(LEFT(Raw!H439,4),MID(Raw!H439,6,2),MID(Raw!H439,9,2))</f>
        <v>45692</v>
      </c>
      <c r="M439" s="30" t="n">
        <f aca="false">DATE(LEFT(Raw!I439,4),MID(Raw!I439,6,2),MID(Raw!I439,9,2))</f>
        <v>45696</v>
      </c>
      <c r="N439" s="31" t="n">
        <f aca="false">DATE(LEFT(Raw!J439,4),MID(Raw!J439,6,2),MID(Raw!J439,9,2))+TIME(MID(Raw!J439,12,2),MID(Raw!J439,15,2),MID(Raw!J439,18,2))</f>
        <v>45692.1666666667</v>
      </c>
      <c r="O439" s="31" t="n">
        <f aca="false">DATE(LEFT(Raw!K439,4),MID(Raw!K439,6,2),MID(Raw!K439,9,2))+TIME(MID(Raw!K439,12,2),MID(Raw!K439,15,2),MID(Raw!K439,18,2))</f>
        <v>45706.1</v>
      </c>
      <c r="P439" s="32" t="n">
        <f aca="false">L439-K439</f>
        <v>3</v>
      </c>
      <c r="Q439" s="32" t="n">
        <f aca="false">M439-L439</f>
        <v>4</v>
      </c>
      <c r="R439" s="32" t="n">
        <f aca="false">O439-N439</f>
        <v>13.9333333333333</v>
      </c>
      <c r="S439" s="32" t="n">
        <f aca="false">Raw!L439</f>
        <v>10.1</v>
      </c>
      <c r="T439" s="32" t="n">
        <f aca="false">O439-M439</f>
        <v>10.1</v>
      </c>
      <c r="U439" s="0" t="str">
        <f aca="false">IF(ABS(T439-S439)&lt;0.01,"OK","MISMATCH")</f>
        <v>OK</v>
      </c>
      <c r="V439" s="33" t="n">
        <f aca="false">Raw!M439</f>
        <v>1</v>
      </c>
      <c r="W439" s="0" t="str">
        <f aca="false">IF((S439&gt;0)=(V439=1),"OK","MISMATCH")</f>
        <v>OK</v>
      </c>
      <c r="X439" s="0" t="str">
        <f aca="false">_xlfn.IFS(S439&lt;=0,"Early/On time",S439&lt;=2,"Minor (up to 2 days)",S439&lt;=5,"Moderate (2-5 days)",TRUE(),"Severe (over 5 days)")</f>
        <v>Severe (over 5 days)</v>
      </c>
      <c r="Y439" s="0" t="str">
        <f aca="false">YEAR(K439)&amp;"-"&amp;TEXT(MONTH(K439),"00")</f>
        <v>2025-02</v>
      </c>
      <c r="Z439" s="0" t="str">
        <f aca="false">C439&amp;" → "&amp;D439</f>
        <v>Chennai → Surat</v>
      </c>
      <c r="AA439" s="0" t="str">
        <f aca="false">Raw!Q439</f>
        <v>VRL Cargo</v>
      </c>
      <c r="AB439" s="0" t="str">
        <f aca="false">Raw!R439</f>
        <v>No</v>
      </c>
      <c r="AC439" s="0" t="str">
        <f aca="false">Raw!S439</f>
        <v>Held at warehouse</v>
      </c>
      <c r="AD439" s="29" t="n">
        <f aca="false">Raw!N439</f>
        <v>2325.17</v>
      </c>
      <c r="AE439" s="29" t="n">
        <f aca="false">Raw!O439</f>
        <v>3092.85</v>
      </c>
      <c r="AF439" s="29" t="n">
        <f aca="false">Raw!P439</f>
        <v>771.79</v>
      </c>
      <c r="AG439" s="29" t="n">
        <f aca="false">AD439/J439</f>
        <v>1117.87019230769</v>
      </c>
    </row>
    <row r="440" customFormat="false" ht="15" hidden="false" customHeight="false" outlineLevel="0" collapsed="false">
      <c r="A440" s="0" t="str">
        <f aca="false">Raw!A440</f>
        <v>SHP0439</v>
      </c>
      <c r="B440" s="0" t="str">
        <f aca="false">Raw!B440</f>
        <v>Inbound</v>
      </c>
      <c r="C440" s="0" t="str">
        <f aca="false">Raw!C440</f>
        <v>Rajasthan</v>
      </c>
      <c r="D440" s="0" t="str">
        <f aca="false">Raw!D440</f>
        <v>Surat</v>
      </c>
      <c r="E440" s="0" t="str">
        <f aca="false">IFERROR(INDEX(Location_Map!$B$2:$B$15,MATCH(C440,Location_Map!$A$2:$A$15,0)),"UNMAPPED")</f>
        <v>Rajasthan</v>
      </c>
      <c r="F440" s="0" t="str">
        <f aca="false">IFERROR(INDEX(Location_Map!$C$2:$C$15,MATCH(C440,Location_Map!$A$2:$A$15,0)),"UNMAPPED")</f>
        <v>North</v>
      </c>
      <c r="G440" s="0" t="str">
        <f aca="false">IFERROR(INDEX(Location_Map!$B$2:$B$15,MATCH(D440,Location_Map!$A$2:$A$15,0)),"UNMAPPED")</f>
        <v>Gujarat</v>
      </c>
      <c r="H440" s="0" t="str">
        <f aca="false">IFERROR(INDEX(Location_Map!$C$2:$C$15,MATCH(D440,Location_Map!$A$2:$A$15,0)),"UNMAPPED")</f>
        <v>West</v>
      </c>
      <c r="I440" s="0" t="str">
        <f aca="false">Raw!E440</f>
        <v>Raw Yarn</v>
      </c>
      <c r="J440" s="28" t="n">
        <f aca="false">Raw!F440</f>
        <v>8.58</v>
      </c>
      <c r="K440" s="30" t="n">
        <f aca="false">DATE(LEFT(Raw!G440,4),MID(Raw!G440,6,2),MID(Raw!G440,9,2))</f>
        <v>45837</v>
      </c>
      <c r="L440" s="30" t="n">
        <f aca="false">DATE(LEFT(Raw!H440,4),MID(Raw!H440,6,2),MID(Raw!H440,9,2))</f>
        <v>45840</v>
      </c>
      <c r="M440" s="30" t="n">
        <f aca="false">DATE(LEFT(Raw!I440,4),MID(Raw!I440,6,2),MID(Raw!I440,9,2))</f>
        <v>45845</v>
      </c>
      <c r="N440" s="31" t="n">
        <f aca="false">DATE(LEFT(Raw!J440,4),MID(Raw!J440,6,2),MID(Raw!J440,9,2))+TIME(MID(Raw!J440,12,2),MID(Raw!J440,15,2),MID(Raw!J440,18,2))</f>
        <v>45840.0833333333</v>
      </c>
      <c r="O440" s="31" t="n">
        <f aca="false">DATE(LEFT(Raw!K440,4),MID(Raw!K440,6,2),MID(Raw!K440,9,2))+TIME(MID(Raw!K440,12,2),MID(Raw!K440,15,2),MID(Raw!K440,18,2))</f>
        <v>45851.8</v>
      </c>
      <c r="P440" s="32" t="n">
        <f aca="false">L440-K440</f>
        <v>3</v>
      </c>
      <c r="Q440" s="32" t="n">
        <f aca="false">M440-L440</f>
        <v>5</v>
      </c>
      <c r="R440" s="32" t="n">
        <f aca="false">O440-N440</f>
        <v>11.7166666666667</v>
      </c>
      <c r="S440" s="32" t="n">
        <f aca="false">Raw!L440</f>
        <v>6.8</v>
      </c>
      <c r="T440" s="32" t="n">
        <f aca="false">O440-M440</f>
        <v>6.8</v>
      </c>
      <c r="U440" s="0" t="str">
        <f aca="false">IF(ABS(T440-S440)&lt;0.01,"OK","MISMATCH")</f>
        <v>OK</v>
      </c>
      <c r="V440" s="33" t="n">
        <f aca="false">Raw!M440</f>
        <v>1</v>
      </c>
      <c r="W440" s="0" t="str">
        <f aca="false">IF((S440&gt;0)=(V440=1),"OK","MISMATCH")</f>
        <v>OK</v>
      </c>
      <c r="X440" s="0" t="str">
        <f aca="false">_xlfn.IFS(S440&lt;=0,"Early/On time",S440&lt;=2,"Minor (up to 2 days)",S440&lt;=5,"Moderate (2-5 days)",TRUE(),"Severe (over 5 days)")</f>
        <v>Severe (over 5 days)</v>
      </c>
      <c r="Y440" s="0" t="str">
        <f aca="false">YEAR(K440)&amp;"-"&amp;TEXT(MONTH(K440),"00")</f>
        <v>2025-06</v>
      </c>
      <c r="Z440" s="0" t="str">
        <f aca="false">C440&amp;" → "&amp;D440</f>
        <v>Rajasthan → Surat</v>
      </c>
      <c r="AA440" s="0" t="str">
        <f aca="false">Raw!Q440</f>
        <v>BlueDart</v>
      </c>
      <c r="AB440" s="0" t="str">
        <f aca="false">Raw!R440</f>
        <v>No</v>
      </c>
      <c r="AC440" s="0" t="str">
        <f aca="false">Raw!S440</f>
        <v>Expedited</v>
      </c>
      <c r="AD440" s="29" t="n">
        <f aca="false">Raw!N440</f>
        <v>4174.36</v>
      </c>
      <c r="AE440" s="29" t="n">
        <f aca="false">Raw!O440</f>
        <v>4986.26</v>
      </c>
      <c r="AF440" s="29" t="n">
        <f aca="false">Raw!P440</f>
        <v>1200.43</v>
      </c>
      <c r="AG440" s="29" t="n">
        <f aca="false">AD440/J440</f>
        <v>486.522144522144</v>
      </c>
    </row>
    <row r="441" customFormat="false" ht="15" hidden="false" customHeight="false" outlineLevel="0" collapsed="false">
      <c r="A441" s="0" t="str">
        <f aca="false">Raw!A441</f>
        <v>SHP0440</v>
      </c>
      <c r="B441" s="0" t="str">
        <f aca="false">Raw!B441</f>
        <v>Outbound</v>
      </c>
      <c r="C441" s="0" t="str">
        <f aca="false">Raw!C441</f>
        <v>Surat</v>
      </c>
      <c r="D441" s="0" t="str">
        <f aca="false">Raw!D441</f>
        <v>Jaipur</v>
      </c>
      <c r="E441" s="0" t="str">
        <f aca="false">IFERROR(INDEX(Location_Map!$B$2:$B$15,MATCH(C441,Location_Map!$A$2:$A$15,0)),"UNMAPPED")</f>
        <v>Gujarat</v>
      </c>
      <c r="F441" s="0" t="str">
        <f aca="false">IFERROR(INDEX(Location_Map!$C$2:$C$15,MATCH(C441,Location_Map!$A$2:$A$15,0)),"UNMAPPED")</f>
        <v>West</v>
      </c>
      <c r="G441" s="0" t="str">
        <f aca="false">IFERROR(INDEX(Location_Map!$B$2:$B$15,MATCH(D441,Location_Map!$A$2:$A$15,0)),"UNMAPPED")</f>
        <v>Rajasthan</v>
      </c>
      <c r="H441" s="0" t="str">
        <f aca="false">IFERROR(INDEX(Location_Map!$C$2:$C$15,MATCH(D441,Location_Map!$A$2:$A$15,0)),"UNMAPPED")</f>
        <v>North</v>
      </c>
      <c r="I441" s="0" t="str">
        <f aca="false">Raw!E441</f>
        <v>Finished Yarn</v>
      </c>
      <c r="J441" s="28" t="n">
        <f aca="false">Raw!F441</f>
        <v>15.64</v>
      </c>
      <c r="K441" s="30" t="n">
        <f aca="false">DATE(LEFT(Raw!G441,4),MID(Raw!G441,6,2),MID(Raw!G441,9,2))</f>
        <v>45759</v>
      </c>
      <c r="L441" s="30" t="n">
        <f aca="false">DATE(LEFT(Raw!H441,4),MID(Raw!H441,6,2),MID(Raw!H441,9,2))</f>
        <v>45763</v>
      </c>
      <c r="M441" s="30" t="n">
        <f aca="false">DATE(LEFT(Raw!I441,4),MID(Raw!I441,6,2),MID(Raw!I441,9,2))</f>
        <v>45769</v>
      </c>
      <c r="N441" s="31" t="n">
        <f aca="false">DATE(LEFT(Raw!J441,4),MID(Raw!J441,6,2),MID(Raw!J441,9,2))+TIME(MID(Raw!J441,12,2),MID(Raw!J441,15,2),MID(Raw!J441,18,2))</f>
        <v>45763.3333333333</v>
      </c>
      <c r="O441" s="31" t="n">
        <f aca="false">DATE(LEFT(Raw!K441,4),MID(Raw!K441,6,2),MID(Raw!K441,9,2))+TIME(MID(Raw!K441,12,2),MID(Raw!K441,15,2),MID(Raw!K441,18,2))</f>
        <v>45772.7</v>
      </c>
      <c r="P441" s="32" t="n">
        <f aca="false">L441-K441</f>
        <v>4</v>
      </c>
      <c r="Q441" s="32" t="n">
        <f aca="false">M441-L441</f>
        <v>6</v>
      </c>
      <c r="R441" s="32" t="n">
        <f aca="false">O441-N441</f>
        <v>9.36666666666667</v>
      </c>
      <c r="S441" s="32" t="n">
        <f aca="false">Raw!L441</f>
        <v>3.7</v>
      </c>
      <c r="T441" s="32" t="n">
        <f aca="false">O441-M441</f>
        <v>3.7</v>
      </c>
      <c r="U441" s="0" t="str">
        <f aca="false">IF(ABS(T441-S441)&lt;0.01,"OK","MISMATCH")</f>
        <v>OK</v>
      </c>
      <c r="V441" s="33" t="n">
        <f aca="false">Raw!M441</f>
        <v>1</v>
      </c>
      <c r="W441" s="0" t="str">
        <f aca="false">IF((S441&gt;0)=(V441=1),"OK","MISMATCH")</f>
        <v>OK</v>
      </c>
      <c r="X441" s="0" t="str">
        <f aca="false">_xlfn.IFS(S441&lt;=0,"Early/On time",S441&lt;=2,"Minor (up to 2 days)",S441&lt;=5,"Moderate (2-5 days)",TRUE(),"Severe (over 5 days)")</f>
        <v>Moderate (2-5 days)</v>
      </c>
      <c r="Y441" s="0" t="str">
        <f aca="false">YEAR(K441)&amp;"-"&amp;TEXT(MONTH(K441),"00")</f>
        <v>2025-04</v>
      </c>
      <c r="Z441" s="0" t="str">
        <f aca="false">C441&amp;" → "&amp;D441</f>
        <v>Surat → Jaipur</v>
      </c>
      <c r="AA441" s="0" t="str">
        <f aca="false">Raw!Q441</f>
        <v>Delhivery</v>
      </c>
      <c r="AB441" s="0" t="str">
        <f aca="false">Raw!R441</f>
        <v>Yes</v>
      </c>
      <c r="AC441" s="0" t="str">
        <f aca="false">Raw!S441</f>
        <v>Damaged</v>
      </c>
      <c r="AD441" s="29" t="n">
        <f aca="false">Raw!N441</f>
        <v>10944.7</v>
      </c>
      <c r="AE441" s="29" t="n">
        <f aca="false">Raw!O441</f>
        <v>4900.72</v>
      </c>
      <c r="AF441" s="29" t="n">
        <f aca="false">Raw!P441</f>
        <v>1333.2</v>
      </c>
      <c r="AG441" s="29" t="n">
        <f aca="false">AD441/J441</f>
        <v>699.789002557545</v>
      </c>
    </row>
    <row r="442" customFormat="false" ht="15" hidden="false" customHeight="false" outlineLevel="0" collapsed="false">
      <c r="A442" s="0" t="str">
        <f aca="false">Raw!A442</f>
        <v>SHP0441</v>
      </c>
      <c r="B442" s="0" t="str">
        <f aca="false">Raw!B442</f>
        <v>Inbound</v>
      </c>
      <c r="C442" s="0" t="str">
        <f aca="false">Raw!C442</f>
        <v>Punjab</v>
      </c>
      <c r="D442" s="0" t="str">
        <f aca="false">Raw!D442</f>
        <v>Surat</v>
      </c>
      <c r="E442" s="0" t="str">
        <f aca="false">IFERROR(INDEX(Location_Map!$B$2:$B$15,MATCH(C442,Location_Map!$A$2:$A$15,0)),"UNMAPPED")</f>
        <v>Punjab</v>
      </c>
      <c r="F442" s="0" t="str">
        <f aca="false">IFERROR(INDEX(Location_Map!$C$2:$C$15,MATCH(C442,Location_Map!$A$2:$A$15,0)),"UNMAPPED")</f>
        <v>North</v>
      </c>
      <c r="G442" s="0" t="str">
        <f aca="false">IFERROR(INDEX(Location_Map!$B$2:$B$15,MATCH(D442,Location_Map!$A$2:$A$15,0)),"UNMAPPED")</f>
        <v>Gujarat</v>
      </c>
      <c r="H442" s="0" t="str">
        <f aca="false">IFERROR(INDEX(Location_Map!$C$2:$C$15,MATCH(D442,Location_Map!$A$2:$A$15,0)),"UNMAPPED")</f>
        <v>West</v>
      </c>
      <c r="I442" s="0" t="str">
        <f aca="false">Raw!E442</f>
        <v>Raw Yarn</v>
      </c>
      <c r="J442" s="28" t="n">
        <f aca="false">Raw!F442</f>
        <v>6.76</v>
      </c>
      <c r="K442" s="30" t="n">
        <f aca="false">DATE(LEFT(Raw!G442,4),MID(Raw!G442,6,2),MID(Raw!G442,9,2))</f>
        <v>45947</v>
      </c>
      <c r="L442" s="30" t="n">
        <f aca="false">DATE(LEFT(Raw!H442,4),MID(Raw!H442,6,2),MID(Raw!H442,9,2))</f>
        <v>45950</v>
      </c>
      <c r="M442" s="30" t="n">
        <f aca="false">DATE(LEFT(Raw!I442,4),MID(Raw!I442,6,2),MID(Raw!I442,9,2))</f>
        <v>45952</v>
      </c>
      <c r="N442" s="31" t="n">
        <f aca="false">DATE(LEFT(Raw!J442,4),MID(Raw!J442,6,2),MID(Raw!J442,9,2))+TIME(MID(Raw!J442,12,2),MID(Raw!J442,15,2),MID(Raw!J442,18,2))</f>
        <v>45950.25</v>
      </c>
      <c r="O442" s="31" t="n">
        <f aca="false">DATE(LEFT(Raw!K442,4),MID(Raw!K442,6,2),MID(Raw!K442,9,2))+TIME(MID(Raw!K442,12,2),MID(Raw!K442,15,2),MID(Raw!K442,18,2))</f>
        <v>45951</v>
      </c>
      <c r="P442" s="32" t="n">
        <f aca="false">L442-K442</f>
        <v>3</v>
      </c>
      <c r="Q442" s="32" t="n">
        <f aca="false">M442-L442</f>
        <v>2</v>
      </c>
      <c r="R442" s="32" t="n">
        <f aca="false">O442-N442</f>
        <v>0.75</v>
      </c>
      <c r="S442" s="32" t="n">
        <f aca="false">Raw!L442</f>
        <v>-1</v>
      </c>
      <c r="T442" s="32" t="n">
        <f aca="false">O442-M442</f>
        <v>-1</v>
      </c>
      <c r="U442" s="0" t="str">
        <f aca="false">IF(ABS(T442-S442)&lt;0.01,"OK","MISMATCH")</f>
        <v>OK</v>
      </c>
      <c r="V442" s="33" t="n">
        <f aca="false">Raw!M442</f>
        <v>0</v>
      </c>
      <c r="W442" s="0" t="str">
        <f aca="false">IF((S442&gt;0)=(V442=1),"OK","MISMATCH")</f>
        <v>OK</v>
      </c>
      <c r="X442" s="0" t="str">
        <f aca="false">_xlfn.IFS(S442&lt;=0,"Early/On time",S442&lt;=2,"Minor (up to 2 days)",S442&lt;=5,"Moderate (2-5 days)",TRUE(),"Severe (over 5 days)")</f>
        <v>Early/On time</v>
      </c>
      <c r="Y442" s="0" t="str">
        <f aca="false">YEAR(K442)&amp;"-"&amp;TEXT(MONTH(K442),"00")</f>
        <v>2025-10</v>
      </c>
      <c r="Z442" s="0" t="str">
        <f aca="false">C442&amp;" → "&amp;D442</f>
        <v>Punjab → Surat</v>
      </c>
      <c r="AA442" s="0" t="str">
        <f aca="false">Raw!Q442</f>
        <v>TCI Express</v>
      </c>
      <c r="AB442" s="0" t="str">
        <f aca="false">Raw!R442</f>
        <v>No</v>
      </c>
      <c r="AC442" s="0" t="str">
        <f aca="false">Raw!S442</f>
        <v>Returned</v>
      </c>
      <c r="AD442" s="29" t="n">
        <f aca="false">Raw!N442</f>
        <v>4144.06</v>
      </c>
      <c r="AE442" s="29" t="n">
        <f aca="false">Raw!O442</f>
        <v>1481.79</v>
      </c>
      <c r="AF442" s="29" t="n">
        <f aca="false">Raw!P442</f>
        <v>1084.54</v>
      </c>
      <c r="AG442" s="29" t="n">
        <f aca="false">AD442/J442</f>
        <v>613.026627218935</v>
      </c>
    </row>
    <row r="443" customFormat="false" ht="15" hidden="false" customHeight="false" outlineLevel="0" collapsed="false">
      <c r="A443" s="0" t="str">
        <f aca="false">Raw!A443</f>
        <v>SHP0442</v>
      </c>
      <c r="B443" s="0" t="str">
        <f aca="false">Raw!B443</f>
        <v>Inbound</v>
      </c>
      <c r="C443" s="0" t="str">
        <f aca="false">Raw!C443</f>
        <v>Punjab</v>
      </c>
      <c r="D443" s="0" t="str">
        <f aca="false">Raw!D443</f>
        <v>Surat</v>
      </c>
      <c r="E443" s="0" t="str">
        <f aca="false">IFERROR(INDEX(Location_Map!$B$2:$B$15,MATCH(C443,Location_Map!$A$2:$A$15,0)),"UNMAPPED")</f>
        <v>Punjab</v>
      </c>
      <c r="F443" s="0" t="str">
        <f aca="false">IFERROR(INDEX(Location_Map!$C$2:$C$15,MATCH(C443,Location_Map!$A$2:$A$15,0)),"UNMAPPED")</f>
        <v>North</v>
      </c>
      <c r="G443" s="0" t="str">
        <f aca="false">IFERROR(INDEX(Location_Map!$B$2:$B$15,MATCH(D443,Location_Map!$A$2:$A$15,0)),"UNMAPPED")</f>
        <v>Gujarat</v>
      </c>
      <c r="H443" s="0" t="str">
        <f aca="false">IFERROR(INDEX(Location_Map!$C$2:$C$15,MATCH(D443,Location_Map!$A$2:$A$15,0)),"UNMAPPED")</f>
        <v>West</v>
      </c>
      <c r="I443" s="0" t="str">
        <f aca="false">Raw!E443</f>
        <v>Semi-Processed Yarn</v>
      </c>
      <c r="J443" s="28" t="n">
        <f aca="false">Raw!F443</f>
        <v>19.42</v>
      </c>
      <c r="K443" s="30" t="n">
        <f aca="false">DATE(LEFT(Raw!G443,4),MID(Raw!G443,6,2),MID(Raw!G443,9,2))</f>
        <v>45771</v>
      </c>
      <c r="L443" s="30" t="n">
        <f aca="false">DATE(LEFT(Raw!H443,4),MID(Raw!H443,6,2),MID(Raw!H443,9,2))</f>
        <v>45772</v>
      </c>
      <c r="M443" s="30" t="n">
        <f aca="false">DATE(LEFT(Raw!I443,4),MID(Raw!I443,6,2),MID(Raw!I443,9,2))</f>
        <v>45776</v>
      </c>
      <c r="N443" s="31" t="n">
        <f aca="false">DATE(LEFT(Raw!J443,4),MID(Raw!J443,6,2),MID(Raw!J443,9,2))+TIME(MID(Raw!J443,12,2),MID(Raw!J443,15,2),MID(Raw!J443,18,2))</f>
        <v>45771.7916666667</v>
      </c>
      <c r="O443" s="31" t="n">
        <f aca="false">DATE(LEFT(Raw!K443,4),MID(Raw!K443,6,2),MID(Raw!K443,9,2))+TIME(MID(Raw!K443,12,2),MID(Raw!K443,15,2),MID(Raw!K443,18,2))</f>
        <v>45781.3</v>
      </c>
      <c r="P443" s="32" t="n">
        <f aca="false">L443-K443</f>
        <v>1</v>
      </c>
      <c r="Q443" s="32" t="n">
        <f aca="false">M443-L443</f>
        <v>4</v>
      </c>
      <c r="R443" s="32" t="n">
        <f aca="false">O443-N443</f>
        <v>9.50833333333333</v>
      </c>
      <c r="S443" s="32" t="n">
        <f aca="false">Raw!L443</f>
        <v>5.3</v>
      </c>
      <c r="T443" s="32" t="n">
        <f aca="false">O443-M443</f>
        <v>5.3</v>
      </c>
      <c r="U443" s="0" t="str">
        <f aca="false">IF(ABS(T443-S443)&lt;0.01,"OK","MISMATCH")</f>
        <v>OK</v>
      </c>
      <c r="V443" s="33" t="n">
        <f aca="false">Raw!M443</f>
        <v>1</v>
      </c>
      <c r="W443" s="0" t="str">
        <f aca="false">IF((S443&gt;0)=(V443=1),"OK","MISMATCH")</f>
        <v>OK</v>
      </c>
      <c r="X443" s="0" t="str">
        <f aca="false">_xlfn.IFS(S443&lt;=0,"Early/On time",S443&lt;=2,"Minor (up to 2 days)",S443&lt;=5,"Moderate (2-5 days)",TRUE(),"Severe (over 5 days)")</f>
        <v>Severe (over 5 days)</v>
      </c>
      <c r="Y443" s="0" t="str">
        <f aca="false">YEAR(K443)&amp;"-"&amp;TEXT(MONTH(K443),"00")</f>
        <v>2025-04</v>
      </c>
      <c r="Z443" s="0" t="str">
        <f aca="false">C443&amp;" → "&amp;D443</f>
        <v>Punjab → Surat</v>
      </c>
      <c r="AA443" s="0" t="str">
        <f aca="false">Raw!Q443</f>
        <v>BlueDart</v>
      </c>
      <c r="AB443" s="0" t="str">
        <f aca="false">Raw!R443</f>
        <v>No</v>
      </c>
      <c r="AC443" s="0" t="str">
        <f aca="false">Raw!S443</f>
        <v>Returned</v>
      </c>
      <c r="AD443" s="29" t="n">
        <f aca="false">Raw!N443</f>
        <v>7152.92</v>
      </c>
      <c r="AE443" s="29" t="n">
        <f aca="false">Raw!O443</f>
        <v>3632.41</v>
      </c>
      <c r="AF443" s="29" t="n">
        <f aca="false">Raw!P443</f>
        <v>1497.75</v>
      </c>
      <c r="AG443" s="29" t="n">
        <f aca="false">AD443/J443</f>
        <v>368.327497425335</v>
      </c>
    </row>
    <row r="444" customFormat="false" ht="15" hidden="false" customHeight="false" outlineLevel="0" collapsed="false">
      <c r="A444" s="0" t="str">
        <f aca="false">Raw!A444</f>
        <v>SHP0443</v>
      </c>
      <c r="B444" s="0" t="str">
        <f aca="false">Raw!B444</f>
        <v>Inbound</v>
      </c>
      <c r="C444" s="0" t="str">
        <f aca="false">Raw!C444</f>
        <v>Punjab</v>
      </c>
      <c r="D444" s="0" t="str">
        <f aca="false">Raw!D444</f>
        <v>Surat</v>
      </c>
      <c r="E444" s="0" t="str">
        <f aca="false">IFERROR(INDEX(Location_Map!$B$2:$B$15,MATCH(C444,Location_Map!$A$2:$A$15,0)),"UNMAPPED")</f>
        <v>Punjab</v>
      </c>
      <c r="F444" s="0" t="str">
        <f aca="false">IFERROR(INDEX(Location_Map!$C$2:$C$15,MATCH(C444,Location_Map!$A$2:$A$15,0)),"UNMAPPED")</f>
        <v>North</v>
      </c>
      <c r="G444" s="0" t="str">
        <f aca="false">IFERROR(INDEX(Location_Map!$B$2:$B$15,MATCH(D444,Location_Map!$A$2:$A$15,0)),"UNMAPPED")</f>
        <v>Gujarat</v>
      </c>
      <c r="H444" s="0" t="str">
        <f aca="false">IFERROR(INDEX(Location_Map!$C$2:$C$15,MATCH(D444,Location_Map!$A$2:$A$15,0)),"UNMAPPED")</f>
        <v>West</v>
      </c>
      <c r="I444" s="0" t="str">
        <f aca="false">Raw!E444</f>
        <v>Finished Yarn</v>
      </c>
      <c r="J444" s="28" t="n">
        <f aca="false">Raw!F444</f>
        <v>9.58</v>
      </c>
      <c r="K444" s="30" t="n">
        <f aca="false">DATE(LEFT(Raw!G444,4),MID(Raw!G444,6,2),MID(Raw!G444,9,2))</f>
        <v>45764</v>
      </c>
      <c r="L444" s="30" t="n">
        <f aca="false">DATE(LEFT(Raw!H444,4),MID(Raw!H444,6,2),MID(Raw!H444,9,2))</f>
        <v>45766</v>
      </c>
      <c r="M444" s="30" t="n">
        <f aca="false">DATE(LEFT(Raw!I444,4),MID(Raw!I444,6,2),MID(Raw!I444,9,2))</f>
        <v>45768</v>
      </c>
      <c r="N444" s="31" t="n">
        <f aca="false">DATE(LEFT(Raw!J444,4),MID(Raw!J444,6,2),MID(Raw!J444,9,2))+TIME(MID(Raw!J444,12,2),MID(Raw!J444,15,2),MID(Raw!J444,18,2))</f>
        <v>45766.375</v>
      </c>
      <c r="O444" s="31" t="n">
        <f aca="false">DATE(LEFT(Raw!K444,4),MID(Raw!K444,6,2),MID(Raw!K444,9,2))+TIME(MID(Raw!K444,12,2),MID(Raw!K444,15,2),MID(Raw!K444,18,2))</f>
        <v>45767</v>
      </c>
      <c r="P444" s="32" t="n">
        <f aca="false">L444-K444</f>
        <v>2</v>
      </c>
      <c r="Q444" s="32" t="n">
        <f aca="false">M444-L444</f>
        <v>2</v>
      </c>
      <c r="R444" s="32" t="n">
        <f aca="false">O444-N444</f>
        <v>0.625</v>
      </c>
      <c r="S444" s="32" t="n">
        <f aca="false">Raw!L444</f>
        <v>-1</v>
      </c>
      <c r="T444" s="32" t="n">
        <f aca="false">O444-M444</f>
        <v>-1</v>
      </c>
      <c r="U444" s="0" t="str">
        <f aca="false">IF(ABS(T444-S444)&lt;0.01,"OK","MISMATCH")</f>
        <v>OK</v>
      </c>
      <c r="V444" s="33" t="n">
        <f aca="false">Raw!M444</f>
        <v>0</v>
      </c>
      <c r="W444" s="0" t="str">
        <f aca="false">IF((S444&gt;0)=(V444=1),"OK","MISMATCH")</f>
        <v>OK</v>
      </c>
      <c r="X444" s="0" t="str">
        <f aca="false">_xlfn.IFS(S444&lt;=0,"Early/On time",S444&lt;=2,"Minor (up to 2 days)",S444&lt;=5,"Moderate (2-5 days)",TRUE(),"Severe (over 5 days)")</f>
        <v>Early/On time</v>
      </c>
      <c r="Y444" s="0" t="str">
        <f aca="false">YEAR(K444)&amp;"-"&amp;TEXT(MONTH(K444),"00")</f>
        <v>2025-04</v>
      </c>
      <c r="Z444" s="0" t="str">
        <f aca="false">C444&amp;" → "&amp;D444</f>
        <v>Punjab → Surat</v>
      </c>
      <c r="AA444" s="0" t="str">
        <f aca="false">Raw!Q444</f>
        <v>VRL Cargo</v>
      </c>
      <c r="AB444" s="0" t="str">
        <f aca="false">Raw!R444</f>
        <v>No</v>
      </c>
      <c r="AC444" s="0" t="str">
        <f aca="false">Raw!S444</f>
        <v>Held at warehouse</v>
      </c>
      <c r="AD444" s="29" t="n">
        <f aca="false">Raw!N444</f>
        <v>5251.11</v>
      </c>
      <c r="AE444" s="29" t="n">
        <f aca="false">Raw!O444</f>
        <v>2587.79</v>
      </c>
      <c r="AF444" s="29" t="n">
        <f aca="false">Raw!P444</f>
        <v>955.38</v>
      </c>
      <c r="AG444" s="29" t="n">
        <f aca="false">AD444/J444</f>
        <v>548.132567849687</v>
      </c>
    </row>
    <row r="445" customFormat="false" ht="15" hidden="false" customHeight="false" outlineLevel="0" collapsed="false">
      <c r="A445" s="0" t="str">
        <f aca="false">Raw!A445</f>
        <v>SHP0444</v>
      </c>
      <c r="B445" s="0" t="str">
        <f aca="false">Raw!B445</f>
        <v>Inbound</v>
      </c>
      <c r="C445" s="0" t="str">
        <f aca="false">Raw!C445</f>
        <v>Rajasthan</v>
      </c>
      <c r="D445" s="0" t="str">
        <f aca="false">Raw!D445</f>
        <v>Surat</v>
      </c>
      <c r="E445" s="0" t="str">
        <f aca="false">IFERROR(INDEX(Location_Map!$B$2:$B$15,MATCH(C445,Location_Map!$A$2:$A$15,0)),"UNMAPPED")</f>
        <v>Rajasthan</v>
      </c>
      <c r="F445" s="0" t="str">
        <f aca="false">IFERROR(INDEX(Location_Map!$C$2:$C$15,MATCH(C445,Location_Map!$A$2:$A$15,0)),"UNMAPPED")</f>
        <v>North</v>
      </c>
      <c r="G445" s="0" t="str">
        <f aca="false">IFERROR(INDEX(Location_Map!$B$2:$B$15,MATCH(D445,Location_Map!$A$2:$A$15,0)),"UNMAPPED")</f>
        <v>Gujarat</v>
      </c>
      <c r="H445" s="0" t="str">
        <f aca="false">IFERROR(INDEX(Location_Map!$C$2:$C$15,MATCH(D445,Location_Map!$A$2:$A$15,0)),"UNMAPPED")</f>
        <v>West</v>
      </c>
      <c r="I445" s="0" t="str">
        <f aca="false">Raw!E445</f>
        <v>Semi-Processed Yarn</v>
      </c>
      <c r="J445" s="28" t="n">
        <f aca="false">Raw!F445</f>
        <v>8.88</v>
      </c>
      <c r="K445" s="30" t="n">
        <f aca="false">DATE(LEFT(Raw!G445,4),MID(Raw!G445,6,2),MID(Raw!G445,9,2))</f>
        <v>45877</v>
      </c>
      <c r="L445" s="30" t="n">
        <f aca="false">DATE(LEFT(Raw!H445,4),MID(Raw!H445,6,2),MID(Raw!H445,9,2))</f>
        <v>45878</v>
      </c>
      <c r="M445" s="30" t="n">
        <f aca="false">DATE(LEFT(Raw!I445,4),MID(Raw!I445,6,2),MID(Raw!I445,9,2))</f>
        <v>45880</v>
      </c>
      <c r="N445" s="31" t="n">
        <f aca="false">DATE(LEFT(Raw!J445,4),MID(Raw!J445,6,2),MID(Raw!J445,9,2))+TIME(MID(Raw!J445,12,2),MID(Raw!J445,15,2),MID(Raw!J445,18,2))</f>
        <v>45878.125</v>
      </c>
      <c r="O445" s="31" t="n">
        <f aca="false">DATE(LEFT(Raw!K445,4),MID(Raw!K445,6,2),MID(Raw!K445,9,2))+TIME(MID(Raw!K445,12,2),MID(Raw!K445,15,2),MID(Raw!K445,18,2))</f>
        <v>45879</v>
      </c>
      <c r="P445" s="32" t="n">
        <f aca="false">L445-K445</f>
        <v>1</v>
      </c>
      <c r="Q445" s="32" t="n">
        <f aca="false">M445-L445</f>
        <v>2</v>
      </c>
      <c r="R445" s="32" t="n">
        <f aca="false">O445-N445</f>
        <v>0.875</v>
      </c>
      <c r="S445" s="32" t="n">
        <f aca="false">Raw!L445</f>
        <v>-1</v>
      </c>
      <c r="T445" s="32" t="n">
        <f aca="false">O445-M445</f>
        <v>-1</v>
      </c>
      <c r="U445" s="0" t="str">
        <f aca="false">IF(ABS(T445-S445)&lt;0.01,"OK","MISMATCH")</f>
        <v>OK</v>
      </c>
      <c r="V445" s="33" t="n">
        <f aca="false">Raw!M445</f>
        <v>0</v>
      </c>
      <c r="W445" s="0" t="str">
        <f aca="false">IF((S445&gt;0)=(V445=1),"OK","MISMATCH")</f>
        <v>OK</v>
      </c>
      <c r="X445" s="0" t="str">
        <f aca="false">_xlfn.IFS(S445&lt;=0,"Early/On time",S445&lt;=2,"Minor (up to 2 days)",S445&lt;=5,"Moderate (2-5 days)",TRUE(),"Severe (over 5 days)")</f>
        <v>Early/On time</v>
      </c>
      <c r="Y445" s="0" t="str">
        <f aca="false">YEAR(K445)&amp;"-"&amp;TEXT(MONTH(K445),"00")</f>
        <v>2025-08</v>
      </c>
      <c r="Z445" s="0" t="str">
        <f aca="false">C445&amp;" → "&amp;D445</f>
        <v>Rajasthan → Surat</v>
      </c>
      <c r="AA445" s="0" t="str">
        <f aca="false">Raw!Q445</f>
        <v>BlueDart</v>
      </c>
      <c r="AB445" s="0" t="str">
        <f aca="false">Raw!R445</f>
        <v>No</v>
      </c>
      <c r="AC445" s="0" t="str">
        <f aca="false">Raw!S445</f>
        <v>Returned</v>
      </c>
      <c r="AD445" s="29" t="n">
        <f aca="false">Raw!N445</f>
        <v>3203.91</v>
      </c>
      <c r="AE445" s="29" t="n">
        <f aca="false">Raw!O445</f>
        <v>3101.03</v>
      </c>
      <c r="AF445" s="29" t="n">
        <f aca="false">Raw!P445</f>
        <v>611.21</v>
      </c>
      <c r="AG445" s="29" t="n">
        <f aca="false">AD445/J445</f>
        <v>360.800675675676</v>
      </c>
    </row>
    <row r="446" customFormat="false" ht="15" hidden="false" customHeight="false" outlineLevel="0" collapsed="false">
      <c r="A446" s="0" t="str">
        <f aca="false">Raw!A446</f>
        <v>SHP0445</v>
      </c>
      <c r="B446" s="0" t="str">
        <f aca="false">Raw!B446</f>
        <v>Outbound</v>
      </c>
      <c r="C446" s="0" t="str">
        <f aca="false">Raw!C446</f>
        <v>Surat</v>
      </c>
      <c r="D446" s="0" t="str">
        <f aca="false">Raw!D446</f>
        <v>West Bengal</v>
      </c>
      <c r="E446" s="0" t="str">
        <f aca="false">IFERROR(INDEX(Location_Map!$B$2:$B$15,MATCH(C446,Location_Map!$A$2:$A$15,0)),"UNMAPPED")</f>
        <v>Gujarat</v>
      </c>
      <c r="F446" s="0" t="str">
        <f aca="false">IFERROR(INDEX(Location_Map!$C$2:$C$15,MATCH(C446,Location_Map!$A$2:$A$15,0)),"UNMAPPED")</f>
        <v>West</v>
      </c>
      <c r="G446" s="0" t="str">
        <f aca="false">IFERROR(INDEX(Location_Map!$B$2:$B$15,MATCH(D446,Location_Map!$A$2:$A$15,0)),"UNMAPPED")</f>
        <v>West Bengal</v>
      </c>
      <c r="H446" s="0" t="str">
        <f aca="false">IFERROR(INDEX(Location_Map!$C$2:$C$15,MATCH(D446,Location_Map!$A$2:$A$15,0)),"UNMAPPED")</f>
        <v>East</v>
      </c>
      <c r="I446" s="0" t="str">
        <f aca="false">Raw!E446</f>
        <v>Semi-Processed Yarn</v>
      </c>
      <c r="J446" s="28" t="n">
        <f aca="false">Raw!F446</f>
        <v>17.5</v>
      </c>
      <c r="K446" s="30" t="n">
        <f aca="false">DATE(LEFT(Raw!G446,4),MID(Raw!G446,6,2),MID(Raw!G446,9,2))</f>
        <v>45747</v>
      </c>
      <c r="L446" s="30" t="n">
        <f aca="false">DATE(LEFT(Raw!H446,4),MID(Raw!H446,6,2),MID(Raw!H446,9,2))</f>
        <v>45748</v>
      </c>
      <c r="M446" s="30" t="n">
        <f aca="false">DATE(LEFT(Raw!I446,4),MID(Raw!I446,6,2),MID(Raw!I446,9,2))</f>
        <v>45753</v>
      </c>
      <c r="N446" s="31" t="n">
        <f aca="false">DATE(LEFT(Raw!J446,4),MID(Raw!J446,6,2),MID(Raw!J446,9,2))+TIME(MID(Raw!J446,12,2),MID(Raw!J446,15,2),MID(Raw!J446,18,2))</f>
        <v>45748.2083333333</v>
      </c>
      <c r="O446" s="31" t="n">
        <f aca="false">DATE(LEFT(Raw!K446,4),MID(Raw!K446,6,2),MID(Raw!K446,9,2))+TIME(MID(Raw!K446,12,2),MID(Raw!K446,15,2),MID(Raw!K446,18,2))</f>
        <v>45756.5</v>
      </c>
      <c r="P446" s="32" t="n">
        <f aca="false">L446-K446</f>
        <v>1</v>
      </c>
      <c r="Q446" s="32" t="n">
        <f aca="false">M446-L446</f>
        <v>5</v>
      </c>
      <c r="R446" s="32" t="n">
        <f aca="false">O446-N446</f>
        <v>8.29166666666667</v>
      </c>
      <c r="S446" s="32" t="n">
        <f aca="false">Raw!L446</f>
        <v>3.5</v>
      </c>
      <c r="T446" s="32" t="n">
        <f aca="false">O446-M446</f>
        <v>3.5</v>
      </c>
      <c r="U446" s="0" t="str">
        <f aca="false">IF(ABS(T446-S446)&lt;0.01,"OK","MISMATCH")</f>
        <v>OK</v>
      </c>
      <c r="V446" s="33" t="n">
        <f aca="false">Raw!M446</f>
        <v>1</v>
      </c>
      <c r="W446" s="0" t="str">
        <f aca="false">IF((S446&gt;0)=(V446=1),"OK","MISMATCH")</f>
        <v>OK</v>
      </c>
      <c r="X446" s="0" t="str">
        <f aca="false">_xlfn.IFS(S446&lt;=0,"Early/On time",S446&lt;=2,"Minor (up to 2 days)",S446&lt;=5,"Moderate (2-5 days)",TRUE(),"Severe (over 5 days)")</f>
        <v>Moderate (2-5 days)</v>
      </c>
      <c r="Y446" s="0" t="str">
        <f aca="false">YEAR(K446)&amp;"-"&amp;TEXT(MONTH(K446),"00")</f>
        <v>2025-03</v>
      </c>
      <c r="Z446" s="0" t="str">
        <f aca="false">C446&amp;" → "&amp;D446</f>
        <v>Surat → West Bengal</v>
      </c>
      <c r="AA446" s="0" t="str">
        <f aca="false">Raw!Q446</f>
        <v>BlueDart</v>
      </c>
      <c r="AB446" s="0" t="str">
        <f aca="false">Raw!R446</f>
        <v>No</v>
      </c>
      <c r="AC446" s="0" t="str">
        <f aca="false">Raw!S446</f>
        <v>Held at warehouse</v>
      </c>
      <c r="AD446" s="29" t="n">
        <f aca="false">Raw!N446</f>
        <v>7760.87</v>
      </c>
      <c r="AE446" s="29" t="n">
        <f aca="false">Raw!O446</f>
        <v>1167.86</v>
      </c>
      <c r="AF446" s="29" t="n">
        <f aca="false">Raw!P446</f>
        <v>863.65</v>
      </c>
      <c r="AG446" s="29" t="n">
        <f aca="false">AD446/J446</f>
        <v>443.478285714286</v>
      </c>
    </row>
    <row r="447" customFormat="false" ht="15" hidden="false" customHeight="false" outlineLevel="0" collapsed="false">
      <c r="A447" s="0" t="str">
        <f aca="false">Raw!A447</f>
        <v>SHP0446</v>
      </c>
      <c r="B447" s="0" t="str">
        <f aca="false">Raw!B447</f>
        <v>Inbound</v>
      </c>
      <c r="C447" s="0" t="str">
        <f aca="false">Raw!C447</f>
        <v>Uttar Pradesh</v>
      </c>
      <c r="D447" s="0" t="str">
        <f aca="false">Raw!D447</f>
        <v>Surat</v>
      </c>
      <c r="E447" s="0" t="str">
        <f aca="false">IFERROR(INDEX(Location_Map!$B$2:$B$15,MATCH(C447,Location_Map!$A$2:$A$15,0)),"UNMAPPED")</f>
        <v>Uttar Pradesh</v>
      </c>
      <c r="F447" s="0" t="str">
        <f aca="false">IFERROR(INDEX(Location_Map!$C$2:$C$15,MATCH(C447,Location_Map!$A$2:$A$15,0)),"UNMAPPED")</f>
        <v>North</v>
      </c>
      <c r="G447" s="0" t="str">
        <f aca="false">IFERROR(INDEX(Location_Map!$B$2:$B$15,MATCH(D447,Location_Map!$A$2:$A$15,0)),"UNMAPPED")</f>
        <v>Gujarat</v>
      </c>
      <c r="H447" s="0" t="str">
        <f aca="false">IFERROR(INDEX(Location_Map!$C$2:$C$15,MATCH(D447,Location_Map!$A$2:$A$15,0)),"UNMAPPED")</f>
        <v>West</v>
      </c>
      <c r="I447" s="0" t="str">
        <f aca="false">Raw!E447</f>
        <v>Raw Yarn</v>
      </c>
      <c r="J447" s="28" t="n">
        <f aca="false">Raw!F447</f>
        <v>2.87</v>
      </c>
      <c r="K447" s="30" t="n">
        <f aca="false">DATE(LEFT(Raw!G447,4),MID(Raw!G447,6,2),MID(Raw!G447,9,2))</f>
        <v>45692</v>
      </c>
      <c r="L447" s="30" t="n">
        <f aca="false">DATE(LEFT(Raw!H447,4),MID(Raw!H447,6,2),MID(Raw!H447,9,2))</f>
        <v>45694</v>
      </c>
      <c r="M447" s="30" t="n">
        <f aca="false">DATE(LEFT(Raw!I447,4),MID(Raw!I447,6,2),MID(Raw!I447,9,2))</f>
        <v>45699</v>
      </c>
      <c r="N447" s="31" t="n">
        <f aca="false">DATE(LEFT(Raw!J447,4),MID(Raw!J447,6,2),MID(Raw!J447,9,2))+TIME(MID(Raw!J447,12,2),MID(Raw!J447,15,2),MID(Raw!J447,18,2))</f>
        <v>45693.8333333333</v>
      </c>
      <c r="O447" s="31" t="n">
        <f aca="false">DATE(LEFT(Raw!K447,4),MID(Raw!K447,6,2),MID(Raw!K447,9,2))+TIME(MID(Raw!K447,12,2),MID(Raw!K447,15,2),MID(Raw!K447,18,2))</f>
        <v>45698.8</v>
      </c>
      <c r="P447" s="32" t="n">
        <f aca="false">L447-K447</f>
        <v>2</v>
      </c>
      <c r="Q447" s="32" t="n">
        <f aca="false">M447-L447</f>
        <v>5</v>
      </c>
      <c r="R447" s="32" t="n">
        <f aca="false">O447-N447</f>
        <v>4.96666666666667</v>
      </c>
      <c r="S447" s="32" t="n">
        <f aca="false">Raw!L447</f>
        <v>-0.2</v>
      </c>
      <c r="T447" s="32" t="n">
        <f aca="false">O447-M447</f>
        <v>-0.2</v>
      </c>
      <c r="U447" s="0" t="str">
        <f aca="false">IF(ABS(T447-S447)&lt;0.01,"OK","MISMATCH")</f>
        <v>OK</v>
      </c>
      <c r="V447" s="33" t="n">
        <f aca="false">Raw!M447</f>
        <v>0</v>
      </c>
      <c r="W447" s="0" t="str">
        <f aca="false">IF((S447&gt;0)=(V447=1),"OK","MISMATCH")</f>
        <v>OK</v>
      </c>
      <c r="X447" s="0" t="str">
        <f aca="false">_xlfn.IFS(S447&lt;=0,"Early/On time",S447&lt;=2,"Minor (up to 2 days)",S447&lt;=5,"Moderate (2-5 days)",TRUE(),"Severe (over 5 days)")</f>
        <v>Early/On time</v>
      </c>
      <c r="Y447" s="0" t="str">
        <f aca="false">YEAR(K447)&amp;"-"&amp;TEXT(MONTH(K447),"00")</f>
        <v>2025-02</v>
      </c>
      <c r="Z447" s="0" t="str">
        <f aca="false">C447&amp;" → "&amp;D447</f>
        <v>Uttar Pradesh → Surat</v>
      </c>
      <c r="AA447" s="0" t="str">
        <f aca="false">Raw!Q447</f>
        <v>Delhivery</v>
      </c>
      <c r="AB447" s="0" t="str">
        <f aca="false">Raw!R447</f>
        <v>Yes</v>
      </c>
      <c r="AC447" s="0" t="str">
        <f aca="false">Raw!S447</f>
        <v>Returned</v>
      </c>
      <c r="AD447" s="29" t="n">
        <f aca="false">Raw!N447</f>
        <v>2588.38</v>
      </c>
      <c r="AE447" s="29" t="n">
        <f aca="false">Raw!O447</f>
        <v>3371.08</v>
      </c>
      <c r="AF447" s="29" t="n">
        <f aca="false">Raw!P447</f>
        <v>648.36</v>
      </c>
      <c r="AG447" s="29" t="n">
        <f aca="false">AD447/J447</f>
        <v>901.87456445993</v>
      </c>
    </row>
    <row r="448" customFormat="false" ht="15" hidden="false" customHeight="false" outlineLevel="0" collapsed="false">
      <c r="A448" s="0" t="str">
        <f aca="false">Raw!A448</f>
        <v>SHP0447</v>
      </c>
      <c r="B448" s="0" t="str">
        <f aca="false">Raw!B448</f>
        <v>Inbound</v>
      </c>
      <c r="C448" s="0" t="str">
        <f aca="false">Raw!C448</f>
        <v>Rajasthan</v>
      </c>
      <c r="D448" s="0" t="str">
        <f aca="false">Raw!D448</f>
        <v>Surat</v>
      </c>
      <c r="E448" s="0" t="str">
        <f aca="false">IFERROR(INDEX(Location_Map!$B$2:$B$15,MATCH(C448,Location_Map!$A$2:$A$15,0)),"UNMAPPED")</f>
        <v>Rajasthan</v>
      </c>
      <c r="F448" s="0" t="str">
        <f aca="false">IFERROR(INDEX(Location_Map!$C$2:$C$15,MATCH(C448,Location_Map!$A$2:$A$15,0)),"UNMAPPED")</f>
        <v>North</v>
      </c>
      <c r="G448" s="0" t="str">
        <f aca="false">IFERROR(INDEX(Location_Map!$B$2:$B$15,MATCH(D448,Location_Map!$A$2:$A$15,0)),"UNMAPPED")</f>
        <v>Gujarat</v>
      </c>
      <c r="H448" s="0" t="str">
        <f aca="false">IFERROR(INDEX(Location_Map!$C$2:$C$15,MATCH(D448,Location_Map!$A$2:$A$15,0)),"UNMAPPED")</f>
        <v>West</v>
      </c>
      <c r="I448" s="0" t="str">
        <f aca="false">Raw!E448</f>
        <v>Finished Yarn</v>
      </c>
      <c r="J448" s="28" t="n">
        <f aca="false">Raw!F448</f>
        <v>4.27</v>
      </c>
      <c r="K448" s="30" t="n">
        <f aca="false">DATE(LEFT(Raw!G448,4),MID(Raw!G448,6,2),MID(Raw!G448,9,2))</f>
        <v>45921</v>
      </c>
      <c r="L448" s="30" t="n">
        <f aca="false">DATE(LEFT(Raw!H448,4),MID(Raw!H448,6,2),MID(Raw!H448,9,2))</f>
        <v>45924</v>
      </c>
      <c r="M448" s="30" t="n">
        <f aca="false">DATE(LEFT(Raw!I448,4),MID(Raw!I448,6,2),MID(Raw!I448,9,2))</f>
        <v>45928</v>
      </c>
      <c r="N448" s="31" t="n">
        <f aca="false">DATE(LEFT(Raw!J448,4),MID(Raw!J448,6,2),MID(Raw!J448,9,2))+TIME(MID(Raw!J448,12,2),MID(Raw!J448,15,2),MID(Raw!J448,18,2))</f>
        <v>45923.7916666667</v>
      </c>
      <c r="O448" s="31" t="n">
        <f aca="false">DATE(LEFT(Raw!K448,4),MID(Raw!K448,6,2),MID(Raw!K448,9,2))+TIME(MID(Raw!K448,12,2),MID(Raw!K448,15,2),MID(Raw!K448,18,2))</f>
        <v>45935.9</v>
      </c>
      <c r="P448" s="32" t="n">
        <f aca="false">L448-K448</f>
        <v>3</v>
      </c>
      <c r="Q448" s="32" t="n">
        <f aca="false">M448-L448</f>
        <v>4</v>
      </c>
      <c r="R448" s="32" t="n">
        <f aca="false">O448-N448</f>
        <v>12.1083333333333</v>
      </c>
      <c r="S448" s="32" t="n">
        <f aca="false">Raw!L448</f>
        <v>7.9</v>
      </c>
      <c r="T448" s="32" t="n">
        <f aca="false">O448-M448</f>
        <v>7.9</v>
      </c>
      <c r="U448" s="0" t="str">
        <f aca="false">IF(ABS(T448-S448)&lt;0.01,"OK","MISMATCH")</f>
        <v>OK</v>
      </c>
      <c r="V448" s="33" t="n">
        <f aca="false">Raw!M448</f>
        <v>1</v>
      </c>
      <c r="W448" s="0" t="str">
        <f aca="false">IF((S448&gt;0)=(V448=1),"OK","MISMATCH")</f>
        <v>OK</v>
      </c>
      <c r="X448" s="0" t="str">
        <f aca="false">_xlfn.IFS(S448&lt;=0,"Early/On time",S448&lt;=2,"Minor (up to 2 days)",S448&lt;=5,"Moderate (2-5 days)",TRUE(),"Severe (over 5 days)")</f>
        <v>Severe (over 5 days)</v>
      </c>
      <c r="Y448" s="0" t="str">
        <f aca="false">YEAR(K448)&amp;"-"&amp;TEXT(MONTH(K448),"00")</f>
        <v>2025-09</v>
      </c>
      <c r="Z448" s="0" t="str">
        <f aca="false">C448&amp;" → "&amp;D448</f>
        <v>Rajasthan → Surat</v>
      </c>
      <c r="AA448" s="0" t="str">
        <f aca="false">Raw!Q448</f>
        <v>VRL Cargo</v>
      </c>
      <c r="AB448" s="0" t="str">
        <f aca="false">Raw!R448</f>
        <v>No</v>
      </c>
      <c r="AC448" s="0" t="str">
        <f aca="false">Raw!S448</f>
        <v>Held at warehouse</v>
      </c>
      <c r="AD448" s="29" t="n">
        <f aca="false">Raw!N448</f>
        <v>2583.86</v>
      </c>
      <c r="AE448" s="29" t="n">
        <f aca="false">Raw!O448</f>
        <v>2879.66</v>
      </c>
      <c r="AF448" s="29" t="n">
        <f aca="false">Raw!P448</f>
        <v>1002.49</v>
      </c>
      <c r="AG448" s="29" t="n">
        <f aca="false">AD448/J448</f>
        <v>605.11943793911</v>
      </c>
    </row>
    <row r="449" customFormat="false" ht="15" hidden="false" customHeight="false" outlineLevel="0" collapsed="false">
      <c r="A449" s="0" t="str">
        <f aca="false">Raw!A449</f>
        <v>SHP0448</v>
      </c>
      <c r="B449" s="0" t="str">
        <f aca="false">Raw!B449</f>
        <v>Outbound</v>
      </c>
      <c r="C449" s="0" t="str">
        <f aca="false">Raw!C449</f>
        <v>Surat</v>
      </c>
      <c r="D449" s="0" t="str">
        <f aca="false">Raw!D449</f>
        <v>Madhya Pradesh</v>
      </c>
      <c r="E449" s="0" t="str">
        <f aca="false">IFERROR(INDEX(Location_Map!$B$2:$B$15,MATCH(C449,Location_Map!$A$2:$A$15,0)),"UNMAPPED")</f>
        <v>Gujarat</v>
      </c>
      <c r="F449" s="0" t="str">
        <f aca="false">IFERROR(INDEX(Location_Map!$C$2:$C$15,MATCH(C449,Location_Map!$A$2:$A$15,0)),"UNMAPPED")</f>
        <v>West</v>
      </c>
      <c r="G449" s="0" t="str">
        <f aca="false">IFERROR(INDEX(Location_Map!$B$2:$B$15,MATCH(D449,Location_Map!$A$2:$A$15,0)),"UNMAPPED")</f>
        <v>Madhya Pradesh</v>
      </c>
      <c r="H449" s="0" t="str">
        <f aca="false">IFERROR(INDEX(Location_Map!$C$2:$C$15,MATCH(D449,Location_Map!$A$2:$A$15,0)),"UNMAPPED")</f>
        <v>Central</v>
      </c>
      <c r="I449" s="0" t="str">
        <f aca="false">Raw!E449</f>
        <v>Semi-Processed Yarn</v>
      </c>
      <c r="J449" s="28" t="n">
        <f aca="false">Raw!F449</f>
        <v>4.81</v>
      </c>
      <c r="K449" s="30" t="n">
        <f aca="false">DATE(LEFT(Raw!G449,4),MID(Raw!G449,6,2),MID(Raw!G449,9,2))</f>
        <v>45752</v>
      </c>
      <c r="L449" s="30" t="n">
        <f aca="false">DATE(LEFT(Raw!H449,4),MID(Raw!H449,6,2),MID(Raw!H449,9,2))</f>
        <v>45756</v>
      </c>
      <c r="M449" s="30" t="n">
        <f aca="false">DATE(LEFT(Raw!I449,4),MID(Raw!I449,6,2),MID(Raw!I449,9,2))</f>
        <v>45761</v>
      </c>
      <c r="N449" s="31" t="n">
        <f aca="false">DATE(LEFT(Raw!J449,4),MID(Raw!J449,6,2),MID(Raw!J449,9,2))+TIME(MID(Raw!J449,12,2),MID(Raw!J449,15,2),MID(Raw!J449,18,2))</f>
        <v>45756.3333333333</v>
      </c>
      <c r="O449" s="31" t="n">
        <f aca="false">DATE(LEFT(Raw!K449,4),MID(Raw!K449,6,2),MID(Raw!K449,9,2))+TIME(MID(Raw!K449,12,2),MID(Raw!K449,15,2),MID(Raw!K449,18,2))</f>
        <v>45760</v>
      </c>
      <c r="P449" s="32" t="n">
        <f aca="false">L449-K449</f>
        <v>4</v>
      </c>
      <c r="Q449" s="32" t="n">
        <f aca="false">M449-L449</f>
        <v>5</v>
      </c>
      <c r="R449" s="32" t="n">
        <f aca="false">O449-N449</f>
        <v>3.66666666666667</v>
      </c>
      <c r="S449" s="32" t="n">
        <f aca="false">Raw!L449</f>
        <v>-1</v>
      </c>
      <c r="T449" s="32" t="n">
        <f aca="false">O449-M449</f>
        <v>-1</v>
      </c>
      <c r="U449" s="0" t="str">
        <f aca="false">IF(ABS(T449-S449)&lt;0.01,"OK","MISMATCH")</f>
        <v>OK</v>
      </c>
      <c r="V449" s="33" t="n">
        <f aca="false">Raw!M449</f>
        <v>0</v>
      </c>
      <c r="W449" s="0" t="str">
        <f aca="false">IF((S449&gt;0)=(V449=1),"OK","MISMATCH")</f>
        <v>OK</v>
      </c>
      <c r="X449" s="0" t="str">
        <f aca="false">_xlfn.IFS(S449&lt;=0,"Early/On time",S449&lt;=2,"Minor (up to 2 days)",S449&lt;=5,"Moderate (2-5 days)",TRUE(),"Severe (over 5 days)")</f>
        <v>Early/On time</v>
      </c>
      <c r="Y449" s="0" t="str">
        <f aca="false">YEAR(K449)&amp;"-"&amp;TEXT(MONTH(K449),"00")</f>
        <v>2025-04</v>
      </c>
      <c r="Z449" s="0" t="str">
        <f aca="false">C449&amp;" → "&amp;D449</f>
        <v>Surat → Madhya Pradesh</v>
      </c>
      <c r="AA449" s="0" t="str">
        <f aca="false">Raw!Q449</f>
        <v>TCI Express</v>
      </c>
      <c r="AB449" s="0" t="str">
        <f aca="false">Raw!R449</f>
        <v>Yes</v>
      </c>
      <c r="AC449" s="0" t="str">
        <f aca="false">Raw!S449</f>
        <v>Held at warehouse</v>
      </c>
      <c r="AD449" s="29" t="n">
        <f aca="false">Raw!N449</f>
        <v>2518.1</v>
      </c>
      <c r="AE449" s="29" t="n">
        <f aca="false">Raw!O449</f>
        <v>1780.79</v>
      </c>
      <c r="AF449" s="29" t="n">
        <f aca="false">Raw!P449</f>
        <v>1178.49</v>
      </c>
      <c r="AG449" s="29" t="n">
        <f aca="false">AD449/J449</f>
        <v>523.513513513514</v>
      </c>
    </row>
    <row r="450" customFormat="false" ht="15" hidden="false" customHeight="false" outlineLevel="0" collapsed="false">
      <c r="A450" s="0" t="str">
        <f aca="false">Raw!A450</f>
        <v>SHP0449</v>
      </c>
      <c r="B450" s="0" t="str">
        <f aca="false">Raw!B450</f>
        <v>Inbound</v>
      </c>
      <c r="C450" s="0" t="str">
        <f aca="false">Raw!C450</f>
        <v>Chennai</v>
      </c>
      <c r="D450" s="0" t="str">
        <f aca="false">Raw!D450</f>
        <v>Surat</v>
      </c>
      <c r="E450" s="0" t="str">
        <f aca="false">IFERROR(INDEX(Location_Map!$B$2:$B$15,MATCH(C450,Location_Map!$A$2:$A$15,0)),"UNMAPPED")</f>
        <v>Tamil Nadu</v>
      </c>
      <c r="F450" s="0" t="str">
        <f aca="false">IFERROR(INDEX(Location_Map!$C$2:$C$15,MATCH(C450,Location_Map!$A$2:$A$15,0)),"UNMAPPED")</f>
        <v>South</v>
      </c>
      <c r="G450" s="0" t="str">
        <f aca="false">IFERROR(INDEX(Location_Map!$B$2:$B$15,MATCH(D450,Location_Map!$A$2:$A$15,0)),"UNMAPPED")</f>
        <v>Gujarat</v>
      </c>
      <c r="H450" s="0" t="str">
        <f aca="false">IFERROR(INDEX(Location_Map!$C$2:$C$15,MATCH(D450,Location_Map!$A$2:$A$15,0)),"UNMAPPED")</f>
        <v>West</v>
      </c>
      <c r="I450" s="0" t="str">
        <f aca="false">Raw!E450</f>
        <v>Finished Yarn</v>
      </c>
      <c r="J450" s="28" t="n">
        <f aca="false">Raw!F450</f>
        <v>7.14</v>
      </c>
      <c r="K450" s="30" t="n">
        <f aca="false">DATE(LEFT(Raw!G450,4),MID(Raw!G450,6,2),MID(Raw!G450,9,2))</f>
        <v>45954</v>
      </c>
      <c r="L450" s="30" t="n">
        <f aca="false">DATE(LEFT(Raw!H450,4),MID(Raw!H450,6,2),MID(Raw!H450,9,2))</f>
        <v>45956</v>
      </c>
      <c r="M450" s="30" t="n">
        <f aca="false">DATE(LEFT(Raw!I450,4),MID(Raw!I450,6,2),MID(Raw!I450,9,2))</f>
        <v>45961</v>
      </c>
      <c r="N450" s="31" t="n">
        <f aca="false">DATE(LEFT(Raw!J450,4),MID(Raw!J450,6,2),MID(Raw!J450,9,2))+TIME(MID(Raw!J450,12,2),MID(Raw!J450,15,2),MID(Raw!J450,18,2))</f>
        <v>45955.9583333333</v>
      </c>
      <c r="O450" s="31" t="n">
        <f aca="false">DATE(LEFT(Raw!K450,4),MID(Raw!K450,6,2),MID(Raw!K450,9,2))+TIME(MID(Raw!K450,12,2),MID(Raw!K450,15,2),MID(Raw!K450,18,2))</f>
        <v>45962.7</v>
      </c>
      <c r="P450" s="32" t="n">
        <f aca="false">L450-K450</f>
        <v>2</v>
      </c>
      <c r="Q450" s="32" t="n">
        <f aca="false">M450-L450</f>
        <v>5</v>
      </c>
      <c r="R450" s="32" t="n">
        <f aca="false">O450-N450</f>
        <v>6.74166666666667</v>
      </c>
      <c r="S450" s="32" t="n">
        <f aca="false">Raw!L450</f>
        <v>1.7</v>
      </c>
      <c r="T450" s="32" t="n">
        <f aca="false">O450-M450</f>
        <v>1.7</v>
      </c>
      <c r="U450" s="0" t="str">
        <f aca="false">IF(ABS(T450-S450)&lt;0.01,"OK","MISMATCH")</f>
        <v>OK</v>
      </c>
      <c r="V450" s="33" t="n">
        <f aca="false">Raw!M450</f>
        <v>1</v>
      </c>
      <c r="W450" s="0" t="str">
        <f aca="false">IF((S450&gt;0)=(V450=1),"OK","MISMATCH")</f>
        <v>OK</v>
      </c>
      <c r="X450" s="0" t="str">
        <f aca="false">_xlfn.IFS(S450&lt;=0,"Early/On time",S450&lt;=2,"Minor (up to 2 days)",S450&lt;=5,"Moderate (2-5 days)",TRUE(),"Severe (over 5 days)")</f>
        <v>Minor (up to 2 days)</v>
      </c>
      <c r="Y450" s="0" t="str">
        <f aca="false">YEAR(K450)&amp;"-"&amp;TEXT(MONTH(K450),"00")</f>
        <v>2025-10</v>
      </c>
      <c r="Z450" s="0" t="str">
        <f aca="false">C450&amp;" → "&amp;D450</f>
        <v>Chennai → Surat</v>
      </c>
      <c r="AA450" s="0" t="str">
        <f aca="false">Raw!Q450</f>
        <v>TCI Express</v>
      </c>
      <c r="AB450" s="0" t="str">
        <f aca="false">Raw!R450</f>
        <v>No</v>
      </c>
      <c r="AC450" s="0" t="str">
        <f aca="false">Raw!S450</f>
        <v>Normal</v>
      </c>
      <c r="AD450" s="29" t="n">
        <f aca="false">Raw!N450</f>
        <v>4989.82</v>
      </c>
      <c r="AE450" s="29" t="n">
        <f aca="false">Raw!O450</f>
        <v>1041.97</v>
      </c>
      <c r="AF450" s="29" t="n">
        <f aca="false">Raw!P450</f>
        <v>1395.07</v>
      </c>
      <c r="AG450" s="29" t="n">
        <f aca="false">AD450/J450</f>
        <v>698.854341736695</v>
      </c>
    </row>
    <row r="451" customFormat="false" ht="15" hidden="false" customHeight="false" outlineLevel="0" collapsed="false">
      <c r="A451" s="0" t="str">
        <f aca="false">Raw!A451</f>
        <v>SHP0450</v>
      </c>
      <c r="B451" s="0" t="str">
        <f aca="false">Raw!B451</f>
        <v>Inbound</v>
      </c>
      <c r="C451" s="0" t="str">
        <f aca="false">Raw!C451</f>
        <v>Uttar Pradesh</v>
      </c>
      <c r="D451" s="0" t="str">
        <f aca="false">Raw!D451</f>
        <v>Surat</v>
      </c>
      <c r="E451" s="0" t="str">
        <f aca="false">IFERROR(INDEX(Location_Map!$B$2:$B$15,MATCH(C451,Location_Map!$A$2:$A$15,0)),"UNMAPPED")</f>
        <v>Uttar Pradesh</v>
      </c>
      <c r="F451" s="0" t="str">
        <f aca="false">IFERROR(INDEX(Location_Map!$C$2:$C$15,MATCH(C451,Location_Map!$A$2:$A$15,0)),"UNMAPPED")</f>
        <v>North</v>
      </c>
      <c r="G451" s="0" t="str">
        <f aca="false">IFERROR(INDEX(Location_Map!$B$2:$B$15,MATCH(D451,Location_Map!$A$2:$A$15,0)),"UNMAPPED")</f>
        <v>Gujarat</v>
      </c>
      <c r="H451" s="0" t="str">
        <f aca="false">IFERROR(INDEX(Location_Map!$C$2:$C$15,MATCH(D451,Location_Map!$A$2:$A$15,0)),"UNMAPPED")</f>
        <v>West</v>
      </c>
      <c r="I451" s="0" t="str">
        <f aca="false">Raw!E451</f>
        <v>Semi-Processed Yarn</v>
      </c>
      <c r="J451" s="28" t="n">
        <f aca="false">Raw!F451</f>
        <v>3.83</v>
      </c>
      <c r="K451" s="30" t="n">
        <f aca="false">DATE(LEFT(Raw!G451,4),MID(Raw!G451,6,2),MID(Raw!G451,9,2))</f>
        <v>45893</v>
      </c>
      <c r="L451" s="30" t="n">
        <f aca="false">DATE(LEFT(Raw!H451,4),MID(Raw!H451,6,2),MID(Raw!H451,9,2))</f>
        <v>45896</v>
      </c>
      <c r="M451" s="30" t="n">
        <f aca="false">DATE(LEFT(Raw!I451,4),MID(Raw!I451,6,2),MID(Raw!I451,9,2))</f>
        <v>45898</v>
      </c>
      <c r="N451" s="31" t="n">
        <f aca="false">DATE(LEFT(Raw!J451,4),MID(Raw!J451,6,2),MID(Raw!J451,9,2))+TIME(MID(Raw!J451,12,2),MID(Raw!J451,15,2),MID(Raw!J451,18,2))</f>
        <v>45896</v>
      </c>
      <c r="O451" s="31" t="n">
        <f aca="false">DATE(LEFT(Raw!K451,4),MID(Raw!K451,6,2),MID(Raw!K451,9,2))+TIME(MID(Raw!K451,12,2),MID(Raw!K451,15,2),MID(Raw!K451,18,2))</f>
        <v>45898.5</v>
      </c>
      <c r="P451" s="32" t="n">
        <f aca="false">L451-K451</f>
        <v>3</v>
      </c>
      <c r="Q451" s="32" t="n">
        <f aca="false">M451-L451</f>
        <v>2</v>
      </c>
      <c r="R451" s="32" t="n">
        <f aca="false">O451-N451</f>
        <v>2.5</v>
      </c>
      <c r="S451" s="32" t="n">
        <f aca="false">Raw!L451</f>
        <v>0.5</v>
      </c>
      <c r="T451" s="32" t="n">
        <f aca="false">O451-M451</f>
        <v>0.5</v>
      </c>
      <c r="U451" s="0" t="str">
        <f aca="false">IF(ABS(T451-S451)&lt;0.01,"OK","MISMATCH")</f>
        <v>OK</v>
      </c>
      <c r="V451" s="33" t="n">
        <f aca="false">Raw!M451</f>
        <v>1</v>
      </c>
      <c r="W451" s="0" t="str">
        <f aca="false">IF((S451&gt;0)=(V451=1),"OK","MISMATCH")</f>
        <v>OK</v>
      </c>
      <c r="X451" s="0" t="str">
        <f aca="false">_xlfn.IFS(S451&lt;=0,"Early/On time",S451&lt;=2,"Minor (up to 2 days)",S451&lt;=5,"Moderate (2-5 days)",TRUE(),"Severe (over 5 days)")</f>
        <v>Minor (up to 2 days)</v>
      </c>
      <c r="Y451" s="0" t="str">
        <f aca="false">YEAR(K451)&amp;"-"&amp;TEXT(MONTH(K451),"00")</f>
        <v>2025-08</v>
      </c>
      <c r="Z451" s="0" t="str">
        <f aca="false">C451&amp;" → "&amp;D451</f>
        <v>Uttar Pradesh → Surat</v>
      </c>
      <c r="AA451" s="0" t="str">
        <f aca="false">Raw!Q451</f>
        <v>Delhivery</v>
      </c>
      <c r="AB451" s="0" t="str">
        <f aca="false">Raw!R451</f>
        <v>No</v>
      </c>
      <c r="AC451" s="0" t="str">
        <f aca="false">Raw!S451</f>
        <v>Returned</v>
      </c>
      <c r="AD451" s="29" t="n">
        <f aca="false">Raw!N451</f>
        <v>2555.14</v>
      </c>
      <c r="AE451" s="29" t="n">
        <f aca="false">Raw!O451</f>
        <v>2121.34</v>
      </c>
      <c r="AF451" s="29" t="n">
        <f aca="false">Raw!P451</f>
        <v>632.18</v>
      </c>
      <c r="AG451" s="29" t="n">
        <f aca="false">AD451/J451</f>
        <v>667.138381201044</v>
      </c>
    </row>
    <row r="452" customFormat="false" ht="15" hidden="false" customHeight="false" outlineLevel="0" collapsed="false">
      <c r="A452" s="0" t="str">
        <f aca="false">Raw!A452</f>
        <v>SHP0451</v>
      </c>
      <c r="B452" s="0" t="str">
        <f aca="false">Raw!B452</f>
        <v>Inbound</v>
      </c>
      <c r="C452" s="0" t="str">
        <f aca="false">Raw!C452</f>
        <v>Rajasthan</v>
      </c>
      <c r="D452" s="0" t="str">
        <f aca="false">Raw!D452</f>
        <v>Surat</v>
      </c>
      <c r="E452" s="0" t="str">
        <f aca="false">IFERROR(INDEX(Location_Map!$B$2:$B$15,MATCH(C452,Location_Map!$A$2:$A$15,0)),"UNMAPPED")</f>
        <v>Rajasthan</v>
      </c>
      <c r="F452" s="0" t="str">
        <f aca="false">IFERROR(INDEX(Location_Map!$C$2:$C$15,MATCH(C452,Location_Map!$A$2:$A$15,0)),"UNMAPPED")</f>
        <v>North</v>
      </c>
      <c r="G452" s="0" t="str">
        <f aca="false">IFERROR(INDEX(Location_Map!$B$2:$B$15,MATCH(D452,Location_Map!$A$2:$A$15,0)),"UNMAPPED")</f>
        <v>Gujarat</v>
      </c>
      <c r="H452" s="0" t="str">
        <f aca="false">IFERROR(INDEX(Location_Map!$C$2:$C$15,MATCH(D452,Location_Map!$A$2:$A$15,0)),"UNMAPPED")</f>
        <v>West</v>
      </c>
      <c r="I452" s="0" t="str">
        <f aca="false">Raw!E452</f>
        <v>Finished Yarn</v>
      </c>
      <c r="J452" s="28" t="n">
        <f aca="false">Raw!F452</f>
        <v>9.36</v>
      </c>
      <c r="K452" s="30" t="n">
        <f aca="false">DATE(LEFT(Raw!G452,4),MID(Raw!G452,6,2),MID(Raw!G452,9,2))</f>
        <v>45851</v>
      </c>
      <c r="L452" s="30" t="n">
        <f aca="false">DATE(LEFT(Raw!H452,4),MID(Raw!H452,6,2),MID(Raw!H452,9,2))</f>
        <v>45853</v>
      </c>
      <c r="M452" s="30" t="n">
        <f aca="false">DATE(LEFT(Raw!I452,4),MID(Raw!I452,6,2),MID(Raw!I452,9,2))</f>
        <v>45856</v>
      </c>
      <c r="N452" s="31" t="n">
        <f aca="false">DATE(LEFT(Raw!J452,4),MID(Raw!J452,6,2),MID(Raw!J452,9,2))+TIME(MID(Raw!J452,12,2),MID(Raw!J452,15,2),MID(Raw!J452,18,2))</f>
        <v>45853.25</v>
      </c>
      <c r="O452" s="31" t="n">
        <f aca="false">DATE(LEFT(Raw!K452,4),MID(Raw!K452,6,2),MID(Raw!K452,9,2))+TIME(MID(Raw!K452,12,2),MID(Raw!K452,15,2),MID(Raw!K452,18,2))</f>
        <v>45860.5</v>
      </c>
      <c r="P452" s="32" t="n">
        <f aca="false">L452-K452</f>
        <v>2</v>
      </c>
      <c r="Q452" s="32" t="n">
        <f aca="false">M452-L452</f>
        <v>3</v>
      </c>
      <c r="R452" s="32" t="n">
        <f aca="false">O452-N452</f>
        <v>7.25</v>
      </c>
      <c r="S452" s="32" t="n">
        <f aca="false">Raw!L452</f>
        <v>4.5</v>
      </c>
      <c r="T452" s="32" t="n">
        <f aca="false">O452-M452</f>
        <v>4.5</v>
      </c>
      <c r="U452" s="0" t="str">
        <f aca="false">IF(ABS(T452-S452)&lt;0.01,"OK","MISMATCH")</f>
        <v>OK</v>
      </c>
      <c r="V452" s="33" t="n">
        <f aca="false">Raw!M452</f>
        <v>1</v>
      </c>
      <c r="W452" s="0" t="str">
        <f aca="false">IF((S452&gt;0)=(V452=1),"OK","MISMATCH")</f>
        <v>OK</v>
      </c>
      <c r="X452" s="0" t="str">
        <f aca="false">_xlfn.IFS(S452&lt;=0,"Early/On time",S452&lt;=2,"Minor (up to 2 days)",S452&lt;=5,"Moderate (2-5 days)",TRUE(),"Severe (over 5 days)")</f>
        <v>Moderate (2-5 days)</v>
      </c>
      <c r="Y452" s="0" t="str">
        <f aca="false">YEAR(K452)&amp;"-"&amp;TEXT(MONTH(K452),"00")</f>
        <v>2025-07</v>
      </c>
      <c r="Z452" s="0" t="str">
        <f aca="false">C452&amp;" → "&amp;D452</f>
        <v>Rajasthan → Surat</v>
      </c>
      <c r="AA452" s="0" t="str">
        <f aca="false">Raw!Q452</f>
        <v>GATI Logistics</v>
      </c>
      <c r="AB452" s="0" t="str">
        <f aca="false">Raw!R452</f>
        <v>No</v>
      </c>
      <c r="AC452" s="0" t="str">
        <f aca="false">Raw!S452</f>
        <v>Returned</v>
      </c>
      <c r="AD452" s="29" t="n">
        <f aca="false">Raw!N452</f>
        <v>7146.41</v>
      </c>
      <c r="AE452" s="29" t="n">
        <f aca="false">Raw!O452</f>
        <v>4341.49</v>
      </c>
      <c r="AF452" s="29" t="n">
        <f aca="false">Raw!P452</f>
        <v>696.89</v>
      </c>
      <c r="AG452" s="29" t="n">
        <f aca="false">AD452/J452</f>
        <v>763.505341880342</v>
      </c>
    </row>
    <row r="453" customFormat="false" ht="15" hidden="false" customHeight="false" outlineLevel="0" collapsed="false">
      <c r="A453" s="0" t="str">
        <f aca="false">Raw!A453</f>
        <v>SHP0452</v>
      </c>
      <c r="B453" s="0" t="str">
        <f aca="false">Raw!B453</f>
        <v>Inbound</v>
      </c>
      <c r="C453" s="0" t="str">
        <f aca="false">Raw!C453</f>
        <v>Gujarat</v>
      </c>
      <c r="D453" s="0" t="str">
        <f aca="false">Raw!D453</f>
        <v>Surat</v>
      </c>
      <c r="E453" s="0" t="str">
        <f aca="false">IFERROR(INDEX(Location_Map!$B$2:$B$15,MATCH(C453,Location_Map!$A$2:$A$15,0)),"UNMAPPED")</f>
        <v>Gujarat</v>
      </c>
      <c r="F453" s="0" t="str">
        <f aca="false">IFERROR(INDEX(Location_Map!$C$2:$C$15,MATCH(C453,Location_Map!$A$2:$A$15,0)),"UNMAPPED")</f>
        <v>West</v>
      </c>
      <c r="G453" s="0" t="str">
        <f aca="false">IFERROR(INDEX(Location_Map!$B$2:$B$15,MATCH(D453,Location_Map!$A$2:$A$15,0)),"UNMAPPED")</f>
        <v>Gujarat</v>
      </c>
      <c r="H453" s="0" t="str">
        <f aca="false">IFERROR(INDEX(Location_Map!$C$2:$C$15,MATCH(D453,Location_Map!$A$2:$A$15,0)),"UNMAPPED")</f>
        <v>West</v>
      </c>
      <c r="I453" s="0" t="str">
        <f aca="false">Raw!E453</f>
        <v>Raw Yarn</v>
      </c>
      <c r="J453" s="28" t="n">
        <f aca="false">Raw!F453</f>
        <v>9.38</v>
      </c>
      <c r="K453" s="30" t="n">
        <f aca="false">DATE(LEFT(Raw!G453,4),MID(Raw!G453,6,2),MID(Raw!G453,9,2))</f>
        <v>45717</v>
      </c>
      <c r="L453" s="30" t="n">
        <f aca="false">DATE(LEFT(Raw!H453,4),MID(Raw!H453,6,2),MID(Raw!H453,9,2))</f>
        <v>45719</v>
      </c>
      <c r="M453" s="30" t="n">
        <f aca="false">DATE(LEFT(Raw!I453,4),MID(Raw!I453,6,2),MID(Raw!I453,9,2))</f>
        <v>45722</v>
      </c>
      <c r="N453" s="31" t="n">
        <f aca="false">DATE(LEFT(Raw!J453,4),MID(Raw!J453,6,2),MID(Raw!J453,9,2))+TIME(MID(Raw!J453,12,2),MID(Raw!J453,15,2),MID(Raw!J453,18,2))</f>
        <v>45719.2916666667</v>
      </c>
      <c r="O453" s="31" t="n">
        <f aca="false">DATE(LEFT(Raw!K453,4),MID(Raw!K453,6,2),MID(Raw!K453,9,2))+TIME(MID(Raw!K453,12,2),MID(Raw!K453,15,2),MID(Raw!K453,18,2))</f>
        <v>45724.6</v>
      </c>
      <c r="P453" s="32" t="n">
        <f aca="false">L453-K453</f>
        <v>2</v>
      </c>
      <c r="Q453" s="32" t="n">
        <f aca="false">M453-L453</f>
        <v>3</v>
      </c>
      <c r="R453" s="32" t="n">
        <f aca="false">O453-N453</f>
        <v>5.30833333333333</v>
      </c>
      <c r="S453" s="32" t="n">
        <f aca="false">Raw!L453</f>
        <v>2.6</v>
      </c>
      <c r="T453" s="32" t="n">
        <f aca="false">O453-M453</f>
        <v>2.6</v>
      </c>
      <c r="U453" s="0" t="str">
        <f aca="false">IF(ABS(T453-S453)&lt;0.01,"OK","MISMATCH")</f>
        <v>OK</v>
      </c>
      <c r="V453" s="33" t="n">
        <f aca="false">Raw!M453</f>
        <v>1</v>
      </c>
      <c r="W453" s="0" t="str">
        <f aca="false">IF((S453&gt;0)=(V453=1),"OK","MISMATCH")</f>
        <v>OK</v>
      </c>
      <c r="X453" s="0" t="str">
        <f aca="false">_xlfn.IFS(S453&lt;=0,"Early/On time",S453&lt;=2,"Minor (up to 2 days)",S453&lt;=5,"Moderate (2-5 days)",TRUE(),"Severe (over 5 days)")</f>
        <v>Moderate (2-5 days)</v>
      </c>
      <c r="Y453" s="0" t="str">
        <f aca="false">YEAR(K453)&amp;"-"&amp;TEXT(MONTH(K453),"00")</f>
        <v>2025-03</v>
      </c>
      <c r="Z453" s="0" t="str">
        <f aca="false">C453&amp;" → "&amp;D453</f>
        <v>Gujarat → Surat</v>
      </c>
      <c r="AA453" s="0" t="str">
        <f aca="false">Raw!Q453</f>
        <v>VRL Cargo</v>
      </c>
      <c r="AB453" s="0" t="str">
        <f aca="false">Raw!R453</f>
        <v>No</v>
      </c>
      <c r="AC453" s="0" t="str">
        <f aca="false">Raw!S453</f>
        <v>Expedited</v>
      </c>
      <c r="AD453" s="29" t="n">
        <f aca="false">Raw!N453</f>
        <v>2922.63</v>
      </c>
      <c r="AE453" s="29" t="n">
        <f aca="false">Raw!O453</f>
        <v>4741.51</v>
      </c>
      <c r="AF453" s="29" t="n">
        <f aca="false">Raw!P453</f>
        <v>966.12</v>
      </c>
      <c r="AG453" s="29" t="n">
        <f aca="false">AD453/J453</f>
        <v>311.581023454158</v>
      </c>
    </row>
    <row r="454" customFormat="false" ht="15" hidden="false" customHeight="false" outlineLevel="0" collapsed="false">
      <c r="A454" s="0" t="str">
        <f aca="false">Raw!A454</f>
        <v>SHP0453</v>
      </c>
      <c r="B454" s="0" t="str">
        <f aca="false">Raw!B454</f>
        <v>Outbound</v>
      </c>
      <c r="C454" s="0" t="str">
        <f aca="false">Raw!C454</f>
        <v>Surat</v>
      </c>
      <c r="D454" s="0" t="str">
        <f aca="false">Raw!D454</f>
        <v>Mumbai</v>
      </c>
      <c r="E454" s="0" t="str">
        <f aca="false">IFERROR(INDEX(Location_Map!$B$2:$B$15,MATCH(C454,Location_Map!$A$2:$A$15,0)),"UNMAPPED")</f>
        <v>Gujarat</v>
      </c>
      <c r="F454" s="0" t="str">
        <f aca="false">IFERROR(INDEX(Location_Map!$C$2:$C$15,MATCH(C454,Location_Map!$A$2:$A$15,0)),"UNMAPPED")</f>
        <v>West</v>
      </c>
      <c r="G454" s="0" t="str">
        <f aca="false">IFERROR(INDEX(Location_Map!$B$2:$B$15,MATCH(D454,Location_Map!$A$2:$A$15,0)),"UNMAPPED")</f>
        <v>Maharashtra</v>
      </c>
      <c r="H454" s="0" t="str">
        <f aca="false">IFERROR(INDEX(Location_Map!$C$2:$C$15,MATCH(D454,Location_Map!$A$2:$A$15,0)),"UNMAPPED")</f>
        <v>West</v>
      </c>
      <c r="I454" s="0" t="str">
        <f aca="false">Raw!E454</f>
        <v>Finished Yarn</v>
      </c>
      <c r="J454" s="28" t="n">
        <f aca="false">Raw!F454</f>
        <v>9.46</v>
      </c>
      <c r="K454" s="30" t="n">
        <f aca="false">DATE(LEFT(Raw!G454,4),MID(Raw!G454,6,2),MID(Raw!G454,9,2))</f>
        <v>45662</v>
      </c>
      <c r="L454" s="30" t="n">
        <f aca="false">DATE(LEFT(Raw!H454,4),MID(Raw!H454,6,2),MID(Raw!H454,9,2))</f>
        <v>45663</v>
      </c>
      <c r="M454" s="30" t="n">
        <f aca="false">DATE(LEFT(Raw!I454,4),MID(Raw!I454,6,2),MID(Raw!I454,9,2))</f>
        <v>45668</v>
      </c>
      <c r="N454" s="31" t="n">
        <f aca="false">DATE(LEFT(Raw!J454,4),MID(Raw!J454,6,2),MID(Raw!J454,9,2))+TIME(MID(Raw!J454,12,2),MID(Raw!J454,15,2),MID(Raw!J454,18,2))</f>
        <v>45662.7916666667</v>
      </c>
      <c r="O454" s="31" t="n">
        <f aca="false">DATE(LEFT(Raw!K454,4),MID(Raw!K454,6,2),MID(Raw!K454,9,2))+TIME(MID(Raw!K454,12,2),MID(Raw!K454,15,2),MID(Raw!K454,18,2))</f>
        <v>45669.3</v>
      </c>
      <c r="P454" s="32" t="n">
        <f aca="false">L454-K454</f>
        <v>1</v>
      </c>
      <c r="Q454" s="32" t="n">
        <f aca="false">M454-L454</f>
        <v>5</v>
      </c>
      <c r="R454" s="32" t="n">
        <f aca="false">O454-N454</f>
        <v>6.50833333333333</v>
      </c>
      <c r="S454" s="32" t="n">
        <f aca="false">Raw!L454</f>
        <v>1.3</v>
      </c>
      <c r="T454" s="32" t="n">
        <f aca="false">O454-M454</f>
        <v>1.3</v>
      </c>
      <c r="U454" s="0" t="str">
        <f aca="false">IF(ABS(T454-S454)&lt;0.01,"OK","MISMATCH")</f>
        <v>OK</v>
      </c>
      <c r="V454" s="33" t="n">
        <f aca="false">Raw!M454</f>
        <v>1</v>
      </c>
      <c r="W454" s="0" t="str">
        <f aca="false">IF((S454&gt;0)=(V454=1),"OK","MISMATCH")</f>
        <v>OK</v>
      </c>
      <c r="X454" s="0" t="str">
        <f aca="false">_xlfn.IFS(S454&lt;=0,"Early/On time",S454&lt;=2,"Minor (up to 2 days)",S454&lt;=5,"Moderate (2-5 days)",TRUE(),"Severe (over 5 days)")</f>
        <v>Minor (up to 2 days)</v>
      </c>
      <c r="Y454" s="0" t="str">
        <f aca="false">YEAR(K454)&amp;"-"&amp;TEXT(MONTH(K454),"00")</f>
        <v>2025-01</v>
      </c>
      <c r="Z454" s="0" t="str">
        <f aca="false">C454&amp;" → "&amp;D454</f>
        <v>Surat → Mumbai</v>
      </c>
      <c r="AA454" s="0" t="str">
        <f aca="false">Raw!Q454</f>
        <v>TCI Express</v>
      </c>
      <c r="AB454" s="0" t="str">
        <f aca="false">Raw!R454</f>
        <v>No</v>
      </c>
      <c r="AC454" s="0" t="str">
        <f aca="false">Raw!S454</f>
        <v>Damaged</v>
      </c>
      <c r="AD454" s="29" t="n">
        <f aca="false">Raw!N454</f>
        <v>4195.46</v>
      </c>
      <c r="AE454" s="29" t="n">
        <f aca="false">Raw!O454</f>
        <v>1238.35</v>
      </c>
      <c r="AF454" s="29" t="n">
        <f aca="false">Raw!P454</f>
        <v>1104.36</v>
      </c>
      <c r="AG454" s="29" t="n">
        <f aca="false">AD454/J454</f>
        <v>443.494714587738</v>
      </c>
    </row>
    <row r="455" customFormat="false" ht="15" hidden="false" customHeight="false" outlineLevel="0" collapsed="false">
      <c r="A455" s="0" t="str">
        <f aca="false">Raw!A455</f>
        <v>SHP0454</v>
      </c>
      <c r="B455" s="0" t="str">
        <f aca="false">Raw!B455</f>
        <v>Inbound</v>
      </c>
      <c r="C455" s="0" t="str">
        <f aca="false">Raw!C455</f>
        <v>Gujarat</v>
      </c>
      <c r="D455" s="0" t="str">
        <f aca="false">Raw!D455</f>
        <v>Surat</v>
      </c>
      <c r="E455" s="0" t="str">
        <f aca="false">IFERROR(INDEX(Location_Map!$B$2:$B$15,MATCH(C455,Location_Map!$A$2:$A$15,0)),"UNMAPPED")</f>
        <v>Gujarat</v>
      </c>
      <c r="F455" s="0" t="str">
        <f aca="false">IFERROR(INDEX(Location_Map!$C$2:$C$15,MATCH(C455,Location_Map!$A$2:$A$15,0)),"UNMAPPED")</f>
        <v>West</v>
      </c>
      <c r="G455" s="0" t="str">
        <f aca="false">IFERROR(INDEX(Location_Map!$B$2:$B$15,MATCH(D455,Location_Map!$A$2:$A$15,0)),"UNMAPPED")</f>
        <v>Gujarat</v>
      </c>
      <c r="H455" s="0" t="str">
        <f aca="false">IFERROR(INDEX(Location_Map!$C$2:$C$15,MATCH(D455,Location_Map!$A$2:$A$15,0)),"UNMAPPED")</f>
        <v>West</v>
      </c>
      <c r="I455" s="0" t="str">
        <f aca="false">Raw!E455</f>
        <v>Semi-Processed Yarn</v>
      </c>
      <c r="J455" s="28" t="n">
        <f aca="false">Raw!F455</f>
        <v>15.51</v>
      </c>
      <c r="K455" s="30" t="n">
        <f aca="false">DATE(LEFT(Raw!G455,4),MID(Raw!G455,6,2),MID(Raw!G455,9,2))</f>
        <v>45815</v>
      </c>
      <c r="L455" s="30" t="n">
        <f aca="false">DATE(LEFT(Raw!H455,4),MID(Raw!H455,6,2),MID(Raw!H455,9,2))</f>
        <v>45816</v>
      </c>
      <c r="M455" s="30" t="n">
        <f aca="false">DATE(LEFT(Raw!I455,4),MID(Raw!I455,6,2),MID(Raw!I455,9,2))</f>
        <v>45819</v>
      </c>
      <c r="N455" s="31" t="n">
        <f aca="false">DATE(LEFT(Raw!J455,4),MID(Raw!J455,6,2),MID(Raw!J455,9,2))+TIME(MID(Raw!J455,12,2),MID(Raw!J455,15,2),MID(Raw!J455,18,2))</f>
        <v>45816.375</v>
      </c>
      <c r="O455" s="31" t="n">
        <f aca="false">DATE(LEFT(Raw!K455,4),MID(Raw!K455,6,2),MID(Raw!K455,9,2))+TIME(MID(Raw!K455,12,2),MID(Raw!K455,15,2),MID(Raw!K455,18,2))</f>
        <v>45820.9</v>
      </c>
      <c r="P455" s="32" t="n">
        <f aca="false">L455-K455</f>
        <v>1</v>
      </c>
      <c r="Q455" s="32" t="n">
        <f aca="false">M455-L455</f>
        <v>3</v>
      </c>
      <c r="R455" s="32" t="n">
        <f aca="false">O455-N455</f>
        <v>4.525</v>
      </c>
      <c r="S455" s="32" t="n">
        <f aca="false">Raw!L455</f>
        <v>1.9</v>
      </c>
      <c r="T455" s="32" t="n">
        <f aca="false">O455-M455</f>
        <v>1.9</v>
      </c>
      <c r="U455" s="0" t="str">
        <f aca="false">IF(ABS(T455-S455)&lt;0.01,"OK","MISMATCH")</f>
        <v>OK</v>
      </c>
      <c r="V455" s="33" t="n">
        <f aca="false">Raw!M455</f>
        <v>1</v>
      </c>
      <c r="W455" s="0" t="str">
        <f aca="false">IF((S455&gt;0)=(V455=1),"OK","MISMATCH")</f>
        <v>OK</v>
      </c>
      <c r="X455" s="0" t="str">
        <f aca="false">_xlfn.IFS(S455&lt;=0,"Early/On time",S455&lt;=2,"Minor (up to 2 days)",S455&lt;=5,"Moderate (2-5 days)",TRUE(),"Severe (over 5 days)")</f>
        <v>Minor (up to 2 days)</v>
      </c>
      <c r="Y455" s="0" t="str">
        <f aca="false">YEAR(K455)&amp;"-"&amp;TEXT(MONTH(K455),"00")</f>
        <v>2025-06</v>
      </c>
      <c r="Z455" s="0" t="str">
        <f aca="false">C455&amp;" → "&amp;D455</f>
        <v>Gujarat → Surat</v>
      </c>
      <c r="AA455" s="0" t="str">
        <f aca="false">Raw!Q455</f>
        <v>VRL Cargo</v>
      </c>
      <c r="AB455" s="0" t="str">
        <f aca="false">Raw!R455</f>
        <v>Yes</v>
      </c>
      <c r="AC455" s="0" t="str">
        <f aca="false">Raw!S455</f>
        <v>Damaged</v>
      </c>
      <c r="AD455" s="29" t="n">
        <f aca="false">Raw!N455</f>
        <v>5669.9</v>
      </c>
      <c r="AE455" s="29" t="n">
        <f aca="false">Raw!O455</f>
        <v>1571.84</v>
      </c>
      <c r="AF455" s="29" t="n">
        <f aca="false">Raw!P455</f>
        <v>1242.29</v>
      </c>
      <c r="AG455" s="29" t="n">
        <f aca="false">AD455/J455</f>
        <v>365.564152159897</v>
      </c>
    </row>
    <row r="456" customFormat="false" ht="15" hidden="false" customHeight="false" outlineLevel="0" collapsed="false">
      <c r="A456" s="0" t="str">
        <f aca="false">Raw!A456</f>
        <v>SHP0455</v>
      </c>
      <c r="B456" s="0" t="str">
        <f aca="false">Raw!B456</f>
        <v>Inbound</v>
      </c>
      <c r="C456" s="0" t="str">
        <f aca="false">Raw!C456</f>
        <v>Rajasthan</v>
      </c>
      <c r="D456" s="0" t="str">
        <f aca="false">Raw!D456</f>
        <v>Surat</v>
      </c>
      <c r="E456" s="0" t="str">
        <f aca="false">IFERROR(INDEX(Location_Map!$B$2:$B$15,MATCH(C456,Location_Map!$A$2:$A$15,0)),"UNMAPPED")</f>
        <v>Rajasthan</v>
      </c>
      <c r="F456" s="0" t="str">
        <f aca="false">IFERROR(INDEX(Location_Map!$C$2:$C$15,MATCH(C456,Location_Map!$A$2:$A$15,0)),"UNMAPPED")</f>
        <v>North</v>
      </c>
      <c r="G456" s="0" t="str">
        <f aca="false">IFERROR(INDEX(Location_Map!$B$2:$B$15,MATCH(D456,Location_Map!$A$2:$A$15,0)),"UNMAPPED")</f>
        <v>Gujarat</v>
      </c>
      <c r="H456" s="0" t="str">
        <f aca="false">IFERROR(INDEX(Location_Map!$C$2:$C$15,MATCH(D456,Location_Map!$A$2:$A$15,0)),"UNMAPPED")</f>
        <v>West</v>
      </c>
      <c r="I456" s="0" t="str">
        <f aca="false">Raw!E456</f>
        <v>Finished Yarn</v>
      </c>
      <c r="J456" s="28" t="n">
        <f aca="false">Raw!F456</f>
        <v>5.64</v>
      </c>
      <c r="K456" s="30" t="n">
        <f aca="false">DATE(LEFT(Raw!G456,4),MID(Raw!G456,6,2),MID(Raw!G456,9,2))</f>
        <v>45837</v>
      </c>
      <c r="L456" s="30" t="n">
        <f aca="false">DATE(LEFT(Raw!H456,4),MID(Raw!H456,6,2),MID(Raw!H456,9,2))</f>
        <v>45839</v>
      </c>
      <c r="M456" s="30" t="n">
        <f aca="false">DATE(LEFT(Raw!I456,4),MID(Raw!I456,6,2),MID(Raw!I456,9,2))</f>
        <v>45845</v>
      </c>
      <c r="N456" s="31" t="n">
        <f aca="false">DATE(LEFT(Raw!J456,4),MID(Raw!J456,6,2),MID(Raw!J456,9,2))+TIME(MID(Raw!J456,12,2),MID(Raw!J456,15,2),MID(Raw!J456,18,2))</f>
        <v>45839.375</v>
      </c>
      <c r="O456" s="31" t="n">
        <f aca="false">DATE(LEFT(Raw!K456,4),MID(Raw!K456,6,2),MID(Raw!K456,9,2))+TIME(MID(Raw!K456,12,2),MID(Raw!K456,15,2),MID(Raw!K456,18,2))</f>
        <v>45844.5</v>
      </c>
      <c r="P456" s="32" t="n">
        <f aca="false">L456-K456</f>
        <v>2</v>
      </c>
      <c r="Q456" s="32" t="n">
        <f aca="false">M456-L456</f>
        <v>6</v>
      </c>
      <c r="R456" s="32" t="n">
        <f aca="false">O456-N456</f>
        <v>5.125</v>
      </c>
      <c r="S456" s="32" t="n">
        <f aca="false">Raw!L456</f>
        <v>-0.5</v>
      </c>
      <c r="T456" s="32" t="n">
        <f aca="false">O456-M456</f>
        <v>-0.5</v>
      </c>
      <c r="U456" s="0" t="str">
        <f aca="false">IF(ABS(T456-S456)&lt;0.01,"OK","MISMATCH")</f>
        <v>OK</v>
      </c>
      <c r="V456" s="33" t="n">
        <f aca="false">Raw!M456</f>
        <v>0</v>
      </c>
      <c r="W456" s="0" t="str">
        <f aca="false">IF((S456&gt;0)=(V456=1),"OK","MISMATCH")</f>
        <v>OK</v>
      </c>
      <c r="X456" s="0" t="str">
        <f aca="false">_xlfn.IFS(S456&lt;=0,"Early/On time",S456&lt;=2,"Minor (up to 2 days)",S456&lt;=5,"Moderate (2-5 days)",TRUE(),"Severe (over 5 days)")</f>
        <v>Early/On time</v>
      </c>
      <c r="Y456" s="0" t="str">
        <f aca="false">YEAR(K456)&amp;"-"&amp;TEXT(MONTH(K456),"00")</f>
        <v>2025-06</v>
      </c>
      <c r="Z456" s="0" t="str">
        <f aca="false">C456&amp;" → "&amp;D456</f>
        <v>Rajasthan → Surat</v>
      </c>
      <c r="AA456" s="0" t="str">
        <f aca="false">Raw!Q456</f>
        <v>Delhivery</v>
      </c>
      <c r="AB456" s="0" t="str">
        <f aca="false">Raw!R456</f>
        <v>Yes</v>
      </c>
      <c r="AC456" s="0" t="str">
        <f aca="false">Raw!S456</f>
        <v>Held at warehouse</v>
      </c>
      <c r="AD456" s="29" t="n">
        <f aca="false">Raw!N456</f>
        <v>2516.49</v>
      </c>
      <c r="AE456" s="29" t="n">
        <f aca="false">Raw!O456</f>
        <v>1284.62</v>
      </c>
      <c r="AF456" s="29" t="n">
        <f aca="false">Raw!P456</f>
        <v>1073.87</v>
      </c>
      <c r="AG456" s="29" t="n">
        <f aca="false">AD456/J456</f>
        <v>446.186170212766</v>
      </c>
    </row>
    <row r="457" customFormat="false" ht="15" hidden="false" customHeight="false" outlineLevel="0" collapsed="false">
      <c r="A457" s="0" t="str">
        <f aca="false">Raw!A457</f>
        <v>SHP0456</v>
      </c>
      <c r="B457" s="0" t="str">
        <f aca="false">Raw!B457</f>
        <v>Outbound</v>
      </c>
      <c r="C457" s="0" t="str">
        <f aca="false">Raw!C457</f>
        <v>Surat</v>
      </c>
      <c r="D457" s="0" t="str">
        <f aca="false">Raw!D457</f>
        <v>Jaipur</v>
      </c>
      <c r="E457" s="0" t="str">
        <f aca="false">IFERROR(INDEX(Location_Map!$B$2:$B$15,MATCH(C457,Location_Map!$A$2:$A$15,0)),"UNMAPPED")</f>
        <v>Gujarat</v>
      </c>
      <c r="F457" s="0" t="str">
        <f aca="false">IFERROR(INDEX(Location_Map!$C$2:$C$15,MATCH(C457,Location_Map!$A$2:$A$15,0)),"UNMAPPED")</f>
        <v>West</v>
      </c>
      <c r="G457" s="0" t="str">
        <f aca="false">IFERROR(INDEX(Location_Map!$B$2:$B$15,MATCH(D457,Location_Map!$A$2:$A$15,0)),"UNMAPPED")</f>
        <v>Rajasthan</v>
      </c>
      <c r="H457" s="0" t="str">
        <f aca="false">IFERROR(INDEX(Location_Map!$C$2:$C$15,MATCH(D457,Location_Map!$A$2:$A$15,0)),"UNMAPPED")</f>
        <v>North</v>
      </c>
      <c r="I457" s="0" t="str">
        <f aca="false">Raw!E457</f>
        <v>Raw Yarn</v>
      </c>
      <c r="J457" s="28" t="n">
        <f aca="false">Raw!F457</f>
        <v>11.75</v>
      </c>
      <c r="K457" s="30" t="n">
        <f aca="false">DATE(LEFT(Raw!G457,4),MID(Raw!G457,6,2),MID(Raw!G457,9,2))</f>
        <v>45921</v>
      </c>
      <c r="L457" s="30" t="n">
        <f aca="false">DATE(LEFT(Raw!H457,4),MID(Raw!H457,6,2),MID(Raw!H457,9,2))</f>
        <v>45924</v>
      </c>
      <c r="M457" s="30" t="n">
        <f aca="false">DATE(LEFT(Raw!I457,4),MID(Raw!I457,6,2),MID(Raw!I457,9,2))</f>
        <v>45930</v>
      </c>
      <c r="N457" s="31" t="n">
        <f aca="false">DATE(LEFT(Raw!J457,4),MID(Raw!J457,6,2),MID(Raw!J457,9,2))+TIME(MID(Raw!J457,12,2),MID(Raw!J457,15,2),MID(Raw!J457,18,2))</f>
        <v>45923.9583333333</v>
      </c>
      <c r="O457" s="31" t="n">
        <f aca="false">DATE(LEFT(Raw!K457,4),MID(Raw!K457,6,2),MID(Raw!K457,9,2))+TIME(MID(Raw!K457,12,2),MID(Raw!K457,15,2),MID(Raw!K457,18,2))</f>
        <v>45930.1</v>
      </c>
      <c r="P457" s="32" t="n">
        <f aca="false">L457-K457</f>
        <v>3</v>
      </c>
      <c r="Q457" s="32" t="n">
        <f aca="false">M457-L457</f>
        <v>6</v>
      </c>
      <c r="R457" s="32" t="n">
        <f aca="false">O457-N457</f>
        <v>6.14166666666667</v>
      </c>
      <c r="S457" s="32" t="n">
        <f aca="false">Raw!L457</f>
        <v>0.1</v>
      </c>
      <c r="T457" s="32" t="n">
        <f aca="false">O457-M457</f>
        <v>0.1</v>
      </c>
      <c r="U457" s="0" t="str">
        <f aca="false">IF(ABS(T457-S457)&lt;0.01,"OK","MISMATCH")</f>
        <v>OK</v>
      </c>
      <c r="V457" s="33" t="n">
        <f aca="false">Raw!M457</f>
        <v>1</v>
      </c>
      <c r="W457" s="0" t="str">
        <f aca="false">IF((S457&gt;0)=(V457=1),"OK","MISMATCH")</f>
        <v>OK</v>
      </c>
      <c r="X457" s="0" t="str">
        <f aca="false">_xlfn.IFS(S457&lt;=0,"Early/On time",S457&lt;=2,"Minor (up to 2 days)",S457&lt;=5,"Moderate (2-5 days)",TRUE(),"Severe (over 5 days)")</f>
        <v>Minor (up to 2 days)</v>
      </c>
      <c r="Y457" s="0" t="str">
        <f aca="false">YEAR(K457)&amp;"-"&amp;TEXT(MONTH(K457),"00")</f>
        <v>2025-09</v>
      </c>
      <c r="Z457" s="0" t="str">
        <f aca="false">C457&amp;" → "&amp;D457</f>
        <v>Surat → Jaipur</v>
      </c>
      <c r="AA457" s="0" t="str">
        <f aca="false">Raw!Q457</f>
        <v>BlueDart</v>
      </c>
      <c r="AB457" s="0" t="str">
        <f aca="false">Raw!R457</f>
        <v>No</v>
      </c>
      <c r="AC457" s="0" t="str">
        <f aca="false">Raw!S457</f>
        <v>Normal</v>
      </c>
      <c r="AD457" s="29" t="n">
        <f aca="false">Raw!N457</f>
        <v>3058.92</v>
      </c>
      <c r="AE457" s="29" t="n">
        <f aca="false">Raw!O457</f>
        <v>1176.26</v>
      </c>
      <c r="AF457" s="29" t="n">
        <f aca="false">Raw!P457</f>
        <v>685.28</v>
      </c>
      <c r="AG457" s="29" t="n">
        <f aca="false">AD457/J457</f>
        <v>260.333617021277</v>
      </c>
    </row>
    <row r="458" customFormat="false" ht="15" hidden="false" customHeight="false" outlineLevel="0" collapsed="false">
      <c r="A458" s="0" t="str">
        <f aca="false">Raw!A458</f>
        <v>SHP0457</v>
      </c>
      <c r="B458" s="0" t="str">
        <f aca="false">Raw!B458</f>
        <v>Inbound</v>
      </c>
      <c r="C458" s="0" t="str">
        <f aca="false">Raw!C458</f>
        <v>Chennai</v>
      </c>
      <c r="D458" s="0" t="str">
        <f aca="false">Raw!D458</f>
        <v>Surat</v>
      </c>
      <c r="E458" s="0" t="str">
        <f aca="false">IFERROR(INDEX(Location_Map!$B$2:$B$15,MATCH(C458,Location_Map!$A$2:$A$15,0)),"UNMAPPED")</f>
        <v>Tamil Nadu</v>
      </c>
      <c r="F458" s="0" t="str">
        <f aca="false">IFERROR(INDEX(Location_Map!$C$2:$C$15,MATCH(C458,Location_Map!$A$2:$A$15,0)),"UNMAPPED")</f>
        <v>South</v>
      </c>
      <c r="G458" s="0" t="str">
        <f aca="false">IFERROR(INDEX(Location_Map!$B$2:$B$15,MATCH(D458,Location_Map!$A$2:$A$15,0)),"UNMAPPED")</f>
        <v>Gujarat</v>
      </c>
      <c r="H458" s="0" t="str">
        <f aca="false">IFERROR(INDEX(Location_Map!$C$2:$C$15,MATCH(D458,Location_Map!$A$2:$A$15,0)),"UNMAPPED")</f>
        <v>West</v>
      </c>
      <c r="I458" s="0" t="str">
        <f aca="false">Raw!E458</f>
        <v>Semi-Processed Yarn</v>
      </c>
      <c r="J458" s="28" t="n">
        <f aca="false">Raw!F458</f>
        <v>11.28</v>
      </c>
      <c r="K458" s="30" t="n">
        <f aca="false">DATE(LEFT(Raw!G458,4),MID(Raw!G458,6,2),MID(Raw!G458,9,2))</f>
        <v>45851</v>
      </c>
      <c r="L458" s="30" t="n">
        <f aca="false">DATE(LEFT(Raw!H458,4),MID(Raw!H458,6,2),MID(Raw!H458,9,2))</f>
        <v>45852</v>
      </c>
      <c r="M458" s="30" t="n">
        <f aca="false">DATE(LEFT(Raw!I458,4),MID(Raw!I458,6,2),MID(Raw!I458,9,2))</f>
        <v>45856</v>
      </c>
      <c r="N458" s="31" t="n">
        <f aca="false">DATE(LEFT(Raw!J458,4),MID(Raw!J458,6,2),MID(Raw!J458,9,2))+TIME(MID(Raw!J458,12,2),MID(Raw!J458,15,2),MID(Raw!J458,18,2))</f>
        <v>45851.7916666667</v>
      </c>
      <c r="O458" s="31" t="n">
        <f aca="false">DATE(LEFT(Raw!K458,4),MID(Raw!K458,6,2),MID(Raw!K458,9,2))+TIME(MID(Raw!K458,12,2),MID(Raw!K458,15,2),MID(Raw!K458,18,2))</f>
        <v>45855</v>
      </c>
      <c r="P458" s="32" t="n">
        <f aca="false">L458-K458</f>
        <v>1</v>
      </c>
      <c r="Q458" s="32" t="n">
        <f aca="false">M458-L458</f>
        <v>4</v>
      </c>
      <c r="R458" s="32" t="n">
        <f aca="false">O458-N458</f>
        <v>3.20833333333333</v>
      </c>
      <c r="S458" s="32" t="n">
        <f aca="false">Raw!L458</f>
        <v>-1</v>
      </c>
      <c r="T458" s="32" t="n">
        <f aca="false">O458-M458</f>
        <v>-1</v>
      </c>
      <c r="U458" s="0" t="str">
        <f aca="false">IF(ABS(T458-S458)&lt;0.01,"OK","MISMATCH")</f>
        <v>OK</v>
      </c>
      <c r="V458" s="33" t="n">
        <f aca="false">Raw!M458</f>
        <v>0</v>
      </c>
      <c r="W458" s="0" t="str">
        <f aca="false">IF((S458&gt;0)=(V458=1),"OK","MISMATCH")</f>
        <v>OK</v>
      </c>
      <c r="X458" s="0" t="str">
        <f aca="false">_xlfn.IFS(S458&lt;=0,"Early/On time",S458&lt;=2,"Minor (up to 2 days)",S458&lt;=5,"Moderate (2-5 days)",TRUE(),"Severe (over 5 days)")</f>
        <v>Early/On time</v>
      </c>
      <c r="Y458" s="0" t="str">
        <f aca="false">YEAR(K458)&amp;"-"&amp;TEXT(MONTH(K458),"00")</f>
        <v>2025-07</v>
      </c>
      <c r="Z458" s="0" t="str">
        <f aca="false">C458&amp;" → "&amp;D458</f>
        <v>Chennai → Surat</v>
      </c>
      <c r="AA458" s="0" t="str">
        <f aca="false">Raw!Q458</f>
        <v>BlueDart</v>
      </c>
      <c r="AB458" s="0" t="str">
        <f aca="false">Raw!R458</f>
        <v>No</v>
      </c>
      <c r="AC458" s="0" t="str">
        <f aca="false">Raw!S458</f>
        <v>Damaged</v>
      </c>
      <c r="AD458" s="29" t="n">
        <f aca="false">Raw!N458</f>
        <v>3232.03</v>
      </c>
      <c r="AE458" s="29" t="n">
        <f aca="false">Raw!O458</f>
        <v>1507.78</v>
      </c>
      <c r="AF458" s="29" t="n">
        <f aca="false">Raw!P458</f>
        <v>623.28</v>
      </c>
      <c r="AG458" s="29" t="n">
        <f aca="false">AD458/J458</f>
        <v>286.527482269504</v>
      </c>
    </row>
    <row r="459" customFormat="false" ht="15" hidden="false" customHeight="false" outlineLevel="0" collapsed="false">
      <c r="A459" s="0" t="str">
        <f aca="false">Raw!A459</f>
        <v>SHP0458</v>
      </c>
      <c r="B459" s="0" t="str">
        <f aca="false">Raw!B459</f>
        <v>Outbound</v>
      </c>
      <c r="C459" s="0" t="str">
        <f aca="false">Raw!C459</f>
        <v>Surat</v>
      </c>
      <c r="D459" s="0" t="str">
        <f aca="false">Raw!D459</f>
        <v>Uttarakhand</v>
      </c>
      <c r="E459" s="0" t="str">
        <f aca="false">IFERROR(INDEX(Location_Map!$B$2:$B$15,MATCH(C459,Location_Map!$A$2:$A$15,0)),"UNMAPPED")</f>
        <v>Gujarat</v>
      </c>
      <c r="F459" s="0" t="str">
        <f aca="false">IFERROR(INDEX(Location_Map!$C$2:$C$15,MATCH(C459,Location_Map!$A$2:$A$15,0)),"UNMAPPED")</f>
        <v>West</v>
      </c>
      <c r="G459" s="0" t="str">
        <f aca="false">IFERROR(INDEX(Location_Map!$B$2:$B$15,MATCH(D459,Location_Map!$A$2:$A$15,0)),"UNMAPPED")</f>
        <v>Uttarakhand</v>
      </c>
      <c r="H459" s="0" t="str">
        <f aca="false">IFERROR(INDEX(Location_Map!$C$2:$C$15,MATCH(D459,Location_Map!$A$2:$A$15,0)),"UNMAPPED")</f>
        <v>North</v>
      </c>
      <c r="I459" s="0" t="str">
        <f aca="false">Raw!E459</f>
        <v>Semi-Processed Yarn</v>
      </c>
      <c r="J459" s="28" t="n">
        <f aca="false">Raw!F459</f>
        <v>10.85</v>
      </c>
      <c r="K459" s="30" t="n">
        <f aca="false">DATE(LEFT(Raw!G459,4),MID(Raw!G459,6,2),MID(Raw!G459,9,2))</f>
        <v>45731</v>
      </c>
      <c r="L459" s="30" t="n">
        <f aca="false">DATE(LEFT(Raw!H459,4),MID(Raw!H459,6,2),MID(Raw!H459,9,2))</f>
        <v>45733</v>
      </c>
      <c r="M459" s="30" t="n">
        <f aca="false">DATE(LEFT(Raw!I459,4),MID(Raw!I459,6,2),MID(Raw!I459,9,2))</f>
        <v>45737</v>
      </c>
      <c r="N459" s="31" t="n">
        <f aca="false">DATE(LEFT(Raw!J459,4),MID(Raw!J459,6,2),MID(Raw!J459,9,2))+TIME(MID(Raw!J459,12,2),MID(Raw!J459,15,2),MID(Raw!J459,18,2))</f>
        <v>45733</v>
      </c>
      <c r="O459" s="31" t="n">
        <f aca="false">DATE(LEFT(Raw!K459,4),MID(Raw!K459,6,2),MID(Raw!K459,9,2))+TIME(MID(Raw!K459,12,2),MID(Raw!K459,15,2),MID(Raw!K459,18,2))</f>
        <v>45745.8</v>
      </c>
      <c r="P459" s="32" t="n">
        <f aca="false">L459-K459</f>
        <v>2</v>
      </c>
      <c r="Q459" s="32" t="n">
        <f aca="false">M459-L459</f>
        <v>4</v>
      </c>
      <c r="R459" s="32" t="n">
        <f aca="false">O459-N459</f>
        <v>12.8</v>
      </c>
      <c r="S459" s="32" t="n">
        <f aca="false">Raw!L459</f>
        <v>8.8</v>
      </c>
      <c r="T459" s="32" t="n">
        <f aca="false">O459-M459</f>
        <v>8.8</v>
      </c>
      <c r="U459" s="0" t="str">
        <f aca="false">IF(ABS(T459-S459)&lt;0.01,"OK","MISMATCH")</f>
        <v>OK</v>
      </c>
      <c r="V459" s="33" t="n">
        <f aca="false">Raw!M459</f>
        <v>1</v>
      </c>
      <c r="W459" s="0" t="str">
        <f aca="false">IF((S459&gt;0)=(V459=1),"OK","MISMATCH")</f>
        <v>OK</v>
      </c>
      <c r="X459" s="0" t="str">
        <f aca="false">_xlfn.IFS(S459&lt;=0,"Early/On time",S459&lt;=2,"Minor (up to 2 days)",S459&lt;=5,"Moderate (2-5 days)",TRUE(),"Severe (over 5 days)")</f>
        <v>Severe (over 5 days)</v>
      </c>
      <c r="Y459" s="0" t="str">
        <f aca="false">YEAR(K459)&amp;"-"&amp;TEXT(MONTH(K459),"00")</f>
        <v>2025-03</v>
      </c>
      <c r="Z459" s="0" t="str">
        <f aca="false">C459&amp;" → "&amp;D459</f>
        <v>Surat → Uttarakhand</v>
      </c>
      <c r="AA459" s="0" t="str">
        <f aca="false">Raw!Q459</f>
        <v>BlueDart</v>
      </c>
      <c r="AB459" s="0" t="str">
        <f aca="false">Raw!R459</f>
        <v>No</v>
      </c>
      <c r="AC459" s="0" t="str">
        <f aca="false">Raw!S459</f>
        <v>Normal</v>
      </c>
      <c r="AD459" s="29" t="n">
        <f aca="false">Raw!N459</f>
        <v>7903.4</v>
      </c>
      <c r="AE459" s="29" t="n">
        <f aca="false">Raw!O459</f>
        <v>1570.23</v>
      </c>
      <c r="AF459" s="29" t="n">
        <f aca="false">Raw!P459</f>
        <v>882.14</v>
      </c>
      <c r="AG459" s="29" t="n">
        <f aca="false">AD459/J459</f>
        <v>728.423963133641</v>
      </c>
    </row>
    <row r="460" customFormat="false" ht="15" hidden="false" customHeight="false" outlineLevel="0" collapsed="false">
      <c r="A460" s="0" t="str">
        <f aca="false">Raw!A460</f>
        <v>SHP0459</v>
      </c>
      <c r="B460" s="0" t="str">
        <f aca="false">Raw!B460</f>
        <v>Inbound</v>
      </c>
      <c r="C460" s="0" t="str">
        <f aca="false">Raw!C460</f>
        <v>Rajasthan</v>
      </c>
      <c r="D460" s="0" t="str">
        <f aca="false">Raw!D460</f>
        <v>Surat</v>
      </c>
      <c r="E460" s="0" t="str">
        <f aca="false">IFERROR(INDEX(Location_Map!$B$2:$B$15,MATCH(C460,Location_Map!$A$2:$A$15,0)),"UNMAPPED")</f>
        <v>Rajasthan</v>
      </c>
      <c r="F460" s="0" t="str">
        <f aca="false">IFERROR(INDEX(Location_Map!$C$2:$C$15,MATCH(C460,Location_Map!$A$2:$A$15,0)),"UNMAPPED")</f>
        <v>North</v>
      </c>
      <c r="G460" s="0" t="str">
        <f aca="false">IFERROR(INDEX(Location_Map!$B$2:$B$15,MATCH(D460,Location_Map!$A$2:$A$15,0)),"UNMAPPED")</f>
        <v>Gujarat</v>
      </c>
      <c r="H460" s="0" t="str">
        <f aca="false">IFERROR(INDEX(Location_Map!$C$2:$C$15,MATCH(D460,Location_Map!$A$2:$A$15,0)),"UNMAPPED")</f>
        <v>West</v>
      </c>
      <c r="I460" s="0" t="str">
        <f aca="false">Raw!E460</f>
        <v>Semi-Processed Yarn</v>
      </c>
      <c r="J460" s="28" t="n">
        <f aca="false">Raw!F460</f>
        <v>11.54</v>
      </c>
      <c r="K460" s="30" t="n">
        <f aca="false">DATE(LEFT(Raw!G460,4),MID(Raw!G460,6,2),MID(Raw!G460,9,2))</f>
        <v>45681</v>
      </c>
      <c r="L460" s="30" t="n">
        <f aca="false">DATE(LEFT(Raw!H460,4),MID(Raw!H460,6,2),MID(Raw!H460,9,2))</f>
        <v>45682</v>
      </c>
      <c r="M460" s="30" t="n">
        <f aca="false">DATE(LEFT(Raw!I460,4),MID(Raw!I460,6,2),MID(Raw!I460,9,2))</f>
        <v>45684</v>
      </c>
      <c r="N460" s="31" t="n">
        <f aca="false">DATE(LEFT(Raw!J460,4),MID(Raw!J460,6,2),MID(Raw!J460,9,2))+TIME(MID(Raw!J460,12,2),MID(Raw!J460,15,2),MID(Raw!J460,18,2))</f>
        <v>45682.375</v>
      </c>
      <c r="O460" s="31" t="n">
        <f aca="false">DATE(LEFT(Raw!K460,4),MID(Raw!K460,6,2),MID(Raw!K460,9,2))+TIME(MID(Raw!K460,12,2),MID(Raw!K460,15,2),MID(Raw!K460,18,2))</f>
        <v>45685.5</v>
      </c>
      <c r="P460" s="32" t="n">
        <f aca="false">L460-K460</f>
        <v>1</v>
      </c>
      <c r="Q460" s="32" t="n">
        <f aca="false">M460-L460</f>
        <v>2</v>
      </c>
      <c r="R460" s="32" t="n">
        <f aca="false">O460-N460</f>
        <v>3.125</v>
      </c>
      <c r="S460" s="32" t="n">
        <f aca="false">Raw!L460</f>
        <v>1.5</v>
      </c>
      <c r="T460" s="32" t="n">
        <f aca="false">O460-M460</f>
        <v>1.5</v>
      </c>
      <c r="U460" s="0" t="str">
        <f aca="false">IF(ABS(T460-S460)&lt;0.01,"OK","MISMATCH")</f>
        <v>OK</v>
      </c>
      <c r="V460" s="33" t="n">
        <f aca="false">Raw!M460</f>
        <v>1</v>
      </c>
      <c r="W460" s="0" t="str">
        <f aca="false">IF((S460&gt;0)=(V460=1),"OK","MISMATCH")</f>
        <v>OK</v>
      </c>
      <c r="X460" s="0" t="str">
        <f aca="false">_xlfn.IFS(S460&lt;=0,"Early/On time",S460&lt;=2,"Minor (up to 2 days)",S460&lt;=5,"Moderate (2-5 days)",TRUE(),"Severe (over 5 days)")</f>
        <v>Minor (up to 2 days)</v>
      </c>
      <c r="Y460" s="0" t="str">
        <f aca="false">YEAR(K460)&amp;"-"&amp;TEXT(MONTH(K460),"00")</f>
        <v>2025-01</v>
      </c>
      <c r="Z460" s="0" t="str">
        <f aca="false">C460&amp;" → "&amp;D460</f>
        <v>Rajasthan → Surat</v>
      </c>
      <c r="AA460" s="0" t="str">
        <f aca="false">Raw!Q460</f>
        <v>GATI Logistics</v>
      </c>
      <c r="AB460" s="0" t="str">
        <f aca="false">Raw!R460</f>
        <v>No</v>
      </c>
      <c r="AC460" s="0" t="str">
        <f aca="false">Raw!S460</f>
        <v>Normal</v>
      </c>
      <c r="AD460" s="29" t="n">
        <f aca="false">Raw!N460</f>
        <v>5958.76</v>
      </c>
      <c r="AE460" s="29" t="n">
        <f aca="false">Raw!O460</f>
        <v>3318.48</v>
      </c>
      <c r="AF460" s="29" t="n">
        <f aca="false">Raw!P460</f>
        <v>522.22</v>
      </c>
      <c r="AG460" s="29" t="n">
        <f aca="false">AD460/J460</f>
        <v>516.357019064125</v>
      </c>
    </row>
    <row r="461" customFormat="false" ht="15" hidden="false" customHeight="false" outlineLevel="0" collapsed="false">
      <c r="A461" s="0" t="str">
        <f aca="false">Raw!A461</f>
        <v>SHP0460</v>
      </c>
      <c r="B461" s="0" t="str">
        <f aca="false">Raw!B461</f>
        <v>Outbound</v>
      </c>
      <c r="C461" s="0" t="str">
        <f aca="false">Raw!C461</f>
        <v>Surat</v>
      </c>
      <c r="D461" s="0" t="str">
        <f aca="false">Raw!D461</f>
        <v>Madhya Pradesh</v>
      </c>
      <c r="E461" s="0" t="str">
        <f aca="false">IFERROR(INDEX(Location_Map!$B$2:$B$15,MATCH(C461,Location_Map!$A$2:$A$15,0)),"UNMAPPED")</f>
        <v>Gujarat</v>
      </c>
      <c r="F461" s="0" t="str">
        <f aca="false">IFERROR(INDEX(Location_Map!$C$2:$C$15,MATCH(C461,Location_Map!$A$2:$A$15,0)),"UNMAPPED")</f>
        <v>West</v>
      </c>
      <c r="G461" s="0" t="str">
        <f aca="false">IFERROR(INDEX(Location_Map!$B$2:$B$15,MATCH(D461,Location_Map!$A$2:$A$15,0)),"UNMAPPED")</f>
        <v>Madhya Pradesh</v>
      </c>
      <c r="H461" s="0" t="str">
        <f aca="false">IFERROR(INDEX(Location_Map!$C$2:$C$15,MATCH(D461,Location_Map!$A$2:$A$15,0)),"UNMAPPED")</f>
        <v>Central</v>
      </c>
      <c r="I461" s="0" t="str">
        <f aca="false">Raw!E461</f>
        <v>Raw Yarn</v>
      </c>
      <c r="J461" s="28" t="n">
        <f aca="false">Raw!F461</f>
        <v>19.78</v>
      </c>
      <c r="K461" s="30" t="n">
        <f aca="false">DATE(LEFT(Raw!G461,4),MID(Raw!G461,6,2),MID(Raw!G461,9,2))</f>
        <v>45670</v>
      </c>
      <c r="L461" s="30" t="n">
        <f aca="false">DATE(LEFT(Raw!H461,4),MID(Raw!H461,6,2),MID(Raw!H461,9,2))</f>
        <v>45674</v>
      </c>
      <c r="M461" s="30" t="n">
        <f aca="false">DATE(LEFT(Raw!I461,4),MID(Raw!I461,6,2),MID(Raw!I461,9,2))</f>
        <v>45680</v>
      </c>
      <c r="N461" s="31" t="n">
        <f aca="false">DATE(LEFT(Raw!J461,4),MID(Raw!J461,6,2),MID(Raw!J461,9,2))+TIME(MID(Raw!J461,12,2),MID(Raw!J461,15,2),MID(Raw!J461,18,2))</f>
        <v>45674.2916666667</v>
      </c>
      <c r="O461" s="31" t="n">
        <f aca="false">DATE(LEFT(Raw!K461,4),MID(Raw!K461,6,2),MID(Raw!K461,9,2))+TIME(MID(Raw!K461,12,2),MID(Raw!K461,15,2),MID(Raw!K461,18,2))</f>
        <v>45680.7</v>
      </c>
      <c r="P461" s="32" t="n">
        <f aca="false">L461-K461</f>
        <v>4</v>
      </c>
      <c r="Q461" s="32" t="n">
        <f aca="false">M461-L461</f>
        <v>6</v>
      </c>
      <c r="R461" s="32" t="n">
        <f aca="false">O461-N461</f>
        <v>6.40833333333333</v>
      </c>
      <c r="S461" s="32" t="n">
        <f aca="false">Raw!L461</f>
        <v>0.7</v>
      </c>
      <c r="T461" s="32" t="n">
        <f aca="false">O461-M461</f>
        <v>0.7</v>
      </c>
      <c r="U461" s="0" t="str">
        <f aca="false">IF(ABS(T461-S461)&lt;0.01,"OK","MISMATCH")</f>
        <v>OK</v>
      </c>
      <c r="V461" s="33" t="n">
        <f aca="false">Raw!M461</f>
        <v>1</v>
      </c>
      <c r="W461" s="0" t="str">
        <f aca="false">IF((S461&gt;0)=(V461=1),"OK","MISMATCH")</f>
        <v>OK</v>
      </c>
      <c r="X461" s="0" t="str">
        <f aca="false">_xlfn.IFS(S461&lt;=0,"Early/On time",S461&lt;=2,"Minor (up to 2 days)",S461&lt;=5,"Moderate (2-5 days)",TRUE(),"Severe (over 5 days)")</f>
        <v>Minor (up to 2 days)</v>
      </c>
      <c r="Y461" s="0" t="str">
        <f aca="false">YEAR(K461)&amp;"-"&amp;TEXT(MONTH(K461),"00")</f>
        <v>2025-01</v>
      </c>
      <c r="Z461" s="0" t="str">
        <f aca="false">C461&amp;" → "&amp;D461</f>
        <v>Surat → Madhya Pradesh</v>
      </c>
      <c r="AA461" s="0" t="str">
        <f aca="false">Raw!Q461</f>
        <v>BlueDart</v>
      </c>
      <c r="AB461" s="0" t="str">
        <f aca="false">Raw!R461</f>
        <v>Yes</v>
      </c>
      <c r="AC461" s="0" t="str">
        <f aca="false">Raw!S461</f>
        <v>Expedited</v>
      </c>
      <c r="AD461" s="29" t="n">
        <f aca="false">Raw!N461</f>
        <v>4982.2</v>
      </c>
      <c r="AE461" s="29" t="n">
        <f aca="false">Raw!O461</f>
        <v>3470.12</v>
      </c>
      <c r="AF461" s="29" t="n">
        <f aca="false">Raw!P461</f>
        <v>707.78</v>
      </c>
      <c r="AG461" s="29" t="n">
        <f aca="false">AD461/J461</f>
        <v>251.880687563195</v>
      </c>
    </row>
    <row r="462" customFormat="false" ht="15" hidden="false" customHeight="false" outlineLevel="0" collapsed="false">
      <c r="A462" s="0" t="str">
        <f aca="false">Raw!A462</f>
        <v>SHP0461</v>
      </c>
      <c r="B462" s="0" t="str">
        <f aca="false">Raw!B462</f>
        <v>Outbound</v>
      </c>
      <c r="C462" s="0" t="str">
        <f aca="false">Raw!C462</f>
        <v>Surat</v>
      </c>
      <c r="D462" s="0" t="str">
        <f aca="false">Raw!D462</f>
        <v>Gujarat</v>
      </c>
      <c r="E462" s="0" t="str">
        <f aca="false">IFERROR(INDEX(Location_Map!$B$2:$B$15,MATCH(C462,Location_Map!$A$2:$A$15,0)),"UNMAPPED")</f>
        <v>Gujarat</v>
      </c>
      <c r="F462" s="0" t="str">
        <f aca="false">IFERROR(INDEX(Location_Map!$C$2:$C$15,MATCH(C462,Location_Map!$A$2:$A$15,0)),"UNMAPPED")</f>
        <v>West</v>
      </c>
      <c r="G462" s="0" t="str">
        <f aca="false">IFERROR(INDEX(Location_Map!$B$2:$B$15,MATCH(D462,Location_Map!$A$2:$A$15,0)),"UNMAPPED")</f>
        <v>Gujarat</v>
      </c>
      <c r="H462" s="0" t="str">
        <f aca="false">IFERROR(INDEX(Location_Map!$C$2:$C$15,MATCH(D462,Location_Map!$A$2:$A$15,0)),"UNMAPPED")</f>
        <v>West</v>
      </c>
      <c r="I462" s="0" t="str">
        <f aca="false">Raw!E462</f>
        <v>Finished Yarn</v>
      </c>
      <c r="J462" s="28" t="n">
        <f aca="false">Raw!F462</f>
        <v>12.17</v>
      </c>
      <c r="K462" s="30" t="n">
        <f aca="false">DATE(LEFT(Raw!G462,4),MID(Raw!G462,6,2),MID(Raw!G462,9,2))</f>
        <v>45691</v>
      </c>
      <c r="L462" s="30" t="n">
        <f aca="false">DATE(LEFT(Raw!H462,4),MID(Raw!H462,6,2),MID(Raw!H462,9,2))</f>
        <v>45693</v>
      </c>
      <c r="M462" s="30" t="n">
        <f aca="false">DATE(LEFT(Raw!I462,4),MID(Raw!I462,6,2),MID(Raw!I462,9,2))</f>
        <v>45698</v>
      </c>
      <c r="N462" s="31" t="n">
        <f aca="false">DATE(LEFT(Raw!J462,4),MID(Raw!J462,6,2),MID(Raw!J462,9,2))+TIME(MID(Raw!J462,12,2),MID(Raw!J462,15,2),MID(Raw!J462,18,2))</f>
        <v>45693.125</v>
      </c>
      <c r="O462" s="31" t="n">
        <f aca="false">DATE(LEFT(Raw!K462,4),MID(Raw!K462,6,2),MID(Raw!K462,9,2))+TIME(MID(Raw!K462,12,2),MID(Raw!K462,15,2),MID(Raw!K462,18,2))</f>
        <v>45699.5</v>
      </c>
      <c r="P462" s="32" t="n">
        <f aca="false">L462-K462</f>
        <v>2</v>
      </c>
      <c r="Q462" s="32" t="n">
        <f aca="false">M462-L462</f>
        <v>5</v>
      </c>
      <c r="R462" s="32" t="n">
        <f aca="false">O462-N462</f>
        <v>6.375</v>
      </c>
      <c r="S462" s="32" t="n">
        <f aca="false">Raw!L462</f>
        <v>1.5</v>
      </c>
      <c r="T462" s="32" t="n">
        <f aca="false">O462-M462</f>
        <v>1.5</v>
      </c>
      <c r="U462" s="0" t="str">
        <f aca="false">IF(ABS(T462-S462)&lt;0.01,"OK","MISMATCH")</f>
        <v>OK</v>
      </c>
      <c r="V462" s="33" t="n">
        <f aca="false">Raw!M462</f>
        <v>1</v>
      </c>
      <c r="W462" s="0" t="str">
        <f aca="false">IF((S462&gt;0)=(V462=1),"OK","MISMATCH")</f>
        <v>OK</v>
      </c>
      <c r="X462" s="0" t="str">
        <f aca="false">_xlfn.IFS(S462&lt;=0,"Early/On time",S462&lt;=2,"Minor (up to 2 days)",S462&lt;=5,"Moderate (2-5 days)",TRUE(),"Severe (over 5 days)")</f>
        <v>Minor (up to 2 days)</v>
      </c>
      <c r="Y462" s="0" t="str">
        <f aca="false">YEAR(K462)&amp;"-"&amp;TEXT(MONTH(K462),"00")</f>
        <v>2025-02</v>
      </c>
      <c r="Z462" s="0" t="str">
        <f aca="false">C462&amp;" → "&amp;D462</f>
        <v>Surat → Gujarat</v>
      </c>
      <c r="AA462" s="0" t="str">
        <f aca="false">Raw!Q462</f>
        <v>VRL Cargo</v>
      </c>
      <c r="AB462" s="0" t="str">
        <f aca="false">Raw!R462</f>
        <v>Yes</v>
      </c>
      <c r="AC462" s="0" t="str">
        <f aca="false">Raw!S462</f>
        <v>Held at warehouse</v>
      </c>
      <c r="AD462" s="29" t="n">
        <f aca="false">Raw!N462</f>
        <v>8062.68</v>
      </c>
      <c r="AE462" s="29" t="n">
        <f aca="false">Raw!O462</f>
        <v>2299.69</v>
      </c>
      <c r="AF462" s="29" t="n">
        <f aca="false">Raw!P462</f>
        <v>1187.3</v>
      </c>
      <c r="AG462" s="29" t="n">
        <f aca="false">AD462/J462</f>
        <v>662.504519309778</v>
      </c>
    </row>
    <row r="463" customFormat="false" ht="15" hidden="false" customHeight="false" outlineLevel="0" collapsed="false">
      <c r="A463" s="0" t="str">
        <f aca="false">Raw!A463</f>
        <v>SHP0462</v>
      </c>
      <c r="B463" s="0" t="str">
        <f aca="false">Raw!B463</f>
        <v>Inbound</v>
      </c>
      <c r="C463" s="0" t="str">
        <f aca="false">Raw!C463</f>
        <v>Rajasthan</v>
      </c>
      <c r="D463" s="0" t="str">
        <f aca="false">Raw!D463</f>
        <v>Surat</v>
      </c>
      <c r="E463" s="0" t="str">
        <f aca="false">IFERROR(INDEX(Location_Map!$B$2:$B$15,MATCH(C463,Location_Map!$A$2:$A$15,0)),"UNMAPPED")</f>
        <v>Rajasthan</v>
      </c>
      <c r="F463" s="0" t="str">
        <f aca="false">IFERROR(INDEX(Location_Map!$C$2:$C$15,MATCH(C463,Location_Map!$A$2:$A$15,0)),"UNMAPPED")</f>
        <v>North</v>
      </c>
      <c r="G463" s="0" t="str">
        <f aca="false">IFERROR(INDEX(Location_Map!$B$2:$B$15,MATCH(D463,Location_Map!$A$2:$A$15,0)),"UNMAPPED")</f>
        <v>Gujarat</v>
      </c>
      <c r="H463" s="0" t="str">
        <f aca="false">IFERROR(INDEX(Location_Map!$C$2:$C$15,MATCH(D463,Location_Map!$A$2:$A$15,0)),"UNMAPPED")</f>
        <v>West</v>
      </c>
      <c r="I463" s="0" t="str">
        <f aca="false">Raw!E463</f>
        <v>Raw Yarn</v>
      </c>
      <c r="J463" s="28" t="n">
        <f aca="false">Raw!F463</f>
        <v>19.27</v>
      </c>
      <c r="K463" s="30" t="n">
        <f aca="false">DATE(LEFT(Raw!G463,4),MID(Raw!G463,6,2),MID(Raw!G463,9,2))</f>
        <v>45877</v>
      </c>
      <c r="L463" s="30" t="n">
        <f aca="false">DATE(LEFT(Raw!H463,4),MID(Raw!H463,6,2),MID(Raw!H463,9,2))</f>
        <v>45879</v>
      </c>
      <c r="M463" s="30" t="n">
        <f aca="false">DATE(LEFT(Raw!I463,4),MID(Raw!I463,6,2),MID(Raw!I463,9,2))</f>
        <v>45881</v>
      </c>
      <c r="N463" s="31" t="n">
        <f aca="false">DATE(LEFT(Raw!J463,4),MID(Raw!J463,6,2),MID(Raw!J463,9,2))+TIME(MID(Raw!J463,12,2),MID(Raw!J463,15,2),MID(Raw!J463,18,2))</f>
        <v>45878.875</v>
      </c>
      <c r="O463" s="31" t="n">
        <f aca="false">DATE(LEFT(Raw!K463,4),MID(Raw!K463,6,2),MID(Raw!K463,9,2))+TIME(MID(Raw!K463,12,2),MID(Raw!K463,15,2),MID(Raw!K463,18,2))</f>
        <v>45881.9</v>
      </c>
      <c r="P463" s="32" t="n">
        <f aca="false">L463-K463</f>
        <v>2</v>
      </c>
      <c r="Q463" s="32" t="n">
        <f aca="false">M463-L463</f>
        <v>2</v>
      </c>
      <c r="R463" s="32" t="n">
        <f aca="false">O463-N463</f>
        <v>3.025</v>
      </c>
      <c r="S463" s="32" t="n">
        <f aca="false">Raw!L463</f>
        <v>0.9</v>
      </c>
      <c r="T463" s="32" t="n">
        <f aca="false">O463-M463</f>
        <v>0.9</v>
      </c>
      <c r="U463" s="0" t="str">
        <f aca="false">IF(ABS(T463-S463)&lt;0.01,"OK","MISMATCH")</f>
        <v>OK</v>
      </c>
      <c r="V463" s="33" t="n">
        <f aca="false">Raw!M463</f>
        <v>1</v>
      </c>
      <c r="W463" s="0" t="str">
        <f aca="false">IF((S463&gt;0)=(V463=1),"OK","MISMATCH")</f>
        <v>OK</v>
      </c>
      <c r="X463" s="0" t="str">
        <f aca="false">_xlfn.IFS(S463&lt;=0,"Early/On time",S463&lt;=2,"Minor (up to 2 days)",S463&lt;=5,"Moderate (2-5 days)",TRUE(),"Severe (over 5 days)")</f>
        <v>Minor (up to 2 days)</v>
      </c>
      <c r="Y463" s="0" t="str">
        <f aca="false">YEAR(K463)&amp;"-"&amp;TEXT(MONTH(K463),"00")</f>
        <v>2025-08</v>
      </c>
      <c r="Z463" s="0" t="str">
        <f aca="false">C463&amp;" → "&amp;D463</f>
        <v>Rajasthan → Surat</v>
      </c>
      <c r="AA463" s="0" t="str">
        <f aca="false">Raw!Q463</f>
        <v>TCI Express</v>
      </c>
      <c r="AB463" s="0" t="str">
        <f aca="false">Raw!R463</f>
        <v>Yes</v>
      </c>
      <c r="AC463" s="0" t="str">
        <f aca="false">Raw!S463</f>
        <v>Expedited</v>
      </c>
      <c r="AD463" s="29" t="n">
        <f aca="false">Raw!N463</f>
        <v>11217.19</v>
      </c>
      <c r="AE463" s="29" t="n">
        <f aca="false">Raw!O463</f>
        <v>1066.7</v>
      </c>
      <c r="AF463" s="29" t="n">
        <f aca="false">Raw!P463</f>
        <v>694.77</v>
      </c>
      <c r="AG463" s="29" t="n">
        <f aca="false">AD463/J463</f>
        <v>582.106382978723</v>
      </c>
    </row>
    <row r="464" customFormat="false" ht="15" hidden="false" customHeight="false" outlineLevel="0" collapsed="false">
      <c r="A464" s="0" t="str">
        <f aca="false">Raw!A464</f>
        <v>SHP0463</v>
      </c>
      <c r="B464" s="0" t="str">
        <f aca="false">Raw!B464</f>
        <v>Outbound</v>
      </c>
      <c r="C464" s="0" t="str">
        <f aca="false">Raw!C464</f>
        <v>Surat</v>
      </c>
      <c r="D464" s="0" t="str">
        <f aca="false">Raw!D464</f>
        <v>Karnataka</v>
      </c>
      <c r="E464" s="0" t="str">
        <f aca="false">IFERROR(INDEX(Location_Map!$B$2:$B$15,MATCH(C464,Location_Map!$A$2:$A$15,0)),"UNMAPPED")</f>
        <v>Gujarat</v>
      </c>
      <c r="F464" s="0" t="str">
        <f aca="false">IFERROR(INDEX(Location_Map!$C$2:$C$15,MATCH(C464,Location_Map!$A$2:$A$15,0)),"UNMAPPED")</f>
        <v>West</v>
      </c>
      <c r="G464" s="0" t="str">
        <f aca="false">IFERROR(INDEX(Location_Map!$B$2:$B$15,MATCH(D464,Location_Map!$A$2:$A$15,0)),"UNMAPPED")</f>
        <v>Karnataka</v>
      </c>
      <c r="H464" s="0" t="str">
        <f aca="false">IFERROR(INDEX(Location_Map!$C$2:$C$15,MATCH(D464,Location_Map!$A$2:$A$15,0)),"UNMAPPED")</f>
        <v>South</v>
      </c>
      <c r="I464" s="0" t="str">
        <f aca="false">Raw!E464</f>
        <v>Semi-Processed Yarn</v>
      </c>
      <c r="J464" s="28" t="n">
        <f aca="false">Raw!F464</f>
        <v>16.4</v>
      </c>
      <c r="K464" s="30" t="n">
        <f aca="false">DATE(LEFT(Raw!G464,4),MID(Raw!G464,6,2),MID(Raw!G464,9,2))</f>
        <v>45739</v>
      </c>
      <c r="L464" s="30" t="n">
        <f aca="false">DATE(LEFT(Raw!H464,4),MID(Raw!H464,6,2),MID(Raw!H464,9,2))</f>
        <v>45742</v>
      </c>
      <c r="M464" s="30" t="n">
        <f aca="false">DATE(LEFT(Raw!I464,4),MID(Raw!I464,6,2),MID(Raw!I464,9,2))</f>
        <v>45744</v>
      </c>
      <c r="N464" s="31" t="n">
        <f aca="false">DATE(LEFT(Raw!J464,4),MID(Raw!J464,6,2),MID(Raw!J464,9,2))+TIME(MID(Raw!J464,12,2),MID(Raw!J464,15,2),MID(Raw!J464,18,2))</f>
        <v>45742.2916666667</v>
      </c>
      <c r="O464" s="31" t="n">
        <f aca="false">DATE(LEFT(Raw!K464,4),MID(Raw!K464,6,2),MID(Raw!K464,9,2))+TIME(MID(Raw!K464,12,2),MID(Raw!K464,15,2),MID(Raw!K464,18,2))</f>
        <v>45747.3</v>
      </c>
      <c r="P464" s="32" t="n">
        <f aca="false">L464-K464</f>
        <v>3</v>
      </c>
      <c r="Q464" s="32" t="n">
        <f aca="false">M464-L464</f>
        <v>2</v>
      </c>
      <c r="R464" s="32" t="n">
        <f aca="false">O464-N464</f>
        <v>5.00833333333333</v>
      </c>
      <c r="S464" s="32" t="n">
        <f aca="false">Raw!L464</f>
        <v>3.3</v>
      </c>
      <c r="T464" s="32" t="n">
        <f aca="false">O464-M464</f>
        <v>3.3</v>
      </c>
      <c r="U464" s="0" t="str">
        <f aca="false">IF(ABS(T464-S464)&lt;0.01,"OK","MISMATCH")</f>
        <v>OK</v>
      </c>
      <c r="V464" s="33" t="n">
        <f aca="false">Raw!M464</f>
        <v>1</v>
      </c>
      <c r="W464" s="0" t="str">
        <f aca="false">IF((S464&gt;0)=(V464=1),"OK","MISMATCH")</f>
        <v>OK</v>
      </c>
      <c r="X464" s="0" t="str">
        <f aca="false">_xlfn.IFS(S464&lt;=0,"Early/On time",S464&lt;=2,"Minor (up to 2 days)",S464&lt;=5,"Moderate (2-5 days)",TRUE(),"Severe (over 5 days)")</f>
        <v>Moderate (2-5 days)</v>
      </c>
      <c r="Y464" s="0" t="str">
        <f aca="false">YEAR(K464)&amp;"-"&amp;TEXT(MONTH(K464),"00")</f>
        <v>2025-03</v>
      </c>
      <c r="Z464" s="0" t="str">
        <f aca="false">C464&amp;" → "&amp;D464</f>
        <v>Surat → Karnataka</v>
      </c>
      <c r="AA464" s="0" t="str">
        <f aca="false">Raw!Q464</f>
        <v>GATI Logistics</v>
      </c>
      <c r="AB464" s="0" t="str">
        <f aca="false">Raw!R464</f>
        <v>Yes</v>
      </c>
      <c r="AC464" s="0" t="str">
        <f aca="false">Raw!S464</f>
        <v>Damaged</v>
      </c>
      <c r="AD464" s="29" t="n">
        <f aca="false">Raw!N464</f>
        <v>7602.49</v>
      </c>
      <c r="AE464" s="29" t="n">
        <f aca="false">Raw!O464</f>
        <v>4560.55</v>
      </c>
      <c r="AF464" s="29" t="n">
        <f aca="false">Raw!P464</f>
        <v>1152.28</v>
      </c>
      <c r="AG464" s="29" t="n">
        <f aca="false">AD464/J464</f>
        <v>463.566463414634</v>
      </c>
    </row>
    <row r="465" customFormat="false" ht="15" hidden="false" customHeight="false" outlineLevel="0" collapsed="false">
      <c r="A465" s="0" t="str">
        <f aca="false">Raw!A465</f>
        <v>SHP0464</v>
      </c>
      <c r="B465" s="0" t="str">
        <f aca="false">Raw!B465</f>
        <v>Inbound</v>
      </c>
      <c r="C465" s="0" t="str">
        <f aca="false">Raw!C465</f>
        <v>Rajasthan</v>
      </c>
      <c r="D465" s="0" t="str">
        <f aca="false">Raw!D465</f>
        <v>Surat</v>
      </c>
      <c r="E465" s="0" t="str">
        <f aca="false">IFERROR(INDEX(Location_Map!$B$2:$B$15,MATCH(C465,Location_Map!$A$2:$A$15,0)),"UNMAPPED")</f>
        <v>Rajasthan</v>
      </c>
      <c r="F465" s="0" t="str">
        <f aca="false">IFERROR(INDEX(Location_Map!$C$2:$C$15,MATCH(C465,Location_Map!$A$2:$A$15,0)),"UNMAPPED")</f>
        <v>North</v>
      </c>
      <c r="G465" s="0" t="str">
        <f aca="false">IFERROR(INDEX(Location_Map!$B$2:$B$15,MATCH(D465,Location_Map!$A$2:$A$15,0)),"UNMAPPED")</f>
        <v>Gujarat</v>
      </c>
      <c r="H465" s="0" t="str">
        <f aca="false">IFERROR(INDEX(Location_Map!$C$2:$C$15,MATCH(D465,Location_Map!$A$2:$A$15,0)),"UNMAPPED")</f>
        <v>West</v>
      </c>
      <c r="I465" s="0" t="str">
        <f aca="false">Raw!E465</f>
        <v>Raw Yarn</v>
      </c>
      <c r="J465" s="28" t="n">
        <f aca="false">Raw!F465</f>
        <v>9.73</v>
      </c>
      <c r="K465" s="30" t="n">
        <f aca="false">DATE(LEFT(Raw!G465,4),MID(Raw!G465,6,2),MID(Raw!G465,9,2))</f>
        <v>45860</v>
      </c>
      <c r="L465" s="30" t="n">
        <f aca="false">DATE(LEFT(Raw!H465,4),MID(Raw!H465,6,2),MID(Raw!H465,9,2))</f>
        <v>45863</v>
      </c>
      <c r="M465" s="30" t="n">
        <f aca="false">DATE(LEFT(Raw!I465,4),MID(Raw!I465,6,2),MID(Raw!I465,9,2))</f>
        <v>45868</v>
      </c>
      <c r="N465" s="31" t="n">
        <f aca="false">DATE(LEFT(Raw!J465,4),MID(Raw!J465,6,2),MID(Raw!J465,9,2))+TIME(MID(Raw!J465,12,2),MID(Raw!J465,15,2),MID(Raw!J465,18,2))</f>
        <v>45863</v>
      </c>
      <c r="O465" s="31" t="n">
        <f aca="false">DATE(LEFT(Raw!K465,4),MID(Raw!K465,6,2),MID(Raw!K465,9,2))+TIME(MID(Raw!K465,12,2),MID(Raw!K465,15,2),MID(Raw!K465,18,2))</f>
        <v>45871.4</v>
      </c>
      <c r="P465" s="32" t="n">
        <f aca="false">L465-K465</f>
        <v>3</v>
      </c>
      <c r="Q465" s="32" t="n">
        <f aca="false">M465-L465</f>
        <v>5</v>
      </c>
      <c r="R465" s="32" t="n">
        <f aca="false">O465-N465</f>
        <v>8.4</v>
      </c>
      <c r="S465" s="32" t="n">
        <f aca="false">Raw!L465</f>
        <v>3.4</v>
      </c>
      <c r="T465" s="32" t="n">
        <f aca="false">O465-M465</f>
        <v>3.4</v>
      </c>
      <c r="U465" s="0" t="str">
        <f aca="false">IF(ABS(T465-S465)&lt;0.01,"OK","MISMATCH")</f>
        <v>OK</v>
      </c>
      <c r="V465" s="33" t="n">
        <f aca="false">Raw!M465</f>
        <v>1</v>
      </c>
      <c r="W465" s="0" t="str">
        <f aca="false">IF((S465&gt;0)=(V465=1),"OK","MISMATCH")</f>
        <v>OK</v>
      </c>
      <c r="X465" s="0" t="str">
        <f aca="false">_xlfn.IFS(S465&lt;=0,"Early/On time",S465&lt;=2,"Minor (up to 2 days)",S465&lt;=5,"Moderate (2-5 days)",TRUE(),"Severe (over 5 days)")</f>
        <v>Moderate (2-5 days)</v>
      </c>
      <c r="Y465" s="0" t="str">
        <f aca="false">YEAR(K465)&amp;"-"&amp;TEXT(MONTH(K465),"00")</f>
        <v>2025-07</v>
      </c>
      <c r="Z465" s="0" t="str">
        <f aca="false">C465&amp;" → "&amp;D465</f>
        <v>Rajasthan → Surat</v>
      </c>
      <c r="AA465" s="0" t="str">
        <f aca="false">Raw!Q465</f>
        <v>VRL Cargo</v>
      </c>
      <c r="AB465" s="0" t="str">
        <f aca="false">Raw!R465</f>
        <v>Yes</v>
      </c>
      <c r="AC465" s="0" t="str">
        <f aca="false">Raw!S465</f>
        <v>Held at warehouse</v>
      </c>
      <c r="AD465" s="29" t="n">
        <f aca="false">Raw!N465</f>
        <v>3876.47</v>
      </c>
      <c r="AE465" s="29" t="n">
        <f aca="false">Raw!O465</f>
        <v>4075.68</v>
      </c>
      <c r="AF465" s="29" t="n">
        <f aca="false">Raw!P465</f>
        <v>1494.08</v>
      </c>
      <c r="AG465" s="29" t="n">
        <f aca="false">AD465/J465</f>
        <v>398.403905447071</v>
      </c>
    </row>
    <row r="466" customFormat="false" ht="15" hidden="false" customHeight="false" outlineLevel="0" collapsed="false">
      <c r="A466" s="0" t="str">
        <f aca="false">Raw!A466</f>
        <v>SHP0465</v>
      </c>
      <c r="B466" s="0" t="str">
        <f aca="false">Raw!B466</f>
        <v>Outbound</v>
      </c>
      <c r="C466" s="0" t="str">
        <f aca="false">Raw!C466</f>
        <v>Surat</v>
      </c>
      <c r="D466" s="0" t="str">
        <f aca="false">Raw!D466</f>
        <v>Madhya Pradesh</v>
      </c>
      <c r="E466" s="0" t="str">
        <f aca="false">IFERROR(INDEX(Location_Map!$B$2:$B$15,MATCH(C466,Location_Map!$A$2:$A$15,0)),"UNMAPPED")</f>
        <v>Gujarat</v>
      </c>
      <c r="F466" s="0" t="str">
        <f aca="false">IFERROR(INDEX(Location_Map!$C$2:$C$15,MATCH(C466,Location_Map!$A$2:$A$15,0)),"UNMAPPED")</f>
        <v>West</v>
      </c>
      <c r="G466" s="0" t="str">
        <f aca="false">IFERROR(INDEX(Location_Map!$B$2:$B$15,MATCH(D466,Location_Map!$A$2:$A$15,0)),"UNMAPPED")</f>
        <v>Madhya Pradesh</v>
      </c>
      <c r="H466" s="0" t="str">
        <f aca="false">IFERROR(INDEX(Location_Map!$C$2:$C$15,MATCH(D466,Location_Map!$A$2:$A$15,0)),"UNMAPPED")</f>
        <v>Central</v>
      </c>
      <c r="I466" s="0" t="str">
        <f aca="false">Raw!E466</f>
        <v>Finished Yarn</v>
      </c>
      <c r="J466" s="28" t="n">
        <f aca="false">Raw!F466</f>
        <v>1.21</v>
      </c>
      <c r="K466" s="30" t="n">
        <f aca="false">DATE(LEFT(Raw!G466,4),MID(Raw!G466,6,2),MID(Raw!G466,9,2))</f>
        <v>45877</v>
      </c>
      <c r="L466" s="30" t="n">
        <f aca="false">DATE(LEFT(Raw!H466,4),MID(Raw!H466,6,2),MID(Raw!H466,9,2))</f>
        <v>45880</v>
      </c>
      <c r="M466" s="30" t="n">
        <f aca="false">DATE(LEFT(Raw!I466,4),MID(Raw!I466,6,2),MID(Raw!I466,9,2))</f>
        <v>45883</v>
      </c>
      <c r="N466" s="31" t="n">
        <f aca="false">DATE(LEFT(Raw!J466,4),MID(Raw!J466,6,2),MID(Raw!J466,9,2))+TIME(MID(Raw!J466,12,2),MID(Raw!J466,15,2),MID(Raw!J466,18,2))</f>
        <v>45880.0416666667</v>
      </c>
      <c r="O466" s="31" t="n">
        <f aca="false">DATE(LEFT(Raw!K466,4),MID(Raw!K466,6,2),MID(Raw!K466,9,2))+TIME(MID(Raw!K466,12,2),MID(Raw!K466,15,2),MID(Raw!K466,18,2))</f>
        <v>45883.3</v>
      </c>
      <c r="P466" s="32" t="n">
        <f aca="false">L466-K466</f>
        <v>3</v>
      </c>
      <c r="Q466" s="32" t="n">
        <f aca="false">M466-L466</f>
        <v>3</v>
      </c>
      <c r="R466" s="32" t="n">
        <f aca="false">O466-N466</f>
        <v>3.25833333333333</v>
      </c>
      <c r="S466" s="32" t="n">
        <f aca="false">Raw!L466</f>
        <v>0.3</v>
      </c>
      <c r="T466" s="32" t="n">
        <f aca="false">O466-M466</f>
        <v>0.3</v>
      </c>
      <c r="U466" s="0" t="str">
        <f aca="false">IF(ABS(T466-S466)&lt;0.01,"OK","MISMATCH")</f>
        <v>OK</v>
      </c>
      <c r="V466" s="33" t="n">
        <f aca="false">Raw!M466</f>
        <v>1</v>
      </c>
      <c r="W466" s="0" t="str">
        <f aca="false">IF((S466&gt;0)=(V466=1),"OK","MISMATCH")</f>
        <v>OK</v>
      </c>
      <c r="X466" s="0" t="str">
        <f aca="false">_xlfn.IFS(S466&lt;=0,"Early/On time",S466&lt;=2,"Minor (up to 2 days)",S466&lt;=5,"Moderate (2-5 days)",TRUE(),"Severe (over 5 days)")</f>
        <v>Minor (up to 2 days)</v>
      </c>
      <c r="Y466" s="0" t="str">
        <f aca="false">YEAR(K466)&amp;"-"&amp;TEXT(MONTH(K466),"00")</f>
        <v>2025-08</v>
      </c>
      <c r="Z466" s="0" t="str">
        <f aca="false">C466&amp;" → "&amp;D466</f>
        <v>Surat → Madhya Pradesh</v>
      </c>
      <c r="AA466" s="0" t="str">
        <f aca="false">Raw!Q466</f>
        <v>GATI Logistics</v>
      </c>
      <c r="AB466" s="0" t="str">
        <f aca="false">Raw!R466</f>
        <v>Yes</v>
      </c>
      <c r="AC466" s="0" t="str">
        <f aca="false">Raw!S466</f>
        <v>Held at warehouse</v>
      </c>
      <c r="AD466" s="29" t="n">
        <f aca="false">Raw!N466</f>
        <v>1549.28</v>
      </c>
      <c r="AE466" s="29" t="n">
        <f aca="false">Raw!O466</f>
        <v>2431.24</v>
      </c>
      <c r="AF466" s="29" t="n">
        <f aca="false">Raw!P466</f>
        <v>1093.78</v>
      </c>
      <c r="AG466" s="29" t="n">
        <f aca="false">AD466/J466</f>
        <v>1280.39669421488</v>
      </c>
    </row>
    <row r="467" customFormat="false" ht="15" hidden="false" customHeight="false" outlineLevel="0" collapsed="false">
      <c r="A467" s="0" t="str">
        <f aca="false">Raw!A467</f>
        <v>SHP0466</v>
      </c>
      <c r="B467" s="0" t="str">
        <f aca="false">Raw!B467</f>
        <v>Inbound</v>
      </c>
      <c r="C467" s="0" t="str">
        <f aca="false">Raw!C467</f>
        <v>Rajasthan</v>
      </c>
      <c r="D467" s="0" t="str">
        <f aca="false">Raw!D467</f>
        <v>Surat</v>
      </c>
      <c r="E467" s="0" t="str">
        <f aca="false">IFERROR(INDEX(Location_Map!$B$2:$B$15,MATCH(C467,Location_Map!$A$2:$A$15,0)),"UNMAPPED")</f>
        <v>Rajasthan</v>
      </c>
      <c r="F467" s="0" t="str">
        <f aca="false">IFERROR(INDEX(Location_Map!$C$2:$C$15,MATCH(C467,Location_Map!$A$2:$A$15,0)),"UNMAPPED")</f>
        <v>North</v>
      </c>
      <c r="G467" s="0" t="str">
        <f aca="false">IFERROR(INDEX(Location_Map!$B$2:$B$15,MATCH(D467,Location_Map!$A$2:$A$15,0)),"UNMAPPED")</f>
        <v>Gujarat</v>
      </c>
      <c r="H467" s="0" t="str">
        <f aca="false">IFERROR(INDEX(Location_Map!$C$2:$C$15,MATCH(D467,Location_Map!$A$2:$A$15,0)),"UNMAPPED")</f>
        <v>West</v>
      </c>
      <c r="I467" s="0" t="str">
        <f aca="false">Raw!E467</f>
        <v>Raw Yarn</v>
      </c>
      <c r="J467" s="28" t="n">
        <f aca="false">Raw!F467</f>
        <v>11.94</v>
      </c>
      <c r="K467" s="30" t="n">
        <f aca="false">DATE(LEFT(Raw!G467,4),MID(Raw!G467,6,2),MID(Raw!G467,9,2))</f>
        <v>45706</v>
      </c>
      <c r="L467" s="30" t="n">
        <f aca="false">DATE(LEFT(Raw!H467,4),MID(Raw!H467,6,2),MID(Raw!H467,9,2))</f>
        <v>45708</v>
      </c>
      <c r="M467" s="30" t="n">
        <f aca="false">DATE(LEFT(Raw!I467,4),MID(Raw!I467,6,2),MID(Raw!I467,9,2))</f>
        <v>45712</v>
      </c>
      <c r="N467" s="31" t="n">
        <f aca="false">DATE(LEFT(Raw!J467,4),MID(Raw!J467,6,2),MID(Raw!J467,9,2))+TIME(MID(Raw!J467,12,2),MID(Raw!J467,15,2),MID(Raw!J467,18,2))</f>
        <v>45708.2916666667</v>
      </c>
      <c r="O467" s="31" t="n">
        <f aca="false">DATE(LEFT(Raw!K467,4),MID(Raw!K467,6,2),MID(Raw!K467,9,2))+TIME(MID(Raw!K467,12,2),MID(Raw!K467,15,2),MID(Raw!K467,18,2))</f>
        <v>45711</v>
      </c>
      <c r="P467" s="32" t="n">
        <f aca="false">L467-K467</f>
        <v>2</v>
      </c>
      <c r="Q467" s="32" t="n">
        <f aca="false">M467-L467</f>
        <v>4</v>
      </c>
      <c r="R467" s="32" t="n">
        <f aca="false">O467-N467</f>
        <v>2.70833333333333</v>
      </c>
      <c r="S467" s="32" t="n">
        <f aca="false">Raw!L467</f>
        <v>-1</v>
      </c>
      <c r="T467" s="32" t="n">
        <f aca="false">O467-M467</f>
        <v>-1</v>
      </c>
      <c r="U467" s="0" t="str">
        <f aca="false">IF(ABS(T467-S467)&lt;0.01,"OK","MISMATCH")</f>
        <v>OK</v>
      </c>
      <c r="V467" s="33" t="n">
        <f aca="false">Raw!M467</f>
        <v>0</v>
      </c>
      <c r="W467" s="0" t="str">
        <f aca="false">IF((S467&gt;0)=(V467=1),"OK","MISMATCH")</f>
        <v>OK</v>
      </c>
      <c r="X467" s="0" t="str">
        <f aca="false">_xlfn.IFS(S467&lt;=0,"Early/On time",S467&lt;=2,"Minor (up to 2 days)",S467&lt;=5,"Moderate (2-5 days)",TRUE(),"Severe (over 5 days)")</f>
        <v>Early/On time</v>
      </c>
      <c r="Y467" s="0" t="str">
        <f aca="false">YEAR(K467)&amp;"-"&amp;TEXT(MONTH(K467),"00")</f>
        <v>2025-02</v>
      </c>
      <c r="Z467" s="0" t="str">
        <f aca="false">C467&amp;" → "&amp;D467</f>
        <v>Rajasthan → Surat</v>
      </c>
      <c r="AA467" s="0" t="str">
        <f aca="false">Raw!Q467</f>
        <v>BlueDart</v>
      </c>
      <c r="AB467" s="0" t="str">
        <f aca="false">Raw!R467</f>
        <v>No</v>
      </c>
      <c r="AC467" s="0" t="str">
        <f aca="false">Raw!S467</f>
        <v>Returned</v>
      </c>
      <c r="AD467" s="29" t="n">
        <f aca="false">Raw!N467</f>
        <v>3556.97</v>
      </c>
      <c r="AE467" s="29" t="n">
        <f aca="false">Raw!O467</f>
        <v>4309.99</v>
      </c>
      <c r="AF467" s="29" t="n">
        <f aca="false">Raw!P467</f>
        <v>754.54</v>
      </c>
      <c r="AG467" s="29" t="n">
        <f aca="false">AD467/J467</f>
        <v>297.903685092127</v>
      </c>
    </row>
    <row r="468" customFormat="false" ht="15" hidden="false" customHeight="false" outlineLevel="0" collapsed="false">
      <c r="A468" s="0" t="str">
        <f aca="false">Raw!A468</f>
        <v>SHP0467</v>
      </c>
      <c r="B468" s="0" t="str">
        <f aca="false">Raw!B468</f>
        <v>Outbound</v>
      </c>
      <c r="C468" s="0" t="str">
        <f aca="false">Raw!C468</f>
        <v>Surat</v>
      </c>
      <c r="D468" s="0" t="str">
        <f aca="false">Raw!D468</f>
        <v>West Bengal</v>
      </c>
      <c r="E468" s="0" t="str">
        <f aca="false">IFERROR(INDEX(Location_Map!$B$2:$B$15,MATCH(C468,Location_Map!$A$2:$A$15,0)),"UNMAPPED")</f>
        <v>Gujarat</v>
      </c>
      <c r="F468" s="0" t="str">
        <f aca="false">IFERROR(INDEX(Location_Map!$C$2:$C$15,MATCH(C468,Location_Map!$A$2:$A$15,0)),"UNMAPPED")</f>
        <v>West</v>
      </c>
      <c r="G468" s="0" t="str">
        <f aca="false">IFERROR(INDEX(Location_Map!$B$2:$B$15,MATCH(D468,Location_Map!$A$2:$A$15,0)),"UNMAPPED")</f>
        <v>West Bengal</v>
      </c>
      <c r="H468" s="0" t="str">
        <f aca="false">IFERROR(INDEX(Location_Map!$C$2:$C$15,MATCH(D468,Location_Map!$A$2:$A$15,0)),"UNMAPPED")</f>
        <v>East</v>
      </c>
      <c r="I468" s="0" t="str">
        <f aca="false">Raw!E468</f>
        <v>Finished Yarn</v>
      </c>
      <c r="J468" s="28" t="n">
        <f aca="false">Raw!F468</f>
        <v>9.99</v>
      </c>
      <c r="K468" s="30" t="n">
        <f aca="false">DATE(LEFT(Raw!G468,4),MID(Raw!G468,6,2),MID(Raw!G468,9,2))</f>
        <v>45670</v>
      </c>
      <c r="L468" s="30" t="n">
        <f aca="false">DATE(LEFT(Raw!H468,4),MID(Raw!H468,6,2),MID(Raw!H468,9,2))</f>
        <v>45673</v>
      </c>
      <c r="M468" s="30" t="n">
        <f aca="false">DATE(LEFT(Raw!I468,4),MID(Raw!I468,6,2),MID(Raw!I468,9,2))</f>
        <v>45677</v>
      </c>
      <c r="N468" s="31" t="n">
        <f aca="false">DATE(LEFT(Raw!J468,4),MID(Raw!J468,6,2),MID(Raw!J468,9,2))+TIME(MID(Raw!J468,12,2),MID(Raw!J468,15,2),MID(Raw!J468,18,2))</f>
        <v>45673.375</v>
      </c>
      <c r="O468" s="31" t="n">
        <f aca="false">DATE(LEFT(Raw!K468,4),MID(Raw!K468,6,2),MID(Raw!K468,9,2))+TIME(MID(Raw!K468,12,2),MID(Raw!K468,15,2),MID(Raw!K468,18,2))</f>
        <v>45680.8</v>
      </c>
      <c r="P468" s="32" t="n">
        <f aca="false">L468-K468</f>
        <v>3</v>
      </c>
      <c r="Q468" s="32" t="n">
        <f aca="false">M468-L468</f>
        <v>4</v>
      </c>
      <c r="R468" s="32" t="n">
        <f aca="false">O468-N468</f>
        <v>7.425</v>
      </c>
      <c r="S468" s="32" t="n">
        <f aca="false">Raw!L468</f>
        <v>3.8</v>
      </c>
      <c r="T468" s="32" t="n">
        <f aca="false">O468-M468</f>
        <v>3.8</v>
      </c>
      <c r="U468" s="0" t="str">
        <f aca="false">IF(ABS(T468-S468)&lt;0.01,"OK","MISMATCH")</f>
        <v>OK</v>
      </c>
      <c r="V468" s="33" t="n">
        <f aca="false">Raw!M468</f>
        <v>1</v>
      </c>
      <c r="W468" s="0" t="str">
        <f aca="false">IF((S468&gt;0)=(V468=1),"OK","MISMATCH")</f>
        <v>OK</v>
      </c>
      <c r="X468" s="0" t="str">
        <f aca="false">_xlfn.IFS(S468&lt;=0,"Early/On time",S468&lt;=2,"Minor (up to 2 days)",S468&lt;=5,"Moderate (2-5 days)",TRUE(),"Severe (over 5 days)")</f>
        <v>Moderate (2-5 days)</v>
      </c>
      <c r="Y468" s="0" t="str">
        <f aca="false">YEAR(K468)&amp;"-"&amp;TEXT(MONTH(K468),"00")</f>
        <v>2025-01</v>
      </c>
      <c r="Z468" s="0" t="str">
        <f aca="false">C468&amp;" → "&amp;D468</f>
        <v>Surat → West Bengal</v>
      </c>
      <c r="AA468" s="0" t="str">
        <f aca="false">Raw!Q468</f>
        <v>TCI Express</v>
      </c>
      <c r="AB468" s="0" t="str">
        <f aca="false">Raw!R468</f>
        <v>No</v>
      </c>
      <c r="AC468" s="0" t="str">
        <f aca="false">Raw!S468</f>
        <v>Returned</v>
      </c>
      <c r="AD468" s="29" t="n">
        <f aca="false">Raw!N468</f>
        <v>4155.44</v>
      </c>
      <c r="AE468" s="29" t="n">
        <f aca="false">Raw!O468</f>
        <v>1522.02</v>
      </c>
      <c r="AF468" s="29" t="n">
        <f aca="false">Raw!P468</f>
        <v>940.54</v>
      </c>
      <c r="AG468" s="29" t="n">
        <f aca="false">AD468/J468</f>
        <v>415.95995995996</v>
      </c>
    </row>
    <row r="469" customFormat="false" ht="15" hidden="false" customHeight="false" outlineLevel="0" collapsed="false">
      <c r="A469" s="0" t="str">
        <f aca="false">Raw!A469</f>
        <v>SHP0468</v>
      </c>
      <c r="B469" s="0" t="str">
        <f aca="false">Raw!B469</f>
        <v>Inbound</v>
      </c>
      <c r="C469" s="0" t="str">
        <f aca="false">Raw!C469</f>
        <v>Punjab</v>
      </c>
      <c r="D469" s="0" t="str">
        <f aca="false">Raw!D469</f>
        <v>Surat</v>
      </c>
      <c r="E469" s="0" t="str">
        <f aca="false">IFERROR(INDEX(Location_Map!$B$2:$B$15,MATCH(C469,Location_Map!$A$2:$A$15,0)),"UNMAPPED")</f>
        <v>Punjab</v>
      </c>
      <c r="F469" s="0" t="str">
        <f aca="false">IFERROR(INDEX(Location_Map!$C$2:$C$15,MATCH(C469,Location_Map!$A$2:$A$15,0)),"UNMAPPED")</f>
        <v>North</v>
      </c>
      <c r="G469" s="0" t="str">
        <f aca="false">IFERROR(INDEX(Location_Map!$B$2:$B$15,MATCH(D469,Location_Map!$A$2:$A$15,0)),"UNMAPPED")</f>
        <v>Gujarat</v>
      </c>
      <c r="H469" s="0" t="str">
        <f aca="false">IFERROR(INDEX(Location_Map!$C$2:$C$15,MATCH(D469,Location_Map!$A$2:$A$15,0)),"UNMAPPED")</f>
        <v>West</v>
      </c>
      <c r="I469" s="0" t="str">
        <f aca="false">Raw!E469</f>
        <v>Semi-Processed Yarn</v>
      </c>
      <c r="J469" s="28" t="n">
        <f aca="false">Raw!F469</f>
        <v>7.03</v>
      </c>
      <c r="K469" s="30" t="n">
        <f aca="false">DATE(LEFT(Raw!G469,4),MID(Raw!G469,6,2),MID(Raw!G469,9,2))</f>
        <v>45931</v>
      </c>
      <c r="L469" s="30" t="n">
        <f aca="false">DATE(LEFT(Raw!H469,4),MID(Raw!H469,6,2),MID(Raw!H469,9,2))</f>
        <v>45932</v>
      </c>
      <c r="M469" s="30" t="n">
        <f aca="false">DATE(LEFT(Raw!I469,4),MID(Raw!I469,6,2),MID(Raw!I469,9,2))</f>
        <v>45937</v>
      </c>
      <c r="N469" s="31" t="n">
        <f aca="false">DATE(LEFT(Raw!J469,4),MID(Raw!J469,6,2),MID(Raw!J469,9,2))+TIME(MID(Raw!J469,12,2),MID(Raw!J469,15,2),MID(Raw!J469,18,2))</f>
        <v>45932.125</v>
      </c>
      <c r="O469" s="31" t="n">
        <f aca="false">DATE(LEFT(Raw!K469,4),MID(Raw!K469,6,2),MID(Raw!K469,9,2))+TIME(MID(Raw!K469,12,2),MID(Raw!K469,15,2),MID(Raw!K469,18,2))</f>
        <v>45944.3</v>
      </c>
      <c r="P469" s="32" t="n">
        <f aca="false">L469-K469</f>
        <v>1</v>
      </c>
      <c r="Q469" s="32" t="n">
        <f aca="false">M469-L469</f>
        <v>5</v>
      </c>
      <c r="R469" s="32" t="n">
        <f aca="false">O469-N469</f>
        <v>12.175</v>
      </c>
      <c r="S469" s="32" t="n">
        <f aca="false">Raw!L469</f>
        <v>7.3</v>
      </c>
      <c r="T469" s="32" t="n">
        <f aca="false">O469-M469</f>
        <v>7.3</v>
      </c>
      <c r="U469" s="0" t="str">
        <f aca="false">IF(ABS(T469-S469)&lt;0.01,"OK","MISMATCH")</f>
        <v>OK</v>
      </c>
      <c r="V469" s="33" t="n">
        <f aca="false">Raw!M469</f>
        <v>1</v>
      </c>
      <c r="W469" s="0" t="str">
        <f aca="false">IF((S469&gt;0)=(V469=1),"OK","MISMATCH")</f>
        <v>OK</v>
      </c>
      <c r="X469" s="0" t="str">
        <f aca="false">_xlfn.IFS(S469&lt;=0,"Early/On time",S469&lt;=2,"Minor (up to 2 days)",S469&lt;=5,"Moderate (2-5 days)",TRUE(),"Severe (over 5 days)")</f>
        <v>Severe (over 5 days)</v>
      </c>
      <c r="Y469" s="0" t="str">
        <f aca="false">YEAR(K469)&amp;"-"&amp;TEXT(MONTH(K469),"00")</f>
        <v>2025-10</v>
      </c>
      <c r="Z469" s="0" t="str">
        <f aca="false">C469&amp;" → "&amp;D469</f>
        <v>Punjab → Surat</v>
      </c>
      <c r="AA469" s="0" t="str">
        <f aca="false">Raw!Q469</f>
        <v>Delhivery</v>
      </c>
      <c r="AB469" s="0" t="str">
        <f aca="false">Raw!R469</f>
        <v>Yes</v>
      </c>
      <c r="AC469" s="0" t="str">
        <f aca="false">Raw!S469</f>
        <v>Held at warehouse</v>
      </c>
      <c r="AD469" s="29" t="n">
        <f aca="false">Raw!N469</f>
        <v>2856.55</v>
      </c>
      <c r="AE469" s="29" t="n">
        <f aca="false">Raw!O469</f>
        <v>2662.06</v>
      </c>
      <c r="AF469" s="29" t="n">
        <f aca="false">Raw!P469</f>
        <v>1408.02</v>
      </c>
      <c r="AG469" s="29" t="n">
        <f aca="false">AD469/J469</f>
        <v>406.337126600285</v>
      </c>
    </row>
    <row r="470" customFormat="false" ht="15" hidden="false" customHeight="false" outlineLevel="0" collapsed="false">
      <c r="A470" s="0" t="str">
        <f aca="false">Raw!A470</f>
        <v>SHP0469</v>
      </c>
      <c r="B470" s="0" t="str">
        <f aca="false">Raw!B470</f>
        <v>Outbound</v>
      </c>
      <c r="C470" s="0" t="str">
        <f aca="false">Raw!C470</f>
        <v>Surat</v>
      </c>
      <c r="D470" s="0" t="str">
        <f aca="false">Raw!D470</f>
        <v>Madhya Pradesh</v>
      </c>
      <c r="E470" s="0" t="str">
        <f aca="false">IFERROR(INDEX(Location_Map!$B$2:$B$15,MATCH(C470,Location_Map!$A$2:$A$15,0)),"UNMAPPED")</f>
        <v>Gujarat</v>
      </c>
      <c r="F470" s="0" t="str">
        <f aca="false">IFERROR(INDEX(Location_Map!$C$2:$C$15,MATCH(C470,Location_Map!$A$2:$A$15,0)),"UNMAPPED")</f>
        <v>West</v>
      </c>
      <c r="G470" s="0" t="str">
        <f aca="false">IFERROR(INDEX(Location_Map!$B$2:$B$15,MATCH(D470,Location_Map!$A$2:$A$15,0)),"UNMAPPED")</f>
        <v>Madhya Pradesh</v>
      </c>
      <c r="H470" s="0" t="str">
        <f aca="false">IFERROR(INDEX(Location_Map!$C$2:$C$15,MATCH(D470,Location_Map!$A$2:$A$15,0)),"UNMAPPED")</f>
        <v>Central</v>
      </c>
      <c r="I470" s="0" t="str">
        <f aca="false">Raw!E470</f>
        <v>Finished Yarn</v>
      </c>
      <c r="J470" s="28" t="n">
        <f aca="false">Raw!F470</f>
        <v>5.61</v>
      </c>
      <c r="K470" s="30" t="n">
        <f aca="false">DATE(LEFT(Raw!G470,4),MID(Raw!G470,6,2),MID(Raw!G470,9,2))</f>
        <v>45685</v>
      </c>
      <c r="L470" s="30" t="n">
        <f aca="false">DATE(LEFT(Raw!H470,4),MID(Raw!H470,6,2),MID(Raw!H470,9,2))</f>
        <v>45687</v>
      </c>
      <c r="M470" s="30" t="n">
        <f aca="false">DATE(LEFT(Raw!I470,4),MID(Raw!I470,6,2),MID(Raw!I470,9,2))</f>
        <v>45690</v>
      </c>
      <c r="N470" s="31" t="n">
        <f aca="false">DATE(LEFT(Raw!J470,4),MID(Raw!J470,6,2),MID(Raw!J470,9,2))+TIME(MID(Raw!J470,12,2),MID(Raw!J470,15,2),MID(Raw!J470,18,2))</f>
        <v>45686.8333333333</v>
      </c>
      <c r="O470" s="31" t="n">
        <f aca="false">DATE(LEFT(Raw!K470,4),MID(Raw!K470,6,2),MID(Raw!K470,9,2))+TIME(MID(Raw!K470,12,2),MID(Raw!K470,15,2),MID(Raw!K470,18,2))</f>
        <v>45689.3</v>
      </c>
      <c r="P470" s="32" t="n">
        <f aca="false">L470-K470</f>
        <v>2</v>
      </c>
      <c r="Q470" s="32" t="n">
        <f aca="false">M470-L470</f>
        <v>3</v>
      </c>
      <c r="R470" s="32" t="n">
        <f aca="false">O470-N470</f>
        <v>2.46666666666667</v>
      </c>
      <c r="S470" s="32" t="n">
        <f aca="false">Raw!L470</f>
        <v>-0.7</v>
      </c>
      <c r="T470" s="32" t="n">
        <f aca="false">O470-M470</f>
        <v>-0.7</v>
      </c>
      <c r="U470" s="0" t="str">
        <f aca="false">IF(ABS(T470-S470)&lt;0.01,"OK","MISMATCH")</f>
        <v>OK</v>
      </c>
      <c r="V470" s="33" t="n">
        <f aca="false">Raw!M470</f>
        <v>0</v>
      </c>
      <c r="W470" s="0" t="str">
        <f aca="false">IF((S470&gt;0)=(V470=1),"OK","MISMATCH")</f>
        <v>OK</v>
      </c>
      <c r="X470" s="0" t="str">
        <f aca="false">_xlfn.IFS(S470&lt;=0,"Early/On time",S470&lt;=2,"Minor (up to 2 days)",S470&lt;=5,"Moderate (2-5 days)",TRUE(),"Severe (over 5 days)")</f>
        <v>Early/On time</v>
      </c>
      <c r="Y470" s="0" t="str">
        <f aca="false">YEAR(K470)&amp;"-"&amp;TEXT(MONTH(K470),"00")</f>
        <v>2025-01</v>
      </c>
      <c r="Z470" s="0" t="str">
        <f aca="false">C470&amp;" → "&amp;D470</f>
        <v>Surat → Madhya Pradesh</v>
      </c>
      <c r="AA470" s="0" t="str">
        <f aca="false">Raw!Q470</f>
        <v>VRL Cargo</v>
      </c>
      <c r="AB470" s="0" t="str">
        <f aca="false">Raw!R470</f>
        <v>No</v>
      </c>
      <c r="AC470" s="0" t="str">
        <f aca="false">Raw!S470</f>
        <v>Normal</v>
      </c>
      <c r="AD470" s="29" t="n">
        <f aca="false">Raw!N470</f>
        <v>3501.06</v>
      </c>
      <c r="AE470" s="29" t="n">
        <f aca="false">Raw!O470</f>
        <v>1501.5</v>
      </c>
      <c r="AF470" s="29" t="n">
        <f aca="false">Raw!P470</f>
        <v>753.61</v>
      </c>
      <c r="AG470" s="29" t="n">
        <f aca="false">AD470/J470</f>
        <v>624.07486631016</v>
      </c>
    </row>
    <row r="471" customFormat="false" ht="15" hidden="false" customHeight="false" outlineLevel="0" collapsed="false">
      <c r="A471" s="0" t="str">
        <f aca="false">Raw!A471</f>
        <v>SHP0470</v>
      </c>
      <c r="B471" s="0" t="str">
        <f aca="false">Raw!B471</f>
        <v>Inbound</v>
      </c>
      <c r="C471" s="0" t="str">
        <f aca="false">Raw!C471</f>
        <v>Gujarat</v>
      </c>
      <c r="D471" s="0" t="str">
        <f aca="false">Raw!D471</f>
        <v>Surat</v>
      </c>
      <c r="E471" s="0" t="str">
        <f aca="false">IFERROR(INDEX(Location_Map!$B$2:$B$15,MATCH(C471,Location_Map!$A$2:$A$15,0)),"UNMAPPED")</f>
        <v>Gujarat</v>
      </c>
      <c r="F471" s="0" t="str">
        <f aca="false">IFERROR(INDEX(Location_Map!$C$2:$C$15,MATCH(C471,Location_Map!$A$2:$A$15,0)),"UNMAPPED")</f>
        <v>West</v>
      </c>
      <c r="G471" s="0" t="str">
        <f aca="false">IFERROR(INDEX(Location_Map!$B$2:$B$15,MATCH(D471,Location_Map!$A$2:$A$15,0)),"UNMAPPED")</f>
        <v>Gujarat</v>
      </c>
      <c r="H471" s="0" t="str">
        <f aca="false">IFERROR(INDEX(Location_Map!$C$2:$C$15,MATCH(D471,Location_Map!$A$2:$A$15,0)),"UNMAPPED")</f>
        <v>West</v>
      </c>
      <c r="I471" s="0" t="str">
        <f aca="false">Raw!E471</f>
        <v>Raw Yarn</v>
      </c>
      <c r="J471" s="28" t="n">
        <f aca="false">Raw!F471</f>
        <v>13.2</v>
      </c>
      <c r="K471" s="30" t="n">
        <f aca="false">DATE(LEFT(Raw!G471,4),MID(Raw!G471,6,2),MID(Raw!G471,9,2))</f>
        <v>45740</v>
      </c>
      <c r="L471" s="30" t="n">
        <f aca="false">DATE(LEFT(Raw!H471,4),MID(Raw!H471,6,2),MID(Raw!H471,9,2))</f>
        <v>45742</v>
      </c>
      <c r="M471" s="30" t="n">
        <f aca="false">DATE(LEFT(Raw!I471,4),MID(Raw!I471,6,2),MID(Raw!I471,9,2))</f>
        <v>45746</v>
      </c>
      <c r="N471" s="31" t="n">
        <f aca="false">DATE(LEFT(Raw!J471,4),MID(Raw!J471,6,2),MID(Raw!J471,9,2))+TIME(MID(Raw!J471,12,2),MID(Raw!J471,15,2),MID(Raw!J471,18,2))</f>
        <v>45741.8333333333</v>
      </c>
      <c r="O471" s="31" t="n">
        <f aca="false">DATE(LEFT(Raw!K471,4),MID(Raw!K471,6,2),MID(Raw!K471,9,2))+TIME(MID(Raw!K471,12,2),MID(Raw!K471,15,2),MID(Raw!K471,18,2))</f>
        <v>45747.8</v>
      </c>
      <c r="P471" s="32" t="n">
        <f aca="false">L471-K471</f>
        <v>2</v>
      </c>
      <c r="Q471" s="32" t="n">
        <f aca="false">M471-L471</f>
        <v>4</v>
      </c>
      <c r="R471" s="32" t="n">
        <f aca="false">O471-N471</f>
        <v>5.96666666666667</v>
      </c>
      <c r="S471" s="32" t="n">
        <f aca="false">Raw!L471</f>
        <v>1.8</v>
      </c>
      <c r="T471" s="32" t="n">
        <f aca="false">O471-M471</f>
        <v>1.8</v>
      </c>
      <c r="U471" s="0" t="str">
        <f aca="false">IF(ABS(T471-S471)&lt;0.01,"OK","MISMATCH")</f>
        <v>OK</v>
      </c>
      <c r="V471" s="33" t="n">
        <f aca="false">Raw!M471</f>
        <v>1</v>
      </c>
      <c r="W471" s="0" t="str">
        <f aca="false">IF((S471&gt;0)=(V471=1),"OK","MISMATCH")</f>
        <v>OK</v>
      </c>
      <c r="X471" s="0" t="str">
        <f aca="false">_xlfn.IFS(S471&lt;=0,"Early/On time",S471&lt;=2,"Minor (up to 2 days)",S471&lt;=5,"Moderate (2-5 days)",TRUE(),"Severe (over 5 days)")</f>
        <v>Minor (up to 2 days)</v>
      </c>
      <c r="Y471" s="0" t="str">
        <f aca="false">YEAR(K471)&amp;"-"&amp;TEXT(MONTH(K471),"00")</f>
        <v>2025-03</v>
      </c>
      <c r="Z471" s="0" t="str">
        <f aca="false">C471&amp;" → "&amp;D471</f>
        <v>Gujarat → Surat</v>
      </c>
      <c r="AA471" s="0" t="str">
        <f aca="false">Raw!Q471</f>
        <v>BlueDart</v>
      </c>
      <c r="AB471" s="0" t="str">
        <f aca="false">Raw!R471</f>
        <v>Yes</v>
      </c>
      <c r="AC471" s="0" t="str">
        <f aca="false">Raw!S471</f>
        <v>Returned</v>
      </c>
      <c r="AD471" s="29" t="n">
        <f aca="false">Raw!N471</f>
        <v>8728.42</v>
      </c>
      <c r="AE471" s="29" t="n">
        <f aca="false">Raw!O471</f>
        <v>4240.64</v>
      </c>
      <c r="AF471" s="29" t="n">
        <f aca="false">Raw!P471</f>
        <v>929.67</v>
      </c>
      <c r="AG471" s="29" t="n">
        <f aca="false">AD471/J471</f>
        <v>661.243939393939</v>
      </c>
    </row>
    <row r="472" customFormat="false" ht="15" hidden="false" customHeight="false" outlineLevel="0" collapsed="false">
      <c r="A472" s="0" t="str">
        <f aca="false">Raw!A472</f>
        <v>SHP0471</v>
      </c>
      <c r="B472" s="0" t="str">
        <f aca="false">Raw!B472</f>
        <v>Inbound</v>
      </c>
      <c r="C472" s="0" t="str">
        <f aca="false">Raw!C472</f>
        <v>Uttar Pradesh</v>
      </c>
      <c r="D472" s="0" t="str">
        <f aca="false">Raw!D472</f>
        <v>Surat</v>
      </c>
      <c r="E472" s="0" t="str">
        <f aca="false">IFERROR(INDEX(Location_Map!$B$2:$B$15,MATCH(C472,Location_Map!$A$2:$A$15,0)),"UNMAPPED")</f>
        <v>Uttar Pradesh</v>
      </c>
      <c r="F472" s="0" t="str">
        <f aca="false">IFERROR(INDEX(Location_Map!$C$2:$C$15,MATCH(C472,Location_Map!$A$2:$A$15,0)),"UNMAPPED")</f>
        <v>North</v>
      </c>
      <c r="G472" s="0" t="str">
        <f aca="false">IFERROR(INDEX(Location_Map!$B$2:$B$15,MATCH(D472,Location_Map!$A$2:$A$15,0)),"UNMAPPED")</f>
        <v>Gujarat</v>
      </c>
      <c r="H472" s="0" t="str">
        <f aca="false">IFERROR(INDEX(Location_Map!$C$2:$C$15,MATCH(D472,Location_Map!$A$2:$A$15,0)),"UNMAPPED")</f>
        <v>West</v>
      </c>
      <c r="I472" s="0" t="str">
        <f aca="false">Raw!E472</f>
        <v>Raw Yarn</v>
      </c>
      <c r="J472" s="28" t="n">
        <f aca="false">Raw!F472</f>
        <v>15.25</v>
      </c>
      <c r="K472" s="30" t="n">
        <f aca="false">DATE(LEFT(Raw!G472,4),MID(Raw!G472,6,2),MID(Raw!G472,9,2))</f>
        <v>45931</v>
      </c>
      <c r="L472" s="30" t="n">
        <f aca="false">DATE(LEFT(Raw!H472,4),MID(Raw!H472,6,2),MID(Raw!H472,9,2))</f>
        <v>45934</v>
      </c>
      <c r="M472" s="30" t="n">
        <f aca="false">DATE(LEFT(Raw!I472,4),MID(Raw!I472,6,2),MID(Raw!I472,9,2))</f>
        <v>45938</v>
      </c>
      <c r="N472" s="31" t="n">
        <f aca="false">DATE(LEFT(Raw!J472,4),MID(Raw!J472,6,2),MID(Raw!J472,9,2))+TIME(MID(Raw!J472,12,2),MID(Raw!J472,15,2),MID(Raw!J472,18,2))</f>
        <v>45934.0833333333</v>
      </c>
      <c r="O472" s="31" t="n">
        <f aca="false">DATE(LEFT(Raw!K472,4),MID(Raw!K472,6,2),MID(Raw!K472,9,2))+TIME(MID(Raw!K472,12,2),MID(Raw!K472,15,2),MID(Raw!K472,18,2))</f>
        <v>45938.8</v>
      </c>
      <c r="P472" s="32" t="n">
        <f aca="false">L472-K472</f>
        <v>3</v>
      </c>
      <c r="Q472" s="32" t="n">
        <f aca="false">M472-L472</f>
        <v>4</v>
      </c>
      <c r="R472" s="32" t="n">
        <f aca="false">O472-N472</f>
        <v>4.71666666666667</v>
      </c>
      <c r="S472" s="32" t="n">
        <f aca="false">Raw!L472</f>
        <v>0.8</v>
      </c>
      <c r="T472" s="32" t="n">
        <f aca="false">O472-M472</f>
        <v>0.8</v>
      </c>
      <c r="U472" s="0" t="str">
        <f aca="false">IF(ABS(T472-S472)&lt;0.01,"OK","MISMATCH")</f>
        <v>OK</v>
      </c>
      <c r="V472" s="33" t="n">
        <f aca="false">Raw!M472</f>
        <v>1</v>
      </c>
      <c r="W472" s="0" t="str">
        <f aca="false">IF((S472&gt;0)=(V472=1),"OK","MISMATCH")</f>
        <v>OK</v>
      </c>
      <c r="X472" s="0" t="str">
        <f aca="false">_xlfn.IFS(S472&lt;=0,"Early/On time",S472&lt;=2,"Minor (up to 2 days)",S472&lt;=5,"Moderate (2-5 days)",TRUE(),"Severe (over 5 days)")</f>
        <v>Minor (up to 2 days)</v>
      </c>
      <c r="Y472" s="0" t="str">
        <f aca="false">YEAR(K472)&amp;"-"&amp;TEXT(MONTH(K472),"00")</f>
        <v>2025-10</v>
      </c>
      <c r="Z472" s="0" t="str">
        <f aca="false">C472&amp;" → "&amp;D472</f>
        <v>Uttar Pradesh → Surat</v>
      </c>
      <c r="AA472" s="0" t="str">
        <f aca="false">Raw!Q472</f>
        <v>Delhivery</v>
      </c>
      <c r="AB472" s="0" t="str">
        <f aca="false">Raw!R472</f>
        <v>No</v>
      </c>
      <c r="AC472" s="0" t="str">
        <f aca="false">Raw!S472</f>
        <v>Damaged</v>
      </c>
      <c r="AD472" s="29" t="n">
        <f aca="false">Raw!N472</f>
        <v>5254.42</v>
      </c>
      <c r="AE472" s="29" t="n">
        <f aca="false">Raw!O472</f>
        <v>3220.54</v>
      </c>
      <c r="AF472" s="29" t="n">
        <f aca="false">Raw!P472</f>
        <v>1087.99</v>
      </c>
      <c r="AG472" s="29" t="n">
        <f aca="false">AD472/J472</f>
        <v>344.552131147541</v>
      </c>
    </row>
    <row r="473" customFormat="false" ht="15" hidden="false" customHeight="false" outlineLevel="0" collapsed="false">
      <c r="A473" s="0" t="str">
        <f aca="false">Raw!A473</f>
        <v>SHP0472</v>
      </c>
      <c r="B473" s="0" t="str">
        <f aca="false">Raw!B473</f>
        <v>Inbound</v>
      </c>
      <c r="C473" s="0" t="str">
        <f aca="false">Raw!C473</f>
        <v>Uttar Pradesh</v>
      </c>
      <c r="D473" s="0" t="str">
        <f aca="false">Raw!D473</f>
        <v>Surat</v>
      </c>
      <c r="E473" s="0" t="str">
        <f aca="false">IFERROR(INDEX(Location_Map!$B$2:$B$15,MATCH(C473,Location_Map!$A$2:$A$15,0)),"UNMAPPED")</f>
        <v>Uttar Pradesh</v>
      </c>
      <c r="F473" s="0" t="str">
        <f aca="false">IFERROR(INDEX(Location_Map!$C$2:$C$15,MATCH(C473,Location_Map!$A$2:$A$15,0)),"UNMAPPED")</f>
        <v>North</v>
      </c>
      <c r="G473" s="0" t="str">
        <f aca="false">IFERROR(INDEX(Location_Map!$B$2:$B$15,MATCH(D473,Location_Map!$A$2:$A$15,0)),"UNMAPPED")</f>
        <v>Gujarat</v>
      </c>
      <c r="H473" s="0" t="str">
        <f aca="false">IFERROR(INDEX(Location_Map!$C$2:$C$15,MATCH(D473,Location_Map!$A$2:$A$15,0)),"UNMAPPED")</f>
        <v>West</v>
      </c>
      <c r="I473" s="0" t="str">
        <f aca="false">Raw!E473</f>
        <v>Finished Yarn</v>
      </c>
      <c r="J473" s="28" t="n">
        <f aca="false">Raw!F473</f>
        <v>9.1</v>
      </c>
      <c r="K473" s="30" t="n">
        <f aca="false">DATE(LEFT(Raw!G473,4),MID(Raw!G473,6,2),MID(Raw!G473,9,2))</f>
        <v>45842</v>
      </c>
      <c r="L473" s="30" t="n">
        <f aca="false">DATE(LEFT(Raw!H473,4),MID(Raw!H473,6,2),MID(Raw!H473,9,2))</f>
        <v>45843</v>
      </c>
      <c r="M473" s="30" t="n">
        <f aca="false">DATE(LEFT(Raw!I473,4),MID(Raw!I473,6,2),MID(Raw!I473,9,2))</f>
        <v>45846</v>
      </c>
      <c r="N473" s="31" t="n">
        <f aca="false">DATE(LEFT(Raw!J473,4),MID(Raw!J473,6,2),MID(Raw!J473,9,2))+TIME(MID(Raw!J473,12,2),MID(Raw!J473,15,2),MID(Raw!J473,18,2))</f>
        <v>45843.1666666667</v>
      </c>
      <c r="O473" s="31" t="n">
        <f aca="false">DATE(LEFT(Raw!K473,4),MID(Raw!K473,6,2),MID(Raw!K473,9,2))+TIME(MID(Raw!K473,12,2),MID(Raw!K473,15,2),MID(Raw!K473,18,2))</f>
        <v>45846.8</v>
      </c>
      <c r="P473" s="32" t="n">
        <f aca="false">L473-K473</f>
        <v>1</v>
      </c>
      <c r="Q473" s="32" t="n">
        <f aca="false">M473-L473</f>
        <v>3</v>
      </c>
      <c r="R473" s="32" t="n">
        <f aca="false">O473-N473</f>
        <v>3.63333333333333</v>
      </c>
      <c r="S473" s="32" t="n">
        <f aca="false">Raw!L473</f>
        <v>0.8</v>
      </c>
      <c r="T473" s="32" t="n">
        <f aca="false">O473-M473</f>
        <v>0.8</v>
      </c>
      <c r="U473" s="0" t="str">
        <f aca="false">IF(ABS(T473-S473)&lt;0.01,"OK","MISMATCH")</f>
        <v>OK</v>
      </c>
      <c r="V473" s="33" t="n">
        <f aca="false">Raw!M473</f>
        <v>1</v>
      </c>
      <c r="W473" s="0" t="str">
        <f aca="false">IF((S473&gt;0)=(V473=1),"OK","MISMATCH")</f>
        <v>OK</v>
      </c>
      <c r="X473" s="0" t="str">
        <f aca="false">_xlfn.IFS(S473&lt;=0,"Early/On time",S473&lt;=2,"Minor (up to 2 days)",S473&lt;=5,"Moderate (2-5 days)",TRUE(),"Severe (over 5 days)")</f>
        <v>Minor (up to 2 days)</v>
      </c>
      <c r="Y473" s="0" t="str">
        <f aca="false">YEAR(K473)&amp;"-"&amp;TEXT(MONTH(K473),"00")</f>
        <v>2025-07</v>
      </c>
      <c r="Z473" s="0" t="str">
        <f aca="false">C473&amp;" → "&amp;D473</f>
        <v>Uttar Pradesh → Surat</v>
      </c>
      <c r="AA473" s="0" t="str">
        <f aca="false">Raw!Q473</f>
        <v>VRL Cargo</v>
      </c>
      <c r="AB473" s="0" t="str">
        <f aca="false">Raw!R473</f>
        <v>Yes</v>
      </c>
      <c r="AC473" s="0" t="str">
        <f aca="false">Raw!S473</f>
        <v>Damaged</v>
      </c>
      <c r="AD473" s="29" t="n">
        <f aca="false">Raw!N473</f>
        <v>4021.77</v>
      </c>
      <c r="AE473" s="29" t="n">
        <f aca="false">Raw!O473</f>
        <v>2133.14</v>
      </c>
      <c r="AF473" s="29" t="n">
        <f aca="false">Raw!P473</f>
        <v>900.31</v>
      </c>
      <c r="AG473" s="29" t="n">
        <f aca="false">AD473/J473</f>
        <v>441.952747252747</v>
      </c>
    </row>
    <row r="474" customFormat="false" ht="15" hidden="false" customHeight="false" outlineLevel="0" collapsed="false">
      <c r="A474" s="0" t="str">
        <f aca="false">Raw!A474</f>
        <v>SHP0473</v>
      </c>
      <c r="B474" s="0" t="str">
        <f aca="false">Raw!B474</f>
        <v>Inbound</v>
      </c>
      <c r="C474" s="0" t="str">
        <f aca="false">Raw!C474</f>
        <v>Chennai</v>
      </c>
      <c r="D474" s="0" t="str">
        <f aca="false">Raw!D474</f>
        <v>Surat</v>
      </c>
      <c r="E474" s="0" t="str">
        <f aca="false">IFERROR(INDEX(Location_Map!$B$2:$B$15,MATCH(C474,Location_Map!$A$2:$A$15,0)),"UNMAPPED")</f>
        <v>Tamil Nadu</v>
      </c>
      <c r="F474" s="0" t="str">
        <f aca="false">IFERROR(INDEX(Location_Map!$C$2:$C$15,MATCH(C474,Location_Map!$A$2:$A$15,0)),"UNMAPPED")</f>
        <v>South</v>
      </c>
      <c r="G474" s="0" t="str">
        <f aca="false">IFERROR(INDEX(Location_Map!$B$2:$B$15,MATCH(D474,Location_Map!$A$2:$A$15,0)),"UNMAPPED")</f>
        <v>Gujarat</v>
      </c>
      <c r="H474" s="0" t="str">
        <f aca="false">IFERROR(INDEX(Location_Map!$C$2:$C$15,MATCH(D474,Location_Map!$A$2:$A$15,0)),"UNMAPPED")</f>
        <v>West</v>
      </c>
      <c r="I474" s="0" t="str">
        <f aca="false">Raw!E474</f>
        <v>Semi-Processed Yarn</v>
      </c>
      <c r="J474" s="28" t="n">
        <f aca="false">Raw!F474</f>
        <v>16.43</v>
      </c>
      <c r="K474" s="30" t="n">
        <f aca="false">DATE(LEFT(Raw!G474,4),MID(Raw!G474,6,2),MID(Raw!G474,9,2))</f>
        <v>45662</v>
      </c>
      <c r="L474" s="30" t="n">
        <f aca="false">DATE(LEFT(Raw!H474,4),MID(Raw!H474,6,2),MID(Raw!H474,9,2))</f>
        <v>45665</v>
      </c>
      <c r="M474" s="30" t="n">
        <f aca="false">DATE(LEFT(Raw!I474,4),MID(Raw!I474,6,2),MID(Raw!I474,9,2))</f>
        <v>45667</v>
      </c>
      <c r="N474" s="31" t="n">
        <f aca="false">DATE(LEFT(Raw!J474,4),MID(Raw!J474,6,2),MID(Raw!J474,9,2))+TIME(MID(Raw!J474,12,2),MID(Raw!J474,15,2),MID(Raw!J474,18,2))</f>
        <v>45664.7916666667</v>
      </c>
      <c r="O474" s="31" t="n">
        <f aca="false">DATE(LEFT(Raw!K474,4),MID(Raw!K474,6,2),MID(Raw!K474,9,2))+TIME(MID(Raw!K474,12,2),MID(Raw!K474,15,2),MID(Raw!K474,18,2))</f>
        <v>45666</v>
      </c>
      <c r="P474" s="32" t="n">
        <f aca="false">L474-K474</f>
        <v>3</v>
      </c>
      <c r="Q474" s="32" t="n">
        <f aca="false">M474-L474</f>
        <v>2</v>
      </c>
      <c r="R474" s="32" t="n">
        <f aca="false">O474-N474</f>
        <v>1.20833333333333</v>
      </c>
      <c r="S474" s="32" t="n">
        <f aca="false">Raw!L474</f>
        <v>-1</v>
      </c>
      <c r="T474" s="32" t="n">
        <f aca="false">O474-M474</f>
        <v>-1</v>
      </c>
      <c r="U474" s="0" t="str">
        <f aca="false">IF(ABS(T474-S474)&lt;0.01,"OK","MISMATCH")</f>
        <v>OK</v>
      </c>
      <c r="V474" s="33" t="n">
        <f aca="false">Raw!M474</f>
        <v>0</v>
      </c>
      <c r="W474" s="0" t="str">
        <f aca="false">IF((S474&gt;0)=(V474=1),"OK","MISMATCH")</f>
        <v>OK</v>
      </c>
      <c r="X474" s="0" t="str">
        <f aca="false">_xlfn.IFS(S474&lt;=0,"Early/On time",S474&lt;=2,"Minor (up to 2 days)",S474&lt;=5,"Moderate (2-5 days)",TRUE(),"Severe (over 5 days)")</f>
        <v>Early/On time</v>
      </c>
      <c r="Y474" s="0" t="str">
        <f aca="false">YEAR(K474)&amp;"-"&amp;TEXT(MONTH(K474),"00")</f>
        <v>2025-01</v>
      </c>
      <c r="Z474" s="0" t="str">
        <f aca="false">C474&amp;" → "&amp;D474</f>
        <v>Chennai → Surat</v>
      </c>
      <c r="AA474" s="0" t="str">
        <f aca="false">Raw!Q474</f>
        <v>TCI Express</v>
      </c>
      <c r="AB474" s="0" t="str">
        <f aca="false">Raw!R474</f>
        <v>Yes</v>
      </c>
      <c r="AC474" s="0" t="str">
        <f aca="false">Raw!S474</f>
        <v>Held at warehouse</v>
      </c>
      <c r="AD474" s="29" t="n">
        <f aca="false">Raw!N474</f>
        <v>3980.27</v>
      </c>
      <c r="AE474" s="29" t="n">
        <f aca="false">Raw!O474</f>
        <v>4544.69</v>
      </c>
      <c r="AF474" s="29" t="n">
        <f aca="false">Raw!P474</f>
        <v>958.52</v>
      </c>
      <c r="AG474" s="29" t="n">
        <f aca="false">AD474/J474</f>
        <v>242.256238587949</v>
      </c>
    </row>
    <row r="475" customFormat="false" ht="15" hidden="false" customHeight="false" outlineLevel="0" collapsed="false">
      <c r="A475" s="0" t="str">
        <f aca="false">Raw!A475</f>
        <v>SHP0474</v>
      </c>
      <c r="B475" s="0" t="str">
        <f aca="false">Raw!B475</f>
        <v>Outbound</v>
      </c>
      <c r="C475" s="0" t="str">
        <f aca="false">Raw!C475</f>
        <v>Surat</v>
      </c>
      <c r="D475" s="0" t="str">
        <f aca="false">Raw!D475</f>
        <v>Jaipur</v>
      </c>
      <c r="E475" s="0" t="str">
        <f aca="false">IFERROR(INDEX(Location_Map!$B$2:$B$15,MATCH(C475,Location_Map!$A$2:$A$15,0)),"UNMAPPED")</f>
        <v>Gujarat</v>
      </c>
      <c r="F475" s="0" t="str">
        <f aca="false">IFERROR(INDEX(Location_Map!$C$2:$C$15,MATCH(C475,Location_Map!$A$2:$A$15,0)),"UNMAPPED")</f>
        <v>West</v>
      </c>
      <c r="G475" s="0" t="str">
        <f aca="false">IFERROR(INDEX(Location_Map!$B$2:$B$15,MATCH(D475,Location_Map!$A$2:$A$15,0)),"UNMAPPED")</f>
        <v>Rajasthan</v>
      </c>
      <c r="H475" s="0" t="str">
        <f aca="false">IFERROR(INDEX(Location_Map!$C$2:$C$15,MATCH(D475,Location_Map!$A$2:$A$15,0)),"UNMAPPED")</f>
        <v>North</v>
      </c>
      <c r="I475" s="0" t="str">
        <f aca="false">Raw!E475</f>
        <v>Raw Yarn</v>
      </c>
      <c r="J475" s="28" t="n">
        <f aca="false">Raw!F475</f>
        <v>11.73</v>
      </c>
      <c r="K475" s="30" t="n">
        <f aca="false">DATE(LEFT(Raw!G475,4),MID(Raw!G475,6,2),MID(Raw!G475,9,2))</f>
        <v>45856</v>
      </c>
      <c r="L475" s="30" t="n">
        <f aca="false">DATE(LEFT(Raw!H475,4),MID(Raw!H475,6,2),MID(Raw!H475,9,2))</f>
        <v>45859</v>
      </c>
      <c r="M475" s="30" t="n">
        <f aca="false">DATE(LEFT(Raw!I475,4),MID(Raw!I475,6,2),MID(Raw!I475,9,2))</f>
        <v>45865</v>
      </c>
      <c r="N475" s="31" t="n">
        <f aca="false">DATE(LEFT(Raw!J475,4),MID(Raw!J475,6,2),MID(Raw!J475,9,2))+TIME(MID(Raw!J475,12,2),MID(Raw!J475,15,2),MID(Raw!J475,18,2))</f>
        <v>45858.9166666667</v>
      </c>
      <c r="O475" s="31" t="n">
        <f aca="false">DATE(LEFT(Raw!K475,4),MID(Raw!K475,6,2),MID(Raw!K475,9,2))+TIME(MID(Raw!K475,12,2),MID(Raw!K475,15,2),MID(Raw!K475,18,2))</f>
        <v>45864</v>
      </c>
      <c r="P475" s="32" t="n">
        <f aca="false">L475-K475</f>
        <v>3</v>
      </c>
      <c r="Q475" s="32" t="n">
        <f aca="false">M475-L475</f>
        <v>6</v>
      </c>
      <c r="R475" s="32" t="n">
        <f aca="false">O475-N475</f>
        <v>5.08333333333333</v>
      </c>
      <c r="S475" s="32" t="n">
        <f aca="false">Raw!L475</f>
        <v>-1</v>
      </c>
      <c r="T475" s="32" t="n">
        <f aca="false">O475-M475</f>
        <v>-1</v>
      </c>
      <c r="U475" s="0" t="str">
        <f aca="false">IF(ABS(T475-S475)&lt;0.01,"OK","MISMATCH")</f>
        <v>OK</v>
      </c>
      <c r="V475" s="33" t="n">
        <f aca="false">Raw!M475</f>
        <v>0</v>
      </c>
      <c r="W475" s="0" t="str">
        <f aca="false">IF((S475&gt;0)=(V475=1),"OK","MISMATCH")</f>
        <v>OK</v>
      </c>
      <c r="X475" s="0" t="str">
        <f aca="false">_xlfn.IFS(S475&lt;=0,"Early/On time",S475&lt;=2,"Minor (up to 2 days)",S475&lt;=5,"Moderate (2-5 days)",TRUE(),"Severe (over 5 days)")</f>
        <v>Early/On time</v>
      </c>
      <c r="Y475" s="0" t="str">
        <f aca="false">YEAR(K475)&amp;"-"&amp;TEXT(MONTH(K475),"00")</f>
        <v>2025-07</v>
      </c>
      <c r="Z475" s="0" t="str">
        <f aca="false">C475&amp;" → "&amp;D475</f>
        <v>Surat → Jaipur</v>
      </c>
      <c r="AA475" s="0" t="str">
        <f aca="false">Raw!Q475</f>
        <v>VRL Cargo</v>
      </c>
      <c r="AB475" s="0" t="str">
        <f aca="false">Raw!R475</f>
        <v>No</v>
      </c>
      <c r="AC475" s="0" t="str">
        <f aca="false">Raw!S475</f>
        <v>Returned</v>
      </c>
      <c r="AD475" s="29" t="n">
        <f aca="false">Raw!N475</f>
        <v>8938.72</v>
      </c>
      <c r="AE475" s="29" t="n">
        <f aca="false">Raw!O475</f>
        <v>2148.88</v>
      </c>
      <c r="AF475" s="29" t="n">
        <f aca="false">Raw!P475</f>
        <v>1379.75</v>
      </c>
      <c r="AG475" s="29" t="n">
        <f aca="false">AD475/J475</f>
        <v>762.039215686275</v>
      </c>
    </row>
    <row r="476" customFormat="false" ht="15" hidden="false" customHeight="false" outlineLevel="0" collapsed="false">
      <c r="A476" s="0" t="str">
        <f aca="false">Raw!A476</f>
        <v>SHP0475</v>
      </c>
      <c r="B476" s="0" t="str">
        <f aca="false">Raw!B476</f>
        <v>Inbound</v>
      </c>
      <c r="C476" s="0" t="str">
        <f aca="false">Raw!C476</f>
        <v>Rajasthan</v>
      </c>
      <c r="D476" s="0" t="str">
        <f aca="false">Raw!D476</f>
        <v>Surat</v>
      </c>
      <c r="E476" s="0" t="str">
        <f aca="false">IFERROR(INDEX(Location_Map!$B$2:$B$15,MATCH(C476,Location_Map!$A$2:$A$15,0)),"UNMAPPED")</f>
        <v>Rajasthan</v>
      </c>
      <c r="F476" s="0" t="str">
        <f aca="false">IFERROR(INDEX(Location_Map!$C$2:$C$15,MATCH(C476,Location_Map!$A$2:$A$15,0)),"UNMAPPED")</f>
        <v>North</v>
      </c>
      <c r="G476" s="0" t="str">
        <f aca="false">IFERROR(INDEX(Location_Map!$B$2:$B$15,MATCH(D476,Location_Map!$A$2:$A$15,0)),"UNMAPPED")</f>
        <v>Gujarat</v>
      </c>
      <c r="H476" s="0" t="str">
        <f aca="false">IFERROR(INDEX(Location_Map!$C$2:$C$15,MATCH(D476,Location_Map!$A$2:$A$15,0)),"UNMAPPED")</f>
        <v>West</v>
      </c>
      <c r="I476" s="0" t="str">
        <f aca="false">Raw!E476</f>
        <v>Semi-Processed Yarn</v>
      </c>
      <c r="J476" s="28" t="n">
        <f aca="false">Raw!F476</f>
        <v>1.94</v>
      </c>
      <c r="K476" s="30" t="n">
        <f aca="false">DATE(LEFT(Raw!G476,4),MID(Raw!G476,6,2),MID(Raw!G476,9,2))</f>
        <v>45727</v>
      </c>
      <c r="L476" s="30" t="n">
        <f aca="false">DATE(LEFT(Raw!H476,4),MID(Raw!H476,6,2),MID(Raw!H476,9,2))</f>
        <v>45731</v>
      </c>
      <c r="M476" s="30" t="n">
        <f aca="false">DATE(LEFT(Raw!I476,4),MID(Raw!I476,6,2),MID(Raw!I476,9,2))</f>
        <v>45737</v>
      </c>
      <c r="N476" s="31" t="n">
        <f aca="false">DATE(LEFT(Raw!J476,4),MID(Raw!J476,6,2),MID(Raw!J476,9,2))+TIME(MID(Raw!J476,12,2),MID(Raw!J476,15,2),MID(Raw!J476,18,2))</f>
        <v>45731.25</v>
      </c>
      <c r="O476" s="31" t="n">
        <f aca="false">DATE(LEFT(Raw!K476,4),MID(Raw!K476,6,2),MID(Raw!K476,9,2))+TIME(MID(Raw!K476,12,2),MID(Raw!K476,15,2),MID(Raw!K476,18,2))</f>
        <v>45736</v>
      </c>
      <c r="P476" s="32" t="n">
        <f aca="false">L476-K476</f>
        <v>4</v>
      </c>
      <c r="Q476" s="32" t="n">
        <f aca="false">M476-L476</f>
        <v>6</v>
      </c>
      <c r="R476" s="32" t="n">
        <f aca="false">O476-N476</f>
        <v>4.75</v>
      </c>
      <c r="S476" s="32" t="n">
        <f aca="false">Raw!L476</f>
        <v>-1</v>
      </c>
      <c r="T476" s="32" t="n">
        <f aca="false">O476-M476</f>
        <v>-1</v>
      </c>
      <c r="U476" s="0" t="str">
        <f aca="false">IF(ABS(T476-S476)&lt;0.01,"OK","MISMATCH")</f>
        <v>OK</v>
      </c>
      <c r="V476" s="33" t="n">
        <f aca="false">Raw!M476</f>
        <v>0</v>
      </c>
      <c r="W476" s="0" t="str">
        <f aca="false">IF((S476&gt;0)=(V476=1),"OK","MISMATCH")</f>
        <v>OK</v>
      </c>
      <c r="X476" s="0" t="str">
        <f aca="false">_xlfn.IFS(S476&lt;=0,"Early/On time",S476&lt;=2,"Minor (up to 2 days)",S476&lt;=5,"Moderate (2-5 days)",TRUE(),"Severe (over 5 days)")</f>
        <v>Early/On time</v>
      </c>
      <c r="Y476" s="0" t="str">
        <f aca="false">YEAR(K476)&amp;"-"&amp;TEXT(MONTH(K476),"00")</f>
        <v>2025-03</v>
      </c>
      <c r="Z476" s="0" t="str">
        <f aca="false">C476&amp;" → "&amp;D476</f>
        <v>Rajasthan → Surat</v>
      </c>
      <c r="AA476" s="0" t="str">
        <f aca="false">Raw!Q476</f>
        <v>TCI Express</v>
      </c>
      <c r="AB476" s="0" t="str">
        <f aca="false">Raw!R476</f>
        <v>No</v>
      </c>
      <c r="AC476" s="0" t="str">
        <f aca="false">Raw!S476</f>
        <v>Damaged</v>
      </c>
      <c r="AD476" s="29" t="n">
        <f aca="false">Raw!N476</f>
        <v>2436.47</v>
      </c>
      <c r="AE476" s="29" t="n">
        <f aca="false">Raw!O476</f>
        <v>2250.39</v>
      </c>
      <c r="AF476" s="29" t="n">
        <f aca="false">Raw!P476</f>
        <v>910.68</v>
      </c>
      <c r="AG476" s="29" t="n">
        <f aca="false">AD476/J476</f>
        <v>1255.91237113402</v>
      </c>
    </row>
    <row r="477" customFormat="false" ht="15" hidden="false" customHeight="false" outlineLevel="0" collapsed="false">
      <c r="A477" s="0" t="str">
        <f aca="false">Raw!A477</f>
        <v>SHP0476</v>
      </c>
      <c r="B477" s="0" t="str">
        <f aca="false">Raw!B477</f>
        <v>Inbound</v>
      </c>
      <c r="C477" s="0" t="str">
        <f aca="false">Raw!C477</f>
        <v>Gujarat</v>
      </c>
      <c r="D477" s="0" t="str">
        <f aca="false">Raw!D477</f>
        <v>Surat</v>
      </c>
      <c r="E477" s="0" t="str">
        <f aca="false">IFERROR(INDEX(Location_Map!$B$2:$B$15,MATCH(C477,Location_Map!$A$2:$A$15,0)),"UNMAPPED")</f>
        <v>Gujarat</v>
      </c>
      <c r="F477" s="0" t="str">
        <f aca="false">IFERROR(INDEX(Location_Map!$C$2:$C$15,MATCH(C477,Location_Map!$A$2:$A$15,0)),"UNMAPPED")</f>
        <v>West</v>
      </c>
      <c r="G477" s="0" t="str">
        <f aca="false">IFERROR(INDEX(Location_Map!$B$2:$B$15,MATCH(D477,Location_Map!$A$2:$A$15,0)),"UNMAPPED")</f>
        <v>Gujarat</v>
      </c>
      <c r="H477" s="0" t="str">
        <f aca="false">IFERROR(INDEX(Location_Map!$C$2:$C$15,MATCH(D477,Location_Map!$A$2:$A$15,0)),"UNMAPPED")</f>
        <v>West</v>
      </c>
      <c r="I477" s="0" t="str">
        <f aca="false">Raw!E477</f>
        <v>Finished Yarn</v>
      </c>
      <c r="J477" s="28" t="n">
        <f aca="false">Raw!F477</f>
        <v>4.98</v>
      </c>
      <c r="K477" s="30" t="n">
        <f aca="false">DATE(LEFT(Raw!G477,4),MID(Raw!G477,6,2),MID(Raw!G477,9,2))</f>
        <v>45950</v>
      </c>
      <c r="L477" s="30" t="n">
        <f aca="false">DATE(LEFT(Raw!H477,4),MID(Raw!H477,6,2),MID(Raw!H477,9,2))</f>
        <v>45953</v>
      </c>
      <c r="M477" s="30" t="n">
        <f aca="false">DATE(LEFT(Raw!I477,4),MID(Raw!I477,6,2),MID(Raw!I477,9,2))</f>
        <v>45959</v>
      </c>
      <c r="N477" s="31" t="n">
        <f aca="false">DATE(LEFT(Raw!J477,4),MID(Raw!J477,6,2),MID(Raw!J477,9,2))+TIME(MID(Raw!J477,12,2),MID(Raw!J477,15,2),MID(Raw!J477,18,2))</f>
        <v>45953.3333333333</v>
      </c>
      <c r="O477" s="31" t="n">
        <f aca="false">DATE(LEFT(Raw!K477,4),MID(Raw!K477,6,2),MID(Raw!K477,9,2))+TIME(MID(Raw!K477,12,2),MID(Raw!K477,15,2),MID(Raw!K477,18,2))</f>
        <v>45958</v>
      </c>
      <c r="P477" s="32" t="n">
        <f aca="false">L477-K477</f>
        <v>3</v>
      </c>
      <c r="Q477" s="32" t="n">
        <f aca="false">M477-L477</f>
        <v>6</v>
      </c>
      <c r="R477" s="32" t="n">
        <f aca="false">O477-N477</f>
        <v>4.66666666666667</v>
      </c>
      <c r="S477" s="32" t="n">
        <f aca="false">Raw!L477</f>
        <v>-1</v>
      </c>
      <c r="T477" s="32" t="n">
        <f aca="false">O477-M477</f>
        <v>-1</v>
      </c>
      <c r="U477" s="0" t="str">
        <f aca="false">IF(ABS(T477-S477)&lt;0.01,"OK","MISMATCH")</f>
        <v>OK</v>
      </c>
      <c r="V477" s="33" t="n">
        <f aca="false">Raw!M477</f>
        <v>0</v>
      </c>
      <c r="W477" s="0" t="str">
        <f aca="false">IF((S477&gt;0)=(V477=1),"OK","MISMATCH")</f>
        <v>OK</v>
      </c>
      <c r="X477" s="0" t="str">
        <f aca="false">_xlfn.IFS(S477&lt;=0,"Early/On time",S477&lt;=2,"Minor (up to 2 days)",S477&lt;=5,"Moderate (2-5 days)",TRUE(),"Severe (over 5 days)")</f>
        <v>Early/On time</v>
      </c>
      <c r="Y477" s="0" t="str">
        <f aca="false">YEAR(K477)&amp;"-"&amp;TEXT(MONTH(K477),"00")</f>
        <v>2025-10</v>
      </c>
      <c r="Z477" s="0" t="str">
        <f aca="false">C477&amp;" → "&amp;D477</f>
        <v>Gujarat → Surat</v>
      </c>
      <c r="AA477" s="0" t="str">
        <f aca="false">Raw!Q477</f>
        <v>GATI Logistics</v>
      </c>
      <c r="AB477" s="0" t="str">
        <f aca="false">Raw!R477</f>
        <v>Yes</v>
      </c>
      <c r="AC477" s="0" t="str">
        <f aca="false">Raw!S477</f>
        <v>Held at warehouse</v>
      </c>
      <c r="AD477" s="29" t="n">
        <f aca="false">Raw!N477</f>
        <v>3628.67</v>
      </c>
      <c r="AE477" s="29" t="n">
        <f aca="false">Raw!O477</f>
        <v>1605.48</v>
      </c>
      <c r="AF477" s="29" t="n">
        <f aca="false">Raw!P477</f>
        <v>651.89</v>
      </c>
      <c r="AG477" s="29" t="n">
        <f aca="false">AD477/J477</f>
        <v>728.64859437751</v>
      </c>
    </row>
    <row r="478" customFormat="false" ht="15" hidden="false" customHeight="false" outlineLevel="0" collapsed="false">
      <c r="A478" s="0" t="str">
        <f aca="false">Raw!A478</f>
        <v>SHP0477</v>
      </c>
      <c r="B478" s="0" t="str">
        <f aca="false">Raw!B478</f>
        <v>Inbound</v>
      </c>
      <c r="C478" s="0" t="str">
        <f aca="false">Raw!C478</f>
        <v>Chennai</v>
      </c>
      <c r="D478" s="0" t="str">
        <f aca="false">Raw!D478</f>
        <v>Surat</v>
      </c>
      <c r="E478" s="0" t="str">
        <f aca="false">IFERROR(INDEX(Location_Map!$B$2:$B$15,MATCH(C478,Location_Map!$A$2:$A$15,0)),"UNMAPPED")</f>
        <v>Tamil Nadu</v>
      </c>
      <c r="F478" s="0" t="str">
        <f aca="false">IFERROR(INDEX(Location_Map!$C$2:$C$15,MATCH(C478,Location_Map!$A$2:$A$15,0)),"UNMAPPED")</f>
        <v>South</v>
      </c>
      <c r="G478" s="0" t="str">
        <f aca="false">IFERROR(INDEX(Location_Map!$B$2:$B$15,MATCH(D478,Location_Map!$A$2:$A$15,0)),"UNMAPPED")</f>
        <v>Gujarat</v>
      </c>
      <c r="H478" s="0" t="str">
        <f aca="false">IFERROR(INDEX(Location_Map!$C$2:$C$15,MATCH(D478,Location_Map!$A$2:$A$15,0)),"UNMAPPED")</f>
        <v>West</v>
      </c>
      <c r="I478" s="0" t="str">
        <f aca="false">Raw!E478</f>
        <v>Finished Yarn</v>
      </c>
      <c r="J478" s="28" t="n">
        <f aca="false">Raw!F478</f>
        <v>7.24</v>
      </c>
      <c r="K478" s="30" t="n">
        <f aca="false">DATE(LEFT(Raw!G478,4),MID(Raw!G478,6,2),MID(Raw!G478,9,2))</f>
        <v>45674</v>
      </c>
      <c r="L478" s="30" t="n">
        <f aca="false">DATE(LEFT(Raw!H478,4),MID(Raw!H478,6,2),MID(Raw!H478,9,2))</f>
        <v>45675</v>
      </c>
      <c r="M478" s="30" t="n">
        <f aca="false">DATE(LEFT(Raw!I478,4),MID(Raw!I478,6,2),MID(Raw!I478,9,2))</f>
        <v>45677</v>
      </c>
      <c r="N478" s="31" t="n">
        <f aca="false">DATE(LEFT(Raw!J478,4),MID(Raw!J478,6,2),MID(Raw!J478,9,2))+TIME(MID(Raw!J478,12,2),MID(Raw!J478,15,2),MID(Raw!J478,18,2))</f>
        <v>45675.1666666667</v>
      </c>
      <c r="O478" s="31" t="n">
        <f aca="false">DATE(LEFT(Raw!K478,4),MID(Raw!K478,6,2),MID(Raw!K478,9,2))+TIME(MID(Raw!K478,12,2),MID(Raw!K478,15,2),MID(Raw!K478,18,2))</f>
        <v>45680.6</v>
      </c>
      <c r="P478" s="32" t="n">
        <f aca="false">L478-K478</f>
        <v>1</v>
      </c>
      <c r="Q478" s="32" t="n">
        <f aca="false">M478-L478</f>
        <v>2</v>
      </c>
      <c r="R478" s="32" t="n">
        <f aca="false">O478-N478</f>
        <v>5.43333333333333</v>
      </c>
      <c r="S478" s="32" t="n">
        <f aca="false">Raw!L478</f>
        <v>3.6</v>
      </c>
      <c r="T478" s="32" t="n">
        <f aca="false">O478-M478</f>
        <v>3.6</v>
      </c>
      <c r="U478" s="0" t="str">
        <f aca="false">IF(ABS(T478-S478)&lt;0.01,"OK","MISMATCH")</f>
        <v>OK</v>
      </c>
      <c r="V478" s="33" t="n">
        <f aca="false">Raw!M478</f>
        <v>1</v>
      </c>
      <c r="W478" s="0" t="str">
        <f aca="false">IF((S478&gt;0)=(V478=1),"OK","MISMATCH")</f>
        <v>OK</v>
      </c>
      <c r="X478" s="0" t="str">
        <f aca="false">_xlfn.IFS(S478&lt;=0,"Early/On time",S478&lt;=2,"Minor (up to 2 days)",S478&lt;=5,"Moderate (2-5 days)",TRUE(),"Severe (over 5 days)")</f>
        <v>Moderate (2-5 days)</v>
      </c>
      <c r="Y478" s="0" t="str">
        <f aca="false">YEAR(K478)&amp;"-"&amp;TEXT(MONTH(K478),"00")</f>
        <v>2025-01</v>
      </c>
      <c r="Z478" s="0" t="str">
        <f aca="false">C478&amp;" → "&amp;D478</f>
        <v>Chennai → Surat</v>
      </c>
      <c r="AA478" s="0" t="str">
        <f aca="false">Raw!Q478</f>
        <v>BlueDart</v>
      </c>
      <c r="AB478" s="0" t="str">
        <f aca="false">Raw!R478</f>
        <v>Yes</v>
      </c>
      <c r="AC478" s="0" t="str">
        <f aca="false">Raw!S478</f>
        <v>Damaged</v>
      </c>
      <c r="AD478" s="29" t="n">
        <f aca="false">Raw!N478</f>
        <v>4254.03</v>
      </c>
      <c r="AE478" s="29" t="n">
        <f aca="false">Raw!O478</f>
        <v>1588.91</v>
      </c>
      <c r="AF478" s="29" t="n">
        <f aca="false">Raw!P478</f>
        <v>706.58</v>
      </c>
      <c r="AG478" s="29" t="n">
        <f aca="false">AD478/J478</f>
        <v>587.573204419889</v>
      </c>
    </row>
    <row r="479" customFormat="false" ht="15" hidden="false" customHeight="false" outlineLevel="0" collapsed="false">
      <c r="A479" s="0" t="str">
        <f aca="false">Raw!A479</f>
        <v>SHP0478</v>
      </c>
      <c r="B479" s="0" t="str">
        <f aca="false">Raw!B479</f>
        <v>Inbound</v>
      </c>
      <c r="C479" s="0" t="str">
        <f aca="false">Raw!C479</f>
        <v>Rajasthan</v>
      </c>
      <c r="D479" s="0" t="str">
        <f aca="false">Raw!D479</f>
        <v>Surat</v>
      </c>
      <c r="E479" s="0" t="str">
        <f aca="false">IFERROR(INDEX(Location_Map!$B$2:$B$15,MATCH(C479,Location_Map!$A$2:$A$15,0)),"UNMAPPED")</f>
        <v>Rajasthan</v>
      </c>
      <c r="F479" s="0" t="str">
        <f aca="false">IFERROR(INDEX(Location_Map!$C$2:$C$15,MATCH(C479,Location_Map!$A$2:$A$15,0)),"UNMAPPED")</f>
        <v>North</v>
      </c>
      <c r="G479" s="0" t="str">
        <f aca="false">IFERROR(INDEX(Location_Map!$B$2:$B$15,MATCH(D479,Location_Map!$A$2:$A$15,0)),"UNMAPPED")</f>
        <v>Gujarat</v>
      </c>
      <c r="H479" s="0" t="str">
        <f aca="false">IFERROR(INDEX(Location_Map!$C$2:$C$15,MATCH(D479,Location_Map!$A$2:$A$15,0)),"UNMAPPED")</f>
        <v>West</v>
      </c>
      <c r="I479" s="0" t="str">
        <f aca="false">Raw!E479</f>
        <v>Finished Yarn</v>
      </c>
      <c r="J479" s="28" t="n">
        <f aca="false">Raw!F479</f>
        <v>6.95</v>
      </c>
      <c r="K479" s="30" t="n">
        <f aca="false">DATE(LEFT(Raw!G479,4),MID(Raw!G479,6,2),MID(Raw!G479,9,2))</f>
        <v>45848</v>
      </c>
      <c r="L479" s="30" t="n">
        <f aca="false">DATE(LEFT(Raw!H479,4),MID(Raw!H479,6,2),MID(Raw!H479,9,2))</f>
        <v>45850</v>
      </c>
      <c r="M479" s="30" t="n">
        <f aca="false">DATE(LEFT(Raw!I479,4),MID(Raw!I479,6,2),MID(Raw!I479,9,2))</f>
        <v>45855</v>
      </c>
      <c r="N479" s="31" t="n">
        <f aca="false">DATE(LEFT(Raw!J479,4),MID(Raw!J479,6,2),MID(Raw!J479,9,2))+TIME(MID(Raw!J479,12,2),MID(Raw!J479,15,2),MID(Raw!J479,18,2))</f>
        <v>45849.875</v>
      </c>
      <c r="O479" s="31" t="n">
        <f aca="false">DATE(LEFT(Raw!K479,4),MID(Raw!K479,6,2),MID(Raw!K479,9,2))+TIME(MID(Raw!K479,12,2),MID(Raw!K479,15,2),MID(Raw!K479,18,2))</f>
        <v>45861.9</v>
      </c>
      <c r="P479" s="32" t="n">
        <f aca="false">L479-K479</f>
        <v>2</v>
      </c>
      <c r="Q479" s="32" t="n">
        <f aca="false">M479-L479</f>
        <v>5</v>
      </c>
      <c r="R479" s="32" t="n">
        <f aca="false">O479-N479</f>
        <v>12.025</v>
      </c>
      <c r="S479" s="32" t="n">
        <f aca="false">Raw!L479</f>
        <v>6.9</v>
      </c>
      <c r="T479" s="32" t="n">
        <f aca="false">O479-M479</f>
        <v>6.9</v>
      </c>
      <c r="U479" s="0" t="str">
        <f aca="false">IF(ABS(T479-S479)&lt;0.01,"OK","MISMATCH")</f>
        <v>OK</v>
      </c>
      <c r="V479" s="33" t="n">
        <f aca="false">Raw!M479</f>
        <v>1</v>
      </c>
      <c r="W479" s="0" t="str">
        <f aca="false">IF((S479&gt;0)=(V479=1),"OK","MISMATCH")</f>
        <v>OK</v>
      </c>
      <c r="X479" s="0" t="str">
        <f aca="false">_xlfn.IFS(S479&lt;=0,"Early/On time",S479&lt;=2,"Minor (up to 2 days)",S479&lt;=5,"Moderate (2-5 days)",TRUE(),"Severe (over 5 days)")</f>
        <v>Severe (over 5 days)</v>
      </c>
      <c r="Y479" s="0" t="str">
        <f aca="false">YEAR(K479)&amp;"-"&amp;TEXT(MONTH(K479),"00")</f>
        <v>2025-07</v>
      </c>
      <c r="Z479" s="0" t="str">
        <f aca="false">C479&amp;" → "&amp;D479</f>
        <v>Rajasthan → Surat</v>
      </c>
      <c r="AA479" s="0" t="str">
        <f aca="false">Raw!Q479</f>
        <v>Delhivery</v>
      </c>
      <c r="AB479" s="0" t="str">
        <f aca="false">Raw!R479</f>
        <v>Yes</v>
      </c>
      <c r="AC479" s="0" t="str">
        <f aca="false">Raw!S479</f>
        <v>Returned</v>
      </c>
      <c r="AD479" s="29" t="n">
        <f aca="false">Raw!N479</f>
        <v>5030.69</v>
      </c>
      <c r="AE479" s="29" t="n">
        <f aca="false">Raw!O479</f>
        <v>4248.31</v>
      </c>
      <c r="AF479" s="29" t="n">
        <f aca="false">Raw!P479</f>
        <v>1325.21</v>
      </c>
      <c r="AG479" s="29" t="n">
        <f aca="false">AD479/J479</f>
        <v>723.840287769784</v>
      </c>
    </row>
    <row r="480" customFormat="false" ht="15" hidden="false" customHeight="false" outlineLevel="0" collapsed="false">
      <c r="A480" s="0" t="str">
        <f aca="false">Raw!A480</f>
        <v>SHP0479</v>
      </c>
      <c r="B480" s="0" t="str">
        <f aca="false">Raw!B480</f>
        <v>Inbound</v>
      </c>
      <c r="C480" s="0" t="str">
        <f aca="false">Raw!C480</f>
        <v>Uttar Pradesh</v>
      </c>
      <c r="D480" s="0" t="str">
        <f aca="false">Raw!D480</f>
        <v>Surat</v>
      </c>
      <c r="E480" s="0" t="str">
        <f aca="false">IFERROR(INDEX(Location_Map!$B$2:$B$15,MATCH(C480,Location_Map!$A$2:$A$15,0)),"UNMAPPED")</f>
        <v>Uttar Pradesh</v>
      </c>
      <c r="F480" s="0" t="str">
        <f aca="false">IFERROR(INDEX(Location_Map!$C$2:$C$15,MATCH(C480,Location_Map!$A$2:$A$15,0)),"UNMAPPED")</f>
        <v>North</v>
      </c>
      <c r="G480" s="0" t="str">
        <f aca="false">IFERROR(INDEX(Location_Map!$B$2:$B$15,MATCH(D480,Location_Map!$A$2:$A$15,0)),"UNMAPPED")</f>
        <v>Gujarat</v>
      </c>
      <c r="H480" s="0" t="str">
        <f aca="false">IFERROR(INDEX(Location_Map!$C$2:$C$15,MATCH(D480,Location_Map!$A$2:$A$15,0)),"UNMAPPED")</f>
        <v>West</v>
      </c>
      <c r="I480" s="0" t="str">
        <f aca="false">Raw!E480</f>
        <v>Semi-Processed Yarn</v>
      </c>
      <c r="J480" s="28" t="n">
        <f aca="false">Raw!F480</f>
        <v>16.11</v>
      </c>
      <c r="K480" s="30" t="n">
        <f aca="false">DATE(LEFT(Raw!G480,4),MID(Raw!G480,6,2),MID(Raw!G480,9,2))</f>
        <v>45755</v>
      </c>
      <c r="L480" s="30" t="n">
        <f aca="false">DATE(LEFT(Raw!H480,4),MID(Raw!H480,6,2),MID(Raw!H480,9,2))</f>
        <v>45759</v>
      </c>
      <c r="M480" s="30" t="n">
        <f aca="false">DATE(LEFT(Raw!I480,4),MID(Raw!I480,6,2),MID(Raw!I480,9,2))</f>
        <v>45761</v>
      </c>
      <c r="N480" s="31" t="n">
        <f aca="false">DATE(LEFT(Raw!J480,4),MID(Raw!J480,6,2),MID(Raw!J480,9,2))+TIME(MID(Raw!J480,12,2),MID(Raw!J480,15,2),MID(Raw!J480,18,2))</f>
        <v>45759.3333333333</v>
      </c>
      <c r="O480" s="31" t="n">
        <f aca="false">DATE(LEFT(Raw!K480,4),MID(Raw!K480,6,2),MID(Raw!K480,9,2))+TIME(MID(Raw!K480,12,2),MID(Raw!K480,15,2),MID(Raw!K480,18,2))</f>
        <v>45766.7</v>
      </c>
      <c r="P480" s="32" t="n">
        <f aca="false">L480-K480</f>
        <v>4</v>
      </c>
      <c r="Q480" s="32" t="n">
        <f aca="false">M480-L480</f>
        <v>2</v>
      </c>
      <c r="R480" s="32" t="n">
        <f aca="false">O480-N480</f>
        <v>7.36666666666667</v>
      </c>
      <c r="S480" s="32" t="n">
        <f aca="false">Raw!L480</f>
        <v>5.7</v>
      </c>
      <c r="T480" s="32" t="n">
        <f aca="false">O480-M480</f>
        <v>5.7</v>
      </c>
      <c r="U480" s="0" t="str">
        <f aca="false">IF(ABS(T480-S480)&lt;0.01,"OK","MISMATCH")</f>
        <v>OK</v>
      </c>
      <c r="V480" s="33" t="n">
        <f aca="false">Raw!M480</f>
        <v>1</v>
      </c>
      <c r="W480" s="0" t="str">
        <f aca="false">IF((S480&gt;0)=(V480=1),"OK","MISMATCH")</f>
        <v>OK</v>
      </c>
      <c r="X480" s="0" t="str">
        <f aca="false">_xlfn.IFS(S480&lt;=0,"Early/On time",S480&lt;=2,"Minor (up to 2 days)",S480&lt;=5,"Moderate (2-5 days)",TRUE(),"Severe (over 5 days)")</f>
        <v>Severe (over 5 days)</v>
      </c>
      <c r="Y480" s="0" t="str">
        <f aca="false">YEAR(K480)&amp;"-"&amp;TEXT(MONTH(K480),"00")</f>
        <v>2025-04</v>
      </c>
      <c r="Z480" s="0" t="str">
        <f aca="false">C480&amp;" → "&amp;D480</f>
        <v>Uttar Pradesh → Surat</v>
      </c>
      <c r="AA480" s="0" t="str">
        <f aca="false">Raw!Q480</f>
        <v>Delhivery</v>
      </c>
      <c r="AB480" s="0" t="str">
        <f aca="false">Raw!R480</f>
        <v>Yes</v>
      </c>
      <c r="AC480" s="0" t="str">
        <f aca="false">Raw!S480</f>
        <v>Damaged</v>
      </c>
      <c r="AD480" s="29" t="n">
        <f aca="false">Raw!N480</f>
        <v>4945.4</v>
      </c>
      <c r="AE480" s="29" t="n">
        <f aca="false">Raw!O480</f>
        <v>2944.69</v>
      </c>
      <c r="AF480" s="29" t="n">
        <f aca="false">Raw!P480</f>
        <v>609.01</v>
      </c>
      <c r="AG480" s="29" t="n">
        <f aca="false">AD480/J480</f>
        <v>306.977032898821</v>
      </c>
    </row>
    <row r="481" customFormat="false" ht="15" hidden="false" customHeight="false" outlineLevel="0" collapsed="false">
      <c r="A481" s="0" t="str">
        <f aca="false">Raw!A481</f>
        <v>SHP0480</v>
      </c>
      <c r="B481" s="0" t="str">
        <f aca="false">Raw!B481</f>
        <v>Inbound</v>
      </c>
      <c r="C481" s="0" t="str">
        <f aca="false">Raw!C481</f>
        <v>Rajasthan</v>
      </c>
      <c r="D481" s="0" t="str">
        <f aca="false">Raw!D481</f>
        <v>Surat</v>
      </c>
      <c r="E481" s="0" t="str">
        <f aca="false">IFERROR(INDEX(Location_Map!$B$2:$B$15,MATCH(C481,Location_Map!$A$2:$A$15,0)),"UNMAPPED")</f>
        <v>Rajasthan</v>
      </c>
      <c r="F481" s="0" t="str">
        <f aca="false">IFERROR(INDEX(Location_Map!$C$2:$C$15,MATCH(C481,Location_Map!$A$2:$A$15,0)),"UNMAPPED")</f>
        <v>North</v>
      </c>
      <c r="G481" s="0" t="str">
        <f aca="false">IFERROR(INDEX(Location_Map!$B$2:$B$15,MATCH(D481,Location_Map!$A$2:$A$15,0)),"UNMAPPED")</f>
        <v>Gujarat</v>
      </c>
      <c r="H481" s="0" t="str">
        <f aca="false">IFERROR(INDEX(Location_Map!$C$2:$C$15,MATCH(D481,Location_Map!$A$2:$A$15,0)),"UNMAPPED")</f>
        <v>West</v>
      </c>
      <c r="I481" s="0" t="str">
        <f aca="false">Raw!E481</f>
        <v>Raw Yarn</v>
      </c>
      <c r="J481" s="28" t="n">
        <f aca="false">Raw!F481</f>
        <v>5.72</v>
      </c>
      <c r="K481" s="30" t="n">
        <f aca="false">DATE(LEFT(Raw!G481,4),MID(Raw!G481,6,2),MID(Raw!G481,9,2))</f>
        <v>45753</v>
      </c>
      <c r="L481" s="30" t="n">
        <f aca="false">DATE(LEFT(Raw!H481,4),MID(Raw!H481,6,2),MID(Raw!H481,9,2))</f>
        <v>45757</v>
      </c>
      <c r="M481" s="30" t="n">
        <f aca="false">DATE(LEFT(Raw!I481,4),MID(Raw!I481,6,2),MID(Raw!I481,9,2))</f>
        <v>45760</v>
      </c>
      <c r="N481" s="31" t="n">
        <f aca="false">DATE(LEFT(Raw!J481,4),MID(Raw!J481,6,2),MID(Raw!J481,9,2))+TIME(MID(Raw!J481,12,2),MID(Raw!J481,15,2),MID(Raw!J481,18,2))</f>
        <v>45756.7916666667</v>
      </c>
      <c r="O481" s="31" t="n">
        <f aca="false">DATE(LEFT(Raw!K481,4),MID(Raw!K481,6,2),MID(Raw!K481,9,2))+TIME(MID(Raw!K481,12,2),MID(Raw!K481,15,2),MID(Raw!K481,18,2))</f>
        <v>45766.1</v>
      </c>
      <c r="P481" s="32" t="n">
        <f aca="false">L481-K481</f>
        <v>4</v>
      </c>
      <c r="Q481" s="32" t="n">
        <f aca="false">M481-L481</f>
        <v>3</v>
      </c>
      <c r="R481" s="32" t="n">
        <f aca="false">O481-N481</f>
        <v>9.30833333333333</v>
      </c>
      <c r="S481" s="32" t="n">
        <f aca="false">Raw!L481</f>
        <v>6.1</v>
      </c>
      <c r="T481" s="32" t="n">
        <f aca="false">O481-M481</f>
        <v>6.1</v>
      </c>
      <c r="U481" s="0" t="str">
        <f aca="false">IF(ABS(T481-S481)&lt;0.01,"OK","MISMATCH")</f>
        <v>OK</v>
      </c>
      <c r="V481" s="33" t="n">
        <f aca="false">Raw!M481</f>
        <v>1</v>
      </c>
      <c r="W481" s="0" t="str">
        <f aca="false">IF((S481&gt;0)=(V481=1),"OK","MISMATCH")</f>
        <v>OK</v>
      </c>
      <c r="X481" s="0" t="str">
        <f aca="false">_xlfn.IFS(S481&lt;=0,"Early/On time",S481&lt;=2,"Minor (up to 2 days)",S481&lt;=5,"Moderate (2-5 days)",TRUE(),"Severe (over 5 days)")</f>
        <v>Severe (over 5 days)</v>
      </c>
      <c r="Y481" s="0" t="str">
        <f aca="false">YEAR(K481)&amp;"-"&amp;TEXT(MONTH(K481),"00")</f>
        <v>2025-04</v>
      </c>
      <c r="Z481" s="0" t="str">
        <f aca="false">C481&amp;" → "&amp;D481</f>
        <v>Rajasthan → Surat</v>
      </c>
      <c r="AA481" s="0" t="str">
        <f aca="false">Raw!Q481</f>
        <v>VRL Cargo</v>
      </c>
      <c r="AB481" s="0" t="str">
        <f aca="false">Raw!R481</f>
        <v>No</v>
      </c>
      <c r="AC481" s="0" t="str">
        <f aca="false">Raw!S481</f>
        <v>Normal</v>
      </c>
      <c r="AD481" s="29" t="n">
        <f aca="false">Raw!N481</f>
        <v>3731.14</v>
      </c>
      <c r="AE481" s="29" t="n">
        <f aca="false">Raw!O481</f>
        <v>4428.92</v>
      </c>
      <c r="AF481" s="29" t="n">
        <f aca="false">Raw!P481</f>
        <v>1264.65</v>
      </c>
      <c r="AG481" s="29" t="n">
        <f aca="false">AD481/J481</f>
        <v>652.297202797203</v>
      </c>
    </row>
    <row r="482" customFormat="false" ht="15" hidden="false" customHeight="false" outlineLevel="0" collapsed="false">
      <c r="A482" s="0" t="str">
        <f aca="false">Raw!A482</f>
        <v>SHP0481</v>
      </c>
      <c r="B482" s="0" t="str">
        <f aca="false">Raw!B482</f>
        <v>Inbound</v>
      </c>
      <c r="C482" s="0" t="str">
        <f aca="false">Raw!C482</f>
        <v>Punjab</v>
      </c>
      <c r="D482" s="0" t="str">
        <f aca="false">Raw!D482</f>
        <v>Surat</v>
      </c>
      <c r="E482" s="0" t="str">
        <f aca="false">IFERROR(INDEX(Location_Map!$B$2:$B$15,MATCH(C482,Location_Map!$A$2:$A$15,0)),"UNMAPPED")</f>
        <v>Punjab</v>
      </c>
      <c r="F482" s="0" t="str">
        <f aca="false">IFERROR(INDEX(Location_Map!$C$2:$C$15,MATCH(C482,Location_Map!$A$2:$A$15,0)),"UNMAPPED")</f>
        <v>North</v>
      </c>
      <c r="G482" s="0" t="str">
        <f aca="false">IFERROR(INDEX(Location_Map!$B$2:$B$15,MATCH(D482,Location_Map!$A$2:$A$15,0)),"UNMAPPED")</f>
        <v>Gujarat</v>
      </c>
      <c r="H482" s="0" t="str">
        <f aca="false">IFERROR(INDEX(Location_Map!$C$2:$C$15,MATCH(D482,Location_Map!$A$2:$A$15,0)),"UNMAPPED")</f>
        <v>West</v>
      </c>
      <c r="I482" s="0" t="str">
        <f aca="false">Raw!E482</f>
        <v>Raw Yarn</v>
      </c>
      <c r="J482" s="28" t="n">
        <f aca="false">Raw!F482</f>
        <v>3.79</v>
      </c>
      <c r="K482" s="30" t="n">
        <f aca="false">DATE(LEFT(Raw!G482,4),MID(Raw!G482,6,2),MID(Raw!G482,9,2))</f>
        <v>45865</v>
      </c>
      <c r="L482" s="30" t="n">
        <f aca="false">DATE(LEFT(Raw!H482,4),MID(Raw!H482,6,2),MID(Raw!H482,9,2))</f>
        <v>45869</v>
      </c>
      <c r="M482" s="30" t="n">
        <f aca="false">DATE(LEFT(Raw!I482,4),MID(Raw!I482,6,2),MID(Raw!I482,9,2))</f>
        <v>45875</v>
      </c>
      <c r="N482" s="31" t="n">
        <f aca="false">DATE(LEFT(Raw!J482,4),MID(Raw!J482,6,2),MID(Raw!J482,9,2))+TIME(MID(Raw!J482,12,2),MID(Raw!J482,15,2),MID(Raw!J482,18,2))</f>
        <v>45869.3333333333</v>
      </c>
      <c r="O482" s="31" t="n">
        <f aca="false">DATE(LEFT(Raw!K482,4),MID(Raw!K482,6,2),MID(Raw!K482,9,2))+TIME(MID(Raw!K482,12,2),MID(Raw!K482,15,2),MID(Raw!K482,18,2))</f>
        <v>45875.8</v>
      </c>
      <c r="P482" s="32" t="n">
        <f aca="false">L482-K482</f>
        <v>4</v>
      </c>
      <c r="Q482" s="32" t="n">
        <f aca="false">M482-L482</f>
        <v>6</v>
      </c>
      <c r="R482" s="32" t="n">
        <f aca="false">O482-N482</f>
        <v>6.46666666666667</v>
      </c>
      <c r="S482" s="32" t="n">
        <f aca="false">Raw!L482</f>
        <v>0.8</v>
      </c>
      <c r="T482" s="32" t="n">
        <f aca="false">O482-M482</f>
        <v>0.8</v>
      </c>
      <c r="U482" s="0" t="str">
        <f aca="false">IF(ABS(T482-S482)&lt;0.01,"OK","MISMATCH")</f>
        <v>OK</v>
      </c>
      <c r="V482" s="33" t="n">
        <f aca="false">Raw!M482</f>
        <v>1</v>
      </c>
      <c r="W482" s="0" t="str">
        <f aca="false">IF((S482&gt;0)=(V482=1),"OK","MISMATCH")</f>
        <v>OK</v>
      </c>
      <c r="X482" s="0" t="str">
        <f aca="false">_xlfn.IFS(S482&lt;=0,"Early/On time",S482&lt;=2,"Minor (up to 2 days)",S482&lt;=5,"Moderate (2-5 days)",TRUE(),"Severe (over 5 days)")</f>
        <v>Minor (up to 2 days)</v>
      </c>
      <c r="Y482" s="0" t="str">
        <f aca="false">YEAR(K482)&amp;"-"&amp;TEXT(MONTH(K482),"00")</f>
        <v>2025-07</v>
      </c>
      <c r="Z482" s="0" t="str">
        <f aca="false">C482&amp;" → "&amp;D482</f>
        <v>Punjab → Surat</v>
      </c>
      <c r="AA482" s="0" t="str">
        <f aca="false">Raw!Q482</f>
        <v>TCI Express</v>
      </c>
      <c r="AB482" s="0" t="str">
        <f aca="false">Raw!R482</f>
        <v>Yes</v>
      </c>
      <c r="AC482" s="0" t="str">
        <f aca="false">Raw!S482</f>
        <v>Expedited</v>
      </c>
      <c r="AD482" s="29" t="n">
        <f aca="false">Raw!N482</f>
        <v>2884.46</v>
      </c>
      <c r="AE482" s="29" t="n">
        <f aca="false">Raw!O482</f>
        <v>1479.81</v>
      </c>
      <c r="AF482" s="29" t="n">
        <f aca="false">Raw!P482</f>
        <v>812.06</v>
      </c>
      <c r="AG482" s="29" t="n">
        <f aca="false">AD482/J482</f>
        <v>761.071240105541</v>
      </c>
    </row>
    <row r="483" customFormat="false" ht="15" hidden="false" customHeight="false" outlineLevel="0" collapsed="false">
      <c r="A483" s="0" t="str">
        <f aca="false">Raw!A483</f>
        <v>SHP0482</v>
      </c>
      <c r="B483" s="0" t="str">
        <f aca="false">Raw!B483</f>
        <v>Inbound</v>
      </c>
      <c r="C483" s="0" t="str">
        <f aca="false">Raw!C483</f>
        <v>Uttar Pradesh</v>
      </c>
      <c r="D483" s="0" t="str">
        <f aca="false">Raw!D483</f>
        <v>Surat</v>
      </c>
      <c r="E483" s="0" t="str">
        <f aca="false">IFERROR(INDEX(Location_Map!$B$2:$B$15,MATCH(C483,Location_Map!$A$2:$A$15,0)),"UNMAPPED")</f>
        <v>Uttar Pradesh</v>
      </c>
      <c r="F483" s="0" t="str">
        <f aca="false">IFERROR(INDEX(Location_Map!$C$2:$C$15,MATCH(C483,Location_Map!$A$2:$A$15,0)),"UNMAPPED")</f>
        <v>North</v>
      </c>
      <c r="G483" s="0" t="str">
        <f aca="false">IFERROR(INDEX(Location_Map!$B$2:$B$15,MATCH(D483,Location_Map!$A$2:$A$15,0)),"UNMAPPED")</f>
        <v>Gujarat</v>
      </c>
      <c r="H483" s="0" t="str">
        <f aca="false">IFERROR(INDEX(Location_Map!$C$2:$C$15,MATCH(D483,Location_Map!$A$2:$A$15,0)),"UNMAPPED")</f>
        <v>West</v>
      </c>
      <c r="I483" s="0" t="str">
        <f aca="false">Raw!E483</f>
        <v>Finished Yarn</v>
      </c>
      <c r="J483" s="28" t="n">
        <f aca="false">Raw!F483</f>
        <v>16.25</v>
      </c>
      <c r="K483" s="30" t="n">
        <f aca="false">DATE(LEFT(Raw!G483,4),MID(Raw!G483,6,2),MID(Raw!G483,9,2))</f>
        <v>45916</v>
      </c>
      <c r="L483" s="30" t="n">
        <f aca="false">DATE(LEFT(Raw!H483,4),MID(Raw!H483,6,2),MID(Raw!H483,9,2))</f>
        <v>45917</v>
      </c>
      <c r="M483" s="30" t="n">
        <f aca="false">DATE(LEFT(Raw!I483,4),MID(Raw!I483,6,2),MID(Raw!I483,9,2))</f>
        <v>45920</v>
      </c>
      <c r="N483" s="31" t="n">
        <f aca="false">DATE(LEFT(Raw!J483,4),MID(Raw!J483,6,2),MID(Raw!J483,9,2))+TIME(MID(Raw!J483,12,2),MID(Raw!J483,15,2),MID(Raw!J483,18,2))</f>
        <v>45916.9583333333</v>
      </c>
      <c r="O483" s="31" t="n">
        <f aca="false">DATE(LEFT(Raw!K483,4),MID(Raw!K483,6,2),MID(Raw!K483,9,2))+TIME(MID(Raw!K483,12,2),MID(Raw!K483,15,2),MID(Raw!K483,18,2))</f>
        <v>45921.5</v>
      </c>
      <c r="P483" s="32" t="n">
        <f aca="false">L483-K483</f>
        <v>1</v>
      </c>
      <c r="Q483" s="32" t="n">
        <f aca="false">M483-L483</f>
        <v>3</v>
      </c>
      <c r="R483" s="32" t="n">
        <f aca="false">O483-N483</f>
        <v>4.54166666666667</v>
      </c>
      <c r="S483" s="32" t="n">
        <f aca="false">Raw!L483</f>
        <v>1.5</v>
      </c>
      <c r="T483" s="32" t="n">
        <f aca="false">O483-M483</f>
        <v>1.5</v>
      </c>
      <c r="U483" s="0" t="str">
        <f aca="false">IF(ABS(T483-S483)&lt;0.01,"OK","MISMATCH")</f>
        <v>OK</v>
      </c>
      <c r="V483" s="33" t="n">
        <f aca="false">Raw!M483</f>
        <v>1</v>
      </c>
      <c r="W483" s="0" t="str">
        <f aca="false">IF((S483&gt;0)=(V483=1),"OK","MISMATCH")</f>
        <v>OK</v>
      </c>
      <c r="X483" s="0" t="str">
        <f aca="false">_xlfn.IFS(S483&lt;=0,"Early/On time",S483&lt;=2,"Minor (up to 2 days)",S483&lt;=5,"Moderate (2-5 days)",TRUE(),"Severe (over 5 days)")</f>
        <v>Minor (up to 2 days)</v>
      </c>
      <c r="Y483" s="0" t="str">
        <f aca="false">YEAR(K483)&amp;"-"&amp;TEXT(MONTH(K483),"00")</f>
        <v>2025-09</v>
      </c>
      <c r="Z483" s="0" t="str">
        <f aca="false">C483&amp;" → "&amp;D483</f>
        <v>Uttar Pradesh → Surat</v>
      </c>
      <c r="AA483" s="0" t="str">
        <f aca="false">Raw!Q483</f>
        <v>BlueDart</v>
      </c>
      <c r="AB483" s="0" t="str">
        <f aca="false">Raw!R483</f>
        <v>No</v>
      </c>
      <c r="AC483" s="0" t="str">
        <f aca="false">Raw!S483</f>
        <v>Expedited</v>
      </c>
      <c r="AD483" s="29" t="n">
        <f aca="false">Raw!N483</f>
        <v>7312.22</v>
      </c>
      <c r="AE483" s="29" t="n">
        <f aca="false">Raw!O483</f>
        <v>4774.3</v>
      </c>
      <c r="AF483" s="29" t="n">
        <f aca="false">Raw!P483</f>
        <v>1371.25</v>
      </c>
      <c r="AG483" s="29" t="n">
        <f aca="false">AD483/J483</f>
        <v>449.982769230769</v>
      </c>
    </row>
    <row r="484" customFormat="false" ht="15" hidden="false" customHeight="false" outlineLevel="0" collapsed="false">
      <c r="A484" s="0" t="str">
        <f aca="false">Raw!A484</f>
        <v>SHP0483</v>
      </c>
      <c r="B484" s="0" t="str">
        <f aca="false">Raw!B484</f>
        <v>Outbound</v>
      </c>
      <c r="C484" s="0" t="str">
        <f aca="false">Raw!C484</f>
        <v>Surat</v>
      </c>
      <c r="D484" s="0" t="str">
        <f aca="false">Raw!D484</f>
        <v>Gujarat</v>
      </c>
      <c r="E484" s="0" t="str">
        <f aca="false">IFERROR(INDEX(Location_Map!$B$2:$B$15,MATCH(C484,Location_Map!$A$2:$A$15,0)),"UNMAPPED")</f>
        <v>Gujarat</v>
      </c>
      <c r="F484" s="0" t="str">
        <f aca="false">IFERROR(INDEX(Location_Map!$C$2:$C$15,MATCH(C484,Location_Map!$A$2:$A$15,0)),"UNMAPPED")</f>
        <v>West</v>
      </c>
      <c r="G484" s="0" t="str">
        <f aca="false">IFERROR(INDEX(Location_Map!$B$2:$B$15,MATCH(D484,Location_Map!$A$2:$A$15,0)),"UNMAPPED")</f>
        <v>Gujarat</v>
      </c>
      <c r="H484" s="0" t="str">
        <f aca="false">IFERROR(INDEX(Location_Map!$C$2:$C$15,MATCH(D484,Location_Map!$A$2:$A$15,0)),"UNMAPPED")</f>
        <v>West</v>
      </c>
      <c r="I484" s="0" t="str">
        <f aca="false">Raw!E484</f>
        <v>Raw Yarn</v>
      </c>
      <c r="J484" s="28" t="n">
        <f aca="false">Raw!F484</f>
        <v>6.5</v>
      </c>
      <c r="K484" s="30" t="n">
        <f aca="false">DATE(LEFT(Raw!G484,4),MID(Raw!G484,6,2),MID(Raw!G484,9,2))</f>
        <v>45892</v>
      </c>
      <c r="L484" s="30" t="n">
        <f aca="false">DATE(LEFT(Raw!H484,4),MID(Raw!H484,6,2),MID(Raw!H484,9,2))</f>
        <v>45896</v>
      </c>
      <c r="M484" s="30" t="n">
        <f aca="false">DATE(LEFT(Raw!I484,4),MID(Raw!I484,6,2),MID(Raw!I484,9,2))</f>
        <v>45902</v>
      </c>
      <c r="N484" s="31" t="n">
        <f aca="false">DATE(LEFT(Raw!J484,4),MID(Raw!J484,6,2),MID(Raw!J484,9,2))+TIME(MID(Raw!J484,12,2),MID(Raw!J484,15,2),MID(Raw!J484,18,2))</f>
        <v>45896.0833333333</v>
      </c>
      <c r="O484" s="31" t="n">
        <f aca="false">DATE(LEFT(Raw!K484,4),MID(Raw!K484,6,2),MID(Raw!K484,9,2))+TIME(MID(Raw!K484,12,2),MID(Raw!K484,15,2),MID(Raw!K484,18,2))</f>
        <v>45907.1</v>
      </c>
      <c r="P484" s="32" t="n">
        <f aca="false">L484-K484</f>
        <v>4</v>
      </c>
      <c r="Q484" s="32" t="n">
        <f aca="false">M484-L484</f>
        <v>6</v>
      </c>
      <c r="R484" s="32" t="n">
        <f aca="false">O484-N484</f>
        <v>11.0166666666667</v>
      </c>
      <c r="S484" s="32" t="n">
        <f aca="false">Raw!L484</f>
        <v>5.1</v>
      </c>
      <c r="T484" s="32" t="n">
        <f aca="false">O484-M484</f>
        <v>5.1</v>
      </c>
      <c r="U484" s="0" t="str">
        <f aca="false">IF(ABS(T484-S484)&lt;0.01,"OK","MISMATCH")</f>
        <v>OK</v>
      </c>
      <c r="V484" s="33" t="n">
        <f aca="false">Raw!M484</f>
        <v>1</v>
      </c>
      <c r="W484" s="0" t="str">
        <f aca="false">IF((S484&gt;0)=(V484=1),"OK","MISMATCH")</f>
        <v>OK</v>
      </c>
      <c r="X484" s="0" t="str">
        <f aca="false">_xlfn.IFS(S484&lt;=0,"Early/On time",S484&lt;=2,"Minor (up to 2 days)",S484&lt;=5,"Moderate (2-5 days)",TRUE(),"Severe (over 5 days)")</f>
        <v>Severe (over 5 days)</v>
      </c>
      <c r="Y484" s="0" t="str">
        <f aca="false">YEAR(K484)&amp;"-"&amp;TEXT(MONTH(K484),"00")</f>
        <v>2025-08</v>
      </c>
      <c r="Z484" s="0" t="str">
        <f aca="false">C484&amp;" → "&amp;D484</f>
        <v>Surat → Gujarat</v>
      </c>
      <c r="AA484" s="0" t="str">
        <f aca="false">Raw!Q484</f>
        <v>GATI Logistics</v>
      </c>
      <c r="AB484" s="0" t="str">
        <f aca="false">Raw!R484</f>
        <v>No</v>
      </c>
      <c r="AC484" s="0" t="str">
        <f aca="false">Raw!S484</f>
        <v>Returned</v>
      </c>
      <c r="AD484" s="29" t="n">
        <f aca="false">Raw!N484</f>
        <v>4407.1</v>
      </c>
      <c r="AE484" s="29" t="n">
        <f aca="false">Raw!O484</f>
        <v>3553.4</v>
      </c>
      <c r="AF484" s="29" t="n">
        <f aca="false">Raw!P484</f>
        <v>807.15</v>
      </c>
      <c r="AG484" s="29" t="n">
        <f aca="false">AD484/J484</f>
        <v>678.015384615385</v>
      </c>
    </row>
    <row r="485" customFormat="false" ht="15" hidden="false" customHeight="false" outlineLevel="0" collapsed="false">
      <c r="A485" s="0" t="str">
        <f aca="false">Raw!A485</f>
        <v>SHP0484</v>
      </c>
      <c r="B485" s="0" t="str">
        <f aca="false">Raw!B485</f>
        <v>Inbound</v>
      </c>
      <c r="C485" s="0" t="str">
        <f aca="false">Raw!C485</f>
        <v>Uttar Pradesh</v>
      </c>
      <c r="D485" s="0" t="str">
        <f aca="false">Raw!D485</f>
        <v>Surat</v>
      </c>
      <c r="E485" s="0" t="str">
        <f aca="false">IFERROR(INDEX(Location_Map!$B$2:$B$15,MATCH(C485,Location_Map!$A$2:$A$15,0)),"UNMAPPED")</f>
        <v>Uttar Pradesh</v>
      </c>
      <c r="F485" s="0" t="str">
        <f aca="false">IFERROR(INDEX(Location_Map!$C$2:$C$15,MATCH(C485,Location_Map!$A$2:$A$15,0)),"UNMAPPED")</f>
        <v>North</v>
      </c>
      <c r="G485" s="0" t="str">
        <f aca="false">IFERROR(INDEX(Location_Map!$B$2:$B$15,MATCH(D485,Location_Map!$A$2:$A$15,0)),"UNMAPPED")</f>
        <v>Gujarat</v>
      </c>
      <c r="H485" s="0" t="str">
        <f aca="false">IFERROR(INDEX(Location_Map!$C$2:$C$15,MATCH(D485,Location_Map!$A$2:$A$15,0)),"UNMAPPED")</f>
        <v>West</v>
      </c>
      <c r="I485" s="0" t="str">
        <f aca="false">Raw!E485</f>
        <v>Raw Yarn</v>
      </c>
      <c r="J485" s="28" t="n">
        <f aca="false">Raw!F485</f>
        <v>17.33</v>
      </c>
      <c r="K485" s="30" t="n">
        <f aca="false">DATE(LEFT(Raw!G485,4),MID(Raw!G485,6,2),MID(Raw!G485,9,2))</f>
        <v>45945</v>
      </c>
      <c r="L485" s="30" t="n">
        <f aca="false">DATE(LEFT(Raw!H485,4),MID(Raw!H485,6,2),MID(Raw!H485,9,2))</f>
        <v>45946</v>
      </c>
      <c r="M485" s="30" t="n">
        <f aca="false">DATE(LEFT(Raw!I485,4),MID(Raw!I485,6,2),MID(Raw!I485,9,2))</f>
        <v>45951</v>
      </c>
      <c r="N485" s="31" t="n">
        <f aca="false">DATE(LEFT(Raw!J485,4),MID(Raw!J485,6,2),MID(Raw!J485,9,2))+TIME(MID(Raw!J485,12,2),MID(Raw!J485,15,2),MID(Raw!J485,18,2))</f>
        <v>45946.0416666667</v>
      </c>
      <c r="O485" s="31" t="n">
        <f aca="false">DATE(LEFT(Raw!K485,4),MID(Raw!K485,6,2),MID(Raw!K485,9,2))+TIME(MID(Raw!K485,12,2),MID(Raw!K485,15,2),MID(Raw!K485,18,2))</f>
        <v>45955.6</v>
      </c>
      <c r="P485" s="32" t="n">
        <f aca="false">L485-K485</f>
        <v>1</v>
      </c>
      <c r="Q485" s="32" t="n">
        <f aca="false">M485-L485</f>
        <v>5</v>
      </c>
      <c r="R485" s="32" t="n">
        <f aca="false">O485-N485</f>
        <v>9.55833333333333</v>
      </c>
      <c r="S485" s="32" t="n">
        <f aca="false">Raw!L485</f>
        <v>4.6</v>
      </c>
      <c r="T485" s="32" t="n">
        <f aca="false">O485-M485</f>
        <v>4.6</v>
      </c>
      <c r="U485" s="0" t="str">
        <f aca="false">IF(ABS(T485-S485)&lt;0.01,"OK","MISMATCH")</f>
        <v>OK</v>
      </c>
      <c r="V485" s="33" t="n">
        <f aca="false">Raw!M485</f>
        <v>1</v>
      </c>
      <c r="W485" s="0" t="str">
        <f aca="false">IF((S485&gt;0)=(V485=1),"OK","MISMATCH")</f>
        <v>OK</v>
      </c>
      <c r="X485" s="0" t="str">
        <f aca="false">_xlfn.IFS(S485&lt;=0,"Early/On time",S485&lt;=2,"Minor (up to 2 days)",S485&lt;=5,"Moderate (2-5 days)",TRUE(),"Severe (over 5 days)")</f>
        <v>Moderate (2-5 days)</v>
      </c>
      <c r="Y485" s="0" t="str">
        <f aca="false">YEAR(K485)&amp;"-"&amp;TEXT(MONTH(K485),"00")</f>
        <v>2025-10</v>
      </c>
      <c r="Z485" s="0" t="str">
        <f aca="false">C485&amp;" → "&amp;D485</f>
        <v>Uttar Pradesh → Surat</v>
      </c>
      <c r="AA485" s="0" t="str">
        <f aca="false">Raw!Q485</f>
        <v>BlueDart</v>
      </c>
      <c r="AB485" s="0" t="str">
        <f aca="false">Raw!R485</f>
        <v>No</v>
      </c>
      <c r="AC485" s="0" t="str">
        <f aca="false">Raw!S485</f>
        <v>Held at warehouse</v>
      </c>
      <c r="AD485" s="29" t="n">
        <f aca="false">Raw!N485</f>
        <v>7399.84</v>
      </c>
      <c r="AE485" s="29" t="n">
        <f aca="false">Raw!O485</f>
        <v>3195.64</v>
      </c>
      <c r="AF485" s="29" t="n">
        <f aca="false">Raw!P485</f>
        <v>689.2</v>
      </c>
      <c r="AG485" s="29" t="n">
        <f aca="false">AD485/J485</f>
        <v>426.995960761685</v>
      </c>
    </row>
    <row r="486" customFormat="false" ht="15" hidden="false" customHeight="false" outlineLevel="0" collapsed="false">
      <c r="A486" s="0" t="str">
        <f aca="false">Raw!A486</f>
        <v>SHP0485</v>
      </c>
      <c r="B486" s="0" t="str">
        <f aca="false">Raw!B486</f>
        <v>Inbound</v>
      </c>
      <c r="C486" s="0" t="str">
        <f aca="false">Raw!C486</f>
        <v>Uttar Pradesh</v>
      </c>
      <c r="D486" s="0" t="str">
        <f aca="false">Raw!D486</f>
        <v>Surat</v>
      </c>
      <c r="E486" s="0" t="str">
        <f aca="false">IFERROR(INDEX(Location_Map!$B$2:$B$15,MATCH(C486,Location_Map!$A$2:$A$15,0)),"UNMAPPED")</f>
        <v>Uttar Pradesh</v>
      </c>
      <c r="F486" s="0" t="str">
        <f aca="false">IFERROR(INDEX(Location_Map!$C$2:$C$15,MATCH(C486,Location_Map!$A$2:$A$15,0)),"UNMAPPED")</f>
        <v>North</v>
      </c>
      <c r="G486" s="0" t="str">
        <f aca="false">IFERROR(INDEX(Location_Map!$B$2:$B$15,MATCH(D486,Location_Map!$A$2:$A$15,0)),"UNMAPPED")</f>
        <v>Gujarat</v>
      </c>
      <c r="H486" s="0" t="str">
        <f aca="false">IFERROR(INDEX(Location_Map!$C$2:$C$15,MATCH(D486,Location_Map!$A$2:$A$15,0)),"UNMAPPED")</f>
        <v>West</v>
      </c>
      <c r="I486" s="0" t="str">
        <f aca="false">Raw!E486</f>
        <v>Finished Yarn</v>
      </c>
      <c r="J486" s="28" t="n">
        <f aca="false">Raw!F486</f>
        <v>14.69</v>
      </c>
      <c r="K486" s="30" t="n">
        <f aca="false">DATE(LEFT(Raw!G486,4),MID(Raw!G486,6,2),MID(Raw!G486,9,2))</f>
        <v>45811</v>
      </c>
      <c r="L486" s="30" t="n">
        <f aca="false">DATE(LEFT(Raw!H486,4),MID(Raw!H486,6,2),MID(Raw!H486,9,2))</f>
        <v>45814</v>
      </c>
      <c r="M486" s="30" t="n">
        <f aca="false">DATE(LEFT(Raw!I486,4),MID(Raw!I486,6,2),MID(Raw!I486,9,2))</f>
        <v>45818</v>
      </c>
      <c r="N486" s="31" t="n">
        <f aca="false">DATE(LEFT(Raw!J486,4),MID(Raw!J486,6,2),MID(Raw!J486,9,2))+TIME(MID(Raw!J486,12,2),MID(Raw!J486,15,2),MID(Raw!J486,18,2))</f>
        <v>45814.2916666667</v>
      </c>
      <c r="O486" s="31" t="n">
        <f aca="false">DATE(LEFT(Raw!K486,4),MID(Raw!K486,6,2),MID(Raw!K486,9,2))+TIME(MID(Raw!K486,12,2),MID(Raw!K486,15,2),MID(Raw!K486,18,2))</f>
        <v>45817.7</v>
      </c>
      <c r="P486" s="32" t="n">
        <f aca="false">L486-K486</f>
        <v>3</v>
      </c>
      <c r="Q486" s="32" t="n">
        <f aca="false">M486-L486</f>
        <v>4</v>
      </c>
      <c r="R486" s="32" t="n">
        <f aca="false">O486-N486</f>
        <v>3.40833333333333</v>
      </c>
      <c r="S486" s="32" t="n">
        <f aca="false">Raw!L486</f>
        <v>-0.3</v>
      </c>
      <c r="T486" s="32" t="n">
        <f aca="false">O486-M486</f>
        <v>-0.300000000005833</v>
      </c>
      <c r="U486" s="0" t="str">
        <f aca="false">IF(ABS(T486-S486)&lt;0.01,"OK","MISMATCH")</f>
        <v>OK</v>
      </c>
      <c r="V486" s="33" t="n">
        <f aca="false">Raw!M486</f>
        <v>0</v>
      </c>
      <c r="W486" s="0" t="str">
        <f aca="false">IF((S486&gt;0)=(V486=1),"OK","MISMATCH")</f>
        <v>OK</v>
      </c>
      <c r="X486" s="0" t="str">
        <f aca="false">_xlfn.IFS(S486&lt;=0,"Early/On time",S486&lt;=2,"Minor (up to 2 days)",S486&lt;=5,"Moderate (2-5 days)",TRUE(),"Severe (over 5 days)")</f>
        <v>Early/On time</v>
      </c>
      <c r="Y486" s="0" t="str">
        <f aca="false">YEAR(K486)&amp;"-"&amp;TEXT(MONTH(K486),"00")</f>
        <v>2025-06</v>
      </c>
      <c r="Z486" s="0" t="str">
        <f aca="false">C486&amp;" → "&amp;D486</f>
        <v>Uttar Pradesh → Surat</v>
      </c>
      <c r="AA486" s="0" t="str">
        <f aca="false">Raw!Q486</f>
        <v>GATI Logistics</v>
      </c>
      <c r="AB486" s="0" t="str">
        <f aca="false">Raw!R486</f>
        <v>Yes</v>
      </c>
      <c r="AC486" s="0" t="str">
        <f aca="false">Raw!S486</f>
        <v>Damaged</v>
      </c>
      <c r="AD486" s="29" t="n">
        <f aca="false">Raw!N486</f>
        <v>7197.06</v>
      </c>
      <c r="AE486" s="29" t="n">
        <f aca="false">Raw!O486</f>
        <v>2216.97</v>
      </c>
      <c r="AF486" s="29" t="n">
        <f aca="false">Raw!P486</f>
        <v>639.25</v>
      </c>
      <c r="AG486" s="29" t="n">
        <f aca="false">AD486/J486</f>
        <v>489.929203539823</v>
      </c>
    </row>
    <row r="487" customFormat="false" ht="15" hidden="false" customHeight="false" outlineLevel="0" collapsed="false">
      <c r="A487" s="0" t="str">
        <f aca="false">Raw!A487</f>
        <v>SHP0486</v>
      </c>
      <c r="B487" s="0" t="str">
        <f aca="false">Raw!B487</f>
        <v>Outbound</v>
      </c>
      <c r="C487" s="0" t="str">
        <f aca="false">Raw!C487</f>
        <v>Surat</v>
      </c>
      <c r="D487" s="0" t="str">
        <f aca="false">Raw!D487</f>
        <v>Kerala</v>
      </c>
      <c r="E487" s="0" t="str">
        <f aca="false">IFERROR(INDEX(Location_Map!$B$2:$B$15,MATCH(C487,Location_Map!$A$2:$A$15,0)),"UNMAPPED")</f>
        <v>Gujarat</v>
      </c>
      <c r="F487" s="0" t="str">
        <f aca="false">IFERROR(INDEX(Location_Map!$C$2:$C$15,MATCH(C487,Location_Map!$A$2:$A$15,0)),"UNMAPPED")</f>
        <v>West</v>
      </c>
      <c r="G487" s="0" t="str">
        <f aca="false">IFERROR(INDEX(Location_Map!$B$2:$B$15,MATCH(D487,Location_Map!$A$2:$A$15,0)),"UNMAPPED")</f>
        <v>Kerala</v>
      </c>
      <c r="H487" s="0" t="str">
        <f aca="false">IFERROR(INDEX(Location_Map!$C$2:$C$15,MATCH(D487,Location_Map!$A$2:$A$15,0)),"UNMAPPED")</f>
        <v>South</v>
      </c>
      <c r="I487" s="0" t="str">
        <f aca="false">Raw!E487</f>
        <v>Finished Yarn</v>
      </c>
      <c r="J487" s="28" t="n">
        <f aca="false">Raw!F487</f>
        <v>12.63</v>
      </c>
      <c r="K487" s="30" t="n">
        <f aca="false">DATE(LEFT(Raw!G487,4),MID(Raw!G487,6,2),MID(Raw!G487,9,2))</f>
        <v>45749</v>
      </c>
      <c r="L487" s="30" t="n">
        <f aca="false">DATE(LEFT(Raw!H487,4),MID(Raw!H487,6,2),MID(Raw!H487,9,2))</f>
        <v>45751</v>
      </c>
      <c r="M487" s="30" t="n">
        <f aca="false">DATE(LEFT(Raw!I487,4),MID(Raw!I487,6,2),MID(Raw!I487,9,2))</f>
        <v>45755</v>
      </c>
      <c r="N487" s="31" t="n">
        <f aca="false">DATE(LEFT(Raw!J487,4),MID(Raw!J487,6,2),MID(Raw!J487,9,2))+TIME(MID(Raw!J487,12,2),MID(Raw!J487,15,2),MID(Raw!J487,18,2))</f>
        <v>45751.375</v>
      </c>
      <c r="O487" s="31" t="n">
        <f aca="false">DATE(LEFT(Raw!K487,4),MID(Raw!K487,6,2),MID(Raw!K487,9,2))+TIME(MID(Raw!K487,12,2),MID(Raw!K487,15,2),MID(Raw!K487,18,2))</f>
        <v>45754</v>
      </c>
      <c r="P487" s="32" t="n">
        <f aca="false">L487-K487</f>
        <v>2</v>
      </c>
      <c r="Q487" s="32" t="n">
        <f aca="false">M487-L487</f>
        <v>4</v>
      </c>
      <c r="R487" s="32" t="n">
        <f aca="false">O487-N487</f>
        <v>2.625</v>
      </c>
      <c r="S487" s="32" t="n">
        <f aca="false">Raw!L487</f>
        <v>-1</v>
      </c>
      <c r="T487" s="32" t="n">
        <f aca="false">O487-M487</f>
        <v>-1</v>
      </c>
      <c r="U487" s="0" t="str">
        <f aca="false">IF(ABS(T487-S487)&lt;0.01,"OK","MISMATCH")</f>
        <v>OK</v>
      </c>
      <c r="V487" s="33" t="n">
        <f aca="false">Raw!M487</f>
        <v>0</v>
      </c>
      <c r="W487" s="0" t="str">
        <f aca="false">IF((S487&gt;0)=(V487=1),"OK","MISMATCH")</f>
        <v>OK</v>
      </c>
      <c r="X487" s="0" t="str">
        <f aca="false">_xlfn.IFS(S487&lt;=0,"Early/On time",S487&lt;=2,"Minor (up to 2 days)",S487&lt;=5,"Moderate (2-5 days)",TRUE(),"Severe (over 5 days)")</f>
        <v>Early/On time</v>
      </c>
      <c r="Y487" s="0" t="str">
        <f aca="false">YEAR(K487)&amp;"-"&amp;TEXT(MONTH(K487),"00")</f>
        <v>2025-04</v>
      </c>
      <c r="Z487" s="0" t="str">
        <f aca="false">C487&amp;" → "&amp;D487</f>
        <v>Surat → Kerala</v>
      </c>
      <c r="AA487" s="0" t="str">
        <f aca="false">Raw!Q487</f>
        <v>VRL Cargo</v>
      </c>
      <c r="AB487" s="0" t="str">
        <f aca="false">Raw!R487</f>
        <v>Yes</v>
      </c>
      <c r="AC487" s="0" t="str">
        <f aca="false">Raw!S487</f>
        <v>Expedited</v>
      </c>
      <c r="AD487" s="29" t="n">
        <f aca="false">Raw!N487</f>
        <v>6543.65</v>
      </c>
      <c r="AE487" s="29" t="n">
        <f aca="false">Raw!O487</f>
        <v>3780.75</v>
      </c>
      <c r="AF487" s="29" t="n">
        <f aca="false">Raw!P487</f>
        <v>1129.63</v>
      </c>
      <c r="AG487" s="29" t="n">
        <f aca="false">AD487/J487</f>
        <v>518.103721298496</v>
      </c>
    </row>
    <row r="488" customFormat="false" ht="15" hidden="false" customHeight="false" outlineLevel="0" collapsed="false">
      <c r="A488" s="0" t="str">
        <f aca="false">Raw!A488</f>
        <v>SHP0487</v>
      </c>
      <c r="B488" s="0" t="str">
        <f aca="false">Raw!B488</f>
        <v>Inbound</v>
      </c>
      <c r="C488" s="0" t="str">
        <f aca="false">Raw!C488</f>
        <v>Punjab</v>
      </c>
      <c r="D488" s="0" t="str">
        <f aca="false">Raw!D488</f>
        <v>Surat</v>
      </c>
      <c r="E488" s="0" t="str">
        <f aca="false">IFERROR(INDEX(Location_Map!$B$2:$B$15,MATCH(C488,Location_Map!$A$2:$A$15,0)),"UNMAPPED")</f>
        <v>Punjab</v>
      </c>
      <c r="F488" s="0" t="str">
        <f aca="false">IFERROR(INDEX(Location_Map!$C$2:$C$15,MATCH(C488,Location_Map!$A$2:$A$15,0)),"UNMAPPED")</f>
        <v>North</v>
      </c>
      <c r="G488" s="0" t="str">
        <f aca="false">IFERROR(INDEX(Location_Map!$B$2:$B$15,MATCH(D488,Location_Map!$A$2:$A$15,0)),"UNMAPPED")</f>
        <v>Gujarat</v>
      </c>
      <c r="H488" s="0" t="str">
        <f aca="false">IFERROR(INDEX(Location_Map!$C$2:$C$15,MATCH(D488,Location_Map!$A$2:$A$15,0)),"UNMAPPED")</f>
        <v>West</v>
      </c>
      <c r="I488" s="0" t="str">
        <f aca="false">Raw!E488</f>
        <v>Raw Yarn</v>
      </c>
      <c r="J488" s="28" t="n">
        <f aca="false">Raw!F488</f>
        <v>17.41</v>
      </c>
      <c r="K488" s="30" t="n">
        <f aca="false">DATE(LEFT(Raw!G488,4),MID(Raw!G488,6,2),MID(Raw!G488,9,2))</f>
        <v>45697</v>
      </c>
      <c r="L488" s="30" t="n">
        <f aca="false">DATE(LEFT(Raw!H488,4),MID(Raw!H488,6,2),MID(Raw!H488,9,2))</f>
        <v>45701</v>
      </c>
      <c r="M488" s="30" t="n">
        <f aca="false">DATE(LEFT(Raw!I488,4),MID(Raw!I488,6,2),MID(Raw!I488,9,2))</f>
        <v>45707</v>
      </c>
      <c r="N488" s="31" t="n">
        <f aca="false">DATE(LEFT(Raw!J488,4),MID(Raw!J488,6,2),MID(Raw!J488,9,2))+TIME(MID(Raw!J488,12,2),MID(Raw!J488,15,2),MID(Raw!J488,18,2))</f>
        <v>45701.3333333333</v>
      </c>
      <c r="O488" s="31" t="n">
        <f aca="false">DATE(LEFT(Raw!K488,4),MID(Raw!K488,6,2),MID(Raw!K488,9,2))+TIME(MID(Raw!K488,12,2),MID(Raw!K488,15,2),MID(Raw!K488,18,2))</f>
        <v>45710.3</v>
      </c>
      <c r="P488" s="32" t="n">
        <f aca="false">L488-K488</f>
        <v>4</v>
      </c>
      <c r="Q488" s="32" t="n">
        <f aca="false">M488-L488</f>
        <v>6</v>
      </c>
      <c r="R488" s="32" t="n">
        <f aca="false">O488-N488</f>
        <v>8.96666666666667</v>
      </c>
      <c r="S488" s="32" t="n">
        <f aca="false">Raw!L488</f>
        <v>3.3</v>
      </c>
      <c r="T488" s="32" t="n">
        <f aca="false">O488-M488</f>
        <v>3.3</v>
      </c>
      <c r="U488" s="0" t="str">
        <f aca="false">IF(ABS(T488-S488)&lt;0.01,"OK","MISMATCH")</f>
        <v>OK</v>
      </c>
      <c r="V488" s="33" t="n">
        <f aca="false">Raw!M488</f>
        <v>1</v>
      </c>
      <c r="W488" s="0" t="str">
        <f aca="false">IF((S488&gt;0)=(V488=1),"OK","MISMATCH")</f>
        <v>OK</v>
      </c>
      <c r="X488" s="0" t="str">
        <f aca="false">_xlfn.IFS(S488&lt;=0,"Early/On time",S488&lt;=2,"Minor (up to 2 days)",S488&lt;=5,"Moderate (2-5 days)",TRUE(),"Severe (over 5 days)")</f>
        <v>Moderate (2-5 days)</v>
      </c>
      <c r="Y488" s="0" t="str">
        <f aca="false">YEAR(K488)&amp;"-"&amp;TEXT(MONTH(K488),"00")</f>
        <v>2025-02</v>
      </c>
      <c r="Z488" s="0" t="str">
        <f aca="false">C488&amp;" → "&amp;D488</f>
        <v>Punjab → Surat</v>
      </c>
      <c r="AA488" s="0" t="str">
        <f aca="false">Raw!Q488</f>
        <v>TCI Express</v>
      </c>
      <c r="AB488" s="0" t="str">
        <f aca="false">Raw!R488</f>
        <v>No</v>
      </c>
      <c r="AC488" s="0" t="str">
        <f aca="false">Raw!S488</f>
        <v>Expedited</v>
      </c>
      <c r="AD488" s="29" t="n">
        <f aca="false">Raw!N488</f>
        <v>6802.02</v>
      </c>
      <c r="AE488" s="29" t="n">
        <f aca="false">Raw!O488</f>
        <v>1686.39</v>
      </c>
      <c r="AF488" s="29" t="n">
        <f aca="false">Raw!P488</f>
        <v>667.46</v>
      </c>
      <c r="AG488" s="29" t="n">
        <f aca="false">AD488/J488</f>
        <v>390.69615163699</v>
      </c>
    </row>
    <row r="489" customFormat="false" ht="15" hidden="false" customHeight="false" outlineLevel="0" collapsed="false">
      <c r="A489" s="0" t="str">
        <f aca="false">Raw!A489</f>
        <v>SHP0488</v>
      </c>
      <c r="B489" s="0" t="str">
        <f aca="false">Raw!B489</f>
        <v>Inbound</v>
      </c>
      <c r="C489" s="0" t="str">
        <f aca="false">Raw!C489</f>
        <v>Punjab</v>
      </c>
      <c r="D489" s="0" t="str">
        <f aca="false">Raw!D489</f>
        <v>Surat</v>
      </c>
      <c r="E489" s="0" t="str">
        <f aca="false">IFERROR(INDEX(Location_Map!$B$2:$B$15,MATCH(C489,Location_Map!$A$2:$A$15,0)),"UNMAPPED")</f>
        <v>Punjab</v>
      </c>
      <c r="F489" s="0" t="str">
        <f aca="false">IFERROR(INDEX(Location_Map!$C$2:$C$15,MATCH(C489,Location_Map!$A$2:$A$15,0)),"UNMAPPED")</f>
        <v>North</v>
      </c>
      <c r="G489" s="0" t="str">
        <f aca="false">IFERROR(INDEX(Location_Map!$B$2:$B$15,MATCH(D489,Location_Map!$A$2:$A$15,0)),"UNMAPPED")</f>
        <v>Gujarat</v>
      </c>
      <c r="H489" s="0" t="str">
        <f aca="false">IFERROR(INDEX(Location_Map!$C$2:$C$15,MATCH(D489,Location_Map!$A$2:$A$15,0)),"UNMAPPED")</f>
        <v>West</v>
      </c>
      <c r="I489" s="0" t="str">
        <f aca="false">Raw!E489</f>
        <v>Finished Yarn</v>
      </c>
      <c r="J489" s="28" t="n">
        <f aca="false">Raw!F489</f>
        <v>9.79</v>
      </c>
      <c r="K489" s="30" t="n">
        <f aca="false">DATE(LEFT(Raw!G489,4),MID(Raw!G489,6,2),MID(Raw!G489,9,2))</f>
        <v>45667</v>
      </c>
      <c r="L489" s="30" t="n">
        <f aca="false">DATE(LEFT(Raw!H489,4),MID(Raw!H489,6,2),MID(Raw!H489,9,2))</f>
        <v>45668</v>
      </c>
      <c r="M489" s="30" t="n">
        <f aca="false">DATE(LEFT(Raw!I489,4),MID(Raw!I489,6,2),MID(Raw!I489,9,2))</f>
        <v>45670</v>
      </c>
      <c r="N489" s="31" t="n">
        <f aca="false">DATE(LEFT(Raw!J489,4),MID(Raw!J489,6,2),MID(Raw!J489,9,2))+TIME(MID(Raw!J489,12,2),MID(Raw!J489,15,2),MID(Raw!J489,18,2))</f>
        <v>45668</v>
      </c>
      <c r="O489" s="31" t="n">
        <f aca="false">DATE(LEFT(Raw!K489,4),MID(Raw!K489,6,2),MID(Raw!K489,9,2))+TIME(MID(Raw!K489,12,2),MID(Raw!K489,15,2),MID(Raw!K489,18,2))</f>
        <v>45672.1</v>
      </c>
      <c r="P489" s="32" t="n">
        <f aca="false">L489-K489</f>
        <v>1</v>
      </c>
      <c r="Q489" s="32" t="n">
        <f aca="false">M489-L489</f>
        <v>2</v>
      </c>
      <c r="R489" s="32" t="n">
        <f aca="false">O489-N489</f>
        <v>4.1</v>
      </c>
      <c r="S489" s="32" t="n">
        <f aca="false">Raw!L489</f>
        <v>2.1</v>
      </c>
      <c r="T489" s="32" t="n">
        <f aca="false">O489-M489</f>
        <v>2.1</v>
      </c>
      <c r="U489" s="0" t="str">
        <f aca="false">IF(ABS(T489-S489)&lt;0.01,"OK","MISMATCH")</f>
        <v>OK</v>
      </c>
      <c r="V489" s="33" t="n">
        <f aca="false">Raw!M489</f>
        <v>1</v>
      </c>
      <c r="W489" s="0" t="str">
        <f aca="false">IF((S489&gt;0)=(V489=1),"OK","MISMATCH")</f>
        <v>OK</v>
      </c>
      <c r="X489" s="0" t="str">
        <f aca="false">_xlfn.IFS(S489&lt;=0,"Early/On time",S489&lt;=2,"Minor (up to 2 days)",S489&lt;=5,"Moderate (2-5 days)",TRUE(),"Severe (over 5 days)")</f>
        <v>Moderate (2-5 days)</v>
      </c>
      <c r="Y489" s="0" t="str">
        <f aca="false">YEAR(K489)&amp;"-"&amp;TEXT(MONTH(K489),"00")</f>
        <v>2025-01</v>
      </c>
      <c r="Z489" s="0" t="str">
        <f aca="false">C489&amp;" → "&amp;D489</f>
        <v>Punjab → Surat</v>
      </c>
      <c r="AA489" s="0" t="str">
        <f aca="false">Raw!Q489</f>
        <v>TCI Express</v>
      </c>
      <c r="AB489" s="0" t="str">
        <f aca="false">Raw!R489</f>
        <v>No</v>
      </c>
      <c r="AC489" s="0" t="str">
        <f aca="false">Raw!S489</f>
        <v>Damaged</v>
      </c>
      <c r="AD489" s="29" t="n">
        <f aca="false">Raw!N489</f>
        <v>3387.75</v>
      </c>
      <c r="AE489" s="29" t="n">
        <f aca="false">Raw!O489</f>
        <v>2896.03</v>
      </c>
      <c r="AF489" s="29" t="n">
        <f aca="false">Raw!P489</f>
        <v>951.27</v>
      </c>
      <c r="AG489" s="29" t="n">
        <f aca="false">AD489/J489</f>
        <v>346.041879468846</v>
      </c>
    </row>
    <row r="490" customFormat="false" ht="15" hidden="false" customHeight="false" outlineLevel="0" collapsed="false">
      <c r="A490" s="0" t="str">
        <f aca="false">Raw!A490</f>
        <v>SHP0489</v>
      </c>
      <c r="B490" s="0" t="str">
        <f aca="false">Raw!B490</f>
        <v>Inbound</v>
      </c>
      <c r="C490" s="0" t="str">
        <f aca="false">Raw!C490</f>
        <v>Gujarat</v>
      </c>
      <c r="D490" s="0" t="str">
        <f aca="false">Raw!D490</f>
        <v>Surat</v>
      </c>
      <c r="E490" s="0" t="str">
        <f aca="false">IFERROR(INDEX(Location_Map!$B$2:$B$15,MATCH(C490,Location_Map!$A$2:$A$15,0)),"UNMAPPED")</f>
        <v>Gujarat</v>
      </c>
      <c r="F490" s="0" t="str">
        <f aca="false">IFERROR(INDEX(Location_Map!$C$2:$C$15,MATCH(C490,Location_Map!$A$2:$A$15,0)),"UNMAPPED")</f>
        <v>West</v>
      </c>
      <c r="G490" s="0" t="str">
        <f aca="false">IFERROR(INDEX(Location_Map!$B$2:$B$15,MATCH(D490,Location_Map!$A$2:$A$15,0)),"UNMAPPED")</f>
        <v>Gujarat</v>
      </c>
      <c r="H490" s="0" t="str">
        <f aca="false">IFERROR(INDEX(Location_Map!$C$2:$C$15,MATCH(D490,Location_Map!$A$2:$A$15,0)),"UNMAPPED")</f>
        <v>West</v>
      </c>
      <c r="I490" s="0" t="str">
        <f aca="false">Raw!E490</f>
        <v>Semi-Processed Yarn</v>
      </c>
      <c r="J490" s="28" t="n">
        <f aca="false">Raw!F490</f>
        <v>17.51</v>
      </c>
      <c r="K490" s="30" t="n">
        <f aca="false">DATE(LEFT(Raw!G490,4),MID(Raw!G490,6,2),MID(Raw!G490,9,2))</f>
        <v>45817</v>
      </c>
      <c r="L490" s="30" t="n">
        <f aca="false">DATE(LEFT(Raw!H490,4),MID(Raw!H490,6,2),MID(Raw!H490,9,2))</f>
        <v>45819</v>
      </c>
      <c r="M490" s="30" t="n">
        <f aca="false">DATE(LEFT(Raw!I490,4),MID(Raw!I490,6,2),MID(Raw!I490,9,2))</f>
        <v>45825</v>
      </c>
      <c r="N490" s="31" t="n">
        <f aca="false">DATE(LEFT(Raw!J490,4),MID(Raw!J490,6,2),MID(Raw!J490,9,2))+TIME(MID(Raw!J490,12,2),MID(Raw!J490,15,2),MID(Raw!J490,18,2))</f>
        <v>45818.8333333333</v>
      </c>
      <c r="O490" s="31" t="n">
        <f aca="false">DATE(LEFT(Raw!K490,4),MID(Raw!K490,6,2),MID(Raw!K490,9,2))+TIME(MID(Raw!K490,12,2),MID(Raw!K490,15,2),MID(Raw!K490,18,2))</f>
        <v>45825.1</v>
      </c>
      <c r="P490" s="32" t="n">
        <f aca="false">L490-K490</f>
        <v>2</v>
      </c>
      <c r="Q490" s="32" t="n">
        <f aca="false">M490-L490</f>
        <v>6</v>
      </c>
      <c r="R490" s="32" t="n">
        <f aca="false">O490-N490</f>
        <v>6.26666666666667</v>
      </c>
      <c r="S490" s="32" t="n">
        <f aca="false">Raw!L490</f>
        <v>0.1</v>
      </c>
      <c r="T490" s="32" t="n">
        <f aca="false">O490-M490</f>
        <v>0.1</v>
      </c>
      <c r="U490" s="0" t="str">
        <f aca="false">IF(ABS(T490-S490)&lt;0.01,"OK","MISMATCH")</f>
        <v>OK</v>
      </c>
      <c r="V490" s="33" t="n">
        <f aca="false">Raw!M490</f>
        <v>1</v>
      </c>
      <c r="W490" s="0" t="str">
        <f aca="false">IF((S490&gt;0)=(V490=1),"OK","MISMATCH")</f>
        <v>OK</v>
      </c>
      <c r="X490" s="0" t="str">
        <f aca="false">_xlfn.IFS(S490&lt;=0,"Early/On time",S490&lt;=2,"Minor (up to 2 days)",S490&lt;=5,"Moderate (2-5 days)",TRUE(),"Severe (over 5 days)")</f>
        <v>Minor (up to 2 days)</v>
      </c>
      <c r="Y490" s="0" t="str">
        <f aca="false">YEAR(K490)&amp;"-"&amp;TEXT(MONTH(K490),"00")</f>
        <v>2025-06</v>
      </c>
      <c r="Z490" s="0" t="str">
        <f aca="false">C490&amp;" → "&amp;D490</f>
        <v>Gujarat → Surat</v>
      </c>
      <c r="AA490" s="0" t="str">
        <f aca="false">Raw!Q490</f>
        <v>Delhivery</v>
      </c>
      <c r="AB490" s="0" t="str">
        <f aca="false">Raw!R490</f>
        <v>No</v>
      </c>
      <c r="AC490" s="0" t="str">
        <f aca="false">Raw!S490</f>
        <v>Held at warehouse</v>
      </c>
      <c r="AD490" s="29" t="n">
        <f aca="false">Raw!N490</f>
        <v>8647.69</v>
      </c>
      <c r="AE490" s="29" t="n">
        <f aca="false">Raw!O490</f>
        <v>2832.11</v>
      </c>
      <c r="AF490" s="29" t="n">
        <f aca="false">Raw!P490</f>
        <v>756.65</v>
      </c>
      <c r="AG490" s="29" t="n">
        <f aca="false">AD490/J490</f>
        <v>493.871501998858</v>
      </c>
    </row>
    <row r="491" customFormat="false" ht="15" hidden="false" customHeight="false" outlineLevel="0" collapsed="false">
      <c r="A491" s="0" t="str">
        <f aca="false">Raw!A491</f>
        <v>SHP0490</v>
      </c>
      <c r="B491" s="0" t="str">
        <f aca="false">Raw!B491</f>
        <v>Inbound</v>
      </c>
      <c r="C491" s="0" t="str">
        <f aca="false">Raw!C491</f>
        <v>Rajasthan</v>
      </c>
      <c r="D491" s="0" t="str">
        <f aca="false">Raw!D491</f>
        <v>Surat</v>
      </c>
      <c r="E491" s="0" t="str">
        <f aca="false">IFERROR(INDEX(Location_Map!$B$2:$B$15,MATCH(C491,Location_Map!$A$2:$A$15,0)),"UNMAPPED")</f>
        <v>Rajasthan</v>
      </c>
      <c r="F491" s="0" t="str">
        <f aca="false">IFERROR(INDEX(Location_Map!$C$2:$C$15,MATCH(C491,Location_Map!$A$2:$A$15,0)),"UNMAPPED")</f>
        <v>North</v>
      </c>
      <c r="G491" s="0" t="str">
        <f aca="false">IFERROR(INDEX(Location_Map!$B$2:$B$15,MATCH(D491,Location_Map!$A$2:$A$15,0)),"UNMAPPED")</f>
        <v>Gujarat</v>
      </c>
      <c r="H491" s="0" t="str">
        <f aca="false">IFERROR(INDEX(Location_Map!$C$2:$C$15,MATCH(D491,Location_Map!$A$2:$A$15,0)),"UNMAPPED")</f>
        <v>West</v>
      </c>
      <c r="I491" s="0" t="str">
        <f aca="false">Raw!E491</f>
        <v>Semi-Processed Yarn</v>
      </c>
      <c r="J491" s="28" t="n">
        <f aca="false">Raw!F491</f>
        <v>15.29</v>
      </c>
      <c r="K491" s="30" t="n">
        <f aca="false">DATE(LEFT(Raw!G491,4),MID(Raw!G491,6,2),MID(Raw!G491,9,2))</f>
        <v>45811</v>
      </c>
      <c r="L491" s="30" t="n">
        <f aca="false">DATE(LEFT(Raw!H491,4),MID(Raw!H491,6,2),MID(Raw!H491,9,2))</f>
        <v>45813</v>
      </c>
      <c r="M491" s="30" t="n">
        <f aca="false">DATE(LEFT(Raw!I491,4),MID(Raw!I491,6,2),MID(Raw!I491,9,2))</f>
        <v>45815</v>
      </c>
      <c r="N491" s="31" t="n">
        <f aca="false">DATE(LEFT(Raw!J491,4),MID(Raw!J491,6,2),MID(Raw!J491,9,2))+TIME(MID(Raw!J491,12,2),MID(Raw!J491,15,2),MID(Raw!J491,18,2))</f>
        <v>45813.0416666667</v>
      </c>
      <c r="O491" s="31" t="n">
        <f aca="false">DATE(LEFT(Raw!K491,4),MID(Raw!K491,6,2),MID(Raw!K491,9,2))+TIME(MID(Raw!K491,12,2),MID(Raw!K491,15,2),MID(Raw!K491,18,2))</f>
        <v>45818.7</v>
      </c>
      <c r="P491" s="32" t="n">
        <f aca="false">L491-K491</f>
        <v>2</v>
      </c>
      <c r="Q491" s="32" t="n">
        <f aca="false">M491-L491</f>
        <v>2</v>
      </c>
      <c r="R491" s="32" t="n">
        <f aca="false">O491-N491</f>
        <v>5.65833333333333</v>
      </c>
      <c r="S491" s="32" t="n">
        <f aca="false">Raw!L491</f>
        <v>3.7</v>
      </c>
      <c r="T491" s="32" t="n">
        <f aca="false">O491-M491</f>
        <v>3.7</v>
      </c>
      <c r="U491" s="0" t="str">
        <f aca="false">IF(ABS(T491-S491)&lt;0.01,"OK","MISMATCH")</f>
        <v>OK</v>
      </c>
      <c r="V491" s="33" t="n">
        <f aca="false">Raw!M491</f>
        <v>1</v>
      </c>
      <c r="W491" s="0" t="str">
        <f aca="false">IF((S491&gt;0)=(V491=1),"OK","MISMATCH")</f>
        <v>OK</v>
      </c>
      <c r="X491" s="0" t="str">
        <f aca="false">_xlfn.IFS(S491&lt;=0,"Early/On time",S491&lt;=2,"Minor (up to 2 days)",S491&lt;=5,"Moderate (2-5 days)",TRUE(),"Severe (over 5 days)")</f>
        <v>Moderate (2-5 days)</v>
      </c>
      <c r="Y491" s="0" t="str">
        <f aca="false">YEAR(K491)&amp;"-"&amp;TEXT(MONTH(K491),"00")</f>
        <v>2025-06</v>
      </c>
      <c r="Z491" s="0" t="str">
        <f aca="false">C491&amp;" → "&amp;D491</f>
        <v>Rajasthan → Surat</v>
      </c>
      <c r="AA491" s="0" t="str">
        <f aca="false">Raw!Q491</f>
        <v>Delhivery</v>
      </c>
      <c r="AB491" s="0" t="str">
        <f aca="false">Raw!R491</f>
        <v>Yes</v>
      </c>
      <c r="AC491" s="0" t="str">
        <f aca="false">Raw!S491</f>
        <v>Normal</v>
      </c>
      <c r="AD491" s="29" t="n">
        <f aca="false">Raw!N491</f>
        <v>7791.94</v>
      </c>
      <c r="AE491" s="29" t="n">
        <f aca="false">Raw!O491</f>
        <v>1006.58</v>
      </c>
      <c r="AF491" s="29" t="n">
        <f aca="false">Raw!P491</f>
        <v>876.41</v>
      </c>
      <c r="AG491" s="29" t="n">
        <f aca="false">AD491/J491</f>
        <v>509.610202746893</v>
      </c>
    </row>
    <row r="492" customFormat="false" ht="15" hidden="false" customHeight="false" outlineLevel="0" collapsed="false">
      <c r="A492" s="0" t="str">
        <f aca="false">Raw!A492</f>
        <v>SHP0491</v>
      </c>
      <c r="B492" s="0" t="str">
        <f aca="false">Raw!B492</f>
        <v>Outbound</v>
      </c>
      <c r="C492" s="0" t="str">
        <f aca="false">Raw!C492</f>
        <v>Surat</v>
      </c>
      <c r="D492" s="0" t="str">
        <f aca="false">Raw!D492</f>
        <v>Jaipur</v>
      </c>
      <c r="E492" s="0" t="str">
        <f aca="false">IFERROR(INDEX(Location_Map!$B$2:$B$15,MATCH(C492,Location_Map!$A$2:$A$15,0)),"UNMAPPED")</f>
        <v>Gujarat</v>
      </c>
      <c r="F492" s="0" t="str">
        <f aca="false">IFERROR(INDEX(Location_Map!$C$2:$C$15,MATCH(C492,Location_Map!$A$2:$A$15,0)),"UNMAPPED")</f>
        <v>West</v>
      </c>
      <c r="G492" s="0" t="str">
        <f aca="false">IFERROR(INDEX(Location_Map!$B$2:$B$15,MATCH(D492,Location_Map!$A$2:$A$15,0)),"UNMAPPED")</f>
        <v>Rajasthan</v>
      </c>
      <c r="H492" s="0" t="str">
        <f aca="false">IFERROR(INDEX(Location_Map!$C$2:$C$15,MATCH(D492,Location_Map!$A$2:$A$15,0)),"UNMAPPED")</f>
        <v>North</v>
      </c>
      <c r="I492" s="0" t="str">
        <f aca="false">Raw!E492</f>
        <v>Finished Yarn</v>
      </c>
      <c r="J492" s="28" t="n">
        <f aca="false">Raw!F492</f>
        <v>11.84</v>
      </c>
      <c r="K492" s="30" t="n">
        <f aca="false">DATE(LEFT(Raw!G492,4),MID(Raw!G492,6,2),MID(Raw!G492,9,2))</f>
        <v>45801</v>
      </c>
      <c r="L492" s="30" t="n">
        <f aca="false">DATE(LEFT(Raw!H492,4),MID(Raw!H492,6,2),MID(Raw!H492,9,2))</f>
        <v>45805</v>
      </c>
      <c r="M492" s="30" t="n">
        <f aca="false">DATE(LEFT(Raw!I492,4),MID(Raw!I492,6,2),MID(Raw!I492,9,2))</f>
        <v>45808</v>
      </c>
      <c r="N492" s="31" t="n">
        <f aca="false">DATE(LEFT(Raw!J492,4),MID(Raw!J492,6,2),MID(Raw!J492,9,2))+TIME(MID(Raw!J492,12,2),MID(Raw!J492,15,2),MID(Raw!J492,18,2))</f>
        <v>45805.0416666667</v>
      </c>
      <c r="O492" s="31" t="n">
        <f aca="false">DATE(LEFT(Raw!K492,4),MID(Raw!K492,6,2),MID(Raw!K492,9,2))+TIME(MID(Raw!K492,12,2),MID(Raw!K492,15,2),MID(Raw!K492,18,2))</f>
        <v>45811.4</v>
      </c>
      <c r="P492" s="32" t="n">
        <f aca="false">L492-K492</f>
        <v>4</v>
      </c>
      <c r="Q492" s="32" t="n">
        <f aca="false">M492-L492</f>
        <v>3</v>
      </c>
      <c r="R492" s="32" t="n">
        <f aca="false">O492-N492</f>
        <v>6.35833333333333</v>
      </c>
      <c r="S492" s="32" t="n">
        <f aca="false">Raw!L492</f>
        <v>3.4</v>
      </c>
      <c r="T492" s="32" t="n">
        <f aca="false">O492-M492</f>
        <v>3.4</v>
      </c>
      <c r="U492" s="0" t="str">
        <f aca="false">IF(ABS(T492-S492)&lt;0.01,"OK","MISMATCH")</f>
        <v>OK</v>
      </c>
      <c r="V492" s="33" t="n">
        <f aca="false">Raw!M492</f>
        <v>1</v>
      </c>
      <c r="W492" s="0" t="str">
        <f aca="false">IF((S492&gt;0)=(V492=1),"OK","MISMATCH")</f>
        <v>OK</v>
      </c>
      <c r="X492" s="0" t="str">
        <f aca="false">_xlfn.IFS(S492&lt;=0,"Early/On time",S492&lt;=2,"Minor (up to 2 days)",S492&lt;=5,"Moderate (2-5 days)",TRUE(),"Severe (over 5 days)")</f>
        <v>Moderate (2-5 days)</v>
      </c>
      <c r="Y492" s="0" t="str">
        <f aca="false">YEAR(K492)&amp;"-"&amp;TEXT(MONTH(K492),"00")</f>
        <v>2025-05</v>
      </c>
      <c r="Z492" s="0" t="str">
        <f aca="false">C492&amp;" → "&amp;D492</f>
        <v>Surat → Jaipur</v>
      </c>
      <c r="AA492" s="0" t="str">
        <f aca="false">Raw!Q492</f>
        <v>BlueDart</v>
      </c>
      <c r="AB492" s="0" t="str">
        <f aca="false">Raw!R492</f>
        <v>Yes</v>
      </c>
      <c r="AC492" s="0" t="str">
        <f aca="false">Raw!S492</f>
        <v>Returned</v>
      </c>
      <c r="AD492" s="29" t="n">
        <f aca="false">Raw!N492</f>
        <v>7933.31</v>
      </c>
      <c r="AE492" s="29" t="n">
        <f aca="false">Raw!O492</f>
        <v>4504.77</v>
      </c>
      <c r="AF492" s="29" t="n">
        <f aca="false">Raw!P492</f>
        <v>1222.78</v>
      </c>
      <c r="AG492" s="29" t="n">
        <f aca="false">AD492/J492</f>
        <v>670.043074324324</v>
      </c>
    </row>
    <row r="493" customFormat="false" ht="15" hidden="false" customHeight="false" outlineLevel="0" collapsed="false">
      <c r="A493" s="0" t="str">
        <f aca="false">Raw!A493</f>
        <v>SHP0492</v>
      </c>
      <c r="B493" s="0" t="str">
        <f aca="false">Raw!B493</f>
        <v>Inbound</v>
      </c>
      <c r="C493" s="0" t="str">
        <f aca="false">Raw!C493</f>
        <v>Rajasthan</v>
      </c>
      <c r="D493" s="0" t="str">
        <f aca="false">Raw!D493</f>
        <v>Surat</v>
      </c>
      <c r="E493" s="0" t="str">
        <f aca="false">IFERROR(INDEX(Location_Map!$B$2:$B$15,MATCH(C493,Location_Map!$A$2:$A$15,0)),"UNMAPPED")</f>
        <v>Rajasthan</v>
      </c>
      <c r="F493" s="0" t="str">
        <f aca="false">IFERROR(INDEX(Location_Map!$C$2:$C$15,MATCH(C493,Location_Map!$A$2:$A$15,0)),"UNMAPPED")</f>
        <v>North</v>
      </c>
      <c r="G493" s="0" t="str">
        <f aca="false">IFERROR(INDEX(Location_Map!$B$2:$B$15,MATCH(D493,Location_Map!$A$2:$A$15,0)),"UNMAPPED")</f>
        <v>Gujarat</v>
      </c>
      <c r="H493" s="0" t="str">
        <f aca="false">IFERROR(INDEX(Location_Map!$C$2:$C$15,MATCH(D493,Location_Map!$A$2:$A$15,0)),"UNMAPPED")</f>
        <v>West</v>
      </c>
      <c r="I493" s="0" t="str">
        <f aca="false">Raw!E493</f>
        <v>Raw Yarn</v>
      </c>
      <c r="J493" s="28" t="n">
        <f aca="false">Raw!F493</f>
        <v>5.4</v>
      </c>
      <c r="K493" s="30" t="n">
        <f aca="false">DATE(LEFT(Raw!G493,4),MID(Raw!G493,6,2),MID(Raw!G493,9,2))</f>
        <v>45869</v>
      </c>
      <c r="L493" s="30" t="n">
        <f aca="false">DATE(LEFT(Raw!H493,4),MID(Raw!H493,6,2),MID(Raw!H493,9,2))</f>
        <v>45871</v>
      </c>
      <c r="M493" s="30" t="n">
        <f aca="false">DATE(LEFT(Raw!I493,4),MID(Raw!I493,6,2),MID(Raw!I493,9,2))</f>
        <v>45877</v>
      </c>
      <c r="N493" s="31" t="n">
        <f aca="false">DATE(LEFT(Raw!J493,4),MID(Raw!J493,6,2),MID(Raw!J493,9,2))+TIME(MID(Raw!J493,12,2),MID(Raw!J493,15,2),MID(Raw!J493,18,2))</f>
        <v>45870.8333333333</v>
      </c>
      <c r="O493" s="31" t="n">
        <f aca="false">DATE(LEFT(Raw!K493,4),MID(Raw!K493,6,2),MID(Raw!K493,9,2))+TIME(MID(Raw!K493,12,2),MID(Raw!K493,15,2),MID(Raw!K493,18,2))</f>
        <v>45881</v>
      </c>
      <c r="P493" s="32" t="n">
        <f aca="false">L493-K493</f>
        <v>2</v>
      </c>
      <c r="Q493" s="32" t="n">
        <f aca="false">M493-L493</f>
        <v>6</v>
      </c>
      <c r="R493" s="32" t="n">
        <f aca="false">O493-N493</f>
        <v>10.1666666666667</v>
      </c>
      <c r="S493" s="32" t="n">
        <f aca="false">Raw!L493</f>
        <v>4</v>
      </c>
      <c r="T493" s="32" t="n">
        <f aca="false">O493-M493</f>
        <v>4</v>
      </c>
      <c r="U493" s="0" t="str">
        <f aca="false">IF(ABS(T493-S493)&lt;0.01,"OK","MISMATCH")</f>
        <v>OK</v>
      </c>
      <c r="V493" s="33" t="n">
        <f aca="false">Raw!M493</f>
        <v>1</v>
      </c>
      <c r="W493" s="0" t="str">
        <f aca="false">IF((S493&gt;0)=(V493=1),"OK","MISMATCH")</f>
        <v>OK</v>
      </c>
      <c r="X493" s="0" t="str">
        <f aca="false">_xlfn.IFS(S493&lt;=0,"Early/On time",S493&lt;=2,"Minor (up to 2 days)",S493&lt;=5,"Moderate (2-5 days)",TRUE(),"Severe (over 5 days)")</f>
        <v>Moderate (2-5 days)</v>
      </c>
      <c r="Y493" s="0" t="str">
        <f aca="false">YEAR(K493)&amp;"-"&amp;TEXT(MONTH(K493),"00")</f>
        <v>2025-07</v>
      </c>
      <c r="Z493" s="0" t="str">
        <f aca="false">C493&amp;" → "&amp;D493</f>
        <v>Rajasthan → Surat</v>
      </c>
      <c r="AA493" s="0" t="str">
        <f aca="false">Raw!Q493</f>
        <v>TCI Express</v>
      </c>
      <c r="AB493" s="0" t="str">
        <f aca="false">Raw!R493</f>
        <v>No</v>
      </c>
      <c r="AC493" s="0" t="str">
        <f aca="false">Raw!S493</f>
        <v>Held at warehouse</v>
      </c>
      <c r="AD493" s="29" t="n">
        <f aca="false">Raw!N493</f>
        <v>2903.51</v>
      </c>
      <c r="AE493" s="29" t="n">
        <f aca="false">Raw!O493</f>
        <v>3844</v>
      </c>
      <c r="AF493" s="29" t="n">
        <f aca="false">Raw!P493</f>
        <v>734.5</v>
      </c>
      <c r="AG493" s="29" t="n">
        <f aca="false">AD493/J493</f>
        <v>537.687037037037</v>
      </c>
    </row>
    <row r="494" customFormat="false" ht="15" hidden="false" customHeight="false" outlineLevel="0" collapsed="false">
      <c r="A494" s="0" t="str">
        <f aca="false">Raw!A494</f>
        <v>SHP0493</v>
      </c>
      <c r="B494" s="0" t="str">
        <f aca="false">Raw!B494</f>
        <v>Outbound</v>
      </c>
      <c r="C494" s="0" t="str">
        <f aca="false">Raw!C494</f>
        <v>Surat</v>
      </c>
      <c r="D494" s="0" t="str">
        <f aca="false">Raw!D494</f>
        <v>West Bengal</v>
      </c>
      <c r="E494" s="0" t="str">
        <f aca="false">IFERROR(INDEX(Location_Map!$B$2:$B$15,MATCH(C494,Location_Map!$A$2:$A$15,0)),"UNMAPPED")</f>
        <v>Gujarat</v>
      </c>
      <c r="F494" s="0" t="str">
        <f aca="false">IFERROR(INDEX(Location_Map!$C$2:$C$15,MATCH(C494,Location_Map!$A$2:$A$15,0)),"UNMAPPED")</f>
        <v>West</v>
      </c>
      <c r="G494" s="0" t="str">
        <f aca="false">IFERROR(INDEX(Location_Map!$B$2:$B$15,MATCH(D494,Location_Map!$A$2:$A$15,0)),"UNMAPPED")</f>
        <v>West Bengal</v>
      </c>
      <c r="H494" s="0" t="str">
        <f aca="false">IFERROR(INDEX(Location_Map!$C$2:$C$15,MATCH(D494,Location_Map!$A$2:$A$15,0)),"UNMAPPED")</f>
        <v>East</v>
      </c>
      <c r="I494" s="0" t="str">
        <f aca="false">Raw!E494</f>
        <v>Finished Yarn</v>
      </c>
      <c r="J494" s="28" t="n">
        <f aca="false">Raw!F494</f>
        <v>15.24</v>
      </c>
      <c r="K494" s="30" t="n">
        <f aca="false">DATE(LEFT(Raw!G494,4),MID(Raw!G494,6,2),MID(Raw!G494,9,2))</f>
        <v>45933</v>
      </c>
      <c r="L494" s="30" t="n">
        <f aca="false">DATE(LEFT(Raw!H494,4),MID(Raw!H494,6,2),MID(Raw!H494,9,2))</f>
        <v>45934</v>
      </c>
      <c r="M494" s="30" t="n">
        <f aca="false">DATE(LEFT(Raw!I494,4),MID(Raw!I494,6,2),MID(Raw!I494,9,2))</f>
        <v>45937</v>
      </c>
      <c r="N494" s="31" t="n">
        <f aca="false">DATE(LEFT(Raw!J494,4),MID(Raw!J494,6,2),MID(Raw!J494,9,2))+TIME(MID(Raw!J494,12,2),MID(Raw!J494,15,2),MID(Raw!J494,18,2))</f>
        <v>45933.8333333333</v>
      </c>
      <c r="O494" s="31" t="n">
        <f aca="false">DATE(LEFT(Raw!K494,4),MID(Raw!K494,6,2),MID(Raw!K494,9,2))+TIME(MID(Raw!K494,12,2),MID(Raw!K494,15,2),MID(Raw!K494,18,2))</f>
        <v>45938.7</v>
      </c>
      <c r="P494" s="32" t="n">
        <f aca="false">L494-K494</f>
        <v>1</v>
      </c>
      <c r="Q494" s="32" t="n">
        <f aca="false">M494-L494</f>
        <v>3</v>
      </c>
      <c r="R494" s="32" t="n">
        <f aca="false">O494-N494</f>
        <v>4.86666666666667</v>
      </c>
      <c r="S494" s="32" t="n">
        <f aca="false">Raw!L494</f>
        <v>1.7</v>
      </c>
      <c r="T494" s="32" t="n">
        <f aca="false">O494-M494</f>
        <v>1.7</v>
      </c>
      <c r="U494" s="0" t="str">
        <f aca="false">IF(ABS(T494-S494)&lt;0.01,"OK","MISMATCH")</f>
        <v>OK</v>
      </c>
      <c r="V494" s="33" t="n">
        <f aca="false">Raw!M494</f>
        <v>1</v>
      </c>
      <c r="W494" s="0" t="str">
        <f aca="false">IF((S494&gt;0)=(V494=1),"OK","MISMATCH")</f>
        <v>OK</v>
      </c>
      <c r="X494" s="0" t="str">
        <f aca="false">_xlfn.IFS(S494&lt;=0,"Early/On time",S494&lt;=2,"Minor (up to 2 days)",S494&lt;=5,"Moderate (2-5 days)",TRUE(),"Severe (over 5 days)")</f>
        <v>Minor (up to 2 days)</v>
      </c>
      <c r="Y494" s="0" t="str">
        <f aca="false">YEAR(K494)&amp;"-"&amp;TEXT(MONTH(K494),"00")</f>
        <v>2025-10</v>
      </c>
      <c r="Z494" s="0" t="str">
        <f aca="false">C494&amp;" → "&amp;D494</f>
        <v>Surat → West Bengal</v>
      </c>
      <c r="AA494" s="0" t="str">
        <f aca="false">Raw!Q494</f>
        <v>Delhivery</v>
      </c>
      <c r="AB494" s="0" t="str">
        <f aca="false">Raw!R494</f>
        <v>Yes</v>
      </c>
      <c r="AC494" s="0" t="str">
        <f aca="false">Raw!S494</f>
        <v>Returned</v>
      </c>
      <c r="AD494" s="29" t="n">
        <f aca="false">Raw!N494</f>
        <v>8056.3</v>
      </c>
      <c r="AE494" s="29" t="n">
        <f aca="false">Raw!O494</f>
        <v>3746.06</v>
      </c>
      <c r="AF494" s="29" t="n">
        <f aca="false">Raw!P494</f>
        <v>1315.07</v>
      </c>
      <c r="AG494" s="29" t="n">
        <f aca="false">AD494/J494</f>
        <v>528.628608923885</v>
      </c>
    </row>
    <row r="495" customFormat="false" ht="15" hidden="false" customHeight="false" outlineLevel="0" collapsed="false">
      <c r="A495" s="0" t="str">
        <f aca="false">Raw!A495</f>
        <v>SHP0494</v>
      </c>
      <c r="B495" s="0" t="str">
        <f aca="false">Raw!B495</f>
        <v>Outbound</v>
      </c>
      <c r="C495" s="0" t="str">
        <f aca="false">Raw!C495</f>
        <v>Surat</v>
      </c>
      <c r="D495" s="0" t="str">
        <f aca="false">Raw!D495</f>
        <v>West Bengal</v>
      </c>
      <c r="E495" s="0" t="str">
        <f aca="false">IFERROR(INDEX(Location_Map!$B$2:$B$15,MATCH(C495,Location_Map!$A$2:$A$15,0)),"UNMAPPED")</f>
        <v>Gujarat</v>
      </c>
      <c r="F495" s="0" t="str">
        <f aca="false">IFERROR(INDEX(Location_Map!$C$2:$C$15,MATCH(C495,Location_Map!$A$2:$A$15,0)),"UNMAPPED")</f>
        <v>West</v>
      </c>
      <c r="G495" s="0" t="str">
        <f aca="false">IFERROR(INDEX(Location_Map!$B$2:$B$15,MATCH(D495,Location_Map!$A$2:$A$15,0)),"UNMAPPED")</f>
        <v>West Bengal</v>
      </c>
      <c r="H495" s="0" t="str">
        <f aca="false">IFERROR(INDEX(Location_Map!$C$2:$C$15,MATCH(D495,Location_Map!$A$2:$A$15,0)),"UNMAPPED")</f>
        <v>East</v>
      </c>
      <c r="I495" s="0" t="str">
        <f aca="false">Raw!E495</f>
        <v>Finished Yarn</v>
      </c>
      <c r="J495" s="28" t="n">
        <f aca="false">Raw!F495</f>
        <v>17.67</v>
      </c>
      <c r="K495" s="30" t="n">
        <f aca="false">DATE(LEFT(Raw!G495,4),MID(Raw!G495,6,2),MID(Raw!G495,9,2))</f>
        <v>45889</v>
      </c>
      <c r="L495" s="30" t="n">
        <f aca="false">DATE(LEFT(Raw!H495,4),MID(Raw!H495,6,2),MID(Raw!H495,9,2))</f>
        <v>45892</v>
      </c>
      <c r="M495" s="30" t="n">
        <f aca="false">DATE(LEFT(Raw!I495,4),MID(Raw!I495,6,2),MID(Raw!I495,9,2))</f>
        <v>45895</v>
      </c>
      <c r="N495" s="31" t="n">
        <f aca="false">DATE(LEFT(Raw!J495,4),MID(Raw!J495,6,2),MID(Raw!J495,9,2))+TIME(MID(Raw!J495,12,2),MID(Raw!J495,15,2),MID(Raw!J495,18,2))</f>
        <v>45891.8333333333</v>
      </c>
      <c r="O495" s="31" t="n">
        <f aca="false">DATE(LEFT(Raw!K495,4),MID(Raw!K495,6,2),MID(Raw!K495,9,2))+TIME(MID(Raw!K495,12,2),MID(Raw!K495,15,2),MID(Raw!K495,18,2))</f>
        <v>45895.6</v>
      </c>
      <c r="P495" s="32" t="n">
        <f aca="false">L495-K495</f>
        <v>3</v>
      </c>
      <c r="Q495" s="32" t="n">
        <f aca="false">M495-L495</f>
        <v>3</v>
      </c>
      <c r="R495" s="32" t="n">
        <f aca="false">O495-N495</f>
        <v>3.76666666666667</v>
      </c>
      <c r="S495" s="32" t="n">
        <f aca="false">Raw!L495</f>
        <v>0.6</v>
      </c>
      <c r="T495" s="32" t="n">
        <f aca="false">O495-M495</f>
        <v>0.6</v>
      </c>
      <c r="U495" s="0" t="str">
        <f aca="false">IF(ABS(T495-S495)&lt;0.01,"OK","MISMATCH")</f>
        <v>OK</v>
      </c>
      <c r="V495" s="33" t="n">
        <f aca="false">Raw!M495</f>
        <v>1</v>
      </c>
      <c r="W495" s="0" t="str">
        <f aca="false">IF((S495&gt;0)=(V495=1),"OK","MISMATCH")</f>
        <v>OK</v>
      </c>
      <c r="X495" s="0" t="str">
        <f aca="false">_xlfn.IFS(S495&lt;=0,"Early/On time",S495&lt;=2,"Minor (up to 2 days)",S495&lt;=5,"Moderate (2-5 days)",TRUE(),"Severe (over 5 days)")</f>
        <v>Minor (up to 2 days)</v>
      </c>
      <c r="Y495" s="0" t="str">
        <f aca="false">YEAR(K495)&amp;"-"&amp;TEXT(MONTH(K495),"00")</f>
        <v>2025-08</v>
      </c>
      <c r="Z495" s="0" t="str">
        <f aca="false">C495&amp;" → "&amp;D495</f>
        <v>Surat → West Bengal</v>
      </c>
      <c r="AA495" s="0" t="str">
        <f aca="false">Raw!Q495</f>
        <v>GATI Logistics</v>
      </c>
      <c r="AB495" s="0" t="str">
        <f aca="false">Raw!R495</f>
        <v>Yes</v>
      </c>
      <c r="AC495" s="0" t="str">
        <f aca="false">Raw!S495</f>
        <v>Normal</v>
      </c>
      <c r="AD495" s="29" t="n">
        <f aca="false">Raw!N495</f>
        <v>10410.03</v>
      </c>
      <c r="AE495" s="29" t="n">
        <f aca="false">Raw!O495</f>
        <v>2932.93</v>
      </c>
      <c r="AF495" s="29" t="n">
        <f aca="false">Raw!P495</f>
        <v>1486.9</v>
      </c>
      <c r="AG495" s="29" t="n">
        <f aca="false">AD495/J495</f>
        <v>589.135823429542</v>
      </c>
    </row>
    <row r="496" customFormat="false" ht="15" hidden="false" customHeight="false" outlineLevel="0" collapsed="false">
      <c r="A496" s="0" t="str">
        <f aca="false">Raw!A496</f>
        <v>SHP0495</v>
      </c>
      <c r="B496" s="0" t="str">
        <f aca="false">Raw!B496</f>
        <v>Outbound</v>
      </c>
      <c r="C496" s="0" t="str">
        <f aca="false">Raw!C496</f>
        <v>Surat</v>
      </c>
      <c r="D496" s="0" t="str">
        <f aca="false">Raw!D496</f>
        <v>Jaipur</v>
      </c>
      <c r="E496" s="0" t="str">
        <f aca="false">IFERROR(INDEX(Location_Map!$B$2:$B$15,MATCH(C496,Location_Map!$A$2:$A$15,0)),"UNMAPPED")</f>
        <v>Gujarat</v>
      </c>
      <c r="F496" s="0" t="str">
        <f aca="false">IFERROR(INDEX(Location_Map!$C$2:$C$15,MATCH(C496,Location_Map!$A$2:$A$15,0)),"UNMAPPED")</f>
        <v>West</v>
      </c>
      <c r="G496" s="0" t="str">
        <f aca="false">IFERROR(INDEX(Location_Map!$B$2:$B$15,MATCH(D496,Location_Map!$A$2:$A$15,0)),"UNMAPPED")</f>
        <v>Rajasthan</v>
      </c>
      <c r="H496" s="0" t="str">
        <f aca="false">IFERROR(INDEX(Location_Map!$C$2:$C$15,MATCH(D496,Location_Map!$A$2:$A$15,0)),"UNMAPPED")</f>
        <v>North</v>
      </c>
      <c r="I496" s="0" t="str">
        <f aca="false">Raw!E496</f>
        <v>Raw Yarn</v>
      </c>
      <c r="J496" s="28" t="n">
        <f aca="false">Raw!F496</f>
        <v>15.34</v>
      </c>
      <c r="K496" s="30" t="n">
        <f aca="false">DATE(LEFT(Raw!G496,4),MID(Raw!G496,6,2),MID(Raw!G496,9,2))</f>
        <v>45732</v>
      </c>
      <c r="L496" s="30" t="n">
        <f aca="false">DATE(LEFT(Raw!H496,4),MID(Raw!H496,6,2),MID(Raw!H496,9,2))</f>
        <v>45735</v>
      </c>
      <c r="M496" s="30" t="n">
        <f aca="false">DATE(LEFT(Raw!I496,4),MID(Raw!I496,6,2),MID(Raw!I496,9,2))</f>
        <v>45737</v>
      </c>
      <c r="N496" s="31" t="n">
        <f aca="false">DATE(LEFT(Raw!J496,4),MID(Raw!J496,6,2),MID(Raw!J496,9,2))+TIME(MID(Raw!J496,12,2),MID(Raw!J496,15,2),MID(Raw!J496,18,2))</f>
        <v>45735.2083333333</v>
      </c>
      <c r="O496" s="31" t="n">
        <f aca="false">DATE(LEFT(Raw!K496,4),MID(Raw!K496,6,2),MID(Raw!K496,9,2))+TIME(MID(Raw!K496,12,2),MID(Raw!K496,15,2),MID(Raw!K496,18,2))</f>
        <v>45736.1</v>
      </c>
      <c r="P496" s="32" t="n">
        <f aca="false">L496-K496</f>
        <v>3</v>
      </c>
      <c r="Q496" s="32" t="n">
        <f aca="false">M496-L496</f>
        <v>2</v>
      </c>
      <c r="R496" s="32" t="n">
        <f aca="false">O496-N496</f>
        <v>0.891666666666667</v>
      </c>
      <c r="S496" s="32" t="n">
        <f aca="false">Raw!L496</f>
        <v>-0.9</v>
      </c>
      <c r="T496" s="32" t="n">
        <f aca="false">O496-M496</f>
        <v>-0.900000000002917</v>
      </c>
      <c r="U496" s="0" t="str">
        <f aca="false">IF(ABS(T496-S496)&lt;0.01,"OK","MISMATCH")</f>
        <v>OK</v>
      </c>
      <c r="V496" s="33" t="n">
        <f aca="false">Raw!M496</f>
        <v>0</v>
      </c>
      <c r="W496" s="0" t="str">
        <f aca="false">IF((S496&gt;0)=(V496=1),"OK","MISMATCH")</f>
        <v>OK</v>
      </c>
      <c r="X496" s="0" t="str">
        <f aca="false">_xlfn.IFS(S496&lt;=0,"Early/On time",S496&lt;=2,"Minor (up to 2 days)",S496&lt;=5,"Moderate (2-5 days)",TRUE(),"Severe (over 5 days)")</f>
        <v>Early/On time</v>
      </c>
      <c r="Y496" s="0" t="str">
        <f aca="false">YEAR(K496)&amp;"-"&amp;TEXT(MONTH(K496),"00")</f>
        <v>2025-03</v>
      </c>
      <c r="Z496" s="0" t="str">
        <f aca="false">C496&amp;" → "&amp;D496</f>
        <v>Surat → Jaipur</v>
      </c>
      <c r="AA496" s="0" t="str">
        <f aca="false">Raw!Q496</f>
        <v>GATI Logistics</v>
      </c>
      <c r="AB496" s="0" t="str">
        <f aca="false">Raw!R496</f>
        <v>Yes</v>
      </c>
      <c r="AC496" s="0" t="str">
        <f aca="false">Raw!S496</f>
        <v>Damaged</v>
      </c>
      <c r="AD496" s="29" t="n">
        <f aca="false">Raw!N496</f>
        <v>8172.44</v>
      </c>
      <c r="AE496" s="29" t="n">
        <f aca="false">Raw!O496</f>
        <v>1487.52</v>
      </c>
      <c r="AF496" s="29" t="n">
        <f aca="false">Raw!P496</f>
        <v>518.28</v>
      </c>
      <c r="AG496" s="29" t="n">
        <f aca="false">AD496/J496</f>
        <v>532.753585397653</v>
      </c>
    </row>
    <row r="497" customFormat="false" ht="15" hidden="false" customHeight="false" outlineLevel="0" collapsed="false">
      <c r="A497" s="0" t="str">
        <f aca="false">Raw!A497</f>
        <v>SHP0496</v>
      </c>
      <c r="B497" s="0" t="str">
        <f aca="false">Raw!B497</f>
        <v>Inbound</v>
      </c>
      <c r="C497" s="0" t="str">
        <f aca="false">Raw!C497</f>
        <v>Rajasthan</v>
      </c>
      <c r="D497" s="0" t="str">
        <f aca="false">Raw!D497</f>
        <v>Surat</v>
      </c>
      <c r="E497" s="0" t="str">
        <f aca="false">IFERROR(INDEX(Location_Map!$B$2:$B$15,MATCH(C497,Location_Map!$A$2:$A$15,0)),"UNMAPPED")</f>
        <v>Rajasthan</v>
      </c>
      <c r="F497" s="0" t="str">
        <f aca="false">IFERROR(INDEX(Location_Map!$C$2:$C$15,MATCH(C497,Location_Map!$A$2:$A$15,0)),"UNMAPPED")</f>
        <v>North</v>
      </c>
      <c r="G497" s="0" t="str">
        <f aca="false">IFERROR(INDEX(Location_Map!$B$2:$B$15,MATCH(D497,Location_Map!$A$2:$A$15,0)),"UNMAPPED")</f>
        <v>Gujarat</v>
      </c>
      <c r="H497" s="0" t="str">
        <f aca="false">IFERROR(INDEX(Location_Map!$C$2:$C$15,MATCH(D497,Location_Map!$A$2:$A$15,0)),"UNMAPPED")</f>
        <v>West</v>
      </c>
      <c r="I497" s="0" t="str">
        <f aca="false">Raw!E497</f>
        <v>Raw Yarn</v>
      </c>
      <c r="J497" s="28" t="n">
        <f aca="false">Raw!F497</f>
        <v>18.18</v>
      </c>
      <c r="K497" s="30" t="n">
        <f aca="false">DATE(LEFT(Raw!G497,4),MID(Raw!G497,6,2),MID(Raw!G497,9,2))</f>
        <v>45678</v>
      </c>
      <c r="L497" s="30" t="n">
        <f aca="false">DATE(LEFT(Raw!H497,4),MID(Raw!H497,6,2),MID(Raw!H497,9,2))</f>
        <v>45682</v>
      </c>
      <c r="M497" s="30" t="n">
        <f aca="false">DATE(LEFT(Raw!I497,4),MID(Raw!I497,6,2),MID(Raw!I497,9,2))</f>
        <v>45684</v>
      </c>
      <c r="N497" s="31" t="n">
        <f aca="false">DATE(LEFT(Raw!J497,4),MID(Raw!J497,6,2),MID(Raw!J497,9,2))+TIME(MID(Raw!J497,12,2),MID(Raw!J497,15,2),MID(Raw!J497,18,2))</f>
        <v>45681.7916666667</v>
      </c>
      <c r="O497" s="31" t="n">
        <f aca="false">DATE(LEFT(Raw!K497,4),MID(Raw!K497,6,2),MID(Raw!K497,9,2))+TIME(MID(Raw!K497,12,2),MID(Raw!K497,15,2),MID(Raw!K497,18,2))</f>
        <v>45689.9</v>
      </c>
      <c r="P497" s="32" t="n">
        <f aca="false">L497-K497</f>
        <v>4</v>
      </c>
      <c r="Q497" s="32" t="n">
        <f aca="false">M497-L497</f>
        <v>2</v>
      </c>
      <c r="R497" s="32" t="n">
        <f aca="false">O497-N497</f>
        <v>8.10833333333333</v>
      </c>
      <c r="S497" s="32" t="n">
        <f aca="false">Raw!L497</f>
        <v>5.9</v>
      </c>
      <c r="T497" s="32" t="n">
        <f aca="false">O497-M497</f>
        <v>5.9</v>
      </c>
      <c r="U497" s="0" t="str">
        <f aca="false">IF(ABS(T497-S497)&lt;0.01,"OK","MISMATCH")</f>
        <v>OK</v>
      </c>
      <c r="V497" s="33" t="n">
        <f aca="false">Raw!M497</f>
        <v>1</v>
      </c>
      <c r="W497" s="0" t="str">
        <f aca="false">IF((S497&gt;0)=(V497=1),"OK","MISMATCH")</f>
        <v>OK</v>
      </c>
      <c r="X497" s="0" t="str">
        <f aca="false">_xlfn.IFS(S497&lt;=0,"Early/On time",S497&lt;=2,"Minor (up to 2 days)",S497&lt;=5,"Moderate (2-5 days)",TRUE(),"Severe (over 5 days)")</f>
        <v>Severe (over 5 days)</v>
      </c>
      <c r="Y497" s="0" t="str">
        <f aca="false">YEAR(K497)&amp;"-"&amp;TEXT(MONTH(K497),"00")</f>
        <v>2025-01</v>
      </c>
      <c r="Z497" s="0" t="str">
        <f aca="false">C497&amp;" → "&amp;D497</f>
        <v>Rajasthan → Surat</v>
      </c>
      <c r="AA497" s="0" t="str">
        <f aca="false">Raw!Q497</f>
        <v>VRL Cargo</v>
      </c>
      <c r="AB497" s="0" t="str">
        <f aca="false">Raw!R497</f>
        <v>No</v>
      </c>
      <c r="AC497" s="0" t="str">
        <f aca="false">Raw!S497</f>
        <v>Expedited</v>
      </c>
      <c r="AD497" s="29" t="n">
        <f aca="false">Raw!N497</f>
        <v>5009.98</v>
      </c>
      <c r="AE497" s="29" t="n">
        <f aca="false">Raw!O497</f>
        <v>1748.5</v>
      </c>
      <c r="AF497" s="29" t="n">
        <f aca="false">Raw!P497</f>
        <v>1055.55</v>
      </c>
      <c r="AG497" s="29" t="n">
        <f aca="false">AD497/J497</f>
        <v>275.576457645765</v>
      </c>
    </row>
    <row r="498" customFormat="false" ht="15" hidden="false" customHeight="false" outlineLevel="0" collapsed="false">
      <c r="A498" s="0" t="str">
        <f aca="false">Raw!A498</f>
        <v>SHP0497</v>
      </c>
      <c r="B498" s="0" t="str">
        <f aca="false">Raw!B498</f>
        <v>Outbound</v>
      </c>
      <c r="C498" s="0" t="str">
        <f aca="false">Raw!C498</f>
        <v>Surat</v>
      </c>
      <c r="D498" s="0" t="str">
        <f aca="false">Raw!D498</f>
        <v>Kerala</v>
      </c>
      <c r="E498" s="0" t="str">
        <f aca="false">IFERROR(INDEX(Location_Map!$B$2:$B$15,MATCH(C498,Location_Map!$A$2:$A$15,0)),"UNMAPPED")</f>
        <v>Gujarat</v>
      </c>
      <c r="F498" s="0" t="str">
        <f aca="false">IFERROR(INDEX(Location_Map!$C$2:$C$15,MATCH(C498,Location_Map!$A$2:$A$15,0)),"UNMAPPED")</f>
        <v>West</v>
      </c>
      <c r="G498" s="0" t="str">
        <f aca="false">IFERROR(INDEX(Location_Map!$B$2:$B$15,MATCH(D498,Location_Map!$A$2:$A$15,0)),"UNMAPPED")</f>
        <v>Kerala</v>
      </c>
      <c r="H498" s="0" t="str">
        <f aca="false">IFERROR(INDEX(Location_Map!$C$2:$C$15,MATCH(D498,Location_Map!$A$2:$A$15,0)),"UNMAPPED")</f>
        <v>South</v>
      </c>
      <c r="I498" s="0" t="str">
        <f aca="false">Raw!E498</f>
        <v>Raw Yarn</v>
      </c>
      <c r="J498" s="28" t="n">
        <f aca="false">Raw!F498</f>
        <v>6.54</v>
      </c>
      <c r="K498" s="30" t="n">
        <f aca="false">DATE(LEFT(Raw!G498,4),MID(Raw!G498,6,2),MID(Raw!G498,9,2))</f>
        <v>45783</v>
      </c>
      <c r="L498" s="30" t="n">
        <f aca="false">DATE(LEFT(Raw!H498,4),MID(Raw!H498,6,2),MID(Raw!H498,9,2))</f>
        <v>45785</v>
      </c>
      <c r="M498" s="30" t="n">
        <f aca="false">DATE(LEFT(Raw!I498,4),MID(Raw!I498,6,2),MID(Raw!I498,9,2))</f>
        <v>45789</v>
      </c>
      <c r="N498" s="31" t="n">
        <f aca="false">DATE(LEFT(Raw!J498,4),MID(Raw!J498,6,2),MID(Raw!J498,9,2))+TIME(MID(Raw!J498,12,2),MID(Raw!J498,15,2),MID(Raw!J498,18,2))</f>
        <v>45785.125</v>
      </c>
      <c r="O498" s="31" t="n">
        <f aca="false">DATE(LEFT(Raw!K498,4),MID(Raw!K498,6,2),MID(Raw!K498,9,2))+TIME(MID(Raw!K498,12,2),MID(Raw!K498,15,2),MID(Raw!K498,18,2))</f>
        <v>45791</v>
      </c>
      <c r="P498" s="32" t="n">
        <f aca="false">L498-K498</f>
        <v>2</v>
      </c>
      <c r="Q498" s="32" t="n">
        <f aca="false">M498-L498</f>
        <v>4</v>
      </c>
      <c r="R498" s="32" t="n">
        <f aca="false">O498-N498</f>
        <v>5.875</v>
      </c>
      <c r="S498" s="32" t="n">
        <f aca="false">Raw!L498</f>
        <v>2</v>
      </c>
      <c r="T498" s="32" t="n">
        <f aca="false">O498-M498</f>
        <v>2</v>
      </c>
      <c r="U498" s="0" t="str">
        <f aca="false">IF(ABS(T498-S498)&lt;0.01,"OK","MISMATCH")</f>
        <v>OK</v>
      </c>
      <c r="V498" s="33" t="n">
        <f aca="false">Raw!M498</f>
        <v>1</v>
      </c>
      <c r="W498" s="0" t="str">
        <f aca="false">IF((S498&gt;0)=(V498=1),"OK","MISMATCH")</f>
        <v>OK</v>
      </c>
      <c r="X498" s="0" t="str">
        <f aca="false">_xlfn.IFS(S498&lt;=0,"Early/On time",S498&lt;=2,"Minor (up to 2 days)",S498&lt;=5,"Moderate (2-5 days)",TRUE(),"Severe (over 5 days)")</f>
        <v>Minor (up to 2 days)</v>
      </c>
      <c r="Y498" s="0" t="str">
        <f aca="false">YEAR(K498)&amp;"-"&amp;TEXT(MONTH(K498),"00")</f>
        <v>2025-05</v>
      </c>
      <c r="Z498" s="0" t="str">
        <f aca="false">C498&amp;" → "&amp;D498</f>
        <v>Surat → Kerala</v>
      </c>
      <c r="AA498" s="0" t="str">
        <f aca="false">Raw!Q498</f>
        <v>BlueDart</v>
      </c>
      <c r="AB498" s="0" t="str">
        <f aca="false">Raw!R498</f>
        <v>No</v>
      </c>
      <c r="AC498" s="0" t="str">
        <f aca="false">Raw!S498</f>
        <v>Normal</v>
      </c>
      <c r="AD498" s="29" t="n">
        <f aca="false">Raw!N498</f>
        <v>4666</v>
      </c>
      <c r="AE498" s="29" t="n">
        <f aca="false">Raw!O498</f>
        <v>2357.29</v>
      </c>
      <c r="AF498" s="29" t="n">
        <f aca="false">Raw!P498</f>
        <v>1208.9</v>
      </c>
      <c r="AG498" s="29" t="n">
        <f aca="false">AD498/J498</f>
        <v>713.455657492355</v>
      </c>
    </row>
    <row r="499" customFormat="false" ht="15" hidden="false" customHeight="false" outlineLevel="0" collapsed="false">
      <c r="A499" s="0" t="str">
        <f aca="false">Raw!A499</f>
        <v>SHP0498</v>
      </c>
      <c r="B499" s="0" t="str">
        <f aca="false">Raw!B499</f>
        <v>Inbound</v>
      </c>
      <c r="C499" s="0" t="str">
        <f aca="false">Raw!C499</f>
        <v>Chennai</v>
      </c>
      <c r="D499" s="0" t="str">
        <f aca="false">Raw!D499</f>
        <v>Surat</v>
      </c>
      <c r="E499" s="0" t="str">
        <f aca="false">IFERROR(INDEX(Location_Map!$B$2:$B$15,MATCH(C499,Location_Map!$A$2:$A$15,0)),"UNMAPPED")</f>
        <v>Tamil Nadu</v>
      </c>
      <c r="F499" s="0" t="str">
        <f aca="false">IFERROR(INDEX(Location_Map!$C$2:$C$15,MATCH(C499,Location_Map!$A$2:$A$15,0)),"UNMAPPED")</f>
        <v>South</v>
      </c>
      <c r="G499" s="0" t="str">
        <f aca="false">IFERROR(INDEX(Location_Map!$B$2:$B$15,MATCH(D499,Location_Map!$A$2:$A$15,0)),"UNMAPPED")</f>
        <v>Gujarat</v>
      </c>
      <c r="H499" s="0" t="str">
        <f aca="false">IFERROR(INDEX(Location_Map!$C$2:$C$15,MATCH(D499,Location_Map!$A$2:$A$15,0)),"UNMAPPED")</f>
        <v>West</v>
      </c>
      <c r="I499" s="0" t="str">
        <f aca="false">Raw!E499</f>
        <v>Raw Yarn</v>
      </c>
      <c r="J499" s="28" t="n">
        <f aca="false">Raw!F499</f>
        <v>19.88</v>
      </c>
      <c r="K499" s="30" t="n">
        <f aca="false">DATE(LEFT(Raw!G499,4),MID(Raw!G499,6,2),MID(Raw!G499,9,2))</f>
        <v>45752</v>
      </c>
      <c r="L499" s="30" t="n">
        <f aca="false">DATE(LEFT(Raw!H499,4),MID(Raw!H499,6,2),MID(Raw!H499,9,2))</f>
        <v>45755</v>
      </c>
      <c r="M499" s="30" t="n">
        <f aca="false">DATE(LEFT(Raw!I499,4),MID(Raw!I499,6,2),MID(Raw!I499,9,2))</f>
        <v>45759</v>
      </c>
      <c r="N499" s="31" t="n">
        <f aca="false">DATE(LEFT(Raw!J499,4),MID(Raw!J499,6,2),MID(Raw!J499,9,2))+TIME(MID(Raw!J499,12,2),MID(Raw!J499,15,2),MID(Raw!J499,18,2))</f>
        <v>45755.0833333333</v>
      </c>
      <c r="O499" s="31" t="n">
        <f aca="false">DATE(LEFT(Raw!K499,4),MID(Raw!K499,6,2),MID(Raw!K499,9,2))+TIME(MID(Raw!K499,12,2),MID(Raw!K499,15,2),MID(Raw!K499,18,2))</f>
        <v>45763.7</v>
      </c>
      <c r="P499" s="32" t="n">
        <f aca="false">L499-K499</f>
        <v>3</v>
      </c>
      <c r="Q499" s="32" t="n">
        <f aca="false">M499-L499</f>
        <v>4</v>
      </c>
      <c r="R499" s="32" t="n">
        <f aca="false">O499-N499</f>
        <v>8.61666666666667</v>
      </c>
      <c r="S499" s="32" t="n">
        <f aca="false">Raw!L499</f>
        <v>4.7</v>
      </c>
      <c r="T499" s="32" t="n">
        <f aca="false">O499-M499</f>
        <v>4.7</v>
      </c>
      <c r="U499" s="0" t="str">
        <f aca="false">IF(ABS(T499-S499)&lt;0.01,"OK","MISMATCH")</f>
        <v>OK</v>
      </c>
      <c r="V499" s="33" t="n">
        <f aca="false">Raw!M499</f>
        <v>1</v>
      </c>
      <c r="W499" s="0" t="str">
        <f aca="false">IF((S499&gt;0)=(V499=1),"OK","MISMATCH")</f>
        <v>OK</v>
      </c>
      <c r="X499" s="0" t="str">
        <f aca="false">_xlfn.IFS(S499&lt;=0,"Early/On time",S499&lt;=2,"Minor (up to 2 days)",S499&lt;=5,"Moderate (2-5 days)",TRUE(),"Severe (over 5 days)")</f>
        <v>Moderate (2-5 days)</v>
      </c>
      <c r="Y499" s="0" t="str">
        <f aca="false">YEAR(K499)&amp;"-"&amp;TEXT(MONTH(K499),"00")</f>
        <v>2025-04</v>
      </c>
      <c r="Z499" s="0" t="str">
        <f aca="false">C499&amp;" → "&amp;D499</f>
        <v>Chennai → Surat</v>
      </c>
      <c r="AA499" s="0" t="str">
        <f aca="false">Raw!Q499</f>
        <v>TCI Express</v>
      </c>
      <c r="AB499" s="0" t="str">
        <f aca="false">Raw!R499</f>
        <v>No</v>
      </c>
      <c r="AC499" s="0" t="str">
        <f aca="false">Raw!S499</f>
        <v>Expedited</v>
      </c>
      <c r="AD499" s="29" t="n">
        <f aca="false">Raw!N499</f>
        <v>6856.78</v>
      </c>
      <c r="AE499" s="29" t="n">
        <f aca="false">Raw!O499</f>
        <v>1083.03</v>
      </c>
      <c r="AF499" s="29" t="n">
        <f aca="false">Raw!P499</f>
        <v>1260.89</v>
      </c>
      <c r="AG499" s="29" t="n">
        <f aca="false">AD499/J499</f>
        <v>344.908450704225</v>
      </c>
    </row>
    <row r="500" customFormat="false" ht="15" hidden="false" customHeight="false" outlineLevel="0" collapsed="false">
      <c r="A500" s="0" t="str">
        <f aca="false">Raw!A500</f>
        <v>SHP0499</v>
      </c>
      <c r="B500" s="0" t="str">
        <f aca="false">Raw!B500</f>
        <v>Inbound</v>
      </c>
      <c r="C500" s="0" t="str">
        <f aca="false">Raw!C500</f>
        <v>Gujarat</v>
      </c>
      <c r="D500" s="0" t="str">
        <f aca="false">Raw!D500</f>
        <v>Surat</v>
      </c>
      <c r="E500" s="0" t="str">
        <f aca="false">IFERROR(INDEX(Location_Map!$B$2:$B$15,MATCH(C500,Location_Map!$A$2:$A$15,0)),"UNMAPPED")</f>
        <v>Gujarat</v>
      </c>
      <c r="F500" s="0" t="str">
        <f aca="false">IFERROR(INDEX(Location_Map!$C$2:$C$15,MATCH(C500,Location_Map!$A$2:$A$15,0)),"UNMAPPED")</f>
        <v>West</v>
      </c>
      <c r="G500" s="0" t="str">
        <f aca="false">IFERROR(INDEX(Location_Map!$B$2:$B$15,MATCH(D500,Location_Map!$A$2:$A$15,0)),"UNMAPPED")</f>
        <v>Gujarat</v>
      </c>
      <c r="H500" s="0" t="str">
        <f aca="false">IFERROR(INDEX(Location_Map!$C$2:$C$15,MATCH(D500,Location_Map!$A$2:$A$15,0)),"UNMAPPED")</f>
        <v>West</v>
      </c>
      <c r="I500" s="0" t="str">
        <f aca="false">Raw!E500</f>
        <v>Finished Yarn</v>
      </c>
      <c r="J500" s="28" t="n">
        <f aca="false">Raw!F500</f>
        <v>1.81</v>
      </c>
      <c r="K500" s="30" t="n">
        <f aca="false">DATE(LEFT(Raw!G500,4),MID(Raw!G500,6,2),MID(Raw!G500,9,2))</f>
        <v>45917</v>
      </c>
      <c r="L500" s="30" t="n">
        <f aca="false">DATE(LEFT(Raw!H500,4),MID(Raw!H500,6,2),MID(Raw!H500,9,2))</f>
        <v>45918</v>
      </c>
      <c r="M500" s="30" t="n">
        <f aca="false">DATE(LEFT(Raw!I500,4),MID(Raw!I500,6,2),MID(Raw!I500,9,2))</f>
        <v>45920</v>
      </c>
      <c r="N500" s="31" t="n">
        <f aca="false">DATE(LEFT(Raw!J500,4),MID(Raw!J500,6,2),MID(Raw!J500,9,2))+TIME(MID(Raw!J500,12,2),MID(Raw!J500,15,2),MID(Raw!J500,18,2))</f>
        <v>45918.2916666667</v>
      </c>
      <c r="O500" s="31" t="n">
        <f aca="false">DATE(LEFT(Raw!K500,4),MID(Raw!K500,6,2),MID(Raw!K500,9,2))+TIME(MID(Raw!K500,12,2),MID(Raw!K500,15,2),MID(Raw!K500,18,2))</f>
        <v>45921.4</v>
      </c>
      <c r="P500" s="32" t="n">
        <f aca="false">L500-K500</f>
        <v>1</v>
      </c>
      <c r="Q500" s="32" t="n">
        <f aca="false">M500-L500</f>
        <v>2</v>
      </c>
      <c r="R500" s="32" t="n">
        <f aca="false">O500-N500</f>
        <v>3.10833333333333</v>
      </c>
      <c r="S500" s="32" t="n">
        <f aca="false">Raw!L500</f>
        <v>1.4</v>
      </c>
      <c r="T500" s="32" t="n">
        <f aca="false">O500-M500</f>
        <v>1.4</v>
      </c>
      <c r="U500" s="0" t="str">
        <f aca="false">IF(ABS(T500-S500)&lt;0.01,"OK","MISMATCH")</f>
        <v>OK</v>
      </c>
      <c r="V500" s="33" t="n">
        <f aca="false">Raw!M500</f>
        <v>1</v>
      </c>
      <c r="W500" s="0" t="str">
        <f aca="false">IF((S500&gt;0)=(V500=1),"OK","MISMATCH")</f>
        <v>OK</v>
      </c>
      <c r="X500" s="0" t="str">
        <f aca="false">_xlfn.IFS(S500&lt;=0,"Early/On time",S500&lt;=2,"Minor (up to 2 days)",S500&lt;=5,"Moderate (2-5 days)",TRUE(),"Severe (over 5 days)")</f>
        <v>Minor (up to 2 days)</v>
      </c>
      <c r="Y500" s="0" t="str">
        <f aca="false">YEAR(K500)&amp;"-"&amp;TEXT(MONTH(K500),"00")</f>
        <v>2025-09</v>
      </c>
      <c r="Z500" s="0" t="str">
        <f aca="false">C500&amp;" → "&amp;D500</f>
        <v>Gujarat → Surat</v>
      </c>
      <c r="AA500" s="0" t="str">
        <f aca="false">Raw!Q500</f>
        <v>GATI Logistics</v>
      </c>
      <c r="AB500" s="0" t="str">
        <f aca="false">Raw!R500</f>
        <v>Yes</v>
      </c>
      <c r="AC500" s="0" t="str">
        <f aca="false">Raw!S500</f>
        <v>Expedited</v>
      </c>
      <c r="AD500" s="29" t="n">
        <f aca="false">Raw!N500</f>
        <v>1540.7</v>
      </c>
      <c r="AE500" s="29" t="n">
        <f aca="false">Raw!O500</f>
        <v>1462.23</v>
      </c>
      <c r="AF500" s="29" t="n">
        <f aca="false">Raw!P500</f>
        <v>1336.42</v>
      </c>
      <c r="AG500" s="29" t="n">
        <f aca="false">AD500/J500</f>
        <v>851.21546961326</v>
      </c>
    </row>
    <row r="501" customFormat="false" ht="15" hidden="false" customHeight="false" outlineLevel="0" collapsed="false">
      <c r="A501" s="0" t="str">
        <f aca="false">Raw!A501</f>
        <v>SHP0500</v>
      </c>
      <c r="B501" s="0" t="str">
        <f aca="false">Raw!B501</f>
        <v>Inbound</v>
      </c>
      <c r="C501" s="0" t="str">
        <f aca="false">Raw!C501</f>
        <v>Chennai</v>
      </c>
      <c r="D501" s="0" t="str">
        <f aca="false">Raw!D501</f>
        <v>Surat</v>
      </c>
      <c r="E501" s="0" t="str">
        <f aca="false">IFERROR(INDEX(Location_Map!$B$2:$B$15,MATCH(C501,Location_Map!$A$2:$A$15,0)),"UNMAPPED")</f>
        <v>Tamil Nadu</v>
      </c>
      <c r="F501" s="0" t="str">
        <f aca="false">IFERROR(INDEX(Location_Map!$C$2:$C$15,MATCH(C501,Location_Map!$A$2:$A$15,0)),"UNMAPPED")</f>
        <v>South</v>
      </c>
      <c r="G501" s="0" t="str">
        <f aca="false">IFERROR(INDEX(Location_Map!$B$2:$B$15,MATCH(D501,Location_Map!$A$2:$A$15,0)),"UNMAPPED")</f>
        <v>Gujarat</v>
      </c>
      <c r="H501" s="0" t="str">
        <f aca="false">IFERROR(INDEX(Location_Map!$C$2:$C$15,MATCH(D501,Location_Map!$A$2:$A$15,0)),"UNMAPPED")</f>
        <v>West</v>
      </c>
      <c r="I501" s="0" t="str">
        <f aca="false">Raw!E501</f>
        <v>Finished Yarn</v>
      </c>
      <c r="J501" s="28" t="n">
        <f aca="false">Raw!F501</f>
        <v>10.55</v>
      </c>
      <c r="K501" s="30" t="n">
        <f aca="false">DATE(LEFT(Raw!G501,4),MID(Raw!G501,6,2),MID(Raw!G501,9,2))</f>
        <v>45662</v>
      </c>
      <c r="L501" s="30" t="n">
        <f aca="false">DATE(LEFT(Raw!H501,4),MID(Raw!H501,6,2),MID(Raw!H501,9,2))</f>
        <v>45666</v>
      </c>
      <c r="M501" s="30" t="n">
        <f aca="false">DATE(LEFT(Raw!I501,4),MID(Raw!I501,6,2),MID(Raw!I501,9,2))</f>
        <v>45671</v>
      </c>
      <c r="N501" s="31" t="n">
        <f aca="false">DATE(LEFT(Raw!J501,4),MID(Raw!J501,6,2),MID(Raw!J501,9,2))+TIME(MID(Raw!J501,12,2),MID(Raw!J501,15,2),MID(Raw!J501,18,2))</f>
        <v>45665.9583333333</v>
      </c>
      <c r="O501" s="31" t="n">
        <f aca="false">DATE(LEFT(Raw!K501,4),MID(Raw!K501,6,2),MID(Raw!K501,9,2))+TIME(MID(Raw!K501,12,2),MID(Raw!K501,15,2),MID(Raw!K501,18,2))</f>
        <v>45673.7</v>
      </c>
      <c r="P501" s="32" t="n">
        <f aca="false">L501-K501</f>
        <v>4</v>
      </c>
      <c r="Q501" s="32" t="n">
        <f aca="false">M501-L501</f>
        <v>5</v>
      </c>
      <c r="R501" s="32" t="n">
        <f aca="false">O501-N501</f>
        <v>7.74166666666667</v>
      </c>
      <c r="S501" s="32" t="n">
        <f aca="false">Raw!L501</f>
        <v>2.7</v>
      </c>
      <c r="T501" s="32" t="n">
        <f aca="false">O501-M501</f>
        <v>2.7</v>
      </c>
      <c r="U501" s="0" t="str">
        <f aca="false">IF(ABS(T501-S501)&lt;0.01,"OK","MISMATCH")</f>
        <v>OK</v>
      </c>
      <c r="V501" s="33" t="n">
        <f aca="false">Raw!M501</f>
        <v>1</v>
      </c>
      <c r="W501" s="0" t="str">
        <f aca="false">IF((S501&gt;0)=(V501=1),"OK","MISMATCH")</f>
        <v>OK</v>
      </c>
      <c r="X501" s="0" t="str">
        <f aca="false">_xlfn.IFS(S501&lt;=0,"Early/On time",S501&lt;=2,"Minor (up to 2 days)",S501&lt;=5,"Moderate (2-5 days)",TRUE(),"Severe (over 5 days)")</f>
        <v>Moderate (2-5 days)</v>
      </c>
      <c r="Y501" s="0" t="str">
        <f aca="false">YEAR(K501)&amp;"-"&amp;TEXT(MONTH(K501),"00")</f>
        <v>2025-01</v>
      </c>
      <c r="Z501" s="0" t="str">
        <f aca="false">C501&amp;" → "&amp;D501</f>
        <v>Chennai → Surat</v>
      </c>
      <c r="AA501" s="0" t="str">
        <f aca="false">Raw!Q501</f>
        <v>VRL Cargo</v>
      </c>
      <c r="AB501" s="0" t="str">
        <f aca="false">Raw!R501</f>
        <v>No</v>
      </c>
      <c r="AC501" s="0" t="str">
        <f aca="false">Raw!S501</f>
        <v>Normal</v>
      </c>
      <c r="AD501" s="29" t="n">
        <f aca="false">Raw!N501</f>
        <v>4018.58</v>
      </c>
      <c r="AE501" s="29" t="n">
        <f aca="false">Raw!O501</f>
        <v>2508.22</v>
      </c>
      <c r="AF501" s="29" t="n">
        <f aca="false">Raw!P501</f>
        <v>893.32</v>
      </c>
      <c r="AG501" s="29" t="n">
        <f aca="false">AD501/J501</f>
        <v>380.908056872038</v>
      </c>
    </row>
    <row r="502" customFormat="false" ht="15" hidden="false" customHeight="false" outlineLevel="0" collapsed="false">
      <c r="A502" s="0" t="str">
        <f aca="false">Raw!A502</f>
        <v>SHP0501</v>
      </c>
      <c r="B502" s="0" t="str">
        <f aca="false">Raw!B502</f>
        <v>Inbound</v>
      </c>
      <c r="C502" s="0" t="str">
        <f aca="false">Raw!C502</f>
        <v>Punjab</v>
      </c>
      <c r="D502" s="0" t="str">
        <f aca="false">Raw!D502</f>
        <v>Surat</v>
      </c>
      <c r="E502" s="0" t="str">
        <f aca="false">IFERROR(INDEX(Location_Map!$B$2:$B$15,MATCH(C502,Location_Map!$A$2:$A$15,0)),"UNMAPPED")</f>
        <v>Punjab</v>
      </c>
      <c r="F502" s="0" t="str">
        <f aca="false">IFERROR(INDEX(Location_Map!$C$2:$C$15,MATCH(C502,Location_Map!$A$2:$A$15,0)),"UNMAPPED")</f>
        <v>North</v>
      </c>
      <c r="G502" s="0" t="str">
        <f aca="false">IFERROR(INDEX(Location_Map!$B$2:$B$15,MATCH(D502,Location_Map!$A$2:$A$15,0)),"UNMAPPED")</f>
        <v>Gujarat</v>
      </c>
      <c r="H502" s="0" t="str">
        <f aca="false">IFERROR(INDEX(Location_Map!$C$2:$C$15,MATCH(D502,Location_Map!$A$2:$A$15,0)),"UNMAPPED")</f>
        <v>West</v>
      </c>
      <c r="I502" s="0" t="str">
        <f aca="false">Raw!E502</f>
        <v>Raw Yarn</v>
      </c>
      <c r="J502" s="28" t="n">
        <f aca="false">Raw!F502</f>
        <v>11.35</v>
      </c>
      <c r="K502" s="30" t="n">
        <f aca="false">DATE(LEFT(Raw!G502,4),MID(Raw!G502,6,2),MID(Raw!G502,9,2))</f>
        <v>45705</v>
      </c>
      <c r="L502" s="30" t="n">
        <f aca="false">DATE(LEFT(Raw!H502,4),MID(Raw!H502,6,2),MID(Raw!H502,9,2))</f>
        <v>45708</v>
      </c>
      <c r="M502" s="30" t="n">
        <f aca="false">DATE(LEFT(Raw!I502,4),MID(Raw!I502,6,2),MID(Raw!I502,9,2))</f>
        <v>45711</v>
      </c>
      <c r="N502" s="31" t="n">
        <f aca="false">DATE(LEFT(Raw!J502,4),MID(Raw!J502,6,2),MID(Raw!J502,9,2))+TIME(MID(Raw!J502,12,2),MID(Raw!J502,15,2),MID(Raw!J502,18,2))</f>
        <v>45708.25</v>
      </c>
      <c r="O502" s="31" t="n">
        <f aca="false">DATE(LEFT(Raw!K502,4),MID(Raw!K502,6,2),MID(Raw!K502,9,2))+TIME(MID(Raw!K502,12,2),MID(Raw!K502,15,2),MID(Raw!K502,18,2))</f>
        <v>45712.3</v>
      </c>
      <c r="P502" s="32" t="n">
        <f aca="false">L502-K502</f>
        <v>3</v>
      </c>
      <c r="Q502" s="32" t="n">
        <f aca="false">M502-L502</f>
        <v>3</v>
      </c>
      <c r="R502" s="32" t="n">
        <f aca="false">O502-N502</f>
        <v>4.05</v>
      </c>
      <c r="S502" s="32" t="n">
        <f aca="false">Raw!L502</f>
        <v>1.3</v>
      </c>
      <c r="T502" s="32" t="n">
        <f aca="false">O502-M502</f>
        <v>1.3</v>
      </c>
      <c r="U502" s="0" t="str">
        <f aca="false">IF(ABS(T502-S502)&lt;0.01,"OK","MISMATCH")</f>
        <v>OK</v>
      </c>
      <c r="V502" s="33" t="n">
        <f aca="false">Raw!M502</f>
        <v>1</v>
      </c>
      <c r="W502" s="0" t="str">
        <f aca="false">IF((S502&gt;0)=(V502=1),"OK","MISMATCH")</f>
        <v>OK</v>
      </c>
      <c r="X502" s="0" t="str">
        <f aca="false">_xlfn.IFS(S502&lt;=0,"Early/On time",S502&lt;=2,"Minor (up to 2 days)",S502&lt;=5,"Moderate (2-5 days)",TRUE(),"Severe (over 5 days)")</f>
        <v>Minor (up to 2 days)</v>
      </c>
      <c r="Y502" s="0" t="str">
        <f aca="false">YEAR(K502)&amp;"-"&amp;TEXT(MONTH(K502),"00")</f>
        <v>2025-02</v>
      </c>
      <c r="Z502" s="0" t="str">
        <f aca="false">C502&amp;" → "&amp;D502</f>
        <v>Punjab → Surat</v>
      </c>
      <c r="AA502" s="0" t="str">
        <f aca="false">Raw!Q502</f>
        <v>TCI Express</v>
      </c>
      <c r="AB502" s="0" t="str">
        <f aca="false">Raw!R502</f>
        <v>Yes</v>
      </c>
      <c r="AC502" s="0" t="str">
        <f aca="false">Raw!S502</f>
        <v>Damaged</v>
      </c>
      <c r="AD502" s="29" t="n">
        <f aca="false">Raw!N502</f>
        <v>7881.9</v>
      </c>
      <c r="AE502" s="29" t="n">
        <f aca="false">Raw!O502</f>
        <v>3582.14</v>
      </c>
      <c r="AF502" s="29" t="n">
        <f aca="false">Raw!P502</f>
        <v>655.77</v>
      </c>
      <c r="AG502" s="29" t="n">
        <f aca="false">AD502/J502</f>
        <v>694.440528634361</v>
      </c>
    </row>
    <row r="503" customFormat="false" ht="15" hidden="false" customHeight="false" outlineLevel="0" collapsed="false">
      <c r="A503" s="0" t="str">
        <f aca="false">Raw!A503</f>
        <v>SHP0502</v>
      </c>
      <c r="B503" s="0" t="str">
        <f aca="false">Raw!B503</f>
        <v>Inbound</v>
      </c>
      <c r="C503" s="0" t="str">
        <f aca="false">Raw!C503</f>
        <v>Rajasthan</v>
      </c>
      <c r="D503" s="0" t="str">
        <f aca="false">Raw!D503</f>
        <v>Surat</v>
      </c>
      <c r="E503" s="0" t="str">
        <f aca="false">IFERROR(INDEX(Location_Map!$B$2:$B$15,MATCH(C503,Location_Map!$A$2:$A$15,0)),"UNMAPPED")</f>
        <v>Rajasthan</v>
      </c>
      <c r="F503" s="0" t="str">
        <f aca="false">IFERROR(INDEX(Location_Map!$C$2:$C$15,MATCH(C503,Location_Map!$A$2:$A$15,0)),"UNMAPPED")</f>
        <v>North</v>
      </c>
      <c r="G503" s="0" t="str">
        <f aca="false">IFERROR(INDEX(Location_Map!$B$2:$B$15,MATCH(D503,Location_Map!$A$2:$A$15,0)),"UNMAPPED")</f>
        <v>Gujarat</v>
      </c>
      <c r="H503" s="0" t="str">
        <f aca="false">IFERROR(INDEX(Location_Map!$C$2:$C$15,MATCH(D503,Location_Map!$A$2:$A$15,0)),"UNMAPPED")</f>
        <v>West</v>
      </c>
      <c r="I503" s="0" t="str">
        <f aca="false">Raw!E503</f>
        <v>Raw Yarn</v>
      </c>
      <c r="J503" s="28" t="n">
        <f aca="false">Raw!F503</f>
        <v>11.39</v>
      </c>
      <c r="K503" s="30" t="n">
        <f aca="false">DATE(LEFT(Raw!G503,4),MID(Raw!G503,6,2),MID(Raw!G503,9,2))</f>
        <v>45684</v>
      </c>
      <c r="L503" s="30" t="n">
        <f aca="false">DATE(LEFT(Raw!H503,4),MID(Raw!H503,6,2),MID(Raw!H503,9,2))</f>
        <v>45686</v>
      </c>
      <c r="M503" s="30" t="n">
        <f aca="false">DATE(LEFT(Raw!I503,4),MID(Raw!I503,6,2),MID(Raw!I503,9,2))</f>
        <v>45692</v>
      </c>
      <c r="N503" s="31" t="n">
        <f aca="false">DATE(LEFT(Raw!J503,4),MID(Raw!J503,6,2),MID(Raw!J503,9,2))+TIME(MID(Raw!J503,12,2),MID(Raw!J503,15,2),MID(Raw!J503,18,2))</f>
        <v>45685.7916666667</v>
      </c>
      <c r="O503" s="31" t="n">
        <f aca="false">DATE(LEFT(Raw!K503,4),MID(Raw!K503,6,2),MID(Raw!K503,9,2))+TIME(MID(Raw!K503,12,2),MID(Raw!K503,15,2),MID(Raw!K503,18,2))</f>
        <v>45691</v>
      </c>
      <c r="P503" s="32" t="n">
        <f aca="false">L503-K503</f>
        <v>2</v>
      </c>
      <c r="Q503" s="32" t="n">
        <f aca="false">M503-L503</f>
        <v>6</v>
      </c>
      <c r="R503" s="32" t="n">
        <f aca="false">O503-N503</f>
        <v>5.20833333333333</v>
      </c>
      <c r="S503" s="32" t="n">
        <f aca="false">Raw!L503</f>
        <v>-1</v>
      </c>
      <c r="T503" s="32" t="n">
        <f aca="false">O503-M503</f>
        <v>-1</v>
      </c>
      <c r="U503" s="0" t="str">
        <f aca="false">IF(ABS(T503-S503)&lt;0.01,"OK","MISMATCH")</f>
        <v>OK</v>
      </c>
      <c r="V503" s="33" t="n">
        <f aca="false">Raw!M503</f>
        <v>0</v>
      </c>
      <c r="W503" s="0" t="str">
        <f aca="false">IF((S503&gt;0)=(V503=1),"OK","MISMATCH")</f>
        <v>OK</v>
      </c>
      <c r="X503" s="0" t="str">
        <f aca="false">_xlfn.IFS(S503&lt;=0,"Early/On time",S503&lt;=2,"Minor (up to 2 days)",S503&lt;=5,"Moderate (2-5 days)",TRUE(),"Severe (over 5 days)")</f>
        <v>Early/On time</v>
      </c>
      <c r="Y503" s="0" t="str">
        <f aca="false">YEAR(K503)&amp;"-"&amp;TEXT(MONTH(K503),"00")</f>
        <v>2025-01</v>
      </c>
      <c r="Z503" s="0" t="str">
        <f aca="false">C503&amp;" → "&amp;D503</f>
        <v>Rajasthan → Surat</v>
      </c>
      <c r="AA503" s="0" t="str">
        <f aca="false">Raw!Q503</f>
        <v>GATI Logistics</v>
      </c>
      <c r="AB503" s="0" t="str">
        <f aca="false">Raw!R503</f>
        <v>Yes</v>
      </c>
      <c r="AC503" s="0" t="str">
        <f aca="false">Raw!S503</f>
        <v>Held at warehouse</v>
      </c>
      <c r="AD503" s="29" t="n">
        <f aca="false">Raw!N503</f>
        <v>3386.01</v>
      </c>
      <c r="AE503" s="29" t="n">
        <f aca="false">Raw!O503</f>
        <v>4822.6</v>
      </c>
      <c r="AF503" s="29" t="n">
        <f aca="false">Raw!P503</f>
        <v>1453.63</v>
      </c>
      <c r="AG503" s="29" t="n">
        <f aca="false">AD503/J503</f>
        <v>297.279192273925</v>
      </c>
    </row>
    <row r="504" customFormat="false" ht="15" hidden="false" customHeight="false" outlineLevel="0" collapsed="false">
      <c r="A504" s="0" t="str">
        <f aca="false">Raw!A504</f>
        <v>SHP0503</v>
      </c>
      <c r="B504" s="0" t="str">
        <f aca="false">Raw!B504</f>
        <v>Inbound</v>
      </c>
      <c r="C504" s="0" t="str">
        <f aca="false">Raw!C504</f>
        <v>Punjab</v>
      </c>
      <c r="D504" s="0" t="str">
        <f aca="false">Raw!D504</f>
        <v>Surat</v>
      </c>
      <c r="E504" s="0" t="str">
        <f aca="false">IFERROR(INDEX(Location_Map!$B$2:$B$15,MATCH(C504,Location_Map!$A$2:$A$15,0)),"UNMAPPED")</f>
        <v>Punjab</v>
      </c>
      <c r="F504" s="0" t="str">
        <f aca="false">IFERROR(INDEX(Location_Map!$C$2:$C$15,MATCH(C504,Location_Map!$A$2:$A$15,0)),"UNMAPPED")</f>
        <v>North</v>
      </c>
      <c r="G504" s="0" t="str">
        <f aca="false">IFERROR(INDEX(Location_Map!$B$2:$B$15,MATCH(D504,Location_Map!$A$2:$A$15,0)),"UNMAPPED")</f>
        <v>Gujarat</v>
      </c>
      <c r="H504" s="0" t="str">
        <f aca="false">IFERROR(INDEX(Location_Map!$C$2:$C$15,MATCH(D504,Location_Map!$A$2:$A$15,0)),"UNMAPPED")</f>
        <v>West</v>
      </c>
      <c r="I504" s="0" t="str">
        <f aca="false">Raw!E504</f>
        <v>Raw Yarn</v>
      </c>
      <c r="J504" s="28" t="n">
        <f aca="false">Raw!F504</f>
        <v>7.69</v>
      </c>
      <c r="K504" s="30" t="n">
        <f aca="false">DATE(LEFT(Raw!G504,4),MID(Raw!G504,6,2),MID(Raw!G504,9,2))</f>
        <v>45670</v>
      </c>
      <c r="L504" s="30" t="n">
        <f aca="false">DATE(LEFT(Raw!H504,4),MID(Raw!H504,6,2),MID(Raw!H504,9,2))</f>
        <v>45671</v>
      </c>
      <c r="M504" s="30" t="n">
        <f aca="false">DATE(LEFT(Raw!I504,4),MID(Raw!I504,6,2),MID(Raw!I504,9,2))</f>
        <v>45675</v>
      </c>
      <c r="N504" s="31" t="n">
        <f aca="false">DATE(LEFT(Raw!J504,4),MID(Raw!J504,6,2),MID(Raw!J504,9,2))+TIME(MID(Raw!J504,12,2),MID(Raw!J504,15,2),MID(Raw!J504,18,2))</f>
        <v>45671.0416666667</v>
      </c>
      <c r="O504" s="31" t="n">
        <f aca="false">DATE(LEFT(Raw!K504,4),MID(Raw!K504,6,2),MID(Raw!K504,9,2))+TIME(MID(Raw!K504,12,2),MID(Raw!K504,15,2),MID(Raw!K504,18,2))</f>
        <v>45675.8</v>
      </c>
      <c r="P504" s="32" t="n">
        <f aca="false">L504-K504</f>
        <v>1</v>
      </c>
      <c r="Q504" s="32" t="n">
        <f aca="false">M504-L504</f>
        <v>4</v>
      </c>
      <c r="R504" s="32" t="n">
        <f aca="false">O504-N504</f>
        <v>4.75833333333333</v>
      </c>
      <c r="S504" s="32" t="n">
        <f aca="false">Raw!L504</f>
        <v>0.8</v>
      </c>
      <c r="T504" s="32" t="n">
        <f aca="false">O504-M504</f>
        <v>0.8</v>
      </c>
      <c r="U504" s="0" t="str">
        <f aca="false">IF(ABS(T504-S504)&lt;0.01,"OK","MISMATCH")</f>
        <v>OK</v>
      </c>
      <c r="V504" s="33" t="n">
        <f aca="false">Raw!M504</f>
        <v>1</v>
      </c>
      <c r="W504" s="0" t="str">
        <f aca="false">IF((S504&gt;0)=(V504=1),"OK","MISMATCH")</f>
        <v>OK</v>
      </c>
      <c r="X504" s="0" t="str">
        <f aca="false">_xlfn.IFS(S504&lt;=0,"Early/On time",S504&lt;=2,"Minor (up to 2 days)",S504&lt;=5,"Moderate (2-5 days)",TRUE(),"Severe (over 5 days)")</f>
        <v>Minor (up to 2 days)</v>
      </c>
      <c r="Y504" s="0" t="str">
        <f aca="false">YEAR(K504)&amp;"-"&amp;TEXT(MONTH(K504),"00")</f>
        <v>2025-01</v>
      </c>
      <c r="Z504" s="0" t="str">
        <f aca="false">C504&amp;" → "&amp;D504</f>
        <v>Punjab → Surat</v>
      </c>
      <c r="AA504" s="0" t="str">
        <f aca="false">Raw!Q504</f>
        <v>TCI Express</v>
      </c>
      <c r="AB504" s="0" t="str">
        <f aca="false">Raw!R504</f>
        <v>Yes</v>
      </c>
      <c r="AC504" s="0" t="str">
        <f aca="false">Raw!S504</f>
        <v>Expedited</v>
      </c>
      <c r="AD504" s="29" t="n">
        <f aca="false">Raw!N504</f>
        <v>4502.39</v>
      </c>
      <c r="AE504" s="29" t="n">
        <f aca="false">Raw!O504</f>
        <v>2912.64</v>
      </c>
      <c r="AF504" s="29" t="n">
        <f aca="false">Raw!P504</f>
        <v>1267.97</v>
      </c>
      <c r="AG504" s="29" t="n">
        <f aca="false">AD504/J504</f>
        <v>585.486345903771</v>
      </c>
    </row>
    <row r="505" customFormat="false" ht="15" hidden="false" customHeight="false" outlineLevel="0" collapsed="false">
      <c r="A505" s="0" t="str">
        <f aca="false">Raw!A505</f>
        <v>SHP0504</v>
      </c>
      <c r="B505" s="0" t="str">
        <f aca="false">Raw!B505</f>
        <v>Inbound</v>
      </c>
      <c r="C505" s="0" t="str">
        <f aca="false">Raw!C505</f>
        <v>Uttar Pradesh</v>
      </c>
      <c r="D505" s="0" t="str">
        <f aca="false">Raw!D505</f>
        <v>Surat</v>
      </c>
      <c r="E505" s="0" t="str">
        <f aca="false">IFERROR(INDEX(Location_Map!$B$2:$B$15,MATCH(C505,Location_Map!$A$2:$A$15,0)),"UNMAPPED")</f>
        <v>Uttar Pradesh</v>
      </c>
      <c r="F505" s="0" t="str">
        <f aca="false">IFERROR(INDEX(Location_Map!$C$2:$C$15,MATCH(C505,Location_Map!$A$2:$A$15,0)),"UNMAPPED")</f>
        <v>North</v>
      </c>
      <c r="G505" s="0" t="str">
        <f aca="false">IFERROR(INDEX(Location_Map!$B$2:$B$15,MATCH(D505,Location_Map!$A$2:$A$15,0)),"UNMAPPED")</f>
        <v>Gujarat</v>
      </c>
      <c r="H505" s="0" t="str">
        <f aca="false">IFERROR(INDEX(Location_Map!$C$2:$C$15,MATCH(D505,Location_Map!$A$2:$A$15,0)),"UNMAPPED")</f>
        <v>West</v>
      </c>
      <c r="I505" s="0" t="str">
        <f aca="false">Raw!E505</f>
        <v>Raw Yarn</v>
      </c>
      <c r="J505" s="28" t="n">
        <f aca="false">Raw!F505</f>
        <v>12.94</v>
      </c>
      <c r="K505" s="30" t="n">
        <f aca="false">DATE(LEFT(Raw!G505,4),MID(Raw!G505,6,2),MID(Raw!G505,9,2))</f>
        <v>45847</v>
      </c>
      <c r="L505" s="30" t="n">
        <f aca="false">DATE(LEFT(Raw!H505,4),MID(Raw!H505,6,2),MID(Raw!H505,9,2))</f>
        <v>45849</v>
      </c>
      <c r="M505" s="30" t="n">
        <f aca="false">DATE(LEFT(Raw!I505,4),MID(Raw!I505,6,2),MID(Raw!I505,9,2))</f>
        <v>45851</v>
      </c>
      <c r="N505" s="31" t="n">
        <f aca="false">DATE(LEFT(Raw!J505,4),MID(Raw!J505,6,2),MID(Raw!J505,9,2))+TIME(MID(Raw!J505,12,2),MID(Raw!J505,15,2),MID(Raw!J505,18,2))</f>
        <v>45849.0416666667</v>
      </c>
      <c r="O505" s="31" t="n">
        <f aca="false">DATE(LEFT(Raw!K505,4),MID(Raw!K505,6,2),MID(Raw!K505,9,2))+TIME(MID(Raw!K505,12,2),MID(Raw!K505,15,2),MID(Raw!K505,18,2))</f>
        <v>45853.8</v>
      </c>
      <c r="P505" s="32" t="n">
        <f aca="false">L505-K505</f>
        <v>2</v>
      </c>
      <c r="Q505" s="32" t="n">
        <f aca="false">M505-L505</f>
        <v>2</v>
      </c>
      <c r="R505" s="32" t="n">
        <f aca="false">O505-N505</f>
        <v>4.75833333333333</v>
      </c>
      <c r="S505" s="32" t="n">
        <f aca="false">Raw!L505</f>
        <v>2.8</v>
      </c>
      <c r="T505" s="32" t="n">
        <f aca="false">O505-M505</f>
        <v>2.8</v>
      </c>
      <c r="U505" s="0" t="str">
        <f aca="false">IF(ABS(T505-S505)&lt;0.01,"OK","MISMATCH")</f>
        <v>OK</v>
      </c>
      <c r="V505" s="33" t="n">
        <f aca="false">Raw!M505</f>
        <v>1</v>
      </c>
      <c r="W505" s="0" t="str">
        <f aca="false">IF((S505&gt;0)=(V505=1),"OK","MISMATCH")</f>
        <v>OK</v>
      </c>
      <c r="X505" s="0" t="str">
        <f aca="false">_xlfn.IFS(S505&lt;=0,"Early/On time",S505&lt;=2,"Minor (up to 2 days)",S505&lt;=5,"Moderate (2-5 days)",TRUE(),"Severe (over 5 days)")</f>
        <v>Moderate (2-5 days)</v>
      </c>
      <c r="Y505" s="0" t="str">
        <f aca="false">YEAR(K505)&amp;"-"&amp;TEXT(MONTH(K505),"00")</f>
        <v>2025-07</v>
      </c>
      <c r="Z505" s="0" t="str">
        <f aca="false">C505&amp;" → "&amp;D505</f>
        <v>Uttar Pradesh → Surat</v>
      </c>
      <c r="AA505" s="0" t="str">
        <f aca="false">Raw!Q505</f>
        <v>Delhivery</v>
      </c>
      <c r="AB505" s="0" t="str">
        <f aca="false">Raw!R505</f>
        <v>Yes</v>
      </c>
      <c r="AC505" s="0" t="str">
        <f aca="false">Raw!S505</f>
        <v>Damaged</v>
      </c>
      <c r="AD505" s="29" t="n">
        <f aca="false">Raw!N505</f>
        <v>8934.43</v>
      </c>
      <c r="AE505" s="29" t="n">
        <f aca="false">Raw!O505</f>
        <v>3786.25</v>
      </c>
      <c r="AF505" s="29" t="n">
        <f aca="false">Raw!P505</f>
        <v>1424.07</v>
      </c>
      <c r="AG505" s="29" t="n">
        <f aca="false">AD505/J505</f>
        <v>690.450540958269</v>
      </c>
    </row>
    <row r="506" customFormat="false" ht="15" hidden="false" customHeight="false" outlineLevel="0" collapsed="false">
      <c r="A506" s="0" t="str">
        <f aca="false">Raw!A506</f>
        <v>SHP0505</v>
      </c>
      <c r="B506" s="0" t="str">
        <f aca="false">Raw!B506</f>
        <v>Inbound</v>
      </c>
      <c r="C506" s="0" t="str">
        <f aca="false">Raw!C506</f>
        <v>Chennai</v>
      </c>
      <c r="D506" s="0" t="str">
        <f aca="false">Raw!D506</f>
        <v>Surat</v>
      </c>
      <c r="E506" s="0" t="str">
        <f aca="false">IFERROR(INDEX(Location_Map!$B$2:$B$15,MATCH(C506,Location_Map!$A$2:$A$15,0)),"UNMAPPED")</f>
        <v>Tamil Nadu</v>
      </c>
      <c r="F506" s="0" t="str">
        <f aca="false">IFERROR(INDEX(Location_Map!$C$2:$C$15,MATCH(C506,Location_Map!$A$2:$A$15,0)),"UNMAPPED")</f>
        <v>South</v>
      </c>
      <c r="G506" s="0" t="str">
        <f aca="false">IFERROR(INDEX(Location_Map!$B$2:$B$15,MATCH(D506,Location_Map!$A$2:$A$15,0)),"UNMAPPED")</f>
        <v>Gujarat</v>
      </c>
      <c r="H506" s="0" t="str">
        <f aca="false">IFERROR(INDEX(Location_Map!$C$2:$C$15,MATCH(D506,Location_Map!$A$2:$A$15,0)),"UNMAPPED")</f>
        <v>West</v>
      </c>
      <c r="I506" s="0" t="str">
        <f aca="false">Raw!E506</f>
        <v>Finished Yarn</v>
      </c>
      <c r="J506" s="28" t="n">
        <f aca="false">Raw!F506</f>
        <v>16.59</v>
      </c>
      <c r="K506" s="30" t="n">
        <f aca="false">DATE(LEFT(Raw!G506,4),MID(Raw!G506,6,2),MID(Raw!G506,9,2))</f>
        <v>45826</v>
      </c>
      <c r="L506" s="30" t="n">
        <f aca="false">DATE(LEFT(Raw!H506,4),MID(Raw!H506,6,2),MID(Raw!H506,9,2))</f>
        <v>45829</v>
      </c>
      <c r="M506" s="30" t="n">
        <f aca="false">DATE(LEFT(Raw!I506,4),MID(Raw!I506,6,2),MID(Raw!I506,9,2))</f>
        <v>45832</v>
      </c>
      <c r="N506" s="31" t="n">
        <f aca="false">DATE(LEFT(Raw!J506,4),MID(Raw!J506,6,2),MID(Raw!J506,9,2))+TIME(MID(Raw!J506,12,2),MID(Raw!J506,15,2),MID(Raw!J506,18,2))</f>
        <v>45828.9166666667</v>
      </c>
      <c r="O506" s="31" t="n">
        <f aca="false">DATE(LEFT(Raw!K506,4),MID(Raw!K506,6,2),MID(Raw!K506,9,2))+TIME(MID(Raw!K506,12,2),MID(Raw!K506,15,2),MID(Raw!K506,18,2))</f>
        <v>45834.9</v>
      </c>
      <c r="P506" s="32" t="n">
        <f aca="false">L506-K506</f>
        <v>3</v>
      </c>
      <c r="Q506" s="32" t="n">
        <f aca="false">M506-L506</f>
        <v>3</v>
      </c>
      <c r="R506" s="32" t="n">
        <f aca="false">O506-N506</f>
        <v>5.98333333333333</v>
      </c>
      <c r="S506" s="32" t="n">
        <f aca="false">Raw!L506</f>
        <v>2.9</v>
      </c>
      <c r="T506" s="32" t="n">
        <f aca="false">O506-M506</f>
        <v>2.9</v>
      </c>
      <c r="U506" s="0" t="str">
        <f aca="false">IF(ABS(T506-S506)&lt;0.01,"OK","MISMATCH")</f>
        <v>OK</v>
      </c>
      <c r="V506" s="33" t="n">
        <f aca="false">Raw!M506</f>
        <v>1</v>
      </c>
      <c r="W506" s="0" t="str">
        <f aca="false">IF((S506&gt;0)=(V506=1),"OK","MISMATCH")</f>
        <v>OK</v>
      </c>
      <c r="X506" s="0" t="str">
        <f aca="false">_xlfn.IFS(S506&lt;=0,"Early/On time",S506&lt;=2,"Minor (up to 2 days)",S506&lt;=5,"Moderate (2-5 days)",TRUE(),"Severe (over 5 days)")</f>
        <v>Moderate (2-5 days)</v>
      </c>
      <c r="Y506" s="0" t="str">
        <f aca="false">YEAR(K506)&amp;"-"&amp;TEXT(MONTH(K506),"00")</f>
        <v>2025-06</v>
      </c>
      <c r="Z506" s="0" t="str">
        <f aca="false">C506&amp;" → "&amp;D506</f>
        <v>Chennai → Surat</v>
      </c>
      <c r="AA506" s="0" t="str">
        <f aca="false">Raw!Q506</f>
        <v>VRL Cargo</v>
      </c>
      <c r="AB506" s="0" t="str">
        <f aca="false">Raw!R506</f>
        <v>No</v>
      </c>
      <c r="AC506" s="0" t="str">
        <f aca="false">Raw!S506</f>
        <v>Returned</v>
      </c>
      <c r="AD506" s="29" t="n">
        <f aca="false">Raw!N506</f>
        <v>6848</v>
      </c>
      <c r="AE506" s="29" t="n">
        <f aca="false">Raw!O506</f>
        <v>2703.99</v>
      </c>
      <c r="AF506" s="29" t="n">
        <f aca="false">Raw!P506</f>
        <v>1467.74</v>
      </c>
      <c r="AG506" s="29" t="n">
        <f aca="false">AD506/J506</f>
        <v>412.778782399036</v>
      </c>
    </row>
    <row r="507" customFormat="false" ht="15" hidden="false" customHeight="false" outlineLevel="0" collapsed="false">
      <c r="A507" s="0" t="str">
        <f aca="false">Raw!A507</f>
        <v>SHP0506</v>
      </c>
      <c r="B507" s="0" t="str">
        <f aca="false">Raw!B507</f>
        <v>Outbound</v>
      </c>
      <c r="C507" s="0" t="str">
        <f aca="false">Raw!C507</f>
        <v>Surat</v>
      </c>
      <c r="D507" s="0" t="str">
        <f aca="false">Raw!D507</f>
        <v>Gujarat</v>
      </c>
      <c r="E507" s="0" t="str">
        <f aca="false">IFERROR(INDEX(Location_Map!$B$2:$B$15,MATCH(C507,Location_Map!$A$2:$A$15,0)),"UNMAPPED")</f>
        <v>Gujarat</v>
      </c>
      <c r="F507" s="0" t="str">
        <f aca="false">IFERROR(INDEX(Location_Map!$C$2:$C$15,MATCH(C507,Location_Map!$A$2:$A$15,0)),"UNMAPPED")</f>
        <v>West</v>
      </c>
      <c r="G507" s="0" t="str">
        <f aca="false">IFERROR(INDEX(Location_Map!$B$2:$B$15,MATCH(D507,Location_Map!$A$2:$A$15,0)),"UNMAPPED")</f>
        <v>Gujarat</v>
      </c>
      <c r="H507" s="0" t="str">
        <f aca="false">IFERROR(INDEX(Location_Map!$C$2:$C$15,MATCH(D507,Location_Map!$A$2:$A$15,0)),"UNMAPPED")</f>
        <v>West</v>
      </c>
      <c r="I507" s="0" t="str">
        <f aca="false">Raw!E507</f>
        <v>Raw Yarn</v>
      </c>
      <c r="J507" s="28" t="n">
        <f aca="false">Raw!F507</f>
        <v>13.5</v>
      </c>
      <c r="K507" s="30" t="n">
        <f aca="false">DATE(LEFT(Raw!G507,4),MID(Raw!G507,6,2),MID(Raw!G507,9,2))</f>
        <v>45827</v>
      </c>
      <c r="L507" s="30" t="n">
        <f aca="false">DATE(LEFT(Raw!H507,4),MID(Raw!H507,6,2),MID(Raw!H507,9,2))</f>
        <v>45831</v>
      </c>
      <c r="M507" s="30" t="n">
        <f aca="false">DATE(LEFT(Raw!I507,4),MID(Raw!I507,6,2),MID(Raw!I507,9,2))</f>
        <v>45833</v>
      </c>
      <c r="N507" s="31" t="n">
        <f aca="false">DATE(LEFT(Raw!J507,4),MID(Raw!J507,6,2),MID(Raw!J507,9,2))+TIME(MID(Raw!J507,12,2),MID(Raw!J507,15,2),MID(Raw!J507,18,2))</f>
        <v>45831.375</v>
      </c>
      <c r="O507" s="31" t="n">
        <f aca="false">DATE(LEFT(Raw!K507,4),MID(Raw!K507,6,2),MID(Raw!K507,9,2))+TIME(MID(Raw!K507,12,2),MID(Raw!K507,15,2),MID(Raw!K507,18,2))</f>
        <v>45832</v>
      </c>
      <c r="P507" s="32" t="n">
        <f aca="false">L507-K507</f>
        <v>4</v>
      </c>
      <c r="Q507" s="32" t="n">
        <f aca="false">M507-L507</f>
        <v>2</v>
      </c>
      <c r="R507" s="32" t="n">
        <f aca="false">O507-N507</f>
        <v>0.625</v>
      </c>
      <c r="S507" s="32" t="n">
        <f aca="false">Raw!L507</f>
        <v>-1</v>
      </c>
      <c r="T507" s="32" t="n">
        <f aca="false">O507-M507</f>
        <v>-1</v>
      </c>
      <c r="U507" s="0" t="str">
        <f aca="false">IF(ABS(T507-S507)&lt;0.01,"OK","MISMATCH")</f>
        <v>OK</v>
      </c>
      <c r="V507" s="33" t="n">
        <f aca="false">Raw!M507</f>
        <v>0</v>
      </c>
      <c r="W507" s="0" t="str">
        <f aca="false">IF((S507&gt;0)=(V507=1),"OK","MISMATCH")</f>
        <v>OK</v>
      </c>
      <c r="X507" s="0" t="str">
        <f aca="false">_xlfn.IFS(S507&lt;=0,"Early/On time",S507&lt;=2,"Minor (up to 2 days)",S507&lt;=5,"Moderate (2-5 days)",TRUE(),"Severe (over 5 days)")</f>
        <v>Early/On time</v>
      </c>
      <c r="Y507" s="0" t="str">
        <f aca="false">YEAR(K507)&amp;"-"&amp;TEXT(MONTH(K507),"00")</f>
        <v>2025-06</v>
      </c>
      <c r="Z507" s="0" t="str">
        <f aca="false">C507&amp;" → "&amp;D507</f>
        <v>Surat → Gujarat</v>
      </c>
      <c r="AA507" s="0" t="str">
        <f aca="false">Raw!Q507</f>
        <v>GATI Logistics</v>
      </c>
      <c r="AB507" s="0" t="str">
        <f aca="false">Raw!R507</f>
        <v>Yes</v>
      </c>
      <c r="AC507" s="0" t="str">
        <f aca="false">Raw!S507</f>
        <v>Normal</v>
      </c>
      <c r="AD507" s="29" t="n">
        <f aca="false">Raw!N507</f>
        <v>8800.09</v>
      </c>
      <c r="AE507" s="29" t="n">
        <f aca="false">Raw!O507</f>
        <v>1772.64</v>
      </c>
      <c r="AF507" s="29" t="n">
        <f aca="false">Raw!P507</f>
        <v>971.31</v>
      </c>
      <c r="AG507" s="29" t="n">
        <f aca="false">AD507/J507</f>
        <v>651.858518518519</v>
      </c>
    </row>
    <row r="508" customFormat="false" ht="15" hidden="false" customHeight="false" outlineLevel="0" collapsed="false">
      <c r="A508" s="0" t="str">
        <f aca="false">Raw!A508</f>
        <v>SHP0507</v>
      </c>
      <c r="B508" s="0" t="str">
        <f aca="false">Raw!B508</f>
        <v>Inbound</v>
      </c>
      <c r="C508" s="0" t="str">
        <f aca="false">Raw!C508</f>
        <v>Rajasthan</v>
      </c>
      <c r="D508" s="0" t="str">
        <f aca="false">Raw!D508</f>
        <v>Surat</v>
      </c>
      <c r="E508" s="0" t="str">
        <f aca="false">IFERROR(INDEX(Location_Map!$B$2:$B$15,MATCH(C508,Location_Map!$A$2:$A$15,0)),"UNMAPPED")</f>
        <v>Rajasthan</v>
      </c>
      <c r="F508" s="0" t="str">
        <f aca="false">IFERROR(INDEX(Location_Map!$C$2:$C$15,MATCH(C508,Location_Map!$A$2:$A$15,0)),"UNMAPPED")</f>
        <v>North</v>
      </c>
      <c r="G508" s="0" t="str">
        <f aca="false">IFERROR(INDEX(Location_Map!$B$2:$B$15,MATCH(D508,Location_Map!$A$2:$A$15,0)),"UNMAPPED")</f>
        <v>Gujarat</v>
      </c>
      <c r="H508" s="0" t="str">
        <f aca="false">IFERROR(INDEX(Location_Map!$C$2:$C$15,MATCH(D508,Location_Map!$A$2:$A$15,0)),"UNMAPPED")</f>
        <v>West</v>
      </c>
      <c r="I508" s="0" t="str">
        <f aca="false">Raw!E508</f>
        <v>Semi-Processed Yarn</v>
      </c>
      <c r="J508" s="28" t="n">
        <f aca="false">Raw!F508</f>
        <v>9.98</v>
      </c>
      <c r="K508" s="30" t="n">
        <f aca="false">DATE(LEFT(Raw!G508,4),MID(Raw!G508,6,2),MID(Raw!G508,9,2))</f>
        <v>45771</v>
      </c>
      <c r="L508" s="30" t="n">
        <f aca="false">DATE(LEFT(Raw!H508,4),MID(Raw!H508,6,2),MID(Raw!H508,9,2))</f>
        <v>45774</v>
      </c>
      <c r="M508" s="30" t="n">
        <f aca="false">DATE(LEFT(Raw!I508,4),MID(Raw!I508,6,2),MID(Raw!I508,9,2))</f>
        <v>45780</v>
      </c>
      <c r="N508" s="31" t="n">
        <f aca="false">DATE(LEFT(Raw!J508,4),MID(Raw!J508,6,2),MID(Raw!J508,9,2))+TIME(MID(Raw!J508,12,2),MID(Raw!J508,15,2),MID(Raw!J508,18,2))</f>
        <v>45774</v>
      </c>
      <c r="O508" s="31" t="n">
        <f aca="false">DATE(LEFT(Raw!K508,4),MID(Raw!K508,6,2),MID(Raw!K508,9,2))+TIME(MID(Raw!K508,12,2),MID(Raw!K508,15,2),MID(Raw!K508,18,2))</f>
        <v>45785.9</v>
      </c>
      <c r="P508" s="32" t="n">
        <f aca="false">L508-K508</f>
        <v>3</v>
      </c>
      <c r="Q508" s="32" t="n">
        <f aca="false">M508-L508</f>
        <v>6</v>
      </c>
      <c r="R508" s="32" t="n">
        <f aca="false">O508-N508</f>
        <v>11.9</v>
      </c>
      <c r="S508" s="32" t="n">
        <f aca="false">Raw!L508</f>
        <v>5.9</v>
      </c>
      <c r="T508" s="32" t="n">
        <f aca="false">O508-M508</f>
        <v>5.9</v>
      </c>
      <c r="U508" s="0" t="str">
        <f aca="false">IF(ABS(T508-S508)&lt;0.01,"OK","MISMATCH")</f>
        <v>OK</v>
      </c>
      <c r="V508" s="33" t="n">
        <f aca="false">Raw!M508</f>
        <v>1</v>
      </c>
      <c r="W508" s="0" t="str">
        <f aca="false">IF((S508&gt;0)=(V508=1),"OK","MISMATCH")</f>
        <v>OK</v>
      </c>
      <c r="X508" s="0" t="str">
        <f aca="false">_xlfn.IFS(S508&lt;=0,"Early/On time",S508&lt;=2,"Minor (up to 2 days)",S508&lt;=5,"Moderate (2-5 days)",TRUE(),"Severe (over 5 days)")</f>
        <v>Severe (over 5 days)</v>
      </c>
      <c r="Y508" s="0" t="str">
        <f aca="false">YEAR(K508)&amp;"-"&amp;TEXT(MONTH(K508),"00")</f>
        <v>2025-04</v>
      </c>
      <c r="Z508" s="0" t="str">
        <f aca="false">C508&amp;" → "&amp;D508</f>
        <v>Rajasthan → Surat</v>
      </c>
      <c r="AA508" s="0" t="str">
        <f aca="false">Raw!Q508</f>
        <v>TCI Express</v>
      </c>
      <c r="AB508" s="0" t="str">
        <f aca="false">Raw!R508</f>
        <v>No</v>
      </c>
      <c r="AC508" s="0" t="str">
        <f aca="false">Raw!S508</f>
        <v>Expedited</v>
      </c>
      <c r="AD508" s="29" t="n">
        <f aca="false">Raw!N508</f>
        <v>3864.67</v>
      </c>
      <c r="AE508" s="29" t="n">
        <f aca="false">Raw!O508</f>
        <v>4414.62</v>
      </c>
      <c r="AF508" s="29" t="n">
        <f aca="false">Raw!P508</f>
        <v>1225.29</v>
      </c>
      <c r="AG508" s="29" t="n">
        <f aca="false">AD508/J508</f>
        <v>387.241482965932</v>
      </c>
    </row>
    <row r="509" customFormat="false" ht="15" hidden="false" customHeight="false" outlineLevel="0" collapsed="false">
      <c r="A509" s="0" t="str">
        <f aca="false">Raw!A509</f>
        <v>SHP0508</v>
      </c>
      <c r="B509" s="0" t="str">
        <f aca="false">Raw!B509</f>
        <v>Inbound</v>
      </c>
      <c r="C509" s="0" t="str">
        <f aca="false">Raw!C509</f>
        <v>Gujarat</v>
      </c>
      <c r="D509" s="0" t="str">
        <f aca="false">Raw!D509</f>
        <v>Surat</v>
      </c>
      <c r="E509" s="0" t="str">
        <f aca="false">IFERROR(INDEX(Location_Map!$B$2:$B$15,MATCH(C509,Location_Map!$A$2:$A$15,0)),"UNMAPPED")</f>
        <v>Gujarat</v>
      </c>
      <c r="F509" s="0" t="str">
        <f aca="false">IFERROR(INDEX(Location_Map!$C$2:$C$15,MATCH(C509,Location_Map!$A$2:$A$15,0)),"UNMAPPED")</f>
        <v>West</v>
      </c>
      <c r="G509" s="0" t="str">
        <f aca="false">IFERROR(INDEX(Location_Map!$B$2:$B$15,MATCH(D509,Location_Map!$A$2:$A$15,0)),"UNMAPPED")</f>
        <v>Gujarat</v>
      </c>
      <c r="H509" s="0" t="str">
        <f aca="false">IFERROR(INDEX(Location_Map!$C$2:$C$15,MATCH(D509,Location_Map!$A$2:$A$15,0)),"UNMAPPED")</f>
        <v>West</v>
      </c>
      <c r="I509" s="0" t="str">
        <f aca="false">Raw!E509</f>
        <v>Raw Yarn</v>
      </c>
      <c r="J509" s="28" t="n">
        <f aca="false">Raw!F509</f>
        <v>7.85</v>
      </c>
      <c r="K509" s="30" t="n">
        <f aca="false">DATE(LEFT(Raw!G509,4),MID(Raw!G509,6,2),MID(Raw!G509,9,2))</f>
        <v>45684</v>
      </c>
      <c r="L509" s="30" t="n">
        <f aca="false">DATE(LEFT(Raw!H509,4),MID(Raw!H509,6,2),MID(Raw!H509,9,2))</f>
        <v>45685</v>
      </c>
      <c r="M509" s="30" t="n">
        <f aca="false">DATE(LEFT(Raw!I509,4),MID(Raw!I509,6,2),MID(Raw!I509,9,2))</f>
        <v>45687</v>
      </c>
      <c r="N509" s="31" t="n">
        <f aca="false">DATE(LEFT(Raw!J509,4),MID(Raw!J509,6,2),MID(Raw!J509,9,2))+TIME(MID(Raw!J509,12,2),MID(Raw!J509,15,2),MID(Raw!J509,18,2))</f>
        <v>45684.7916666667</v>
      </c>
      <c r="O509" s="31" t="n">
        <f aca="false">DATE(LEFT(Raw!K509,4),MID(Raw!K509,6,2),MID(Raw!K509,9,2))+TIME(MID(Raw!K509,12,2),MID(Raw!K509,15,2),MID(Raw!K509,18,2))</f>
        <v>45686</v>
      </c>
      <c r="P509" s="32" t="n">
        <f aca="false">L509-K509</f>
        <v>1</v>
      </c>
      <c r="Q509" s="32" t="n">
        <f aca="false">M509-L509</f>
        <v>2</v>
      </c>
      <c r="R509" s="32" t="n">
        <f aca="false">O509-N509</f>
        <v>1.20833333333333</v>
      </c>
      <c r="S509" s="32" t="n">
        <f aca="false">Raw!L509</f>
        <v>-1</v>
      </c>
      <c r="T509" s="32" t="n">
        <f aca="false">O509-M509</f>
        <v>-1</v>
      </c>
      <c r="U509" s="0" t="str">
        <f aca="false">IF(ABS(T509-S509)&lt;0.01,"OK","MISMATCH")</f>
        <v>OK</v>
      </c>
      <c r="V509" s="33" t="n">
        <f aca="false">Raw!M509</f>
        <v>0</v>
      </c>
      <c r="W509" s="0" t="str">
        <f aca="false">IF((S509&gt;0)=(V509=1),"OK","MISMATCH")</f>
        <v>OK</v>
      </c>
      <c r="X509" s="0" t="str">
        <f aca="false">_xlfn.IFS(S509&lt;=0,"Early/On time",S509&lt;=2,"Minor (up to 2 days)",S509&lt;=5,"Moderate (2-5 days)",TRUE(),"Severe (over 5 days)")</f>
        <v>Early/On time</v>
      </c>
      <c r="Y509" s="0" t="str">
        <f aca="false">YEAR(K509)&amp;"-"&amp;TEXT(MONTH(K509),"00")</f>
        <v>2025-01</v>
      </c>
      <c r="Z509" s="0" t="str">
        <f aca="false">C509&amp;" → "&amp;D509</f>
        <v>Gujarat → Surat</v>
      </c>
      <c r="AA509" s="0" t="str">
        <f aca="false">Raw!Q509</f>
        <v>Delhivery</v>
      </c>
      <c r="AB509" s="0" t="str">
        <f aca="false">Raw!R509</f>
        <v>No</v>
      </c>
      <c r="AC509" s="0" t="str">
        <f aca="false">Raw!S509</f>
        <v>Normal</v>
      </c>
      <c r="AD509" s="29" t="n">
        <f aca="false">Raw!N509</f>
        <v>4343.66</v>
      </c>
      <c r="AE509" s="29" t="n">
        <f aca="false">Raw!O509</f>
        <v>2589.09</v>
      </c>
      <c r="AF509" s="29" t="n">
        <f aca="false">Raw!P509</f>
        <v>745.55</v>
      </c>
      <c r="AG509" s="29" t="n">
        <f aca="false">AD509/J509</f>
        <v>553.332484076433</v>
      </c>
    </row>
    <row r="510" customFormat="false" ht="15" hidden="false" customHeight="false" outlineLevel="0" collapsed="false">
      <c r="A510" s="0" t="str">
        <f aca="false">Raw!A510</f>
        <v>SHP0509</v>
      </c>
      <c r="B510" s="0" t="str">
        <f aca="false">Raw!B510</f>
        <v>Outbound</v>
      </c>
      <c r="C510" s="0" t="str">
        <f aca="false">Raw!C510</f>
        <v>Surat</v>
      </c>
      <c r="D510" s="0" t="str">
        <f aca="false">Raw!D510</f>
        <v>Kerala</v>
      </c>
      <c r="E510" s="0" t="str">
        <f aca="false">IFERROR(INDEX(Location_Map!$B$2:$B$15,MATCH(C510,Location_Map!$A$2:$A$15,0)),"UNMAPPED")</f>
        <v>Gujarat</v>
      </c>
      <c r="F510" s="0" t="str">
        <f aca="false">IFERROR(INDEX(Location_Map!$C$2:$C$15,MATCH(C510,Location_Map!$A$2:$A$15,0)),"UNMAPPED")</f>
        <v>West</v>
      </c>
      <c r="G510" s="0" t="str">
        <f aca="false">IFERROR(INDEX(Location_Map!$B$2:$B$15,MATCH(D510,Location_Map!$A$2:$A$15,0)),"UNMAPPED")</f>
        <v>Kerala</v>
      </c>
      <c r="H510" s="0" t="str">
        <f aca="false">IFERROR(INDEX(Location_Map!$C$2:$C$15,MATCH(D510,Location_Map!$A$2:$A$15,0)),"UNMAPPED")</f>
        <v>South</v>
      </c>
      <c r="I510" s="0" t="str">
        <f aca="false">Raw!E510</f>
        <v>Raw Yarn</v>
      </c>
      <c r="J510" s="28" t="n">
        <f aca="false">Raw!F510</f>
        <v>16.43</v>
      </c>
      <c r="K510" s="30" t="n">
        <f aca="false">DATE(LEFT(Raw!G510,4),MID(Raw!G510,6,2),MID(Raw!G510,9,2))</f>
        <v>45760</v>
      </c>
      <c r="L510" s="30" t="n">
        <f aca="false">DATE(LEFT(Raw!H510,4),MID(Raw!H510,6,2),MID(Raw!H510,9,2))</f>
        <v>45761</v>
      </c>
      <c r="M510" s="30" t="n">
        <f aca="false">DATE(LEFT(Raw!I510,4),MID(Raw!I510,6,2),MID(Raw!I510,9,2))</f>
        <v>45764</v>
      </c>
      <c r="N510" s="31" t="n">
        <f aca="false">DATE(LEFT(Raw!J510,4),MID(Raw!J510,6,2),MID(Raw!J510,9,2))+TIME(MID(Raw!J510,12,2),MID(Raw!J510,15,2),MID(Raw!J510,18,2))</f>
        <v>45761.0416666667</v>
      </c>
      <c r="O510" s="31" t="n">
        <f aca="false">DATE(LEFT(Raw!K510,4),MID(Raw!K510,6,2),MID(Raw!K510,9,2))+TIME(MID(Raw!K510,12,2),MID(Raw!K510,15,2),MID(Raw!K510,18,2))</f>
        <v>45767</v>
      </c>
      <c r="P510" s="32" t="n">
        <f aca="false">L510-K510</f>
        <v>1</v>
      </c>
      <c r="Q510" s="32" t="n">
        <f aca="false">M510-L510</f>
        <v>3</v>
      </c>
      <c r="R510" s="32" t="n">
        <f aca="false">O510-N510</f>
        <v>5.95833333333333</v>
      </c>
      <c r="S510" s="32" t="n">
        <f aca="false">Raw!L510</f>
        <v>3</v>
      </c>
      <c r="T510" s="32" t="n">
        <f aca="false">O510-M510</f>
        <v>3</v>
      </c>
      <c r="U510" s="0" t="str">
        <f aca="false">IF(ABS(T510-S510)&lt;0.01,"OK","MISMATCH")</f>
        <v>OK</v>
      </c>
      <c r="V510" s="33" t="n">
        <f aca="false">Raw!M510</f>
        <v>1</v>
      </c>
      <c r="W510" s="0" t="str">
        <f aca="false">IF((S510&gt;0)=(V510=1),"OK","MISMATCH")</f>
        <v>OK</v>
      </c>
      <c r="X510" s="0" t="str">
        <f aca="false">_xlfn.IFS(S510&lt;=0,"Early/On time",S510&lt;=2,"Minor (up to 2 days)",S510&lt;=5,"Moderate (2-5 days)",TRUE(),"Severe (over 5 days)")</f>
        <v>Moderate (2-5 days)</v>
      </c>
      <c r="Y510" s="0" t="str">
        <f aca="false">YEAR(K510)&amp;"-"&amp;TEXT(MONTH(K510),"00")</f>
        <v>2025-04</v>
      </c>
      <c r="Z510" s="0" t="str">
        <f aca="false">C510&amp;" → "&amp;D510</f>
        <v>Surat → Kerala</v>
      </c>
      <c r="AA510" s="0" t="str">
        <f aca="false">Raw!Q510</f>
        <v>Delhivery</v>
      </c>
      <c r="AB510" s="0" t="str">
        <f aca="false">Raw!R510</f>
        <v>Yes</v>
      </c>
      <c r="AC510" s="0" t="str">
        <f aca="false">Raw!S510</f>
        <v>Damaged</v>
      </c>
      <c r="AD510" s="29" t="n">
        <f aca="false">Raw!N510</f>
        <v>4863.98</v>
      </c>
      <c r="AE510" s="29" t="n">
        <f aca="false">Raw!O510</f>
        <v>4506.46</v>
      </c>
      <c r="AF510" s="29" t="n">
        <f aca="false">Raw!P510</f>
        <v>1228.87</v>
      </c>
      <c r="AG510" s="29" t="n">
        <f aca="false">AD510/J510</f>
        <v>296.04260499087</v>
      </c>
    </row>
    <row r="511" customFormat="false" ht="15" hidden="false" customHeight="false" outlineLevel="0" collapsed="false">
      <c r="A511" s="0" t="str">
        <f aca="false">Raw!A511</f>
        <v>SHP0510</v>
      </c>
      <c r="B511" s="0" t="str">
        <f aca="false">Raw!B511</f>
        <v>Inbound</v>
      </c>
      <c r="C511" s="0" t="str">
        <f aca="false">Raw!C511</f>
        <v>Gujarat</v>
      </c>
      <c r="D511" s="0" t="str">
        <f aca="false">Raw!D511</f>
        <v>Surat</v>
      </c>
      <c r="E511" s="0" t="str">
        <f aca="false">IFERROR(INDEX(Location_Map!$B$2:$B$15,MATCH(C511,Location_Map!$A$2:$A$15,0)),"UNMAPPED")</f>
        <v>Gujarat</v>
      </c>
      <c r="F511" s="0" t="str">
        <f aca="false">IFERROR(INDEX(Location_Map!$C$2:$C$15,MATCH(C511,Location_Map!$A$2:$A$15,0)),"UNMAPPED")</f>
        <v>West</v>
      </c>
      <c r="G511" s="0" t="str">
        <f aca="false">IFERROR(INDEX(Location_Map!$B$2:$B$15,MATCH(D511,Location_Map!$A$2:$A$15,0)),"UNMAPPED")</f>
        <v>Gujarat</v>
      </c>
      <c r="H511" s="0" t="str">
        <f aca="false">IFERROR(INDEX(Location_Map!$C$2:$C$15,MATCH(D511,Location_Map!$A$2:$A$15,0)),"UNMAPPED")</f>
        <v>West</v>
      </c>
      <c r="I511" s="0" t="str">
        <f aca="false">Raw!E511</f>
        <v>Raw Yarn</v>
      </c>
      <c r="J511" s="28" t="n">
        <f aca="false">Raw!F511</f>
        <v>6.73</v>
      </c>
      <c r="K511" s="30" t="n">
        <f aca="false">DATE(LEFT(Raw!G511,4),MID(Raw!G511,6,2),MID(Raw!G511,9,2))</f>
        <v>45837</v>
      </c>
      <c r="L511" s="30" t="n">
        <f aca="false">DATE(LEFT(Raw!H511,4),MID(Raw!H511,6,2),MID(Raw!H511,9,2))</f>
        <v>45838</v>
      </c>
      <c r="M511" s="30" t="n">
        <f aca="false">DATE(LEFT(Raw!I511,4),MID(Raw!I511,6,2),MID(Raw!I511,9,2))</f>
        <v>45840</v>
      </c>
      <c r="N511" s="31" t="n">
        <f aca="false">DATE(LEFT(Raw!J511,4),MID(Raw!J511,6,2),MID(Raw!J511,9,2))+TIME(MID(Raw!J511,12,2),MID(Raw!J511,15,2),MID(Raw!J511,18,2))</f>
        <v>45838.2916666667</v>
      </c>
      <c r="O511" s="31" t="n">
        <f aca="false">DATE(LEFT(Raw!K511,4),MID(Raw!K511,6,2),MID(Raw!K511,9,2))+TIME(MID(Raw!K511,12,2),MID(Raw!K511,15,2),MID(Raw!K511,18,2))</f>
        <v>45847</v>
      </c>
      <c r="P511" s="32" t="n">
        <f aca="false">L511-K511</f>
        <v>1</v>
      </c>
      <c r="Q511" s="32" t="n">
        <f aca="false">M511-L511</f>
        <v>2</v>
      </c>
      <c r="R511" s="32" t="n">
        <f aca="false">O511-N511</f>
        <v>8.70833333333333</v>
      </c>
      <c r="S511" s="32" t="n">
        <f aca="false">Raw!L511</f>
        <v>7</v>
      </c>
      <c r="T511" s="32" t="n">
        <f aca="false">O511-M511</f>
        <v>7</v>
      </c>
      <c r="U511" s="0" t="str">
        <f aca="false">IF(ABS(T511-S511)&lt;0.01,"OK","MISMATCH")</f>
        <v>OK</v>
      </c>
      <c r="V511" s="33" t="n">
        <f aca="false">Raw!M511</f>
        <v>1</v>
      </c>
      <c r="W511" s="0" t="str">
        <f aca="false">IF((S511&gt;0)=(V511=1),"OK","MISMATCH")</f>
        <v>OK</v>
      </c>
      <c r="X511" s="0" t="str">
        <f aca="false">_xlfn.IFS(S511&lt;=0,"Early/On time",S511&lt;=2,"Minor (up to 2 days)",S511&lt;=5,"Moderate (2-5 days)",TRUE(),"Severe (over 5 days)")</f>
        <v>Severe (over 5 days)</v>
      </c>
      <c r="Y511" s="0" t="str">
        <f aca="false">YEAR(K511)&amp;"-"&amp;TEXT(MONTH(K511),"00")</f>
        <v>2025-06</v>
      </c>
      <c r="Z511" s="0" t="str">
        <f aca="false">C511&amp;" → "&amp;D511</f>
        <v>Gujarat → Surat</v>
      </c>
      <c r="AA511" s="0" t="str">
        <f aca="false">Raw!Q511</f>
        <v>TCI Express</v>
      </c>
      <c r="AB511" s="0" t="str">
        <f aca="false">Raw!R511</f>
        <v>No</v>
      </c>
      <c r="AC511" s="0" t="str">
        <f aca="false">Raw!S511</f>
        <v>Normal</v>
      </c>
      <c r="AD511" s="29" t="n">
        <f aca="false">Raw!N511</f>
        <v>4443.45</v>
      </c>
      <c r="AE511" s="29" t="n">
        <f aca="false">Raw!O511</f>
        <v>3951.71</v>
      </c>
      <c r="AF511" s="29" t="n">
        <f aca="false">Raw!P511</f>
        <v>1097.43</v>
      </c>
      <c r="AG511" s="29" t="n">
        <f aca="false">AD511/J511</f>
        <v>660.245170876672</v>
      </c>
    </row>
    <row r="512" customFormat="false" ht="15" hidden="false" customHeight="false" outlineLevel="0" collapsed="false">
      <c r="A512" s="0" t="str">
        <f aca="false">Raw!A512</f>
        <v>SHP0511</v>
      </c>
      <c r="B512" s="0" t="str">
        <f aca="false">Raw!B512</f>
        <v>Inbound</v>
      </c>
      <c r="C512" s="0" t="str">
        <f aca="false">Raw!C512</f>
        <v>Uttar Pradesh</v>
      </c>
      <c r="D512" s="0" t="str">
        <f aca="false">Raw!D512</f>
        <v>Surat</v>
      </c>
      <c r="E512" s="0" t="str">
        <f aca="false">IFERROR(INDEX(Location_Map!$B$2:$B$15,MATCH(C512,Location_Map!$A$2:$A$15,0)),"UNMAPPED")</f>
        <v>Uttar Pradesh</v>
      </c>
      <c r="F512" s="0" t="str">
        <f aca="false">IFERROR(INDEX(Location_Map!$C$2:$C$15,MATCH(C512,Location_Map!$A$2:$A$15,0)),"UNMAPPED")</f>
        <v>North</v>
      </c>
      <c r="G512" s="0" t="str">
        <f aca="false">IFERROR(INDEX(Location_Map!$B$2:$B$15,MATCH(D512,Location_Map!$A$2:$A$15,0)),"UNMAPPED")</f>
        <v>Gujarat</v>
      </c>
      <c r="H512" s="0" t="str">
        <f aca="false">IFERROR(INDEX(Location_Map!$C$2:$C$15,MATCH(D512,Location_Map!$A$2:$A$15,0)),"UNMAPPED")</f>
        <v>West</v>
      </c>
      <c r="I512" s="0" t="str">
        <f aca="false">Raw!E512</f>
        <v>Raw Yarn</v>
      </c>
      <c r="J512" s="28" t="n">
        <f aca="false">Raw!F512</f>
        <v>17.74</v>
      </c>
      <c r="K512" s="30" t="n">
        <f aca="false">DATE(LEFT(Raw!G512,4),MID(Raw!G512,6,2),MID(Raw!G512,9,2))</f>
        <v>45672</v>
      </c>
      <c r="L512" s="30" t="n">
        <f aca="false">DATE(LEFT(Raw!H512,4),MID(Raw!H512,6,2),MID(Raw!H512,9,2))</f>
        <v>45674</v>
      </c>
      <c r="M512" s="30" t="n">
        <f aca="false">DATE(LEFT(Raw!I512,4),MID(Raw!I512,6,2),MID(Raw!I512,9,2))</f>
        <v>45679</v>
      </c>
      <c r="N512" s="31" t="n">
        <f aca="false">DATE(LEFT(Raw!J512,4),MID(Raw!J512,6,2),MID(Raw!J512,9,2))+TIME(MID(Raw!J512,12,2),MID(Raw!J512,15,2),MID(Raw!J512,18,2))</f>
        <v>45673.9166666667</v>
      </c>
      <c r="O512" s="31" t="n">
        <f aca="false">DATE(LEFT(Raw!K512,4),MID(Raw!K512,6,2),MID(Raw!K512,9,2))+TIME(MID(Raw!K512,12,2),MID(Raw!K512,15,2),MID(Raw!K512,18,2))</f>
        <v>45683.2</v>
      </c>
      <c r="P512" s="32" t="n">
        <f aca="false">L512-K512</f>
        <v>2</v>
      </c>
      <c r="Q512" s="32" t="n">
        <f aca="false">M512-L512</f>
        <v>5</v>
      </c>
      <c r="R512" s="32" t="n">
        <f aca="false">O512-N512</f>
        <v>9.28333333333333</v>
      </c>
      <c r="S512" s="32" t="n">
        <f aca="false">Raw!L512</f>
        <v>4.2</v>
      </c>
      <c r="T512" s="32" t="n">
        <f aca="false">O512-M512</f>
        <v>4.2</v>
      </c>
      <c r="U512" s="0" t="str">
        <f aca="false">IF(ABS(T512-S512)&lt;0.01,"OK","MISMATCH")</f>
        <v>OK</v>
      </c>
      <c r="V512" s="33" t="n">
        <f aca="false">Raw!M512</f>
        <v>1</v>
      </c>
      <c r="W512" s="0" t="str">
        <f aca="false">IF((S512&gt;0)=(V512=1),"OK","MISMATCH")</f>
        <v>OK</v>
      </c>
      <c r="X512" s="0" t="str">
        <f aca="false">_xlfn.IFS(S512&lt;=0,"Early/On time",S512&lt;=2,"Minor (up to 2 days)",S512&lt;=5,"Moderate (2-5 days)",TRUE(),"Severe (over 5 days)")</f>
        <v>Moderate (2-5 days)</v>
      </c>
      <c r="Y512" s="0" t="str">
        <f aca="false">YEAR(K512)&amp;"-"&amp;TEXT(MONTH(K512),"00")</f>
        <v>2025-01</v>
      </c>
      <c r="Z512" s="0" t="str">
        <f aca="false">C512&amp;" → "&amp;D512</f>
        <v>Uttar Pradesh → Surat</v>
      </c>
      <c r="AA512" s="0" t="str">
        <f aca="false">Raw!Q512</f>
        <v>Delhivery</v>
      </c>
      <c r="AB512" s="0" t="str">
        <f aca="false">Raw!R512</f>
        <v>Yes</v>
      </c>
      <c r="AC512" s="0" t="str">
        <f aca="false">Raw!S512</f>
        <v>Held at warehouse</v>
      </c>
      <c r="AD512" s="29" t="n">
        <f aca="false">Raw!N512</f>
        <v>9170.09</v>
      </c>
      <c r="AE512" s="29" t="n">
        <f aca="false">Raw!O512</f>
        <v>2047</v>
      </c>
      <c r="AF512" s="29" t="n">
        <f aca="false">Raw!P512</f>
        <v>1124.24</v>
      </c>
      <c r="AG512" s="29" t="n">
        <f aca="false">AD512/J512</f>
        <v>516.916009019166</v>
      </c>
    </row>
    <row r="513" customFormat="false" ht="15" hidden="false" customHeight="false" outlineLevel="0" collapsed="false">
      <c r="A513" s="0" t="str">
        <f aca="false">Raw!A513</f>
        <v>SHP0512</v>
      </c>
      <c r="B513" s="0" t="str">
        <f aca="false">Raw!B513</f>
        <v>Outbound</v>
      </c>
      <c r="C513" s="0" t="str">
        <f aca="false">Raw!C513</f>
        <v>Surat</v>
      </c>
      <c r="D513" s="0" t="str">
        <f aca="false">Raw!D513</f>
        <v>Assam</v>
      </c>
      <c r="E513" s="0" t="str">
        <f aca="false">IFERROR(INDEX(Location_Map!$B$2:$B$15,MATCH(C513,Location_Map!$A$2:$A$15,0)),"UNMAPPED")</f>
        <v>Gujarat</v>
      </c>
      <c r="F513" s="0" t="str">
        <f aca="false">IFERROR(INDEX(Location_Map!$C$2:$C$15,MATCH(C513,Location_Map!$A$2:$A$15,0)),"UNMAPPED")</f>
        <v>West</v>
      </c>
      <c r="G513" s="0" t="str">
        <f aca="false">IFERROR(INDEX(Location_Map!$B$2:$B$15,MATCH(D513,Location_Map!$A$2:$A$15,0)),"UNMAPPED")</f>
        <v>Assam</v>
      </c>
      <c r="H513" s="0" t="str">
        <f aca="false">IFERROR(INDEX(Location_Map!$C$2:$C$15,MATCH(D513,Location_Map!$A$2:$A$15,0)),"UNMAPPED")</f>
        <v>North-East</v>
      </c>
      <c r="I513" s="0" t="str">
        <f aca="false">Raw!E513</f>
        <v>Semi-Processed Yarn</v>
      </c>
      <c r="J513" s="28" t="n">
        <f aca="false">Raw!F513</f>
        <v>16.76</v>
      </c>
      <c r="K513" s="30" t="n">
        <f aca="false">DATE(LEFT(Raw!G513,4),MID(Raw!G513,6,2),MID(Raw!G513,9,2))</f>
        <v>45715</v>
      </c>
      <c r="L513" s="30" t="n">
        <f aca="false">DATE(LEFT(Raw!H513,4),MID(Raw!H513,6,2),MID(Raw!H513,9,2))</f>
        <v>45719</v>
      </c>
      <c r="M513" s="30" t="n">
        <f aca="false">DATE(LEFT(Raw!I513,4),MID(Raw!I513,6,2),MID(Raw!I513,9,2))</f>
        <v>45723</v>
      </c>
      <c r="N513" s="31" t="n">
        <f aca="false">DATE(LEFT(Raw!J513,4),MID(Raw!J513,6,2),MID(Raw!J513,9,2))+TIME(MID(Raw!J513,12,2),MID(Raw!J513,15,2),MID(Raw!J513,18,2))</f>
        <v>45718.7916666667</v>
      </c>
      <c r="O513" s="31" t="n">
        <f aca="false">DATE(LEFT(Raw!K513,4),MID(Raw!K513,6,2),MID(Raw!K513,9,2))+TIME(MID(Raw!K513,12,2),MID(Raw!K513,15,2),MID(Raw!K513,18,2))</f>
        <v>45722.5</v>
      </c>
      <c r="P513" s="32" t="n">
        <f aca="false">L513-K513</f>
        <v>4</v>
      </c>
      <c r="Q513" s="32" t="n">
        <f aca="false">M513-L513</f>
        <v>4</v>
      </c>
      <c r="R513" s="32" t="n">
        <f aca="false">O513-N513</f>
        <v>3.70833333333333</v>
      </c>
      <c r="S513" s="32" t="n">
        <f aca="false">Raw!L513</f>
        <v>-0.5</v>
      </c>
      <c r="T513" s="32" t="n">
        <f aca="false">O513-M513</f>
        <v>-0.5</v>
      </c>
      <c r="U513" s="0" t="str">
        <f aca="false">IF(ABS(T513-S513)&lt;0.01,"OK","MISMATCH")</f>
        <v>OK</v>
      </c>
      <c r="V513" s="33" t="n">
        <f aca="false">Raw!M513</f>
        <v>0</v>
      </c>
      <c r="W513" s="0" t="str">
        <f aca="false">IF((S513&gt;0)=(V513=1),"OK","MISMATCH")</f>
        <v>OK</v>
      </c>
      <c r="X513" s="0" t="str">
        <f aca="false">_xlfn.IFS(S513&lt;=0,"Early/On time",S513&lt;=2,"Minor (up to 2 days)",S513&lt;=5,"Moderate (2-5 days)",TRUE(),"Severe (over 5 days)")</f>
        <v>Early/On time</v>
      </c>
      <c r="Y513" s="0" t="str">
        <f aca="false">YEAR(K513)&amp;"-"&amp;TEXT(MONTH(K513),"00")</f>
        <v>2025-02</v>
      </c>
      <c r="Z513" s="0" t="str">
        <f aca="false">C513&amp;" → "&amp;D513</f>
        <v>Surat → Assam</v>
      </c>
      <c r="AA513" s="0" t="str">
        <f aca="false">Raw!Q513</f>
        <v>Delhivery</v>
      </c>
      <c r="AB513" s="0" t="str">
        <f aca="false">Raw!R513</f>
        <v>No</v>
      </c>
      <c r="AC513" s="0" t="str">
        <f aca="false">Raw!S513</f>
        <v>Held at warehouse</v>
      </c>
      <c r="AD513" s="29" t="n">
        <f aca="false">Raw!N513</f>
        <v>6451.57</v>
      </c>
      <c r="AE513" s="29" t="n">
        <f aca="false">Raw!O513</f>
        <v>2248.77</v>
      </c>
      <c r="AF513" s="29" t="n">
        <f aca="false">Raw!P513</f>
        <v>1225.11</v>
      </c>
      <c r="AG513" s="29" t="n">
        <f aca="false">AD513/J513</f>
        <v>384.938544152745</v>
      </c>
    </row>
    <row r="514" customFormat="false" ht="15" hidden="false" customHeight="false" outlineLevel="0" collapsed="false">
      <c r="A514" s="0" t="str">
        <f aca="false">Raw!A514</f>
        <v>SHP0513</v>
      </c>
      <c r="B514" s="0" t="str">
        <f aca="false">Raw!B514</f>
        <v>Inbound</v>
      </c>
      <c r="C514" s="0" t="str">
        <f aca="false">Raw!C514</f>
        <v>Chennai</v>
      </c>
      <c r="D514" s="0" t="str">
        <f aca="false">Raw!D514</f>
        <v>Surat</v>
      </c>
      <c r="E514" s="0" t="str">
        <f aca="false">IFERROR(INDEX(Location_Map!$B$2:$B$15,MATCH(C514,Location_Map!$A$2:$A$15,0)),"UNMAPPED")</f>
        <v>Tamil Nadu</v>
      </c>
      <c r="F514" s="0" t="str">
        <f aca="false">IFERROR(INDEX(Location_Map!$C$2:$C$15,MATCH(C514,Location_Map!$A$2:$A$15,0)),"UNMAPPED")</f>
        <v>South</v>
      </c>
      <c r="G514" s="0" t="str">
        <f aca="false">IFERROR(INDEX(Location_Map!$B$2:$B$15,MATCH(D514,Location_Map!$A$2:$A$15,0)),"UNMAPPED")</f>
        <v>Gujarat</v>
      </c>
      <c r="H514" s="0" t="str">
        <f aca="false">IFERROR(INDEX(Location_Map!$C$2:$C$15,MATCH(D514,Location_Map!$A$2:$A$15,0)),"UNMAPPED")</f>
        <v>West</v>
      </c>
      <c r="I514" s="0" t="str">
        <f aca="false">Raw!E514</f>
        <v>Semi-Processed Yarn</v>
      </c>
      <c r="J514" s="28" t="n">
        <f aca="false">Raw!F514</f>
        <v>16.13</v>
      </c>
      <c r="K514" s="30" t="n">
        <f aca="false">DATE(LEFT(Raw!G514,4),MID(Raw!G514,6,2),MID(Raw!G514,9,2))</f>
        <v>45907</v>
      </c>
      <c r="L514" s="30" t="n">
        <f aca="false">DATE(LEFT(Raw!H514,4),MID(Raw!H514,6,2),MID(Raw!H514,9,2))</f>
        <v>45911</v>
      </c>
      <c r="M514" s="30" t="n">
        <f aca="false">DATE(LEFT(Raw!I514,4),MID(Raw!I514,6,2),MID(Raw!I514,9,2))</f>
        <v>45916</v>
      </c>
      <c r="N514" s="31" t="n">
        <f aca="false">DATE(LEFT(Raw!J514,4),MID(Raw!J514,6,2),MID(Raw!J514,9,2))+TIME(MID(Raw!J514,12,2),MID(Raw!J514,15,2),MID(Raw!J514,18,2))</f>
        <v>45911.3333333333</v>
      </c>
      <c r="O514" s="31" t="n">
        <f aca="false">DATE(LEFT(Raw!K514,4),MID(Raw!K514,6,2),MID(Raw!K514,9,2))+TIME(MID(Raw!K514,12,2),MID(Raw!K514,15,2),MID(Raw!K514,18,2))</f>
        <v>45918.5</v>
      </c>
      <c r="P514" s="32" t="n">
        <f aca="false">L514-K514</f>
        <v>4</v>
      </c>
      <c r="Q514" s="32" t="n">
        <f aca="false">M514-L514</f>
        <v>5</v>
      </c>
      <c r="R514" s="32" t="n">
        <f aca="false">O514-N514</f>
        <v>7.16666666666667</v>
      </c>
      <c r="S514" s="32" t="n">
        <f aca="false">Raw!L514</f>
        <v>2.5</v>
      </c>
      <c r="T514" s="32" t="n">
        <f aca="false">O514-M514</f>
        <v>2.5</v>
      </c>
      <c r="U514" s="0" t="str">
        <f aca="false">IF(ABS(T514-S514)&lt;0.01,"OK","MISMATCH")</f>
        <v>OK</v>
      </c>
      <c r="V514" s="33" t="n">
        <f aca="false">Raw!M514</f>
        <v>1</v>
      </c>
      <c r="W514" s="0" t="str">
        <f aca="false">IF((S514&gt;0)=(V514=1),"OK","MISMATCH")</f>
        <v>OK</v>
      </c>
      <c r="X514" s="0" t="str">
        <f aca="false">_xlfn.IFS(S514&lt;=0,"Early/On time",S514&lt;=2,"Minor (up to 2 days)",S514&lt;=5,"Moderate (2-5 days)",TRUE(),"Severe (over 5 days)")</f>
        <v>Moderate (2-5 days)</v>
      </c>
      <c r="Y514" s="0" t="str">
        <f aca="false">YEAR(K514)&amp;"-"&amp;TEXT(MONTH(K514),"00")</f>
        <v>2025-09</v>
      </c>
      <c r="Z514" s="0" t="str">
        <f aca="false">C514&amp;" → "&amp;D514</f>
        <v>Chennai → Surat</v>
      </c>
      <c r="AA514" s="0" t="str">
        <f aca="false">Raw!Q514</f>
        <v>GATI Logistics</v>
      </c>
      <c r="AB514" s="0" t="str">
        <f aca="false">Raw!R514</f>
        <v>Yes</v>
      </c>
      <c r="AC514" s="0" t="str">
        <f aca="false">Raw!S514</f>
        <v>Returned</v>
      </c>
      <c r="AD514" s="29" t="n">
        <f aca="false">Raw!N514</f>
        <v>5686.28</v>
      </c>
      <c r="AE514" s="29" t="n">
        <f aca="false">Raw!O514</f>
        <v>3979.3</v>
      </c>
      <c r="AF514" s="29" t="n">
        <f aca="false">Raw!P514</f>
        <v>945.96</v>
      </c>
      <c r="AG514" s="29" t="n">
        <f aca="false">AD514/J514</f>
        <v>352.528208307502</v>
      </c>
    </row>
    <row r="515" customFormat="false" ht="15" hidden="false" customHeight="false" outlineLevel="0" collapsed="false">
      <c r="A515" s="0" t="str">
        <f aca="false">Raw!A515</f>
        <v>SHP0514</v>
      </c>
      <c r="B515" s="0" t="str">
        <f aca="false">Raw!B515</f>
        <v>Inbound</v>
      </c>
      <c r="C515" s="0" t="str">
        <f aca="false">Raw!C515</f>
        <v>Punjab</v>
      </c>
      <c r="D515" s="0" t="str">
        <f aca="false">Raw!D515</f>
        <v>Surat</v>
      </c>
      <c r="E515" s="0" t="str">
        <f aca="false">IFERROR(INDEX(Location_Map!$B$2:$B$15,MATCH(C515,Location_Map!$A$2:$A$15,0)),"UNMAPPED")</f>
        <v>Punjab</v>
      </c>
      <c r="F515" s="0" t="str">
        <f aca="false">IFERROR(INDEX(Location_Map!$C$2:$C$15,MATCH(C515,Location_Map!$A$2:$A$15,0)),"UNMAPPED")</f>
        <v>North</v>
      </c>
      <c r="G515" s="0" t="str">
        <f aca="false">IFERROR(INDEX(Location_Map!$B$2:$B$15,MATCH(D515,Location_Map!$A$2:$A$15,0)),"UNMAPPED")</f>
        <v>Gujarat</v>
      </c>
      <c r="H515" s="0" t="str">
        <f aca="false">IFERROR(INDEX(Location_Map!$C$2:$C$15,MATCH(D515,Location_Map!$A$2:$A$15,0)),"UNMAPPED")</f>
        <v>West</v>
      </c>
      <c r="I515" s="0" t="str">
        <f aca="false">Raw!E515</f>
        <v>Raw Yarn</v>
      </c>
      <c r="J515" s="28" t="n">
        <f aca="false">Raw!F515</f>
        <v>1.38</v>
      </c>
      <c r="K515" s="30" t="n">
        <f aca="false">DATE(LEFT(Raw!G515,4),MID(Raw!G515,6,2),MID(Raw!G515,9,2))</f>
        <v>45676</v>
      </c>
      <c r="L515" s="30" t="n">
        <f aca="false">DATE(LEFT(Raw!H515,4),MID(Raw!H515,6,2),MID(Raw!H515,9,2))</f>
        <v>45678</v>
      </c>
      <c r="M515" s="30" t="n">
        <f aca="false">DATE(LEFT(Raw!I515,4),MID(Raw!I515,6,2),MID(Raw!I515,9,2))</f>
        <v>45684</v>
      </c>
      <c r="N515" s="31" t="n">
        <f aca="false">DATE(LEFT(Raw!J515,4),MID(Raw!J515,6,2),MID(Raw!J515,9,2))+TIME(MID(Raw!J515,12,2),MID(Raw!J515,15,2),MID(Raw!J515,18,2))</f>
        <v>45678.0416666667</v>
      </c>
      <c r="O515" s="31" t="n">
        <f aca="false">DATE(LEFT(Raw!K515,4),MID(Raw!K515,6,2),MID(Raw!K515,9,2))+TIME(MID(Raw!K515,12,2),MID(Raw!K515,15,2),MID(Raw!K515,18,2))</f>
        <v>45687.7</v>
      </c>
      <c r="P515" s="32" t="n">
        <f aca="false">L515-K515</f>
        <v>2</v>
      </c>
      <c r="Q515" s="32" t="n">
        <f aca="false">M515-L515</f>
        <v>6</v>
      </c>
      <c r="R515" s="32" t="n">
        <f aca="false">O515-N515</f>
        <v>9.65833333333333</v>
      </c>
      <c r="S515" s="32" t="n">
        <f aca="false">Raw!L515</f>
        <v>3.7</v>
      </c>
      <c r="T515" s="32" t="n">
        <f aca="false">O515-M515</f>
        <v>3.7</v>
      </c>
      <c r="U515" s="0" t="str">
        <f aca="false">IF(ABS(T515-S515)&lt;0.01,"OK","MISMATCH")</f>
        <v>OK</v>
      </c>
      <c r="V515" s="33" t="n">
        <f aca="false">Raw!M515</f>
        <v>1</v>
      </c>
      <c r="W515" s="0" t="str">
        <f aca="false">IF((S515&gt;0)=(V515=1),"OK","MISMATCH")</f>
        <v>OK</v>
      </c>
      <c r="X515" s="0" t="str">
        <f aca="false">_xlfn.IFS(S515&lt;=0,"Early/On time",S515&lt;=2,"Minor (up to 2 days)",S515&lt;=5,"Moderate (2-5 days)",TRUE(),"Severe (over 5 days)")</f>
        <v>Moderate (2-5 days)</v>
      </c>
      <c r="Y515" s="0" t="str">
        <f aca="false">YEAR(K515)&amp;"-"&amp;TEXT(MONTH(K515),"00")</f>
        <v>2025-01</v>
      </c>
      <c r="Z515" s="0" t="str">
        <f aca="false">C515&amp;" → "&amp;D515</f>
        <v>Punjab → Surat</v>
      </c>
      <c r="AA515" s="0" t="str">
        <f aca="false">Raw!Q515</f>
        <v>GATI Logistics</v>
      </c>
      <c r="AB515" s="0" t="str">
        <f aca="false">Raw!R515</f>
        <v>Yes</v>
      </c>
      <c r="AC515" s="0" t="str">
        <f aca="false">Raw!S515</f>
        <v>Damaged</v>
      </c>
      <c r="AD515" s="29" t="n">
        <f aca="false">Raw!N515</f>
        <v>1771.65</v>
      </c>
      <c r="AE515" s="29" t="n">
        <f aca="false">Raw!O515</f>
        <v>1745.68</v>
      </c>
      <c r="AF515" s="29" t="n">
        <f aca="false">Raw!P515</f>
        <v>1249.37</v>
      </c>
      <c r="AG515" s="29" t="n">
        <f aca="false">AD515/J515</f>
        <v>1283.80434782609</v>
      </c>
    </row>
    <row r="516" customFormat="false" ht="15" hidden="false" customHeight="false" outlineLevel="0" collapsed="false">
      <c r="A516" s="0" t="str">
        <f aca="false">Raw!A516</f>
        <v>SHP0515</v>
      </c>
      <c r="B516" s="0" t="str">
        <f aca="false">Raw!B516</f>
        <v>Inbound</v>
      </c>
      <c r="C516" s="0" t="str">
        <f aca="false">Raw!C516</f>
        <v>Uttar Pradesh</v>
      </c>
      <c r="D516" s="0" t="str">
        <f aca="false">Raw!D516</f>
        <v>Surat</v>
      </c>
      <c r="E516" s="0" t="str">
        <f aca="false">IFERROR(INDEX(Location_Map!$B$2:$B$15,MATCH(C516,Location_Map!$A$2:$A$15,0)),"UNMAPPED")</f>
        <v>Uttar Pradesh</v>
      </c>
      <c r="F516" s="0" t="str">
        <f aca="false">IFERROR(INDEX(Location_Map!$C$2:$C$15,MATCH(C516,Location_Map!$A$2:$A$15,0)),"UNMAPPED")</f>
        <v>North</v>
      </c>
      <c r="G516" s="0" t="str">
        <f aca="false">IFERROR(INDEX(Location_Map!$B$2:$B$15,MATCH(D516,Location_Map!$A$2:$A$15,0)),"UNMAPPED")</f>
        <v>Gujarat</v>
      </c>
      <c r="H516" s="0" t="str">
        <f aca="false">IFERROR(INDEX(Location_Map!$C$2:$C$15,MATCH(D516,Location_Map!$A$2:$A$15,0)),"UNMAPPED")</f>
        <v>West</v>
      </c>
      <c r="I516" s="0" t="str">
        <f aca="false">Raw!E516</f>
        <v>Semi-Processed Yarn</v>
      </c>
      <c r="J516" s="28" t="n">
        <f aca="false">Raw!F516</f>
        <v>11.37</v>
      </c>
      <c r="K516" s="30" t="n">
        <f aca="false">DATE(LEFT(Raw!G516,4),MID(Raw!G516,6,2),MID(Raw!G516,9,2))</f>
        <v>45719</v>
      </c>
      <c r="L516" s="30" t="n">
        <f aca="false">DATE(LEFT(Raw!H516,4),MID(Raw!H516,6,2),MID(Raw!H516,9,2))</f>
        <v>45721</v>
      </c>
      <c r="M516" s="30" t="n">
        <f aca="false">DATE(LEFT(Raw!I516,4),MID(Raw!I516,6,2),MID(Raw!I516,9,2))</f>
        <v>45724</v>
      </c>
      <c r="N516" s="31" t="n">
        <f aca="false">DATE(LEFT(Raw!J516,4),MID(Raw!J516,6,2),MID(Raw!J516,9,2))+TIME(MID(Raw!J516,12,2),MID(Raw!J516,15,2),MID(Raw!J516,18,2))</f>
        <v>45720.875</v>
      </c>
      <c r="O516" s="31" t="n">
        <f aca="false">DATE(LEFT(Raw!K516,4),MID(Raw!K516,6,2),MID(Raw!K516,9,2))+TIME(MID(Raw!K516,12,2),MID(Raw!K516,15,2),MID(Raw!K516,18,2))</f>
        <v>45725.8</v>
      </c>
      <c r="P516" s="32" t="n">
        <f aca="false">L516-K516</f>
        <v>2</v>
      </c>
      <c r="Q516" s="32" t="n">
        <f aca="false">M516-L516</f>
        <v>3</v>
      </c>
      <c r="R516" s="32" t="n">
        <f aca="false">O516-N516</f>
        <v>4.925</v>
      </c>
      <c r="S516" s="32" t="n">
        <f aca="false">Raw!L516</f>
        <v>1.8</v>
      </c>
      <c r="T516" s="32" t="n">
        <f aca="false">O516-M516</f>
        <v>1.8</v>
      </c>
      <c r="U516" s="0" t="str">
        <f aca="false">IF(ABS(T516-S516)&lt;0.01,"OK","MISMATCH")</f>
        <v>OK</v>
      </c>
      <c r="V516" s="33" t="n">
        <f aca="false">Raw!M516</f>
        <v>1</v>
      </c>
      <c r="W516" s="0" t="str">
        <f aca="false">IF((S516&gt;0)=(V516=1),"OK","MISMATCH")</f>
        <v>OK</v>
      </c>
      <c r="X516" s="0" t="str">
        <f aca="false">_xlfn.IFS(S516&lt;=0,"Early/On time",S516&lt;=2,"Minor (up to 2 days)",S516&lt;=5,"Moderate (2-5 days)",TRUE(),"Severe (over 5 days)")</f>
        <v>Minor (up to 2 days)</v>
      </c>
      <c r="Y516" s="0" t="str">
        <f aca="false">YEAR(K516)&amp;"-"&amp;TEXT(MONTH(K516),"00")</f>
        <v>2025-03</v>
      </c>
      <c r="Z516" s="0" t="str">
        <f aca="false">C516&amp;" → "&amp;D516</f>
        <v>Uttar Pradesh → Surat</v>
      </c>
      <c r="AA516" s="0" t="str">
        <f aca="false">Raw!Q516</f>
        <v>TCI Express</v>
      </c>
      <c r="AB516" s="0" t="str">
        <f aca="false">Raw!R516</f>
        <v>No</v>
      </c>
      <c r="AC516" s="0" t="str">
        <f aca="false">Raw!S516</f>
        <v>Normal</v>
      </c>
      <c r="AD516" s="29" t="n">
        <f aca="false">Raw!N516</f>
        <v>8549.23</v>
      </c>
      <c r="AE516" s="29" t="n">
        <f aca="false">Raw!O516</f>
        <v>4828.54</v>
      </c>
      <c r="AF516" s="29" t="n">
        <f aca="false">Raw!P516</f>
        <v>927.11</v>
      </c>
      <c r="AG516" s="29" t="n">
        <f aca="false">AD516/J516</f>
        <v>751.911169744943</v>
      </c>
    </row>
    <row r="517" customFormat="false" ht="15" hidden="false" customHeight="false" outlineLevel="0" collapsed="false">
      <c r="A517" s="0" t="str">
        <f aca="false">Raw!A517</f>
        <v>SHP0516</v>
      </c>
      <c r="B517" s="0" t="str">
        <f aca="false">Raw!B517</f>
        <v>Outbound</v>
      </c>
      <c r="C517" s="0" t="str">
        <f aca="false">Raw!C517</f>
        <v>Surat</v>
      </c>
      <c r="D517" s="0" t="str">
        <f aca="false">Raw!D517</f>
        <v>Uttarakhand</v>
      </c>
      <c r="E517" s="0" t="str">
        <f aca="false">IFERROR(INDEX(Location_Map!$B$2:$B$15,MATCH(C517,Location_Map!$A$2:$A$15,0)),"UNMAPPED")</f>
        <v>Gujarat</v>
      </c>
      <c r="F517" s="0" t="str">
        <f aca="false">IFERROR(INDEX(Location_Map!$C$2:$C$15,MATCH(C517,Location_Map!$A$2:$A$15,0)),"UNMAPPED")</f>
        <v>West</v>
      </c>
      <c r="G517" s="0" t="str">
        <f aca="false">IFERROR(INDEX(Location_Map!$B$2:$B$15,MATCH(D517,Location_Map!$A$2:$A$15,0)),"UNMAPPED")</f>
        <v>Uttarakhand</v>
      </c>
      <c r="H517" s="0" t="str">
        <f aca="false">IFERROR(INDEX(Location_Map!$C$2:$C$15,MATCH(D517,Location_Map!$A$2:$A$15,0)),"UNMAPPED")</f>
        <v>North</v>
      </c>
      <c r="I517" s="0" t="str">
        <f aca="false">Raw!E517</f>
        <v>Finished Yarn</v>
      </c>
      <c r="J517" s="28" t="n">
        <f aca="false">Raw!F517</f>
        <v>10.03</v>
      </c>
      <c r="K517" s="30" t="n">
        <f aca="false">DATE(LEFT(Raw!G517,4),MID(Raw!G517,6,2),MID(Raw!G517,9,2))</f>
        <v>45927</v>
      </c>
      <c r="L517" s="30" t="n">
        <f aca="false">DATE(LEFT(Raw!H517,4),MID(Raw!H517,6,2),MID(Raw!H517,9,2))</f>
        <v>45930</v>
      </c>
      <c r="M517" s="30" t="n">
        <f aca="false">DATE(LEFT(Raw!I517,4),MID(Raw!I517,6,2),MID(Raw!I517,9,2))</f>
        <v>45936</v>
      </c>
      <c r="N517" s="31" t="n">
        <f aca="false">DATE(LEFT(Raw!J517,4),MID(Raw!J517,6,2),MID(Raw!J517,9,2))+TIME(MID(Raw!J517,12,2),MID(Raw!J517,15,2),MID(Raw!J517,18,2))</f>
        <v>45930.3333333333</v>
      </c>
      <c r="O517" s="31" t="n">
        <f aca="false">DATE(LEFT(Raw!K517,4),MID(Raw!K517,6,2),MID(Raw!K517,9,2))+TIME(MID(Raw!K517,12,2),MID(Raw!K517,15,2),MID(Raw!K517,18,2))</f>
        <v>45937.1</v>
      </c>
      <c r="P517" s="32" t="n">
        <f aca="false">L517-K517</f>
        <v>3</v>
      </c>
      <c r="Q517" s="32" t="n">
        <f aca="false">M517-L517</f>
        <v>6</v>
      </c>
      <c r="R517" s="32" t="n">
        <f aca="false">O517-N517</f>
        <v>6.76666666666667</v>
      </c>
      <c r="S517" s="32" t="n">
        <f aca="false">Raw!L517</f>
        <v>1.1</v>
      </c>
      <c r="T517" s="32" t="n">
        <f aca="false">O517-M517</f>
        <v>1.1</v>
      </c>
      <c r="U517" s="0" t="str">
        <f aca="false">IF(ABS(T517-S517)&lt;0.01,"OK","MISMATCH")</f>
        <v>OK</v>
      </c>
      <c r="V517" s="33" t="n">
        <f aca="false">Raw!M517</f>
        <v>1</v>
      </c>
      <c r="W517" s="0" t="str">
        <f aca="false">IF((S517&gt;0)=(V517=1),"OK","MISMATCH")</f>
        <v>OK</v>
      </c>
      <c r="X517" s="0" t="str">
        <f aca="false">_xlfn.IFS(S517&lt;=0,"Early/On time",S517&lt;=2,"Minor (up to 2 days)",S517&lt;=5,"Moderate (2-5 days)",TRUE(),"Severe (over 5 days)")</f>
        <v>Minor (up to 2 days)</v>
      </c>
      <c r="Y517" s="0" t="str">
        <f aca="false">YEAR(K517)&amp;"-"&amp;TEXT(MONTH(K517),"00")</f>
        <v>2025-09</v>
      </c>
      <c r="Z517" s="0" t="str">
        <f aca="false">C517&amp;" → "&amp;D517</f>
        <v>Surat → Uttarakhand</v>
      </c>
      <c r="AA517" s="0" t="str">
        <f aca="false">Raw!Q517</f>
        <v>VRL Cargo</v>
      </c>
      <c r="AB517" s="0" t="str">
        <f aca="false">Raw!R517</f>
        <v>No</v>
      </c>
      <c r="AC517" s="0" t="str">
        <f aca="false">Raw!S517</f>
        <v>Normal</v>
      </c>
      <c r="AD517" s="29" t="n">
        <f aca="false">Raw!N517</f>
        <v>4189.11</v>
      </c>
      <c r="AE517" s="29" t="n">
        <f aca="false">Raw!O517</f>
        <v>1493.8</v>
      </c>
      <c r="AF517" s="29" t="n">
        <f aca="false">Raw!P517</f>
        <v>705.98</v>
      </c>
      <c r="AG517" s="29" t="n">
        <f aca="false">AD517/J517</f>
        <v>417.658025922233</v>
      </c>
    </row>
    <row r="518" customFormat="false" ht="15" hidden="false" customHeight="false" outlineLevel="0" collapsed="false">
      <c r="A518" s="0" t="str">
        <f aca="false">Raw!A518</f>
        <v>SHP0517</v>
      </c>
      <c r="B518" s="0" t="str">
        <f aca="false">Raw!B518</f>
        <v>Inbound</v>
      </c>
      <c r="C518" s="0" t="str">
        <f aca="false">Raw!C518</f>
        <v>Uttar Pradesh</v>
      </c>
      <c r="D518" s="0" t="str">
        <f aca="false">Raw!D518</f>
        <v>Surat</v>
      </c>
      <c r="E518" s="0" t="str">
        <f aca="false">IFERROR(INDEX(Location_Map!$B$2:$B$15,MATCH(C518,Location_Map!$A$2:$A$15,0)),"UNMAPPED")</f>
        <v>Uttar Pradesh</v>
      </c>
      <c r="F518" s="0" t="str">
        <f aca="false">IFERROR(INDEX(Location_Map!$C$2:$C$15,MATCH(C518,Location_Map!$A$2:$A$15,0)),"UNMAPPED")</f>
        <v>North</v>
      </c>
      <c r="G518" s="0" t="str">
        <f aca="false">IFERROR(INDEX(Location_Map!$B$2:$B$15,MATCH(D518,Location_Map!$A$2:$A$15,0)),"UNMAPPED")</f>
        <v>Gujarat</v>
      </c>
      <c r="H518" s="0" t="str">
        <f aca="false">IFERROR(INDEX(Location_Map!$C$2:$C$15,MATCH(D518,Location_Map!$A$2:$A$15,0)),"UNMAPPED")</f>
        <v>West</v>
      </c>
      <c r="I518" s="0" t="str">
        <f aca="false">Raw!E518</f>
        <v>Raw Yarn</v>
      </c>
      <c r="J518" s="28" t="n">
        <f aca="false">Raw!F518</f>
        <v>1.02</v>
      </c>
      <c r="K518" s="30" t="n">
        <f aca="false">DATE(LEFT(Raw!G518,4),MID(Raw!G518,6,2),MID(Raw!G518,9,2))</f>
        <v>45669</v>
      </c>
      <c r="L518" s="30" t="n">
        <f aca="false">DATE(LEFT(Raw!H518,4),MID(Raw!H518,6,2),MID(Raw!H518,9,2))</f>
        <v>45673</v>
      </c>
      <c r="M518" s="30" t="n">
        <f aca="false">DATE(LEFT(Raw!I518,4),MID(Raw!I518,6,2),MID(Raw!I518,9,2))</f>
        <v>45679</v>
      </c>
      <c r="N518" s="31" t="n">
        <f aca="false">DATE(LEFT(Raw!J518,4),MID(Raw!J518,6,2),MID(Raw!J518,9,2))+TIME(MID(Raw!J518,12,2),MID(Raw!J518,15,2),MID(Raw!J518,18,2))</f>
        <v>45673.25</v>
      </c>
      <c r="O518" s="31" t="n">
        <f aca="false">DATE(LEFT(Raw!K518,4),MID(Raw!K518,6,2),MID(Raw!K518,9,2))+TIME(MID(Raw!K518,12,2),MID(Raw!K518,15,2),MID(Raw!K518,18,2))</f>
        <v>45683.9</v>
      </c>
      <c r="P518" s="32" t="n">
        <f aca="false">L518-K518</f>
        <v>4</v>
      </c>
      <c r="Q518" s="32" t="n">
        <f aca="false">M518-L518</f>
        <v>6</v>
      </c>
      <c r="R518" s="32" t="n">
        <f aca="false">O518-N518</f>
        <v>10.65</v>
      </c>
      <c r="S518" s="32" t="n">
        <f aca="false">Raw!L518</f>
        <v>4.9</v>
      </c>
      <c r="T518" s="32" t="n">
        <f aca="false">O518-M518</f>
        <v>4.9</v>
      </c>
      <c r="U518" s="0" t="str">
        <f aca="false">IF(ABS(T518-S518)&lt;0.01,"OK","MISMATCH")</f>
        <v>OK</v>
      </c>
      <c r="V518" s="33" t="n">
        <f aca="false">Raw!M518</f>
        <v>1</v>
      </c>
      <c r="W518" s="0" t="str">
        <f aca="false">IF((S518&gt;0)=(V518=1),"OK","MISMATCH")</f>
        <v>OK</v>
      </c>
      <c r="X518" s="0" t="str">
        <f aca="false">_xlfn.IFS(S518&lt;=0,"Early/On time",S518&lt;=2,"Minor (up to 2 days)",S518&lt;=5,"Moderate (2-5 days)",TRUE(),"Severe (over 5 days)")</f>
        <v>Moderate (2-5 days)</v>
      </c>
      <c r="Y518" s="0" t="str">
        <f aca="false">YEAR(K518)&amp;"-"&amp;TEXT(MONTH(K518),"00")</f>
        <v>2025-01</v>
      </c>
      <c r="Z518" s="0" t="str">
        <f aca="false">C518&amp;" → "&amp;D518</f>
        <v>Uttar Pradesh → Surat</v>
      </c>
      <c r="AA518" s="0" t="str">
        <f aca="false">Raw!Q518</f>
        <v>VRL Cargo</v>
      </c>
      <c r="AB518" s="0" t="str">
        <f aca="false">Raw!R518</f>
        <v>No</v>
      </c>
      <c r="AC518" s="0" t="str">
        <f aca="false">Raw!S518</f>
        <v>Damaged</v>
      </c>
      <c r="AD518" s="29" t="n">
        <f aca="false">Raw!N518</f>
        <v>2001.65</v>
      </c>
      <c r="AE518" s="29" t="n">
        <f aca="false">Raw!O518</f>
        <v>4754.86</v>
      </c>
      <c r="AF518" s="29" t="n">
        <f aca="false">Raw!P518</f>
        <v>992.36</v>
      </c>
      <c r="AG518" s="29" t="n">
        <f aca="false">AD518/J518</f>
        <v>1962.40196078431</v>
      </c>
    </row>
    <row r="519" customFormat="false" ht="15" hidden="false" customHeight="false" outlineLevel="0" collapsed="false">
      <c r="A519" s="0" t="str">
        <f aca="false">Raw!A519</f>
        <v>SHP0518</v>
      </c>
      <c r="B519" s="0" t="str">
        <f aca="false">Raw!B519</f>
        <v>Inbound</v>
      </c>
      <c r="C519" s="0" t="str">
        <f aca="false">Raw!C519</f>
        <v>Gujarat</v>
      </c>
      <c r="D519" s="0" t="str">
        <f aca="false">Raw!D519</f>
        <v>Surat</v>
      </c>
      <c r="E519" s="0" t="str">
        <f aca="false">IFERROR(INDEX(Location_Map!$B$2:$B$15,MATCH(C519,Location_Map!$A$2:$A$15,0)),"UNMAPPED")</f>
        <v>Gujarat</v>
      </c>
      <c r="F519" s="0" t="str">
        <f aca="false">IFERROR(INDEX(Location_Map!$C$2:$C$15,MATCH(C519,Location_Map!$A$2:$A$15,0)),"UNMAPPED")</f>
        <v>West</v>
      </c>
      <c r="G519" s="0" t="str">
        <f aca="false">IFERROR(INDEX(Location_Map!$B$2:$B$15,MATCH(D519,Location_Map!$A$2:$A$15,0)),"UNMAPPED")</f>
        <v>Gujarat</v>
      </c>
      <c r="H519" s="0" t="str">
        <f aca="false">IFERROR(INDEX(Location_Map!$C$2:$C$15,MATCH(D519,Location_Map!$A$2:$A$15,0)),"UNMAPPED")</f>
        <v>West</v>
      </c>
      <c r="I519" s="0" t="str">
        <f aca="false">Raw!E519</f>
        <v>Semi-Processed Yarn</v>
      </c>
      <c r="J519" s="28" t="n">
        <f aca="false">Raw!F519</f>
        <v>14.32</v>
      </c>
      <c r="K519" s="30" t="n">
        <f aca="false">DATE(LEFT(Raw!G519,4),MID(Raw!G519,6,2),MID(Raw!G519,9,2))</f>
        <v>45914</v>
      </c>
      <c r="L519" s="30" t="n">
        <f aca="false">DATE(LEFT(Raw!H519,4),MID(Raw!H519,6,2),MID(Raw!H519,9,2))</f>
        <v>45916</v>
      </c>
      <c r="M519" s="30" t="n">
        <f aca="false">DATE(LEFT(Raw!I519,4),MID(Raw!I519,6,2),MID(Raw!I519,9,2))</f>
        <v>45920</v>
      </c>
      <c r="N519" s="31" t="n">
        <f aca="false">DATE(LEFT(Raw!J519,4),MID(Raw!J519,6,2),MID(Raw!J519,9,2))+TIME(MID(Raw!J519,12,2),MID(Raw!J519,15,2),MID(Raw!J519,18,2))</f>
        <v>45915.8333333333</v>
      </c>
      <c r="O519" s="31" t="n">
        <f aca="false">DATE(LEFT(Raw!K519,4),MID(Raw!K519,6,2),MID(Raw!K519,9,2))+TIME(MID(Raw!K519,12,2),MID(Raw!K519,15,2),MID(Raw!K519,18,2))</f>
        <v>45923.4</v>
      </c>
      <c r="P519" s="32" t="n">
        <f aca="false">L519-K519</f>
        <v>2</v>
      </c>
      <c r="Q519" s="32" t="n">
        <f aca="false">M519-L519</f>
        <v>4</v>
      </c>
      <c r="R519" s="32" t="n">
        <f aca="false">O519-N519</f>
        <v>7.56666666666667</v>
      </c>
      <c r="S519" s="32" t="n">
        <f aca="false">Raw!L519</f>
        <v>3.4</v>
      </c>
      <c r="T519" s="32" t="n">
        <f aca="false">O519-M519</f>
        <v>3.4</v>
      </c>
      <c r="U519" s="0" t="str">
        <f aca="false">IF(ABS(T519-S519)&lt;0.01,"OK","MISMATCH")</f>
        <v>OK</v>
      </c>
      <c r="V519" s="33" t="n">
        <f aca="false">Raw!M519</f>
        <v>1</v>
      </c>
      <c r="W519" s="0" t="str">
        <f aca="false">IF((S519&gt;0)=(V519=1),"OK","MISMATCH")</f>
        <v>OK</v>
      </c>
      <c r="X519" s="0" t="str">
        <f aca="false">_xlfn.IFS(S519&lt;=0,"Early/On time",S519&lt;=2,"Minor (up to 2 days)",S519&lt;=5,"Moderate (2-5 days)",TRUE(),"Severe (over 5 days)")</f>
        <v>Moderate (2-5 days)</v>
      </c>
      <c r="Y519" s="0" t="str">
        <f aca="false">YEAR(K519)&amp;"-"&amp;TEXT(MONTH(K519),"00")</f>
        <v>2025-09</v>
      </c>
      <c r="Z519" s="0" t="str">
        <f aca="false">C519&amp;" → "&amp;D519</f>
        <v>Gujarat → Surat</v>
      </c>
      <c r="AA519" s="0" t="str">
        <f aca="false">Raw!Q519</f>
        <v>TCI Express</v>
      </c>
      <c r="AB519" s="0" t="str">
        <f aca="false">Raw!R519</f>
        <v>Yes</v>
      </c>
      <c r="AC519" s="0" t="str">
        <f aca="false">Raw!S519</f>
        <v>Normal</v>
      </c>
      <c r="AD519" s="29" t="n">
        <f aca="false">Raw!N519</f>
        <v>9157.96</v>
      </c>
      <c r="AE519" s="29" t="n">
        <f aca="false">Raw!O519</f>
        <v>2989.02</v>
      </c>
      <c r="AF519" s="29" t="n">
        <f aca="false">Raw!P519</f>
        <v>678.42</v>
      </c>
      <c r="AG519" s="29" t="n">
        <f aca="false">AD519/J519</f>
        <v>639.522346368715</v>
      </c>
    </row>
    <row r="520" customFormat="false" ht="15" hidden="false" customHeight="false" outlineLevel="0" collapsed="false">
      <c r="A520" s="0" t="str">
        <f aca="false">Raw!A520</f>
        <v>SHP0519</v>
      </c>
      <c r="B520" s="0" t="str">
        <f aca="false">Raw!B520</f>
        <v>Inbound</v>
      </c>
      <c r="C520" s="0" t="str">
        <f aca="false">Raw!C520</f>
        <v>Rajasthan</v>
      </c>
      <c r="D520" s="0" t="str">
        <f aca="false">Raw!D520</f>
        <v>Surat</v>
      </c>
      <c r="E520" s="0" t="str">
        <f aca="false">IFERROR(INDEX(Location_Map!$B$2:$B$15,MATCH(C520,Location_Map!$A$2:$A$15,0)),"UNMAPPED")</f>
        <v>Rajasthan</v>
      </c>
      <c r="F520" s="0" t="str">
        <f aca="false">IFERROR(INDEX(Location_Map!$C$2:$C$15,MATCH(C520,Location_Map!$A$2:$A$15,0)),"UNMAPPED")</f>
        <v>North</v>
      </c>
      <c r="G520" s="0" t="str">
        <f aca="false">IFERROR(INDEX(Location_Map!$B$2:$B$15,MATCH(D520,Location_Map!$A$2:$A$15,0)),"UNMAPPED")</f>
        <v>Gujarat</v>
      </c>
      <c r="H520" s="0" t="str">
        <f aca="false">IFERROR(INDEX(Location_Map!$C$2:$C$15,MATCH(D520,Location_Map!$A$2:$A$15,0)),"UNMAPPED")</f>
        <v>West</v>
      </c>
      <c r="I520" s="0" t="str">
        <f aca="false">Raw!E520</f>
        <v>Raw Yarn</v>
      </c>
      <c r="J520" s="28" t="n">
        <f aca="false">Raw!F520</f>
        <v>3.05</v>
      </c>
      <c r="K520" s="30" t="n">
        <f aca="false">DATE(LEFT(Raw!G520,4),MID(Raw!G520,6,2),MID(Raw!G520,9,2))</f>
        <v>45910</v>
      </c>
      <c r="L520" s="30" t="n">
        <f aca="false">DATE(LEFT(Raw!H520,4),MID(Raw!H520,6,2),MID(Raw!H520,9,2))</f>
        <v>45913</v>
      </c>
      <c r="M520" s="30" t="n">
        <f aca="false">DATE(LEFT(Raw!I520,4),MID(Raw!I520,6,2),MID(Raw!I520,9,2))</f>
        <v>45919</v>
      </c>
      <c r="N520" s="31" t="n">
        <f aca="false">DATE(LEFT(Raw!J520,4),MID(Raw!J520,6,2),MID(Raw!J520,9,2))+TIME(MID(Raw!J520,12,2),MID(Raw!J520,15,2),MID(Raw!J520,18,2))</f>
        <v>45912.875</v>
      </c>
      <c r="O520" s="31" t="n">
        <f aca="false">DATE(LEFT(Raw!K520,4),MID(Raw!K520,6,2),MID(Raw!K520,9,2))+TIME(MID(Raw!K520,12,2),MID(Raw!K520,15,2),MID(Raw!K520,18,2))</f>
        <v>45919.2</v>
      </c>
      <c r="P520" s="32" t="n">
        <f aca="false">L520-K520</f>
        <v>3</v>
      </c>
      <c r="Q520" s="32" t="n">
        <f aca="false">M520-L520</f>
        <v>6</v>
      </c>
      <c r="R520" s="32" t="n">
        <f aca="false">O520-N520</f>
        <v>6.325</v>
      </c>
      <c r="S520" s="32" t="n">
        <f aca="false">Raw!L520</f>
        <v>0.2</v>
      </c>
      <c r="T520" s="32" t="n">
        <f aca="false">O520-M520</f>
        <v>0.2</v>
      </c>
      <c r="U520" s="0" t="str">
        <f aca="false">IF(ABS(T520-S520)&lt;0.01,"OK","MISMATCH")</f>
        <v>OK</v>
      </c>
      <c r="V520" s="33" t="n">
        <f aca="false">Raw!M520</f>
        <v>1</v>
      </c>
      <c r="W520" s="0" t="str">
        <f aca="false">IF((S520&gt;0)=(V520=1),"OK","MISMATCH")</f>
        <v>OK</v>
      </c>
      <c r="X520" s="0" t="str">
        <f aca="false">_xlfn.IFS(S520&lt;=0,"Early/On time",S520&lt;=2,"Minor (up to 2 days)",S520&lt;=5,"Moderate (2-5 days)",TRUE(),"Severe (over 5 days)")</f>
        <v>Minor (up to 2 days)</v>
      </c>
      <c r="Y520" s="0" t="str">
        <f aca="false">YEAR(K520)&amp;"-"&amp;TEXT(MONTH(K520),"00")</f>
        <v>2025-09</v>
      </c>
      <c r="Z520" s="0" t="str">
        <f aca="false">C520&amp;" → "&amp;D520</f>
        <v>Rajasthan → Surat</v>
      </c>
      <c r="AA520" s="0" t="str">
        <f aca="false">Raw!Q520</f>
        <v>TCI Express</v>
      </c>
      <c r="AB520" s="0" t="str">
        <f aca="false">Raw!R520</f>
        <v>Yes</v>
      </c>
      <c r="AC520" s="0" t="str">
        <f aca="false">Raw!S520</f>
        <v>Held at warehouse</v>
      </c>
      <c r="AD520" s="29" t="n">
        <f aca="false">Raw!N520</f>
        <v>2706.36</v>
      </c>
      <c r="AE520" s="29" t="n">
        <f aca="false">Raw!O520</f>
        <v>1352.54</v>
      </c>
      <c r="AF520" s="29" t="n">
        <f aca="false">Raw!P520</f>
        <v>1276.8</v>
      </c>
      <c r="AG520" s="29" t="n">
        <f aca="false">AD520/J520</f>
        <v>887.331147540984</v>
      </c>
    </row>
    <row r="521" customFormat="false" ht="15" hidden="false" customHeight="false" outlineLevel="0" collapsed="false">
      <c r="A521" s="0" t="str">
        <f aca="false">Raw!A521</f>
        <v>SHP0520</v>
      </c>
      <c r="B521" s="0" t="str">
        <f aca="false">Raw!B521</f>
        <v>Outbound</v>
      </c>
      <c r="C521" s="0" t="str">
        <f aca="false">Raw!C521</f>
        <v>Surat</v>
      </c>
      <c r="D521" s="0" t="str">
        <f aca="false">Raw!D521</f>
        <v>Assam</v>
      </c>
      <c r="E521" s="0" t="str">
        <f aca="false">IFERROR(INDEX(Location_Map!$B$2:$B$15,MATCH(C521,Location_Map!$A$2:$A$15,0)),"UNMAPPED")</f>
        <v>Gujarat</v>
      </c>
      <c r="F521" s="0" t="str">
        <f aca="false">IFERROR(INDEX(Location_Map!$C$2:$C$15,MATCH(C521,Location_Map!$A$2:$A$15,0)),"UNMAPPED")</f>
        <v>West</v>
      </c>
      <c r="G521" s="0" t="str">
        <f aca="false">IFERROR(INDEX(Location_Map!$B$2:$B$15,MATCH(D521,Location_Map!$A$2:$A$15,0)),"UNMAPPED")</f>
        <v>Assam</v>
      </c>
      <c r="H521" s="0" t="str">
        <f aca="false">IFERROR(INDEX(Location_Map!$C$2:$C$15,MATCH(D521,Location_Map!$A$2:$A$15,0)),"UNMAPPED")</f>
        <v>North-East</v>
      </c>
      <c r="I521" s="0" t="str">
        <f aca="false">Raw!E521</f>
        <v>Raw Yarn</v>
      </c>
      <c r="J521" s="28" t="n">
        <f aca="false">Raw!F521</f>
        <v>17.1</v>
      </c>
      <c r="K521" s="30" t="n">
        <f aca="false">DATE(LEFT(Raw!G521,4),MID(Raw!G521,6,2),MID(Raw!G521,9,2))</f>
        <v>45712</v>
      </c>
      <c r="L521" s="30" t="n">
        <f aca="false">DATE(LEFT(Raw!H521,4),MID(Raw!H521,6,2),MID(Raw!H521,9,2))</f>
        <v>45714</v>
      </c>
      <c r="M521" s="30" t="n">
        <f aca="false">DATE(LEFT(Raw!I521,4),MID(Raw!I521,6,2),MID(Raw!I521,9,2))</f>
        <v>45717</v>
      </c>
      <c r="N521" s="31" t="n">
        <f aca="false">DATE(LEFT(Raw!J521,4),MID(Raw!J521,6,2),MID(Raw!J521,9,2))+TIME(MID(Raw!J521,12,2),MID(Raw!J521,15,2),MID(Raw!J521,18,2))</f>
        <v>45713.9583333333</v>
      </c>
      <c r="O521" s="31" t="n">
        <f aca="false">DATE(LEFT(Raw!K521,4),MID(Raw!K521,6,2),MID(Raw!K521,9,2))+TIME(MID(Raw!K521,12,2),MID(Raw!K521,15,2),MID(Raw!K521,18,2))</f>
        <v>45716</v>
      </c>
      <c r="P521" s="32" t="n">
        <f aca="false">L521-K521</f>
        <v>2</v>
      </c>
      <c r="Q521" s="32" t="n">
        <f aca="false">M521-L521</f>
        <v>3</v>
      </c>
      <c r="R521" s="32" t="n">
        <f aca="false">O521-N521</f>
        <v>2.04166666666667</v>
      </c>
      <c r="S521" s="32" t="n">
        <f aca="false">Raw!L521</f>
        <v>-1</v>
      </c>
      <c r="T521" s="32" t="n">
        <f aca="false">O521-M521</f>
        <v>-1</v>
      </c>
      <c r="U521" s="0" t="str">
        <f aca="false">IF(ABS(T521-S521)&lt;0.01,"OK","MISMATCH")</f>
        <v>OK</v>
      </c>
      <c r="V521" s="33" t="n">
        <f aca="false">Raw!M521</f>
        <v>0</v>
      </c>
      <c r="W521" s="0" t="str">
        <f aca="false">IF((S521&gt;0)=(V521=1),"OK","MISMATCH")</f>
        <v>OK</v>
      </c>
      <c r="X521" s="0" t="str">
        <f aca="false">_xlfn.IFS(S521&lt;=0,"Early/On time",S521&lt;=2,"Minor (up to 2 days)",S521&lt;=5,"Moderate (2-5 days)",TRUE(),"Severe (over 5 days)")</f>
        <v>Early/On time</v>
      </c>
      <c r="Y521" s="0" t="str">
        <f aca="false">YEAR(K521)&amp;"-"&amp;TEXT(MONTH(K521),"00")</f>
        <v>2025-02</v>
      </c>
      <c r="Z521" s="0" t="str">
        <f aca="false">C521&amp;" → "&amp;D521</f>
        <v>Surat → Assam</v>
      </c>
      <c r="AA521" s="0" t="str">
        <f aca="false">Raw!Q521</f>
        <v>GATI Logistics</v>
      </c>
      <c r="AB521" s="0" t="str">
        <f aca="false">Raw!R521</f>
        <v>Yes</v>
      </c>
      <c r="AC521" s="0" t="str">
        <f aca="false">Raw!S521</f>
        <v>Normal</v>
      </c>
      <c r="AD521" s="29" t="n">
        <f aca="false">Raw!N521</f>
        <v>9450.67</v>
      </c>
      <c r="AE521" s="29" t="n">
        <f aca="false">Raw!O521</f>
        <v>3541.29</v>
      </c>
      <c r="AF521" s="29" t="n">
        <f aca="false">Raw!P521</f>
        <v>696.49</v>
      </c>
      <c r="AG521" s="29" t="n">
        <f aca="false">AD521/J521</f>
        <v>552.670760233918</v>
      </c>
    </row>
    <row r="522" customFormat="false" ht="15" hidden="false" customHeight="false" outlineLevel="0" collapsed="false">
      <c r="A522" s="0" t="str">
        <f aca="false">Raw!A522</f>
        <v>SHP0521</v>
      </c>
      <c r="B522" s="0" t="str">
        <f aca="false">Raw!B522</f>
        <v>Inbound</v>
      </c>
      <c r="C522" s="0" t="str">
        <f aca="false">Raw!C522</f>
        <v>Punjab</v>
      </c>
      <c r="D522" s="0" t="str">
        <f aca="false">Raw!D522</f>
        <v>Surat</v>
      </c>
      <c r="E522" s="0" t="str">
        <f aca="false">IFERROR(INDEX(Location_Map!$B$2:$B$15,MATCH(C522,Location_Map!$A$2:$A$15,0)),"UNMAPPED")</f>
        <v>Punjab</v>
      </c>
      <c r="F522" s="0" t="str">
        <f aca="false">IFERROR(INDEX(Location_Map!$C$2:$C$15,MATCH(C522,Location_Map!$A$2:$A$15,0)),"UNMAPPED")</f>
        <v>North</v>
      </c>
      <c r="G522" s="0" t="str">
        <f aca="false">IFERROR(INDEX(Location_Map!$B$2:$B$15,MATCH(D522,Location_Map!$A$2:$A$15,0)),"UNMAPPED")</f>
        <v>Gujarat</v>
      </c>
      <c r="H522" s="0" t="str">
        <f aca="false">IFERROR(INDEX(Location_Map!$C$2:$C$15,MATCH(D522,Location_Map!$A$2:$A$15,0)),"UNMAPPED")</f>
        <v>West</v>
      </c>
      <c r="I522" s="0" t="str">
        <f aca="false">Raw!E522</f>
        <v>Finished Yarn</v>
      </c>
      <c r="J522" s="28" t="n">
        <f aca="false">Raw!F522</f>
        <v>5.02</v>
      </c>
      <c r="K522" s="30" t="n">
        <f aca="false">DATE(LEFT(Raw!G522,4),MID(Raw!G522,6,2),MID(Raw!G522,9,2))</f>
        <v>45670</v>
      </c>
      <c r="L522" s="30" t="n">
        <f aca="false">DATE(LEFT(Raw!H522,4),MID(Raw!H522,6,2),MID(Raw!H522,9,2))</f>
        <v>45672</v>
      </c>
      <c r="M522" s="30" t="n">
        <f aca="false">DATE(LEFT(Raw!I522,4),MID(Raw!I522,6,2),MID(Raw!I522,9,2))</f>
        <v>45676</v>
      </c>
      <c r="N522" s="31" t="n">
        <f aca="false">DATE(LEFT(Raw!J522,4),MID(Raw!J522,6,2),MID(Raw!J522,9,2))+TIME(MID(Raw!J522,12,2),MID(Raw!J522,15,2),MID(Raw!J522,18,2))</f>
        <v>45672.2916666667</v>
      </c>
      <c r="O522" s="31" t="n">
        <f aca="false">DATE(LEFT(Raw!K522,4),MID(Raw!K522,6,2),MID(Raw!K522,9,2))+TIME(MID(Raw!K522,12,2),MID(Raw!K522,15,2),MID(Raw!K522,18,2))</f>
        <v>45679.2</v>
      </c>
      <c r="P522" s="32" t="n">
        <f aca="false">L522-K522</f>
        <v>2</v>
      </c>
      <c r="Q522" s="32" t="n">
        <f aca="false">M522-L522</f>
        <v>4</v>
      </c>
      <c r="R522" s="32" t="n">
        <f aca="false">O522-N522</f>
        <v>6.90833333333333</v>
      </c>
      <c r="S522" s="32" t="n">
        <f aca="false">Raw!L522</f>
        <v>3.2</v>
      </c>
      <c r="T522" s="32" t="n">
        <f aca="false">O522-M522</f>
        <v>3.2</v>
      </c>
      <c r="U522" s="0" t="str">
        <f aca="false">IF(ABS(T522-S522)&lt;0.01,"OK","MISMATCH")</f>
        <v>OK</v>
      </c>
      <c r="V522" s="33" t="n">
        <f aca="false">Raw!M522</f>
        <v>1</v>
      </c>
      <c r="W522" s="0" t="str">
        <f aca="false">IF((S522&gt;0)=(V522=1),"OK","MISMATCH")</f>
        <v>OK</v>
      </c>
      <c r="X522" s="0" t="str">
        <f aca="false">_xlfn.IFS(S522&lt;=0,"Early/On time",S522&lt;=2,"Minor (up to 2 days)",S522&lt;=5,"Moderate (2-5 days)",TRUE(),"Severe (over 5 days)")</f>
        <v>Moderate (2-5 days)</v>
      </c>
      <c r="Y522" s="0" t="str">
        <f aca="false">YEAR(K522)&amp;"-"&amp;TEXT(MONTH(K522),"00")</f>
        <v>2025-01</v>
      </c>
      <c r="Z522" s="0" t="str">
        <f aca="false">C522&amp;" → "&amp;D522</f>
        <v>Punjab → Surat</v>
      </c>
      <c r="AA522" s="0" t="str">
        <f aca="false">Raw!Q522</f>
        <v>Delhivery</v>
      </c>
      <c r="AB522" s="0" t="str">
        <f aca="false">Raw!R522</f>
        <v>No</v>
      </c>
      <c r="AC522" s="0" t="str">
        <f aca="false">Raw!S522</f>
        <v>Expedited</v>
      </c>
      <c r="AD522" s="29" t="n">
        <f aca="false">Raw!N522</f>
        <v>3902.28</v>
      </c>
      <c r="AE522" s="29" t="n">
        <f aca="false">Raw!O522</f>
        <v>3876.98</v>
      </c>
      <c r="AF522" s="29" t="n">
        <f aca="false">Raw!P522</f>
        <v>1430.17</v>
      </c>
      <c r="AG522" s="29" t="n">
        <f aca="false">AD522/J522</f>
        <v>777.346613545817</v>
      </c>
    </row>
    <row r="523" customFormat="false" ht="15" hidden="false" customHeight="false" outlineLevel="0" collapsed="false">
      <c r="A523" s="0" t="str">
        <f aca="false">Raw!A523</f>
        <v>SHP0522</v>
      </c>
      <c r="B523" s="0" t="str">
        <f aca="false">Raw!B523</f>
        <v>Inbound</v>
      </c>
      <c r="C523" s="0" t="str">
        <f aca="false">Raw!C523</f>
        <v>Punjab</v>
      </c>
      <c r="D523" s="0" t="str">
        <f aca="false">Raw!D523</f>
        <v>Surat</v>
      </c>
      <c r="E523" s="0" t="str">
        <f aca="false">IFERROR(INDEX(Location_Map!$B$2:$B$15,MATCH(C523,Location_Map!$A$2:$A$15,0)),"UNMAPPED")</f>
        <v>Punjab</v>
      </c>
      <c r="F523" s="0" t="str">
        <f aca="false">IFERROR(INDEX(Location_Map!$C$2:$C$15,MATCH(C523,Location_Map!$A$2:$A$15,0)),"UNMAPPED")</f>
        <v>North</v>
      </c>
      <c r="G523" s="0" t="str">
        <f aca="false">IFERROR(INDEX(Location_Map!$B$2:$B$15,MATCH(D523,Location_Map!$A$2:$A$15,0)),"UNMAPPED")</f>
        <v>Gujarat</v>
      </c>
      <c r="H523" s="0" t="str">
        <f aca="false">IFERROR(INDEX(Location_Map!$C$2:$C$15,MATCH(D523,Location_Map!$A$2:$A$15,0)),"UNMAPPED")</f>
        <v>West</v>
      </c>
      <c r="I523" s="0" t="str">
        <f aca="false">Raw!E523</f>
        <v>Finished Yarn</v>
      </c>
      <c r="J523" s="28" t="n">
        <f aca="false">Raw!F523</f>
        <v>11.02</v>
      </c>
      <c r="K523" s="30" t="n">
        <f aca="false">DATE(LEFT(Raw!G523,4),MID(Raw!G523,6,2),MID(Raw!G523,9,2))</f>
        <v>45735</v>
      </c>
      <c r="L523" s="30" t="n">
        <f aca="false">DATE(LEFT(Raw!H523,4),MID(Raw!H523,6,2),MID(Raw!H523,9,2))</f>
        <v>45736</v>
      </c>
      <c r="M523" s="30" t="n">
        <f aca="false">DATE(LEFT(Raw!I523,4),MID(Raw!I523,6,2),MID(Raw!I523,9,2))</f>
        <v>45739</v>
      </c>
      <c r="N523" s="31" t="n">
        <f aca="false">DATE(LEFT(Raw!J523,4),MID(Raw!J523,6,2),MID(Raw!J523,9,2))+TIME(MID(Raw!J523,12,2),MID(Raw!J523,15,2),MID(Raw!J523,18,2))</f>
        <v>45735.7916666667</v>
      </c>
      <c r="O523" s="31" t="n">
        <f aca="false">DATE(LEFT(Raw!K523,4),MID(Raw!K523,6,2),MID(Raw!K523,9,2))+TIME(MID(Raw!K523,12,2),MID(Raw!K523,15,2),MID(Raw!K523,18,2))</f>
        <v>45741.6</v>
      </c>
      <c r="P523" s="32" t="n">
        <f aca="false">L523-K523</f>
        <v>1</v>
      </c>
      <c r="Q523" s="32" t="n">
        <f aca="false">M523-L523</f>
        <v>3</v>
      </c>
      <c r="R523" s="32" t="n">
        <f aca="false">O523-N523</f>
        <v>5.80833333333333</v>
      </c>
      <c r="S523" s="32" t="n">
        <f aca="false">Raw!L523</f>
        <v>2.6</v>
      </c>
      <c r="T523" s="32" t="n">
        <f aca="false">O523-M523</f>
        <v>2.6</v>
      </c>
      <c r="U523" s="0" t="str">
        <f aca="false">IF(ABS(T523-S523)&lt;0.01,"OK","MISMATCH")</f>
        <v>OK</v>
      </c>
      <c r="V523" s="33" t="n">
        <f aca="false">Raw!M523</f>
        <v>1</v>
      </c>
      <c r="W523" s="0" t="str">
        <f aca="false">IF((S523&gt;0)=(V523=1),"OK","MISMATCH")</f>
        <v>OK</v>
      </c>
      <c r="X523" s="0" t="str">
        <f aca="false">_xlfn.IFS(S523&lt;=0,"Early/On time",S523&lt;=2,"Minor (up to 2 days)",S523&lt;=5,"Moderate (2-5 days)",TRUE(),"Severe (over 5 days)")</f>
        <v>Moderate (2-5 days)</v>
      </c>
      <c r="Y523" s="0" t="str">
        <f aca="false">YEAR(K523)&amp;"-"&amp;TEXT(MONTH(K523),"00")</f>
        <v>2025-03</v>
      </c>
      <c r="Z523" s="0" t="str">
        <f aca="false">C523&amp;" → "&amp;D523</f>
        <v>Punjab → Surat</v>
      </c>
      <c r="AA523" s="0" t="str">
        <f aca="false">Raw!Q523</f>
        <v>GATI Logistics</v>
      </c>
      <c r="AB523" s="0" t="str">
        <f aca="false">Raw!R523</f>
        <v>Yes</v>
      </c>
      <c r="AC523" s="0" t="str">
        <f aca="false">Raw!S523</f>
        <v>Held at warehouse</v>
      </c>
      <c r="AD523" s="29" t="n">
        <f aca="false">Raw!N523</f>
        <v>3648.08</v>
      </c>
      <c r="AE523" s="29" t="n">
        <f aca="false">Raw!O523</f>
        <v>3129.88</v>
      </c>
      <c r="AF523" s="29" t="n">
        <f aca="false">Raw!P523</f>
        <v>1064.42</v>
      </c>
      <c r="AG523" s="29" t="n">
        <f aca="false">AD523/J523</f>
        <v>331.041742286751</v>
      </c>
    </row>
    <row r="524" customFormat="false" ht="15" hidden="false" customHeight="false" outlineLevel="0" collapsed="false">
      <c r="A524" s="0" t="str">
        <f aca="false">Raw!A524</f>
        <v>SHP0523</v>
      </c>
      <c r="B524" s="0" t="str">
        <f aca="false">Raw!B524</f>
        <v>Outbound</v>
      </c>
      <c r="C524" s="0" t="str">
        <f aca="false">Raw!C524</f>
        <v>Surat</v>
      </c>
      <c r="D524" s="0" t="str">
        <f aca="false">Raw!D524</f>
        <v>Kerala</v>
      </c>
      <c r="E524" s="0" t="str">
        <f aca="false">IFERROR(INDEX(Location_Map!$B$2:$B$15,MATCH(C524,Location_Map!$A$2:$A$15,0)),"UNMAPPED")</f>
        <v>Gujarat</v>
      </c>
      <c r="F524" s="0" t="str">
        <f aca="false">IFERROR(INDEX(Location_Map!$C$2:$C$15,MATCH(C524,Location_Map!$A$2:$A$15,0)),"UNMAPPED")</f>
        <v>West</v>
      </c>
      <c r="G524" s="0" t="str">
        <f aca="false">IFERROR(INDEX(Location_Map!$B$2:$B$15,MATCH(D524,Location_Map!$A$2:$A$15,0)),"UNMAPPED")</f>
        <v>Kerala</v>
      </c>
      <c r="H524" s="0" t="str">
        <f aca="false">IFERROR(INDEX(Location_Map!$C$2:$C$15,MATCH(D524,Location_Map!$A$2:$A$15,0)),"UNMAPPED")</f>
        <v>South</v>
      </c>
      <c r="I524" s="0" t="str">
        <f aca="false">Raw!E524</f>
        <v>Finished Yarn</v>
      </c>
      <c r="J524" s="28" t="n">
        <f aca="false">Raw!F524</f>
        <v>12.41</v>
      </c>
      <c r="K524" s="30" t="n">
        <f aca="false">DATE(LEFT(Raw!G524,4),MID(Raw!G524,6,2),MID(Raw!G524,9,2))</f>
        <v>45707</v>
      </c>
      <c r="L524" s="30" t="n">
        <f aca="false">DATE(LEFT(Raw!H524,4),MID(Raw!H524,6,2),MID(Raw!H524,9,2))</f>
        <v>45709</v>
      </c>
      <c r="M524" s="30" t="n">
        <f aca="false">DATE(LEFT(Raw!I524,4),MID(Raw!I524,6,2),MID(Raw!I524,9,2))</f>
        <v>45711</v>
      </c>
      <c r="N524" s="31" t="n">
        <f aca="false">DATE(LEFT(Raw!J524,4),MID(Raw!J524,6,2),MID(Raw!J524,9,2))+TIME(MID(Raw!J524,12,2),MID(Raw!J524,15,2),MID(Raw!J524,18,2))</f>
        <v>45708.8333333333</v>
      </c>
      <c r="O524" s="31" t="n">
        <f aca="false">DATE(LEFT(Raw!K524,4),MID(Raw!K524,6,2),MID(Raw!K524,9,2))+TIME(MID(Raw!K524,12,2),MID(Raw!K524,15,2),MID(Raw!K524,18,2))</f>
        <v>45713.2</v>
      </c>
      <c r="P524" s="32" t="n">
        <f aca="false">L524-K524</f>
        <v>2</v>
      </c>
      <c r="Q524" s="32" t="n">
        <f aca="false">M524-L524</f>
        <v>2</v>
      </c>
      <c r="R524" s="32" t="n">
        <f aca="false">O524-N524</f>
        <v>4.36666666666667</v>
      </c>
      <c r="S524" s="32" t="n">
        <f aca="false">Raw!L524</f>
        <v>2.2</v>
      </c>
      <c r="T524" s="32" t="n">
        <f aca="false">O524-M524</f>
        <v>2.2</v>
      </c>
      <c r="U524" s="0" t="str">
        <f aca="false">IF(ABS(T524-S524)&lt;0.01,"OK","MISMATCH")</f>
        <v>OK</v>
      </c>
      <c r="V524" s="33" t="n">
        <f aca="false">Raw!M524</f>
        <v>1</v>
      </c>
      <c r="W524" s="0" t="str">
        <f aca="false">IF((S524&gt;0)=(V524=1),"OK","MISMATCH")</f>
        <v>OK</v>
      </c>
      <c r="X524" s="0" t="str">
        <f aca="false">_xlfn.IFS(S524&lt;=0,"Early/On time",S524&lt;=2,"Minor (up to 2 days)",S524&lt;=5,"Moderate (2-5 days)",TRUE(),"Severe (over 5 days)")</f>
        <v>Moderate (2-5 days)</v>
      </c>
      <c r="Y524" s="0" t="str">
        <f aca="false">YEAR(K524)&amp;"-"&amp;TEXT(MONTH(K524),"00")</f>
        <v>2025-02</v>
      </c>
      <c r="Z524" s="0" t="str">
        <f aca="false">C524&amp;" → "&amp;D524</f>
        <v>Surat → Kerala</v>
      </c>
      <c r="AA524" s="0" t="str">
        <f aca="false">Raw!Q524</f>
        <v>GATI Logistics</v>
      </c>
      <c r="AB524" s="0" t="str">
        <f aca="false">Raw!R524</f>
        <v>No</v>
      </c>
      <c r="AC524" s="0" t="str">
        <f aca="false">Raw!S524</f>
        <v>Returned</v>
      </c>
      <c r="AD524" s="29" t="n">
        <f aca="false">Raw!N524</f>
        <v>4290.67</v>
      </c>
      <c r="AE524" s="29" t="n">
        <f aca="false">Raw!O524</f>
        <v>2948.85</v>
      </c>
      <c r="AF524" s="29" t="n">
        <f aca="false">Raw!P524</f>
        <v>524.76</v>
      </c>
      <c r="AG524" s="29" t="n">
        <f aca="false">AD524/J524</f>
        <v>345.742949234488</v>
      </c>
    </row>
    <row r="525" customFormat="false" ht="15" hidden="false" customHeight="false" outlineLevel="0" collapsed="false">
      <c r="A525" s="0" t="str">
        <f aca="false">Raw!A525</f>
        <v>SHP0524</v>
      </c>
      <c r="B525" s="0" t="str">
        <f aca="false">Raw!B525</f>
        <v>Outbound</v>
      </c>
      <c r="C525" s="0" t="str">
        <f aca="false">Raw!C525</f>
        <v>Surat</v>
      </c>
      <c r="D525" s="0" t="str">
        <f aca="false">Raw!D525</f>
        <v>Jaipur</v>
      </c>
      <c r="E525" s="0" t="str">
        <f aca="false">IFERROR(INDEX(Location_Map!$B$2:$B$15,MATCH(C525,Location_Map!$A$2:$A$15,0)),"UNMAPPED")</f>
        <v>Gujarat</v>
      </c>
      <c r="F525" s="0" t="str">
        <f aca="false">IFERROR(INDEX(Location_Map!$C$2:$C$15,MATCH(C525,Location_Map!$A$2:$A$15,0)),"UNMAPPED")</f>
        <v>West</v>
      </c>
      <c r="G525" s="0" t="str">
        <f aca="false">IFERROR(INDEX(Location_Map!$B$2:$B$15,MATCH(D525,Location_Map!$A$2:$A$15,0)),"UNMAPPED")</f>
        <v>Rajasthan</v>
      </c>
      <c r="H525" s="0" t="str">
        <f aca="false">IFERROR(INDEX(Location_Map!$C$2:$C$15,MATCH(D525,Location_Map!$A$2:$A$15,0)),"UNMAPPED")</f>
        <v>North</v>
      </c>
      <c r="I525" s="0" t="str">
        <f aca="false">Raw!E525</f>
        <v>Semi-Processed Yarn</v>
      </c>
      <c r="J525" s="28" t="n">
        <f aca="false">Raw!F525</f>
        <v>5.73</v>
      </c>
      <c r="K525" s="30" t="n">
        <f aca="false">DATE(LEFT(Raw!G525,4),MID(Raw!G525,6,2),MID(Raw!G525,9,2))</f>
        <v>45780</v>
      </c>
      <c r="L525" s="30" t="n">
        <f aca="false">DATE(LEFT(Raw!H525,4),MID(Raw!H525,6,2),MID(Raw!H525,9,2))</f>
        <v>45782</v>
      </c>
      <c r="M525" s="30" t="n">
        <f aca="false">DATE(LEFT(Raw!I525,4),MID(Raw!I525,6,2),MID(Raw!I525,9,2))</f>
        <v>45787</v>
      </c>
      <c r="N525" s="31" t="n">
        <f aca="false">DATE(LEFT(Raw!J525,4),MID(Raw!J525,6,2),MID(Raw!J525,9,2))+TIME(MID(Raw!J525,12,2),MID(Raw!J525,15,2),MID(Raw!J525,18,2))</f>
        <v>45781.9583333333</v>
      </c>
      <c r="O525" s="31" t="n">
        <f aca="false">DATE(LEFT(Raw!K525,4),MID(Raw!K525,6,2),MID(Raw!K525,9,2))+TIME(MID(Raw!K525,12,2),MID(Raw!K525,15,2),MID(Raw!K525,18,2))</f>
        <v>45789.4</v>
      </c>
      <c r="P525" s="32" t="n">
        <f aca="false">L525-K525</f>
        <v>2</v>
      </c>
      <c r="Q525" s="32" t="n">
        <f aca="false">M525-L525</f>
        <v>5</v>
      </c>
      <c r="R525" s="32" t="n">
        <f aca="false">O525-N525</f>
        <v>7.44166666666667</v>
      </c>
      <c r="S525" s="32" t="n">
        <f aca="false">Raw!L525</f>
        <v>2.4</v>
      </c>
      <c r="T525" s="32" t="n">
        <f aca="false">O525-M525</f>
        <v>2.4</v>
      </c>
      <c r="U525" s="0" t="str">
        <f aca="false">IF(ABS(T525-S525)&lt;0.01,"OK","MISMATCH")</f>
        <v>OK</v>
      </c>
      <c r="V525" s="33" t="n">
        <f aca="false">Raw!M525</f>
        <v>1</v>
      </c>
      <c r="W525" s="0" t="str">
        <f aca="false">IF((S525&gt;0)=(V525=1),"OK","MISMATCH")</f>
        <v>OK</v>
      </c>
      <c r="X525" s="0" t="str">
        <f aca="false">_xlfn.IFS(S525&lt;=0,"Early/On time",S525&lt;=2,"Minor (up to 2 days)",S525&lt;=5,"Moderate (2-5 days)",TRUE(),"Severe (over 5 days)")</f>
        <v>Moderate (2-5 days)</v>
      </c>
      <c r="Y525" s="0" t="str">
        <f aca="false">YEAR(K525)&amp;"-"&amp;TEXT(MONTH(K525),"00")</f>
        <v>2025-05</v>
      </c>
      <c r="Z525" s="0" t="str">
        <f aca="false">C525&amp;" → "&amp;D525</f>
        <v>Surat → Jaipur</v>
      </c>
      <c r="AA525" s="0" t="str">
        <f aca="false">Raw!Q525</f>
        <v>Delhivery</v>
      </c>
      <c r="AB525" s="0" t="str">
        <f aca="false">Raw!R525</f>
        <v>No</v>
      </c>
      <c r="AC525" s="0" t="str">
        <f aca="false">Raw!S525</f>
        <v>Normal</v>
      </c>
      <c r="AD525" s="29" t="n">
        <f aca="false">Raw!N525</f>
        <v>4651.8</v>
      </c>
      <c r="AE525" s="29" t="n">
        <f aca="false">Raw!O525</f>
        <v>2029.92</v>
      </c>
      <c r="AF525" s="29" t="n">
        <f aca="false">Raw!P525</f>
        <v>1274.42</v>
      </c>
      <c r="AG525" s="29" t="n">
        <f aca="false">AD525/J525</f>
        <v>811.832460732984</v>
      </c>
    </row>
    <row r="526" customFormat="false" ht="15" hidden="false" customHeight="false" outlineLevel="0" collapsed="false">
      <c r="A526" s="0" t="str">
        <f aca="false">Raw!A526</f>
        <v>SHP0525</v>
      </c>
      <c r="B526" s="0" t="str">
        <f aca="false">Raw!B526</f>
        <v>Inbound</v>
      </c>
      <c r="C526" s="0" t="str">
        <f aca="false">Raw!C526</f>
        <v>Uttar Pradesh</v>
      </c>
      <c r="D526" s="0" t="str">
        <f aca="false">Raw!D526</f>
        <v>Surat</v>
      </c>
      <c r="E526" s="0" t="str">
        <f aca="false">IFERROR(INDEX(Location_Map!$B$2:$B$15,MATCH(C526,Location_Map!$A$2:$A$15,0)),"UNMAPPED")</f>
        <v>Uttar Pradesh</v>
      </c>
      <c r="F526" s="0" t="str">
        <f aca="false">IFERROR(INDEX(Location_Map!$C$2:$C$15,MATCH(C526,Location_Map!$A$2:$A$15,0)),"UNMAPPED")</f>
        <v>North</v>
      </c>
      <c r="G526" s="0" t="str">
        <f aca="false">IFERROR(INDEX(Location_Map!$B$2:$B$15,MATCH(D526,Location_Map!$A$2:$A$15,0)),"UNMAPPED")</f>
        <v>Gujarat</v>
      </c>
      <c r="H526" s="0" t="str">
        <f aca="false">IFERROR(INDEX(Location_Map!$C$2:$C$15,MATCH(D526,Location_Map!$A$2:$A$15,0)),"UNMAPPED")</f>
        <v>West</v>
      </c>
      <c r="I526" s="0" t="str">
        <f aca="false">Raw!E526</f>
        <v>Raw Yarn</v>
      </c>
      <c r="J526" s="28" t="n">
        <f aca="false">Raw!F526</f>
        <v>8.33</v>
      </c>
      <c r="K526" s="30" t="n">
        <f aca="false">DATE(LEFT(Raw!G526,4),MID(Raw!G526,6,2),MID(Raw!G526,9,2))</f>
        <v>45810</v>
      </c>
      <c r="L526" s="30" t="n">
        <f aca="false">DATE(LEFT(Raw!H526,4),MID(Raw!H526,6,2),MID(Raw!H526,9,2))</f>
        <v>45814</v>
      </c>
      <c r="M526" s="30" t="n">
        <f aca="false">DATE(LEFT(Raw!I526,4),MID(Raw!I526,6,2),MID(Raw!I526,9,2))</f>
        <v>45817</v>
      </c>
      <c r="N526" s="31" t="n">
        <f aca="false">DATE(LEFT(Raw!J526,4),MID(Raw!J526,6,2),MID(Raw!J526,9,2))+TIME(MID(Raw!J526,12,2),MID(Raw!J526,15,2),MID(Raw!J526,18,2))</f>
        <v>45813.8333333333</v>
      </c>
      <c r="O526" s="31" t="n">
        <f aca="false">DATE(LEFT(Raw!K526,4),MID(Raw!K526,6,2),MID(Raw!K526,9,2))+TIME(MID(Raw!K526,12,2),MID(Raw!K526,15,2),MID(Raw!K526,18,2))</f>
        <v>45820.3</v>
      </c>
      <c r="P526" s="32" t="n">
        <f aca="false">L526-K526</f>
        <v>4</v>
      </c>
      <c r="Q526" s="32" t="n">
        <f aca="false">M526-L526</f>
        <v>3</v>
      </c>
      <c r="R526" s="32" t="n">
        <f aca="false">O526-N526</f>
        <v>6.46666666666667</v>
      </c>
      <c r="S526" s="32" t="n">
        <f aca="false">Raw!L526</f>
        <v>3.3</v>
      </c>
      <c r="T526" s="32" t="n">
        <f aca="false">O526-M526</f>
        <v>3.3</v>
      </c>
      <c r="U526" s="0" t="str">
        <f aca="false">IF(ABS(T526-S526)&lt;0.01,"OK","MISMATCH")</f>
        <v>OK</v>
      </c>
      <c r="V526" s="33" t="n">
        <f aca="false">Raw!M526</f>
        <v>1</v>
      </c>
      <c r="W526" s="0" t="str">
        <f aca="false">IF((S526&gt;0)=(V526=1),"OK","MISMATCH")</f>
        <v>OK</v>
      </c>
      <c r="X526" s="0" t="str">
        <f aca="false">_xlfn.IFS(S526&lt;=0,"Early/On time",S526&lt;=2,"Minor (up to 2 days)",S526&lt;=5,"Moderate (2-5 days)",TRUE(),"Severe (over 5 days)")</f>
        <v>Moderate (2-5 days)</v>
      </c>
      <c r="Y526" s="0" t="str">
        <f aca="false">YEAR(K526)&amp;"-"&amp;TEXT(MONTH(K526),"00")</f>
        <v>2025-06</v>
      </c>
      <c r="Z526" s="0" t="str">
        <f aca="false">C526&amp;" → "&amp;D526</f>
        <v>Uttar Pradesh → Surat</v>
      </c>
      <c r="AA526" s="0" t="str">
        <f aca="false">Raw!Q526</f>
        <v>BlueDart</v>
      </c>
      <c r="AB526" s="0" t="str">
        <f aca="false">Raw!R526</f>
        <v>Yes</v>
      </c>
      <c r="AC526" s="0" t="str">
        <f aca="false">Raw!S526</f>
        <v>Held at warehouse</v>
      </c>
      <c r="AD526" s="29" t="n">
        <f aca="false">Raw!N526</f>
        <v>4048.41</v>
      </c>
      <c r="AE526" s="29" t="n">
        <f aca="false">Raw!O526</f>
        <v>2551.34</v>
      </c>
      <c r="AF526" s="29" t="n">
        <f aca="false">Raw!P526</f>
        <v>787.88</v>
      </c>
      <c r="AG526" s="29" t="n">
        <f aca="false">AD526/J526</f>
        <v>486.003601440576</v>
      </c>
    </row>
    <row r="527" customFormat="false" ht="15" hidden="false" customHeight="false" outlineLevel="0" collapsed="false">
      <c r="A527" s="0" t="str">
        <f aca="false">Raw!A527</f>
        <v>SHP0526</v>
      </c>
      <c r="B527" s="0" t="str">
        <f aca="false">Raw!B527</f>
        <v>Outbound</v>
      </c>
      <c r="C527" s="0" t="str">
        <f aca="false">Raw!C527</f>
        <v>Surat</v>
      </c>
      <c r="D527" s="0" t="str">
        <f aca="false">Raw!D527</f>
        <v>Madhya Pradesh</v>
      </c>
      <c r="E527" s="0" t="str">
        <f aca="false">IFERROR(INDEX(Location_Map!$B$2:$B$15,MATCH(C527,Location_Map!$A$2:$A$15,0)),"UNMAPPED")</f>
        <v>Gujarat</v>
      </c>
      <c r="F527" s="0" t="str">
        <f aca="false">IFERROR(INDEX(Location_Map!$C$2:$C$15,MATCH(C527,Location_Map!$A$2:$A$15,0)),"UNMAPPED")</f>
        <v>West</v>
      </c>
      <c r="G527" s="0" t="str">
        <f aca="false">IFERROR(INDEX(Location_Map!$B$2:$B$15,MATCH(D527,Location_Map!$A$2:$A$15,0)),"UNMAPPED")</f>
        <v>Madhya Pradesh</v>
      </c>
      <c r="H527" s="0" t="str">
        <f aca="false">IFERROR(INDEX(Location_Map!$C$2:$C$15,MATCH(D527,Location_Map!$A$2:$A$15,0)),"UNMAPPED")</f>
        <v>Central</v>
      </c>
      <c r="I527" s="0" t="str">
        <f aca="false">Raw!E527</f>
        <v>Raw Yarn</v>
      </c>
      <c r="J527" s="28" t="n">
        <f aca="false">Raw!F527</f>
        <v>14.77</v>
      </c>
      <c r="K527" s="30" t="n">
        <f aca="false">DATE(LEFT(Raw!G527,4),MID(Raw!G527,6,2),MID(Raw!G527,9,2))</f>
        <v>45908</v>
      </c>
      <c r="L527" s="30" t="n">
        <f aca="false">DATE(LEFT(Raw!H527,4),MID(Raw!H527,6,2),MID(Raw!H527,9,2))</f>
        <v>45912</v>
      </c>
      <c r="M527" s="30" t="n">
        <f aca="false">DATE(LEFT(Raw!I527,4),MID(Raw!I527,6,2),MID(Raw!I527,9,2))</f>
        <v>45917</v>
      </c>
      <c r="N527" s="31" t="n">
        <f aca="false">DATE(LEFT(Raw!J527,4),MID(Raw!J527,6,2),MID(Raw!J527,9,2))+TIME(MID(Raw!J527,12,2),MID(Raw!J527,15,2),MID(Raw!J527,18,2))</f>
        <v>45912.1666666667</v>
      </c>
      <c r="O527" s="31" t="n">
        <f aca="false">DATE(LEFT(Raw!K527,4),MID(Raw!K527,6,2),MID(Raw!K527,9,2))+TIME(MID(Raw!K527,12,2),MID(Raw!K527,15,2),MID(Raw!K527,18,2))</f>
        <v>45916</v>
      </c>
      <c r="P527" s="32" t="n">
        <f aca="false">L527-K527</f>
        <v>4</v>
      </c>
      <c r="Q527" s="32" t="n">
        <f aca="false">M527-L527</f>
        <v>5</v>
      </c>
      <c r="R527" s="32" t="n">
        <f aca="false">O527-N527</f>
        <v>3.83333333333333</v>
      </c>
      <c r="S527" s="32" t="n">
        <f aca="false">Raw!L527</f>
        <v>-1</v>
      </c>
      <c r="T527" s="32" t="n">
        <f aca="false">O527-M527</f>
        <v>-1</v>
      </c>
      <c r="U527" s="0" t="str">
        <f aca="false">IF(ABS(T527-S527)&lt;0.01,"OK","MISMATCH")</f>
        <v>OK</v>
      </c>
      <c r="V527" s="33" t="n">
        <f aca="false">Raw!M527</f>
        <v>0</v>
      </c>
      <c r="W527" s="0" t="str">
        <f aca="false">IF((S527&gt;0)=(V527=1),"OK","MISMATCH")</f>
        <v>OK</v>
      </c>
      <c r="X527" s="0" t="str">
        <f aca="false">_xlfn.IFS(S527&lt;=0,"Early/On time",S527&lt;=2,"Minor (up to 2 days)",S527&lt;=5,"Moderate (2-5 days)",TRUE(),"Severe (over 5 days)")</f>
        <v>Early/On time</v>
      </c>
      <c r="Y527" s="0" t="str">
        <f aca="false">YEAR(K527)&amp;"-"&amp;TEXT(MONTH(K527),"00")</f>
        <v>2025-09</v>
      </c>
      <c r="Z527" s="0" t="str">
        <f aca="false">C527&amp;" → "&amp;D527</f>
        <v>Surat → Madhya Pradesh</v>
      </c>
      <c r="AA527" s="0" t="str">
        <f aca="false">Raw!Q527</f>
        <v>Delhivery</v>
      </c>
      <c r="AB527" s="0" t="str">
        <f aca="false">Raw!R527</f>
        <v>Yes</v>
      </c>
      <c r="AC527" s="0" t="str">
        <f aca="false">Raw!S527</f>
        <v>Normal</v>
      </c>
      <c r="AD527" s="29" t="n">
        <f aca="false">Raw!N527</f>
        <v>6493.81</v>
      </c>
      <c r="AE527" s="29" t="n">
        <f aca="false">Raw!O527</f>
        <v>3211.26</v>
      </c>
      <c r="AF527" s="29" t="n">
        <f aca="false">Raw!P527</f>
        <v>1240.66</v>
      </c>
      <c r="AG527" s="29" t="n">
        <f aca="false">AD527/J527</f>
        <v>439.662153012864</v>
      </c>
    </row>
    <row r="528" customFormat="false" ht="15" hidden="false" customHeight="false" outlineLevel="0" collapsed="false">
      <c r="A528" s="0" t="str">
        <f aca="false">Raw!A528</f>
        <v>SHP0527</v>
      </c>
      <c r="B528" s="0" t="str">
        <f aca="false">Raw!B528</f>
        <v>Outbound</v>
      </c>
      <c r="C528" s="0" t="str">
        <f aca="false">Raw!C528</f>
        <v>Surat</v>
      </c>
      <c r="D528" s="0" t="str">
        <f aca="false">Raw!D528</f>
        <v>Mumbai</v>
      </c>
      <c r="E528" s="0" t="str">
        <f aca="false">IFERROR(INDEX(Location_Map!$B$2:$B$15,MATCH(C528,Location_Map!$A$2:$A$15,0)),"UNMAPPED")</f>
        <v>Gujarat</v>
      </c>
      <c r="F528" s="0" t="str">
        <f aca="false">IFERROR(INDEX(Location_Map!$C$2:$C$15,MATCH(C528,Location_Map!$A$2:$A$15,0)),"UNMAPPED")</f>
        <v>West</v>
      </c>
      <c r="G528" s="0" t="str">
        <f aca="false">IFERROR(INDEX(Location_Map!$B$2:$B$15,MATCH(D528,Location_Map!$A$2:$A$15,0)),"UNMAPPED")</f>
        <v>Maharashtra</v>
      </c>
      <c r="H528" s="0" t="str">
        <f aca="false">IFERROR(INDEX(Location_Map!$C$2:$C$15,MATCH(D528,Location_Map!$A$2:$A$15,0)),"UNMAPPED")</f>
        <v>West</v>
      </c>
      <c r="I528" s="0" t="str">
        <f aca="false">Raw!E528</f>
        <v>Raw Yarn</v>
      </c>
      <c r="J528" s="28" t="n">
        <f aca="false">Raw!F528</f>
        <v>10.22</v>
      </c>
      <c r="K528" s="30" t="n">
        <f aca="false">DATE(LEFT(Raw!G528,4),MID(Raw!G528,6,2),MID(Raw!G528,9,2))</f>
        <v>45683</v>
      </c>
      <c r="L528" s="30" t="n">
        <f aca="false">DATE(LEFT(Raw!H528,4),MID(Raw!H528,6,2),MID(Raw!H528,9,2))</f>
        <v>45687</v>
      </c>
      <c r="M528" s="30" t="n">
        <f aca="false">DATE(LEFT(Raw!I528,4),MID(Raw!I528,6,2),MID(Raw!I528,9,2))</f>
        <v>45693</v>
      </c>
      <c r="N528" s="31" t="n">
        <f aca="false">DATE(LEFT(Raw!J528,4),MID(Raw!J528,6,2),MID(Raw!J528,9,2))+TIME(MID(Raw!J528,12,2),MID(Raw!J528,15,2),MID(Raw!J528,18,2))</f>
        <v>45686.7916666667</v>
      </c>
      <c r="O528" s="31" t="n">
        <f aca="false">DATE(LEFT(Raw!K528,4),MID(Raw!K528,6,2),MID(Raw!K528,9,2))+TIME(MID(Raw!K528,12,2),MID(Raw!K528,15,2),MID(Raw!K528,18,2))</f>
        <v>45694</v>
      </c>
      <c r="P528" s="32" t="n">
        <f aca="false">L528-K528</f>
        <v>4</v>
      </c>
      <c r="Q528" s="32" t="n">
        <f aca="false">M528-L528</f>
        <v>6</v>
      </c>
      <c r="R528" s="32" t="n">
        <f aca="false">O528-N528</f>
        <v>7.20833333333333</v>
      </c>
      <c r="S528" s="32" t="n">
        <f aca="false">Raw!L528</f>
        <v>1</v>
      </c>
      <c r="T528" s="32" t="n">
        <f aca="false">O528-M528</f>
        <v>1</v>
      </c>
      <c r="U528" s="0" t="str">
        <f aca="false">IF(ABS(T528-S528)&lt;0.01,"OK","MISMATCH")</f>
        <v>OK</v>
      </c>
      <c r="V528" s="33" t="n">
        <f aca="false">Raw!M528</f>
        <v>1</v>
      </c>
      <c r="W528" s="0" t="str">
        <f aca="false">IF((S528&gt;0)=(V528=1),"OK","MISMATCH")</f>
        <v>OK</v>
      </c>
      <c r="X528" s="0" t="str">
        <f aca="false">_xlfn.IFS(S528&lt;=0,"Early/On time",S528&lt;=2,"Minor (up to 2 days)",S528&lt;=5,"Moderate (2-5 days)",TRUE(),"Severe (over 5 days)")</f>
        <v>Minor (up to 2 days)</v>
      </c>
      <c r="Y528" s="0" t="str">
        <f aca="false">YEAR(K528)&amp;"-"&amp;TEXT(MONTH(K528),"00")</f>
        <v>2025-01</v>
      </c>
      <c r="Z528" s="0" t="str">
        <f aca="false">C528&amp;" → "&amp;D528</f>
        <v>Surat → Mumbai</v>
      </c>
      <c r="AA528" s="0" t="str">
        <f aca="false">Raw!Q528</f>
        <v>GATI Logistics</v>
      </c>
      <c r="AB528" s="0" t="str">
        <f aca="false">Raw!R528</f>
        <v>No</v>
      </c>
      <c r="AC528" s="0" t="str">
        <f aca="false">Raw!S528</f>
        <v>Held at warehouse</v>
      </c>
      <c r="AD528" s="29" t="n">
        <f aca="false">Raw!N528</f>
        <v>3716.39</v>
      </c>
      <c r="AE528" s="29" t="n">
        <f aca="false">Raw!O528</f>
        <v>1424.64</v>
      </c>
      <c r="AF528" s="29" t="n">
        <f aca="false">Raw!P528</f>
        <v>1337.47</v>
      </c>
      <c r="AG528" s="29" t="n">
        <f aca="false">AD528/J528</f>
        <v>363.638943248532</v>
      </c>
    </row>
    <row r="529" customFormat="false" ht="15" hidden="false" customHeight="false" outlineLevel="0" collapsed="false">
      <c r="A529" s="0" t="str">
        <f aca="false">Raw!A529</f>
        <v>SHP0528</v>
      </c>
      <c r="B529" s="0" t="str">
        <f aca="false">Raw!B529</f>
        <v>Inbound</v>
      </c>
      <c r="C529" s="0" t="str">
        <f aca="false">Raw!C529</f>
        <v>Chennai</v>
      </c>
      <c r="D529" s="0" t="str">
        <f aca="false">Raw!D529</f>
        <v>Surat</v>
      </c>
      <c r="E529" s="0" t="str">
        <f aca="false">IFERROR(INDEX(Location_Map!$B$2:$B$15,MATCH(C529,Location_Map!$A$2:$A$15,0)),"UNMAPPED")</f>
        <v>Tamil Nadu</v>
      </c>
      <c r="F529" s="0" t="str">
        <f aca="false">IFERROR(INDEX(Location_Map!$C$2:$C$15,MATCH(C529,Location_Map!$A$2:$A$15,0)),"UNMAPPED")</f>
        <v>South</v>
      </c>
      <c r="G529" s="0" t="str">
        <f aca="false">IFERROR(INDEX(Location_Map!$B$2:$B$15,MATCH(D529,Location_Map!$A$2:$A$15,0)),"UNMAPPED")</f>
        <v>Gujarat</v>
      </c>
      <c r="H529" s="0" t="str">
        <f aca="false">IFERROR(INDEX(Location_Map!$C$2:$C$15,MATCH(D529,Location_Map!$A$2:$A$15,0)),"UNMAPPED")</f>
        <v>West</v>
      </c>
      <c r="I529" s="0" t="str">
        <f aca="false">Raw!E529</f>
        <v>Raw Yarn</v>
      </c>
      <c r="J529" s="28" t="n">
        <f aca="false">Raw!F529</f>
        <v>5.56</v>
      </c>
      <c r="K529" s="30" t="n">
        <f aca="false">DATE(LEFT(Raw!G529,4),MID(Raw!G529,6,2),MID(Raw!G529,9,2))</f>
        <v>45716</v>
      </c>
      <c r="L529" s="30" t="n">
        <f aca="false">DATE(LEFT(Raw!H529,4),MID(Raw!H529,6,2),MID(Raw!H529,9,2))</f>
        <v>45719</v>
      </c>
      <c r="M529" s="30" t="n">
        <f aca="false">DATE(LEFT(Raw!I529,4),MID(Raw!I529,6,2),MID(Raw!I529,9,2))</f>
        <v>45724</v>
      </c>
      <c r="N529" s="31" t="n">
        <f aca="false">DATE(LEFT(Raw!J529,4),MID(Raw!J529,6,2),MID(Raw!J529,9,2))+TIME(MID(Raw!J529,12,2),MID(Raw!J529,15,2),MID(Raw!J529,18,2))</f>
        <v>45719.1666666667</v>
      </c>
      <c r="O529" s="31" t="n">
        <f aca="false">DATE(LEFT(Raw!K529,4),MID(Raw!K529,6,2),MID(Raw!K529,9,2))+TIME(MID(Raw!K529,12,2),MID(Raw!K529,15,2),MID(Raw!K529,18,2))</f>
        <v>45723</v>
      </c>
      <c r="P529" s="32" t="n">
        <f aca="false">L529-K529</f>
        <v>3</v>
      </c>
      <c r="Q529" s="32" t="n">
        <f aca="false">M529-L529</f>
        <v>5</v>
      </c>
      <c r="R529" s="32" t="n">
        <f aca="false">O529-N529</f>
        <v>3.83333333333333</v>
      </c>
      <c r="S529" s="32" t="n">
        <f aca="false">Raw!L529</f>
        <v>-1</v>
      </c>
      <c r="T529" s="32" t="n">
        <f aca="false">O529-M529</f>
        <v>-1</v>
      </c>
      <c r="U529" s="0" t="str">
        <f aca="false">IF(ABS(T529-S529)&lt;0.01,"OK","MISMATCH")</f>
        <v>OK</v>
      </c>
      <c r="V529" s="33" t="n">
        <f aca="false">Raw!M529</f>
        <v>0</v>
      </c>
      <c r="W529" s="0" t="str">
        <f aca="false">IF((S529&gt;0)=(V529=1),"OK","MISMATCH")</f>
        <v>OK</v>
      </c>
      <c r="X529" s="0" t="str">
        <f aca="false">_xlfn.IFS(S529&lt;=0,"Early/On time",S529&lt;=2,"Minor (up to 2 days)",S529&lt;=5,"Moderate (2-5 days)",TRUE(),"Severe (over 5 days)")</f>
        <v>Early/On time</v>
      </c>
      <c r="Y529" s="0" t="str">
        <f aca="false">YEAR(K529)&amp;"-"&amp;TEXT(MONTH(K529),"00")</f>
        <v>2025-02</v>
      </c>
      <c r="Z529" s="0" t="str">
        <f aca="false">C529&amp;" → "&amp;D529</f>
        <v>Chennai → Surat</v>
      </c>
      <c r="AA529" s="0" t="str">
        <f aca="false">Raw!Q529</f>
        <v>GATI Logistics</v>
      </c>
      <c r="AB529" s="0" t="str">
        <f aca="false">Raw!R529</f>
        <v>No</v>
      </c>
      <c r="AC529" s="0" t="str">
        <f aca="false">Raw!S529</f>
        <v>Expedited</v>
      </c>
      <c r="AD529" s="29" t="n">
        <f aca="false">Raw!N529</f>
        <v>2666.73</v>
      </c>
      <c r="AE529" s="29" t="n">
        <f aca="false">Raw!O529</f>
        <v>1476.84</v>
      </c>
      <c r="AF529" s="29" t="n">
        <f aca="false">Raw!P529</f>
        <v>536.46</v>
      </c>
      <c r="AG529" s="29" t="n">
        <f aca="false">AD529/J529</f>
        <v>479.627697841727</v>
      </c>
    </row>
    <row r="530" customFormat="false" ht="15" hidden="false" customHeight="false" outlineLevel="0" collapsed="false">
      <c r="A530" s="0" t="str">
        <f aca="false">Raw!A530</f>
        <v>SHP0529</v>
      </c>
      <c r="B530" s="0" t="str">
        <f aca="false">Raw!B530</f>
        <v>Inbound</v>
      </c>
      <c r="C530" s="0" t="str">
        <f aca="false">Raw!C530</f>
        <v>Rajasthan</v>
      </c>
      <c r="D530" s="0" t="str">
        <f aca="false">Raw!D530</f>
        <v>Surat</v>
      </c>
      <c r="E530" s="0" t="str">
        <f aca="false">IFERROR(INDEX(Location_Map!$B$2:$B$15,MATCH(C530,Location_Map!$A$2:$A$15,0)),"UNMAPPED")</f>
        <v>Rajasthan</v>
      </c>
      <c r="F530" s="0" t="str">
        <f aca="false">IFERROR(INDEX(Location_Map!$C$2:$C$15,MATCH(C530,Location_Map!$A$2:$A$15,0)),"UNMAPPED")</f>
        <v>North</v>
      </c>
      <c r="G530" s="0" t="str">
        <f aca="false">IFERROR(INDEX(Location_Map!$B$2:$B$15,MATCH(D530,Location_Map!$A$2:$A$15,0)),"UNMAPPED")</f>
        <v>Gujarat</v>
      </c>
      <c r="H530" s="0" t="str">
        <f aca="false">IFERROR(INDEX(Location_Map!$C$2:$C$15,MATCH(D530,Location_Map!$A$2:$A$15,0)),"UNMAPPED")</f>
        <v>West</v>
      </c>
      <c r="I530" s="0" t="str">
        <f aca="false">Raw!E530</f>
        <v>Finished Yarn</v>
      </c>
      <c r="J530" s="28" t="n">
        <f aca="false">Raw!F530</f>
        <v>2</v>
      </c>
      <c r="K530" s="30" t="n">
        <f aca="false">DATE(LEFT(Raw!G530,4),MID(Raw!G530,6,2),MID(Raw!G530,9,2))</f>
        <v>45908</v>
      </c>
      <c r="L530" s="30" t="n">
        <f aca="false">DATE(LEFT(Raw!H530,4),MID(Raw!H530,6,2),MID(Raw!H530,9,2))</f>
        <v>45909</v>
      </c>
      <c r="M530" s="30" t="n">
        <f aca="false">DATE(LEFT(Raw!I530,4),MID(Raw!I530,6,2),MID(Raw!I530,9,2))</f>
        <v>45911</v>
      </c>
      <c r="N530" s="31" t="n">
        <f aca="false">DATE(LEFT(Raw!J530,4),MID(Raw!J530,6,2),MID(Raw!J530,9,2))+TIME(MID(Raw!J530,12,2),MID(Raw!J530,15,2),MID(Raw!J530,18,2))</f>
        <v>45908.7916666667</v>
      </c>
      <c r="O530" s="31" t="n">
        <f aca="false">DATE(LEFT(Raw!K530,4),MID(Raw!K530,6,2),MID(Raw!K530,9,2))+TIME(MID(Raw!K530,12,2),MID(Raw!K530,15,2),MID(Raw!K530,18,2))</f>
        <v>45911.6</v>
      </c>
      <c r="P530" s="32" t="n">
        <f aca="false">L530-K530</f>
        <v>1</v>
      </c>
      <c r="Q530" s="32" t="n">
        <f aca="false">M530-L530</f>
        <v>2</v>
      </c>
      <c r="R530" s="32" t="n">
        <f aca="false">O530-N530</f>
        <v>2.80833333333333</v>
      </c>
      <c r="S530" s="32" t="n">
        <f aca="false">Raw!L530</f>
        <v>0.6</v>
      </c>
      <c r="T530" s="32" t="n">
        <f aca="false">O530-M530</f>
        <v>0.6</v>
      </c>
      <c r="U530" s="0" t="str">
        <f aca="false">IF(ABS(T530-S530)&lt;0.01,"OK","MISMATCH")</f>
        <v>OK</v>
      </c>
      <c r="V530" s="33" t="n">
        <f aca="false">Raw!M530</f>
        <v>1</v>
      </c>
      <c r="W530" s="0" t="str">
        <f aca="false">IF((S530&gt;0)=(V530=1),"OK","MISMATCH")</f>
        <v>OK</v>
      </c>
      <c r="X530" s="0" t="str">
        <f aca="false">_xlfn.IFS(S530&lt;=0,"Early/On time",S530&lt;=2,"Minor (up to 2 days)",S530&lt;=5,"Moderate (2-5 days)",TRUE(),"Severe (over 5 days)")</f>
        <v>Minor (up to 2 days)</v>
      </c>
      <c r="Y530" s="0" t="str">
        <f aca="false">YEAR(K530)&amp;"-"&amp;TEXT(MONTH(K530),"00")</f>
        <v>2025-09</v>
      </c>
      <c r="Z530" s="0" t="str">
        <f aca="false">C530&amp;" → "&amp;D530</f>
        <v>Rajasthan → Surat</v>
      </c>
      <c r="AA530" s="0" t="str">
        <f aca="false">Raw!Q530</f>
        <v>BlueDart</v>
      </c>
      <c r="AB530" s="0" t="str">
        <f aca="false">Raw!R530</f>
        <v>No</v>
      </c>
      <c r="AC530" s="0" t="str">
        <f aca="false">Raw!S530</f>
        <v>Normal</v>
      </c>
      <c r="AD530" s="29" t="n">
        <f aca="false">Raw!N530</f>
        <v>2015.01</v>
      </c>
      <c r="AE530" s="29" t="n">
        <f aca="false">Raw!O530</f>
        <v>4443.2</v>
      </c>
      <c r="AF530" s="29" t="n">
        <f aca="false">Raw!P530</f>
        <v>846.2</v>
      </c>
      <c r="AG530" s="29" t="n">
        <f aca="false">AD530/J530</f>
        <v>1007.505</v>
      </c>
    </row>
    <row r="531" customFormat="false" ht="15" hidden="false" customHeight="false" outlineLevel="0" collapsed="false">
      <c r="A531" s="0" t="str">
        <f aca="false">Raw!A531</f>
        <v>SHP0530</v>
      </c>
      <c r="B531" s="0" t="str">
        <f aca="false">Raw!B531</f>
        <v>Inbound</v>
      </c>
      <c r="C531" s="0" t="str">
        <f aca="false">Raw!C531</f>
        <v>Gujarat</v>
      </c>
      <c r="D531" s="0" t="str">
        <f aca="false">Raw!D531</f>
        <v>Surat</v>
      </c>
      <c r="E531" s="0" t="str">
        <f aca="false">IFERROR(INDEX(Location_Map!$B$2:$B$15,MATCH(C531,Location_Map!$A$2:$A$15,0)),"UNMAPPED")</f>
        <v>Gujarat</v>
      </c>
      <c r="F531" s="0" t="str">
        <f aca="false">IFERROR(INDEX(Location_Map!$C$2:$C$15,MATCH(C531,Location_Map!$A$2:$A$15,0)),"UNMAPPED")</f>
        <v>West</v>
      </c>
      <c r="G531" s="0" t="str">
        <f aca="false">IFERROR(INDEX(Location_Map!$B$2:$B$15,MATCH(D531,Location_Map!$A$2:$A$15,0)),"UNMAPPED")</f>
        <v>Gujarat</v>
      </c>
      <c r="H531" s="0" t="str">
        <f aca="false">IFERROR(INDEX(Location_Map!$C$2:$C$15,MATCH(D531,Location_Map!$A$2:$A$15,0)),"UNMAPPED")</f>
        <v>West</v>
      </c>
      <c r="I531" s="0" t="str">
        <f aca="false">Raw!E531</f>
        <v>Finished Yarn</v>
      </c>
      <c r="J531" s="28" t="n">
        <f aca="false">Raw!F531</f>
        <v>13.42</v>
      </c>
      <c r="K531" s="30" t="n">
        <f aca="false">DATE(LEFT(Raw!G531,4),MID(Raw!G531,6,2),MID(Raw!G531,9,2))</f>
        <v>45763</v>
      </c>
      <c r="L531" s="30" t="n">
        <f aca="false">DATE(LEFT(Raw!H531,4),MID(Raw!H531,6,2),MID(Raw!H531,9,2))</f>
        <v>45766</v>
      </c>
      <c r="M531" s="30" t="n">
        <f aca="false">DATE(LEFT(Raw!I531,4),MID(Raw!I531,6,2),MID(Raw!I531,9,2))</f>
        <v>45771</v>
      </c>
      <c r="N531" s="31" t="n">
        <f aca="false">DATE(LEFT(Raw!J531,4),MID(Raw!J531,6,2),MID(Raw!J531,9,2))+TIME(MID(Raw!J531,12,2),MID(Raw!J531,15,2),MID(Raw!J531,18,2))</f>
        <v>45765.9583333333</v>
      </c>
      <c r="O531" s="31" t="n">
        <f aca="false">DATE(LEFT(Raw!K531,4),MID(Raw!K531,6,2),MID(Raw!K531,9,2))+TIME(MID(Raw!K531,12,2),MID(Raw!K531,15,2),MID(Raw!K531,18,2))</f>
        <v>45775.1</v>
      </c>
      <c r="P531" s="32" t="n">
        <f aca="false">L531-K531</f>
        <v>3</v>
      </c>
      <c r="Q531" s="32" t="n">
        <f aca="false">M531-L531</f>
        <v>5</v>
      </c>
      <c r="R531" s="32" t="n">
        <f aca="false">O531-N531</f>
        <v>9.14166666666667</v>
      </c>
      <c r="S531" s="32" t="n">
        <f aca="false">Raw!L531</f>
        <v>4.1</v>
      </c>
      <c r="T531" s="32" t="n">
        <f aca="false">O531-M531</f>
        <v>4.1</v>
      </c>
      <c r="U531" s="0" t="str">
        <f aca="false">IF(ABS(T531-S531)&lt;0.01,"OK","MISMATCH")</f>
        <v>OK</v>
      </c>
      <c r="V531" s="33" t="n">
        <f aca="false">Raw!M531</f>
        <v>1</v>
      </c>
      <c r="W531" s="0" t="str">
        <f aca="false">IF((S531&gt;0)=(V531=1),"OK","MISMATCH")</f>
        <v>OK</v>
      </c>
      <c r="X531" s="0" t="str">
        <f aca="false">_xlfn.IFS(S531&lt;=0,"Early/On time",S531&lt;=2,"Minor (up to 2 days)",S531&lt;=5,"Moderate (2-5 days)",TRUE(),"Severe (over 5 days)")</f>
        <v>Moderate (2-5 days)</v>
      </c>
      <c r="Y531" s="0" t="str">
        <f aca="false">YEAR(K531)&amp;"-"&amp;TEXT(MONTH(K531),"00")</f>
        <v>2025-04</v>
      </c>
      <c r="Z531" s="0" t="str">
        <f aca="false">C531&amp;" → "&amp;D531</f>
        <v>Gujarat → Surat</v>
      </c>
      <c r="AA531" s="0" t="str">
        <f aca="false">Raw!Q531</f>
        <v>GATI Logistics</v>
      </c>
      <c r="AB531" s="0" t="str">
        <f aca="false">Raw!R531</f>
        <v>Yes</v>
      </c>
      <c r="AC531" s="0" t="str">
        <f aca="false">Raw!S531</f>
        <v>Expedited</v>
      </c>
      <c r="AD531" s="29" t="n">
        <f aca="false">Raw!N531</f>
        <v>5459.5</v>
      </c>
      <c r="AE531" s="29" t="n">
        <f aca="false">Raw!O531</f>
        <v>4865.1</v>
      </c>
      <c r="AF531" s="29" t="n">
        <f aca="false">Raw!P531</f>
        <v>1470.07</v>
      </c>
      <c r="AG531" s="29" t="n">
        <f aca="false">AD531/J531</f>
        <v>406.818181818182</v>
      </c>
    </row>
    <row r="532" customFormat="false" ht="15" hidden="false" customHeight="false" outlineLevel="0" collapsed="false">
      <c r="A532" s="0" t="str">
        <f aca="false">Raw!A532</f>
        <v>SHP0531</v>
      </c>
      <c r="B532" s="0" t="str">
        <f aca="false">Raw!B532</f>
        <v>Outbound</v>
      </c>
      <c r="C532" s="0" t="str">
        <f aca="false">Raw!C532</f>
        <v>Surat</v>
      </c>
      <c r="D532" s="0" t="str">
        <f aca="false">Raw!D532</f>
        <v>Mumbai</v>
      </c>
      <c r="E532" s="0" t="str">
        <f aca="false">IFERROR(INDEX(Location_Map!$B$2:$B$15,MATCH(C532,Location_Map!$A$2:$A$15,0)),"UNMAPPED")</f>
        <v>Gujarat</v>
      </c>
      <c r="F532" s="0" t="str">
        <f aca="false">IFERROR(INDEX(Location_Map!$C$2:$C$15,MATCH(C532,Location_Map!$A$2:$A$15,0)),"UNMAPPED")</f>
        <v>West</v>
      </c>
      <c r="G532" s="0" t="str">
        <f aca="false">IFERROR(INDEX(Location_Map!$B$2:$B$15,MATCH(D532,Location_Map!$A$2:$A$15,0)),"UNMAPPED")</f>
        <v>Maharashtra</v>
      </c>
      <c r="H532" s="0" t="str">
        <f aca="false">IFERROR(INDEX(Location_Map!$C$2:$C$15,MATCH(D532,Location_Map!$A$2:$A$15,0)),"UNMAPPED")</f>
        <v>West</v>
      </c>
      <c r="I532" s="0" t="str">
        <f aca="false">Raw!E532</f>
        <v>Semi-Processed Yarn</v>
      </c>
      <c r="J532" s="28" t="n">
        <f aca="false">Raw!F532</f>
        <v>17.44</v>
      </c>
      <c r="K532" s="30" t="n">
        <f aca="false">DATE(LEFT(Raw!G532,4),MID(Raw!G532,6,2),MID(Raw!G532,9,2))</f>
        <v>45838</v>
      </c>
      <c r="L532" s="30" t="n">
        <f aca="false">DATE(LEFT(Raw!H532,4),MID(Raw!H532,6,2),MID(Raw!H532,9,2))</f>
        <v>45841</v>
      </c>
      <c r="M532" s="30" t="n">
        <f aca="false">DATE(LEFT(Raw!I532,4),MID(Raw!I532,6,2),MID(Raw!I532,9,2))</f>
        <v>45846</v>
      </c>
      <c r="N532" s="31" t="n">
        <f aca="false">DATE(LEFT(Raw!J532,4),MID(Raw!J532,6,2),MID(Raw!J532,9,2))+TIME(MID(Raw!J532,12,2),MID(Raw!J532,15,2),MID(Raw!J532,18,2))</f>
        <v>45841.3333333333</v>
      </c>
      <c r="O532" s="31" t="n">
        <f aca="false">DATE(LEFT(Raw!K532,4),MID(Raw!K532,6,2),MID(Raw!K532,9,2))+TIME(MID(Raw!K532,12,2),MID(Raw!K532,15,2),MID(Raw!K532,18,2))</f>
        <v>45849.4</v>
      </c>
      <c r="P532" s="32" t="n">
        <f aca="false">L532-K532</f>
        <v>3</v>
      </c>
      <c r="Q532" s="32" t="n">
        <f aca="false">M532-L532</f>
        <v>5</v>
      </c>
      <c r="R532" s="32" t="n">
        <f aca="false">O532-N532</f>
        <v>8.06666666666667</v>
      </c>
      <c r="S532" s="32" t="n">
        <f aca="false">Raw!L532</f>
        <v>3.4</v>
      </c>
      <c r="T532" s="32" t="n">
        <f aca="false">O532-M532</f>
        <v>3.4</v>
      </c>
      <c r="U532" s="0" t="str">
        <f aca="false">IF(ABS(T532-S532)&lt;0.01,"OK","MISMATCH")</f>
        <v>OK</v>
      </c>
      <c r="V532" s="33" t="n">
        <f aca="false">Raw!M532</f>
        <v>1</v>
      </c>
      <c r="W532" s="0" t="str">
        <f aca="false">IF((S532&gt;0)=(V532=1),"OK","MISMATCH")</f>
        <v>OK</v>
      </c>
      <c r="X532" s="0" t="str">
        <f aca="false">_xlfn.IFS(S532&lt;=0,"Early/On time",S532&lt;=2,"Minor (up to 2 days)",S532&lt;=5,"Moderate (2-5 days)",TRUE(),"Severe (over 5 days)")</f>
        <v>Moderate (2-5 days)</v>
      </c>
      <c r="Y532" s="0" t="str">
        <f aca="false">YEAR(K532)&amp;"-"&amp;TEXT(MONTH(K532),"00")</f>
        <v>2025-06</v>
      </c>
      <c r="Z532" s="0" t="str">
        <f aca="false">C532&amp;" → "&amp;D532</f>
        <v>Surat → Mumbai</v>
      </c>
      <c r="AA532" s="0" t="str">
        <f aca="false">Raw!Q532</f>
        <v>GATI Logistics</v>
      </c>
      <c r="AB532" s="0" t="str">
        <f aca="false">Raw!R532</f>
        <v>No</v>
      </c>
      <c r="AC532" s="0" t="str">
        <f aca="false">Raw!S532</f>
        <v>Held at warehouse</v>
      </c>
      <c r="AD532" s="29" t="n">
        <f aca="false">Raw!N532</f>
        <v>9326.3</v>
      </c>
      <c r="AE532" s="29" t="n">
        <f aca="false">Raw!O532</f>
        <v>2127.67</v>
      </c>
      <c r="AF532" s="29" t="n">
        <f aca="false">Raw!P532</f>
        <v>818.04</v>
      </c>
      <c r="AG532" s="29" t="n">
        <f aca="false">AD532/J532</f>
        <v>534.764908256881</v>
      </c>
    </row>
    <row r="533" customFormat="false" ht="15" hidden="false" customHeight="false" outlineLevel="0" collapsed="false">
      <c r="A533" s="0" t="str">
        <f aca="false">Raw!A533</f>
        <v>SHP0532</v>
      </c>
      <c r="B533" s="0" t="str">
        <f aca="false">Raw!B533</f>
        <v>Outbound</v>
      </c>
      <c r="C533" s="0" t="str">
        <f aca="false">Raw!C533</f>
        <v>Surat</v>
      </c>
      <c r="D533" s="0" t="str">
        <f aca="false">Raw!D533</f>
        <v>Kerala</v>
      </c>
      <c r="E533" s="0" t="str">
        <f aca="false">IFERROR(INDEX(Location_Map!$B$2:$B$15,MATCH(C533,Location_Map!$A$2:$A$15,0)),"UNMAPPED")</f>
        <v>Gujarat</v>
      </c>
      <c r="F533" s="0" t="str">
        <f aca="false">IFERROR(INDEX(Location_Map!$C$2:$C$15,MATCH(C533,Location_Map!$A$2:$A$15,0)),"UNMAPPED")</f>
        <v>West</v>
      </c>
      <c r="G533" s="0" t="str">
        <f aca="false">IFERROR(INDEX(Location_Map!$B$2:$B$15,MATCH(D533,Location_Map!$A$2:$A$15,0)),"UNMAPPED")</f>
        <v>Kerala</v>
      </c>
      <c r="H533" s="0" t="str">
        <f aca="false">IFERROR(INDEX(Location_Map!$C$2:$C$15,MATCH(D533,Location_Map!$A$2:$A$15,0)),"UNMAPPED")</f>
        <v>South</v>
      </c>
      <c r="I533" s="0" t="str">
        <f aca="false">Raw!E533</f>
        <v>Semi-Processed Yarn</v>
      </c>
      <c r="J533" s="28" t="n">
        <f aca="false">Raw!F533</f>
        <v>18.57</v>
      </c>
      <c r="K533" s="30" t="n">
        <f aca="false">DATE(LEFT(Raw!G533,4),MID(Raw!G533,6,2),MID(Raw!G533,9,2))</f>
        <v>45674</v>
      </c>
      <c r="L533" s="30" t="n">
        <f aca="false">DATE(LEFT(Raw!H533,4),MID(Raw!H533,6,2),MID(Raw!H533,9,2))</f>
        <v>45676</v>
      </c>
      <c r="M533" s="30" t="n">
        <f aca="false">DATE(LEFT(Raw!I533,4),MID(Raw!I533,6,2),MID(Raw!I533,9,2))</f>
        <v>45678</v>
      </c>
      <c r="N533" s="31" t="n">
        <f aca="false">DATE(LEFT(Raw!J533,4),MID(Raw!J533,6,2),MID(Raw!J533,9,2))+TIME(MID(Raw!J533,12,2),MID(Raw!J533,15,2),MID(Raw!J533,18,2))</f>
        <v>45675.9583333333</v>
      </c>
      <c r="O533" s="31" t="n">
        <f aca="false">DATE(LEFT(Raw!K533,4),MID(Raw!K533,6,2),MID(Raw!K533,9,2))+TIME(MID(Raw!K533,12,2),MID(Raw!K533,15,2),MID(Raw!K533,18,2))</f>
        <v>45682.6</v>
      </c>
      <c r="P533" s="32" t="n">
        <f aca="false">L533-K533</f>
        <v>2</v>
      </c>
      <c r="Q533" s="32" t="n">
        <f aca="false">M533-L533</f>
        <v>2</v>
      </c>
      <c r="R533" s="32" t="n">
        <f aca="false">O533-N533</f>
        <v>6.64166666666667</v>
      </c>
      <c r="S533" s="32" t="n">
        <f aca="false">Raw!L533</f>
        <v>4.6</v>
      </c>
      <c r="T533" s="32" t="n">
        <f aca="false">O533-M533</f>
        <v>4.6</v>
      </c>
      <c r="U533" s="0" t="str">
        <f aca="false">IF(ABS(T533-S533)&lt;0.01,"OK","MISMATCH")</f>
        <v>OK</v>
      </c>
      <c r="V533" s="33" t="n">
        <f aca="false">Raw!M533</f>
        <v>1</v>
      </c>
      <c r="W533" s="0" t="str">
        <f aca="false">IF((S533&gt;0)=(V533=1),"OK","MISMATCH")</f>
        <v>OK</v>
      </c>
      <c r="X533" s="0" t="str">
        <f aca="false">_xlfn.IFS(S533&lt;=0,"Early/On time",S533&lt;=2,"Minor (up to 2 days)",S533&lt;=5,"Moderate (2-5 days)",TRUE(),"Severe (over 5 days)")</f>
        <v>Moderate (2-5 days)</v>
      </c>
      <c r="Y533" s="0" t="str">
        <f aca="false">YEAR(K533)&amp;"-"&amp;TEXT(MONTH(K533),"00")</f>
        <v>2025-01</v>
      </c>
      <c r="Z533" s="0" t="str">
        <f aca="false">C533&amp;" → "&amp;D533</f>
        <v>Surat → Kerala</v>
      </c>
      <c r="AA533" s="0" t="str">
        <f aca="false">Raw!Q533</f>
        <v>GATI Logistics</v>
      </c>
      <c r="AB533" s="0" t="str">
        <f aca="false">Raw!R533</f>
        <v>No</v>
      </c>
      <c r="AC533" s="0" t="str">
        <f aca="false">Raw!S533</f>
        <v>Normal</v>
      </c>
      <c r="AD533" s="29" t="n">
        <f aca="false">Raw!N533</f>
        <v>4756.58</v>
      </c>
      <c r="AE533" s="29" t="n">
        <f aca="false">Raw!O533</f>
        <v>2269.56</v>
      </c>
      <c r="AF533" s="29" t="n">
        <f aca="false">Raw!P533</f>
        <v>720.32</v>
      </c>
      <c r="AG533" s="29" t="n">
        <f aca="false">AD533/J533</f>
        <v>256.14324178783</v>
      </c>
    </row>
    <row r="534" customFormat="false" ht="15" hidden="false" customHeight="false" outlineLevel="0" collapsed="false">
      <c r="A534" s="0" t="str">
        <f aca="false">Raw!A534</f>
        <v>SHP0533</v>
      </c>
      <c r="B534" s="0" t="str">
        <f aca="false">Raw!B534</f>
        <v>Inbound</v>
      </c>
      <c r="C534" s="0" t="str">
        <f aca="false">Raw!C534</f>
        <v>Punjab</v>
      </c>
      <c r="D534" s="0" t="str">
        <f aca="false">Raw!D534</f>
        <v>Surat</v>
      </c>
      <c r="E534" s="0" t="str">
        <f aca="false">IFERROR(INDEX(Location_Map!$B$2:$B$15,MATCH(C534,Location_Map!$A$2:$A$15,0)),"UNMAPPED")</f>
        <v>Punjab</v>
      </c>
      <c r="F534" s="0" t="str">
        <f aca="false">IFERROR(INDEX(Location_Map!$C$2:$C$15,MATCH(C534,Location_Map!$A$2:$A$15,0)),"UNMAPPED")</f>
        <v>North</v>
      </c>
      <c r="G534" s="0" t="str">
        <f aca="false">IFERROR(INDEX(Location_Map!$B$2:$B$15,MATCH(D534,Location_Map!$A$2:$A$15,0)),"UNMAPPED")</f>
        <v>Gujarat</v>
      </c>
      <c r="H534" s="0" t="str">
        <f aca="false">IFERROR(INDEX(Location_Map!$C$2:$C$15,MATCH(D534,Location_Map!$A$2:$A$15,0)),"UNMAPPED")</f>
        <v>West</v>
      </c>
      <c r="I534" s="0" t="str">
        <f aca="false">Raw!E534</f>
        <v>Finished Yarn</v>
      </c>
      <c r="J534" s="28" t="n">
        <f aca="false">Raw!F534</f>
        <v>10.79</v>
      </c>
      <c r="K534" s="30" t="n">
        <f aca="false">DATE(LEFT(Raw!G534,4),MID(Raw!G534,6,2),MID(Raw!G534,9,2))</f>
        <v>45688</v>
      </c>
      <c r="L534" s="30" t="n">
        <f aca="false">DATE(LEFT(Raw!H534,4),MID(Raw!H534,6,2),MID(Raw!H534,9,2))</f>
        <v>45692</v>
      </c>
      <c r="M534" s="30" t="n">
        <f aca="false">DATE(LEFT(Raw!I534,4),MID(Raw!I534,6,2),MID(Raw!I534,9,2))</f>
        <v>45695</v>
      </c>
      <c r="N534" s="31" t="n">
        <f aca="false">DATE(LEFT(Raw!J534,4),MID(Raw!J534,6,2),MID(Raw!J534,9,2))+TIME(MID(Raw!J534,12,2),MID(Raw!J534,15,2),MID(Raw!J534,18,2))</f>
        <v>45691.8333333333</v>
      </c>
      <c r="O534" s="31" t="n">
        <f aca="false">DATE(LEFT(Raw!K534,4),MID(Raw!K534,6,2),MID(Raw!K534,9,2))+TIME(MID(Raw!K534,12,2),MID(Raw!K534,15,2),MID(Raw!K534,18,2))</f>
        <v>45701.1</v>
      </c>
      <c r="P534" s="32" t="n">
        <f aca="false">L534-K534</f>
        <v>4</v>
      </c>
      <c r="Q534" s="32" t="n">
        <f aca="false">M534-L534</f>
        <v>3</v>
      </c>
      <c r="R534" s="32" t="n">
        <f aca="false">O534-N534</f>
        <v>9.26666666666667</v>
      </c>
      <c r="S534" s="32" t="n">
        <f aca="false">Raw!L534</f>
        <v>6.1</v>
      </c>
      <c r="T534" s="32" t="n">
        <f aca="false">O534-M534</f>
        <v>6.1</v>
      </c>
      <c r="U534" s="0" t="str">
        <f aca="false">IF(ABS(T534-S534)&lt;0.01,"OK","MISMATCH")</f>
        <v>OK</v>
      </c>
      <c r="V534" s="33" t="n">
        <f aca="false">Raw!M534</f>
        <v>1</v>
      </c>
      <c r="W534" s="0" t="str">
        <f aca="false">IF((S534&gt;0)=(V534=1),"OK","MISMATCH")</f>
        <v>OK</v>
      </c>
      <c r="X534" s="0" t="str">
        <f aca="false">_xlfn.IFS(S534&lt;=0,"Early/On time",S534&lt;=2,"Minor (up to 2 days)",S534&lt;=5,"Moderate (2-5 days)",TRUE(),"Severe (over 5 days)")</f>
        <v>Severe (over 5 days)</v>
      </c>
      <c r="Y534" s="0" t="str">
        <f aca="false">YEAR(K534)&amp;"-"&amp;TEXT(MONTH(K534),"00")</f>
        <v>2025-01</v>
      </c>
      <c r="Z534" s="0" t="str">
        <f aca="false">C534&amp;" → "&amp;D534</f>
        <v>Punjab → Surat</v>
      </c>
      <c r="AA534" s="0" t="str">
        <f aca="false">Raw!Q534</f>
        <v>BlueDart</v>
      </c>
      <c r="AB534" s="0" t="str">
        <f aca="false">Raw!R534</f>
        <v>Yes</v>
      </c>
      <c r="AC534" s="0" t="str">
        <f aca="false">Raw!S534</f>
        <v>Damaged</v>
      </c>
      <c r="AD534" s="29" t="n">
        <f aca="false">Raw!N534</f>
        <v>3434.32</v>
      </c>
      <c r="AE534" s="29" t="n">
        <f aca="false">Raw!O534</f>
        <v>4403.81</v>
      </c>
      <c r="AF534" s="29" t="n">
        <f aca="false">Raw!P534</f>
        <v>845.86</v>
      </c>
      <c r="AG534" s="29" t="n">
        <f aca="false">AD534/J534</f>
        <v>318.287303058387</v>
      </c>
    </row>
    <row r="535" customFormat="false" ht="15" hidden="false" customHeight="false" outlineLevel="0" collapsed="false">
      <c r="A535" s="0" t="str">
        <f aca="false">Raw!A535</f>
        <v>SHP0534</v>
      </c>
      <c r="B535" s="0" t="str">
        <f aca="false">Raw!B535</f>
        <v>Inbound</v>
      </c>
      <c r="C535" s="0" t="str">
        <f aca="false">Raw!C535</f>
        <v>Rajasthan</v>
      </c>
      <c r="D535" s="0" t="str">
        <f aca="false">Raw!D535</f>
        <v>Surat</v>
      </c>
      <c r="E535" s="0" t="str">
        <f aca="false">IFERROR(INDEX(Location_Map!$B$2:$B$15,MATCH(C535,Location_Map!$A$2:$A$15,0)),"UNMAPPED")</f>
        <v>Rajasthan</v>
      </c>
      <c r="F535" s="0" t="str">
        <f aca="false">IFERROR(INDEX(Location_Map!$C$2:$C$15,MATCH(C535,Location_Map!$A$2:$A$15,0)),"UNMAPPED")</f>
        <v>North</v>
      </c>
      <c r="G535" s="0" t="str">
        <f aca="false">IFERROR(INDEX(Location_Map!$B$2:$B$15,MATCH(D535,Location_Map!$A$2:$A$15,0)),"UNMAPPED")</f>
        <v>Gujarat</v>
      </c>
      <c r="H535" s="0" t="str">
        <f aca="false">IFERROR(INDEX(Location_Map!$C$2:$C$15,MATCH(D535,Location_Map!$A$2:$A$15,0)),"UNMAPPED")</f>
        <v>West</v>
      </c>
      <c r="I535" s="0" t="str">
        <f aca="false">Raw!E535</f>
        <v>Raw Yarn</v>
      </c>
      <c r="J535" s="28" t="n">
        <f aca="false">Raw!F535</f>
        <v>1.67</v>
      </c>
      <c r="K535" s="30" t="n">
        <f aca="false">DATE(LEFT(Raw!G535,4),MID(Raw!G535,6,2),MID(Raw!G535,9,2))</f>
        <v>45881</v>
      </c>
      <c r="L535" s="30" t="n">
        <f aca="false">DATE(LEFT(Raw!H535,4),MID(Raw!H535,6,2),MID(Raw!H535,9,2))</f>
        <v>45885</v>
      </c>
      <c r="M535" s="30" t="n">
        <f aca="false">DATE(LEFT(Raw!I535,4),MID(Raw!I535,6,2),MID(Raw!I535,9,2))</f>
        <v>45891</v>
      </c>
      <c r="N535" s="31" t="n">
        <f aca="false">DATE(LEFT(Raw!J535,4),MID(Raw!J535,6,2),MID(Raw!J535,9,2))+TIME(MID(Raw!J535,12,2),MID(Raw!J535,15,2),MID(Raw!J535,18,2))</f>
        <v>45885.2916666667</v>
      </c>
      <c r="O535" s="31" t="n">
        <f aca="false">DATE(LEFT(Raw!K535,4),MID(Raw!K535,6,2),MID(Raw!K535,9,2))+TIME(MID(Raw!K535,12,2),MID(Raw!K535,15,2),MID(Raw!K535,18,2))</f>
        <v>45890</v>
      </c>
      <c r="P535" s="32" t="n">
        <f aca="false">L535-K535</f>
        <v>4</v>
      </c>
      <c r="Q535" s="32" t="n">
        <f aca="false">M535-L535</f>
        <v>6</v>
      </c>
      <c r="R535" s="32" t="n">
        <f aca="false">O535-N535</f>
        <v>4.70833333333333</v>
      </c>
      <c r="S535" s="32" t="n">
        <f aca="false">Raw!L535</f>
        <v>-1</v>
      </c>
      <c r="T535" s="32" t="n">
        <f aca="false">O535-M535</f>
        <v>-1</v>
      </c>
      <c r="U535" s="0" t="str">
        <f aca="false">IF(ABS(T535-S535)&lt;0.01,"OK","MISMATCH")</f>
        <v>OK</v>
      </c>
      <c r="V535" s="33" t="n">
        <f aca="false">Raw!M535</f>
        <v>0</v>
      </c>
      <c r="W535" s="0" t="str">
        <f aca="false">IF((S535&gt;0)=(V535=1),"OK","MISMATCH")</f>
        <v>OK</v>
      </c>
      <c r="X535" s="0" t="str">
        <f aca="false">_xlfn.IFS(S535&lt;=0,"Early/On time",S535&lt;=2,"Minor (up to 2 days)",S535&lt;=5,"Moderate (2-5 days)",TRUE(),"Severe (over 5 days)")</f>
        <v>Early/On time</v>
      </c>
      <c r="Y535" s="0" t="str">
        <f aca="false">YEAR(K535)&amp;"-"&amp;TEXT(MONTH(K535),"00")</f>
        <v>2025-08</v>
      </c>
      <c r="Z535" s="0" t="str">
        <f aca="false">C535&amp;" → "&amp;D535</f>
        <v>Rajasthan → Surat</v>
      </c>
      <c r="AA535" s="0" t="str">
        <f aca="false">Raw!Q535</f>
        <v>Delhivery</v>
      </c>
      <c r="AB535" s="0" t="str">
        <f aca="false">Raw!R535</f>
        <v>Yes</v>
      </c>
      <c r="AC535" s="0" t="str">
        <f aca="false">Raw!S535</f>
        <v>Expedited</v>
      </c>
      <c r="AD535" s="29" t="n">
        <f aca="false">Raw!N535</f>
        <v>2371.48</v>
      </c>
      <c r="AE535" s="29" t="n">
        <f aca="false">Raw!O535</f>
        <v>3494.02</v>
      </c>
      <c r="AF535" s="29" t="n">
        <f aca="false">Raw!P535</f>
        <v>631.29</v>
      </c>
      <c r="AG535" s="29" t="n">
        <f aca="false">AD535/J535</f>
        <v>1420.04790419162</v>
      </c>
    </row>
    <row r="536" customFormat="false" ht="15" hidden="false" customHeight="false" outlineLevel="0" collapsed="false">
      <c r="A536" s="0" t="str">
        <f aca="false">Raw!A536</f>
        <v>SHP0535</v>
      </c>
      <c r="B536" s="0" t="str">
        <f aca="false">Raw!B536</f>
        <v>Inbound</v>
      </c>
      <c r="C536" s="0" t="str">
        <f aca="false">Raw!C536</f>
        <v>Rajasthan</v>
      </c>
      <c r="D536" s="0" t="str">
        <f aca="false">Raw!D536</f>
        <v>Surat</v>
      </c>
      <c r="E536" s="0" t="str">
        <f aca="false">IFERROR(INDEX(Location_Map!$B$2:$B$15,MATCH(C536,Location_Map!$A$2:$A$15,0)),"UNMAPPED")</f>
        <v>Rajasthan</v>
      </c>
      <c r="F536" s="0" t="str">
        <f aca="false">IFERROR(INDEX(Location_Map!$C$2:$C$15,MATCH(C536,Location_Map!$A$2:$A$15,0)),"UNMAPPED")</f>
        <v>North</v>
      </c>
      <c r="G536" s="0" t="str">
        <f aca="false">IFERROR(INDEX(Location_Map!$B$2:$B$15,MATCH(D536,Location_Map!$A$2:$A$15,0)),"UNMAPPED")</f>
        <v>Gujarat</v>
      </c>
      <c r="H536" s="0" t="str">
        <f aca="false">IFERROR(INDEX(Location_Map!$C$2:$C$15,MATCH(D536,Location_Map!$A$2:$A$15,0)),"UNMAPPED")</f>
        <v>West</v>
      </c>
      <c r="I536" s="0" t="str">
        <f aca="false">Raw!E536</f>
        <v>Raw Yarn</v>
      </c>
      <c r="J536" s="28" t="n">
        <f aca="false">Raw!F536</f>
        <v>6.88</v>
      </c>
      <c r="K536" s="30" t="n">
        <f aca="false">DATE(LEFT(Raw!G536,4),MID(Raw!G536,6,2),MID(Raw!G536,9,2))</f>
        <v>45718</v>
      </c>
      <c r="L536" s="30" t="n">
        <f aca="false">DATE(LEFT(Raw!H536,4),MID(Raw!H536,6,2),MID(Raw!H536,9,2))</f>
        <v>45722</v>
      </c>
      <c r="M536" s="30" t="n">
        <f aca="false">DATE(LEFT(Raw!I536,4),MID(Raw!I536,6,2),MID(Raw!I536,9,2))</f>
        <v>45727</v>
      </c>
      <c r="N536" s="31" t="n">
        <f aca="false">DATE(LEFT(Raw!J536,4),MID(Raw!J536,6,2),MID(Raw!J536,9,2))+TIME(MID(Raw!J536,12,2),MID(Raw!J536,15,2),MID(Raw!J536,18,2))</f>
        <v>45721.9166666667</v>
      </c>
      <c r="O536" s="31" t="n">
        <f aca="false">DATE(LEFT(Raw!K536,4),MID(Raw!K536,6,2),MID(Raw!K536,9,2))+TIME(MID(Raw!K536,12,2),MID(Raw!K536,15,2),MID(Raw!K536,18,2))</f>
        <v>45726</v>
      </c>
      <c r="P536" s="32" t="n">
        <f aca="false">L536-K536</f>
        <v>4</v>
      </c>
      <c r="Q536" s="32" t="n">
        <f aca="false">M536-L536</f>
        <v>5</v>
      </c>
      <c r="R536" s="32" t="n">
        <f aca="false">O536-N536</f>
        <v>4.08333333333333</v>
      </c>
      <c r="S536" s="32" t="n">
        <f aca="false">Raw!L536</f>
        <v>-1</v>
      </c>
      <c r="T536" s="32" t="n">
        <f aca="false">O536-M536</f>
        <v>-1</v>
      </c>
      <c r="U536" s="0" t="str">
        <f aca="false">IF(ABS(T536-S536)&lt;0.01,"OK","MISMATCH")</f>
        <v>OK</v>
      </c>
      <c r="V536" s="33" t="n">
        <f aca="false">Raw!M536</f>
        <v>0</v>
      </c>
      <c r="W536" s="0" t="str">
        <f aca="false">IF((S536&gt;0)=(V536=1),"OK","MISMATCH")</f>
        <v>OK</v>
      </c>
      <c r="X536" s="0" t="str">
        <f aca="false">_xlfn.IFS(S536&lt;=0,"Early/On time",S536&lt;=2,"Minor (up to 2 days)",S536&lt;=5,"Moderate (2-5 days)",TRUE(),"Severe (over 5 days)")</f>
        <v>Early/On time</v>
      </c>
      <c r="Y536" s="0" t="str">
        <f aca="false">YEAR(K536)&amp;"-"&amp;TEXT(MONTH(K536),"00")</f>
        <v>2025-03</v>
      </c>
      <c r="Z536" s="0" t="str">
        <f aca="false">C536&amp;" → "&amp;D536</f>
        <v>Rajasthan → Surat</v>
      </c>
      <c r="AA536" s="0" t="str">
        <f aca="false">Raw!Q536</f>
        <v>VRL Cargo</v>
      </c>
      <c r="AB536" s="0" t="str">
        <f aca="false">Raw!R536</f>
        <v>No</v>
      </c>
      <c r="AC536" s="0" t="str">
        <f aca="false">Raw!S536</f>
        <v>Normal</v>
      </c>
      <c r="AD536" s="29" t="n">
        <f aca="false">Raw!N536</f>
        <v>4456.69</v>
      </c>
      <c r="AE536" s="29" t="n">
        <f aca="false">Raw!O536</f>
        <v>1903.16</v>
      </c>
      <c r="AF536" s="29" t="n">
        <f aca="false">Raw!P536</f>
        <v>1116.62</v>
      </c>
      <c r="AG536" s="29" t="n">
        <f aca="false">AD536/J536</f>
        <v>647.774709302326</v>
      </c>
    </row>
    <row r="537" customFormat="false" ht="15" hidden="false" customHeight="false" outlineLevel="0" collapsed="false">
      <c r="A537" s="0" t="str">
        <f aca="false">Raw!A537</f>
        <v>SHP0536</v>
      </c>
      <c r="B537" s="0" t="str">
        <f aca="false">Raw!B537</f>
        <v>Outbound</v>
      </c>
      <c r="C537" s="0" t="str">
        <f aca="false">Raw!C537</f>
        <v>Surat</v>
      </c>
      <c r="D537" s="0" t="str">
        <f aca="false">Raw!D537</f>
        <v>Mumbai</v>
      </c>
      <c r="E537" s="0" t="str">
        <f aca="false">IFERROR(INDEX(Location_Map!$B$2:$B$15,MATCH(C537,Location_Map!$A$2:$A$15,0)),"UNMAPPED")</f>
        <v>Gujarat</v>
      </c>
      <c r="F537" s="0" t="str">
        <f aca="false">IFERROR(INDEX(Location_Map!$C$2:$C$15,MATCH(C537,Location_Map!$A$2:$A$15,0)),"UNMAPPED")</f>
        <v>West</v>
      </c>
      <c r="G537" s="0" t="str">
        <f aca="false">IFERROR(INDEX(Location_Map!$B$2:$B$15,MATCH(D537,Location_Map!$A$2:$A$15,0)),"UNMAPPED")</f>
        <v>Maharashtra</v>
      </c>
      <c r="H537" s="0" t="str">
        <f aca="false">IFERROR(INDEX(Location_Map!$C$2:$C$15,MATCH(D537,Location_Map!$A$2:$A$15,0)),"UNMAPPED")</f>
        <v>West</v>
      </c>
      <c r="I537" s="0" t="str">
        <f aca="false">Raw!E537</f>
        <v>Finished Yarn</v>
      </c>
      <c r="J537" s="28" t="n">
        <f aca="false">Raw!F537</f>
        <v>1.77</v>
      </c>
      <c r="K537" s="30" t="n">
        <f aca="false">DATE(LEFT(Raw!G537,4),MID(Raw!G537,6,2),MID(Raw!G537,9,2))</f>
        <v>45755</v>
      </c>
      <c r="L537" s="30" t="n">
        <f aca="false">DATE(LEFT(Raw!H537,4),MID(Raw!H537,6,2),MID(Raw!H537,9,2))</f>
        <v>45757</v>
      </c>
      <c r="M537" s="30" t="n">
        <f aca="false">DATE(LEFT(Raw!I537,4),MID(Raw!I537,6,2),MID(Raw!I537,9,2))</f>
        <v>45763</v>
      </c>
      <c r="N537" s="31" t="n">
        <f aca="false">DATE(LEFT(Raw!J537,4),MID(Raw!J537,6,2),MID(Raw!J537,9,2))+TIME(MID(Raw!J537,12,2),MID(Raw!J537,15,2),MID(Raw!J537,18,2))</f>
        <v>45756.7916666667</v>
      </c>
      <c r="O537" s="31" t="n">
        <f aca="false">DATE(LEFT(Raw!K537,4),MID(Raw!K537,6,2),MID(Raw!K537,9,2))+TIME(MID(Raw!K537,12,2),MID(Raw!K537,15,2),MID(Raw!K537,18,2))</f>
        <v>45768.2</v>
      </c>
      <c r="P537" s="32" t="n">
        <f aca="false">L537-K537</f>
        <v>2</v>
      </c>
      <c r="Q537" s="32" t="n">
        <f aca="false">M537-L537</f>
        <v>6</v>
      </c>
      <c r="R537" s="32" t="n">
        <f aca="false">O537-N537</f>
        <v>11.4083333333333</v>
      </c>
      <c r="S537" s="32" t="n">
        <f aca="false">Raw!L537</f>
        <v>5.2</v>
      </c>
      <c r="T537" s="32" t="n">
        <f aca="false">O537-M537</f>
        <v>5.2</v>
      </c>
      <c r="U537" s="0" t="str">
        <f aca="false">IF(ABS(T537-S537)&lt;0.01,"OK","MISMATCH")</f>
        <v>OK</v>
      </c>
      <c r="V537" s="33" t="n">
        <f aca="false">Raw!M537</f>
        <v>1</v>
      </c>
      <c r="W537" s="0" t="str">
        <f aca="false">IF((S537&gt;0)=(V537=1),"OK","MISMATCH")</f>
        <v>OK</v>
      </c>
      <c r="X537" s="0" t="str">
        <f aca="false">_xlfn.IFS(S537&lt;=0,"Early/On time",S537&lt;=2,"Minor (up to 2 days)",S537&lt;=5,"Moderate (2-5 days)",TRUE(),"Severe (over 5 days)")</f>
        <v>Severe (over 5 days)</v>
      </c>
      <c r="Y537" s="0" t="str">
        <f aca="false">YEAR(K537)&amp;"-"&amp;TEXT(MONTH(K537),"00")</f>
        <v>2025-04</v>
      </c>
      <c r="Z537" s="0" t="str">
        <f aca="false">C537&amp;" → "&amp;D537</f>
        <v>Surat → Mumbai</v>
      </c>
      <c r="AA537" s="0" t="str">
        <f aca="false">Raw!Q537</f>
        <v>TCI Express</v>
      </c>
      <c r="AB537" s="0" t="str">
        <f aca="false">Raw!R537</f>
        <v>No</v>
      </c>
      <c r="AC537" s="0" t="str">
        <f aca="false">Raw!S537</f>
        <v>Normal</v>
      </c>
      <c r="AD537" s="29" t="n">
        <f aca="false">Raw!N537</f>
        <v>1776.19</v>
      </c>
      <c r="AE537" s="29" t="n">
        <f aca="false">Raw!O537</f>
        <v>1521.41</v>
      </c>
      <c r="AF537" s="29" t="n">
        <f aca="false">Raw!P537</f>
        <v>703.53</v>
      </c>
      <c r="AG537" s="29" t="n">
        <f aca="false">AD537/J537</f>
        <v>1003.49717514124</v>
      </c>
    </row>
    <row r="538" customFormat="false" ht="15" hidden="false" customHeight="false" outlineLevel="0" collapsed="false">
      <c r="A538" s="0" t="str">
        <f aca="false">Raw!A538</f>
        <v>SHP0537</v>
      </c>
      <c r="B538" s="0" t="str">
        <f aca="false">Raw!B538</f>
        <v>Inbound</v>
      </c>
      <c r="C538" s="0" t="str">
        <f aca="false">Raw!C538</f>
        <v>Chennai</v>
      </c>
      <c r="D538" s="0" t="str">
        <f aca="false">Raw!D538</f>
        <v>Surat</v>
      </c>
      <c r="E538" s="0" t="str">
        <f aca="false">IFERROR(INDEX(Location_Map!$B$2:$B$15,MATCH(C538,Location_Map!$A$2:$A$15,0)),"UNMAPPED")</f>
        <v>Tamil Nadu</v>
      </c>
      <c r="F538" s="0" t="str">
        <f aca="false">IFERROR(INDEX(Location_Map!$C$2:$C$15,MATCH(C538,Location_Map!$A$2:$A$15,0)),"UNMAPPED")</f>
        <v>South</v>
      </c>
      <c r="G538" s="0" t="str">
        <f aca="false">IFERROR(INDEX(Location_Map!$B$2:$B$15,MATCH(D538,Location_Map!$A$2:$A$15,0)),"UNMAPPED")</f>
        <v>Gujarat</v>
      </c>
      <c r="H538" s="0" t="str">
        <f aca="false">IFERROR(INDEX(Location_Map!$C$2:$C$15,MATCH(D538,Location_Map!$A$2:$A$15,0)),"UNMAPPED")</f>
        <v>West</v>
      </c>
      <c r="I538" s="0" t="str">
        <f aca="false">Raw!E538</f>
        <v>Semi-Processed Yarn</v>
      </c>
      <c r="J538" s="28" t="n">
        <f aca="false">Raw!F538</f>
        <v>15.61</v>
      </c>
      <c r="K538" s="30" t="n">
        <f aca="false">DATE(LEFT(Raw!G538,4),MID(Raw!G538,6,2),MID(Raw!G538,9,2))</f>
        <v>45785</v>
      </c>
      <c r="L538" s="30" t="n">
        <f aca="false">DATE(LEFT(Raw!H538,4),MID(Raw!H538,6,2),MID(Raw!H538,9,2))</f>
        <v>45788</v>
      </c>
      <c r="M538" s="30" t="n">
        <f aca="false">DATE(LEFT(Raw!I538,4),MID(Raw!I538,6,2),MID(Raw!I538,9,2))</f>
        <v>45794</v>
      </c>
      <c r="N538" s="31" t="n">
        <f aca="false">DATE(LEFT(Raw!J538,4),MID(Raw!J538,6,2),MID(Raw!J538,9,2))+TIME(MID(Raw!J538,12,2),MID(Raw!J538,15,2),MID(Raw!J538,18,2))</f>
        <v>45787.7916666667</v>
      </c>
      <c r="O538" s="31" t="n">
        <f aca="false">DATE(LEFT(Raw!K538,4),MID(Raw!K538,6,2),MID(Raw!K538,9,2))+TIME(MID(Raw!K538,12,2),MID(Raw!K538,15,2),MID(Raw!K538,18,2))</f>
        <v>45793</v>
      </c>
      <c r="P538" s="32" t="n">
        <f aca="false">L538-K538</f>
        <v>3</v>
      </c>
      <c r="Q538" s="32" t="n">
        <f aca="false">M538-L538</f>
        <v>6</v>
      </c>
      <c r="R538" s="32" t="n">
        <f aca="false">O538-N538</f>
        <v>5.20833333333333</v>
      </c>
      <c r="S538" s="32" t="n">
        <f aca="false">Raw!L538</f>
        <v>-1</v>
      </c>
      <c r="T538" s="32" t="n">
        <f aca="false">O538-M538</f>
        <v>-1</v>
      </c>
      <c r="U538" s="0" t="str">
        <f aca="false">IF(ABS(T538-S538)&lt;0.01,"OK","MISMATCH")</f>
        <v>OK</v>
      </c>
      <c r="V538" s="33" t="n">
        <f aca="false">Raw!M538</f>
        <v>0</v>
      </c>
      <c r="W538" s="0" t="str">
        <f aca="false">IF((S538&gt;0)=(V538=1),"OK","MISMATCH")</f>
        <v>OK</v>
      </c>
      <c r="X538" s="0" t="str">
        <f aca="false">_xlfn.IFS(S538&lt;=0,"Early/On time",S538&lt;=2,"Minor (up to 2 days)",S538&lt;=5,"Moderate (2-5 days)",TRUE(),"Severe (over 5 days)")</f>
        <v>Early/On time</v>
      </c>
      <c r="Y538" s="0" t="str">
        <f aca="false">YEAR(K538)&amp;"-"&amp;TEXT(MONTH(K538),"00")</f>
        <v>2025-05</v>
      </c>
      <c r="Z538" s="0" t="str">
        <f aca="false">C538&amp;" → "&amp;D538</f>
        <v>Chennai → Surat</v>
      </c>
      <c r="AA538" s="0" t="str">
        <f aca="false">Raw!Q538</f>
        <v>TCI Express</v>
      </c>
      <c r="AB538" s="0" t="str">
        <f aca="false">Raw!R538</f>
        <v>Yes</v>
      </c>
      <c r="AC538" s="0" t="str">
        <f aca="false">Raw!S538</f>
        <v>Expedited</v>
      </c>
      <c r="AD538" s="29" t="n">
        <f aca="false">Raw!N538</f>
        <v>5328.85</v>
      </c>
      <c r="AE538" s="29" t="n">
        <f aca="false">Raw!O538</f>
        <v>4652.92</v>
      </c>
      <c r="AF538" s="29" t="n">
        <f aca="false">Raw!P538</f>
        <v>887.97</v>
      </c>
      <c r="AG538" s="29" t="n">
        <f aca="false">AD538/J538</f>
        <v>341.374119154388</v>
      </c>
    </row>
    <row r="539" customFormat="false" ht="15" hidden="false" customHeight="false" outlineLevel="0" collapsed="false">
      <c r="A539" s="0" t="str">
        <f aca="false">Raw!A539</f>
        <v>SHP0538</v>
      </c>
      <c r="B539" s="0" t="str">
        <f aca="false">Raw!B539</f>
        <v>Outbound</v>
      </c>
      <c r="C539" s="0" t="str">
        <f aca="false">Raw!C539</f>
        <v>Surat</v>
      </c>
      <c r="D539" s="0" t="str">
        <f aca="false">Raw!D539</f>
        <v>Madhya Pradesh</v>
      </c>
      <c r="E539" s="0" t="str">
        <f aca="false">IFERROR(INDEX(Location_Map!$B$2:$B$15,MATCH(C539,Location_Map!$A$2:$A$15,0)),"UNMAPPED")</f>
        <v>Gujarat</v>
      </c>
      <c r="F539" s="0" t="str">
        <f aca="false">IFERROR(INDEX(Location_Map!$C$2:$C$15,MATCH(C539,Location_Map!$A$2:$A$15,0)),"UNMAPPED")</f>
        <v>West</v>
      </c>
      <c r="G539" s="0" t="str">
        <f aca="false">IFERROR(INDEX(Location_Map!$B$2:$B$15,MATCH(D539,Location_Map!$A$2:$A$15,0)),"UNMAPPED")</f>
        <v>Madhya Pradesh</v>
      </c>
      <c r="H539" s="0" t="str">
        <f aca="false">IFERROR(INDEX(Location_Map!$C$2:$C$15,MATCH(D539,Location_Map!$A$2:$A$15,0)),"UNMAPPED")</f>
        <v>Central</v>
      </c>
      <c r="I539" s="0" t="str">
        <f aca="false">Raw!E539</f>
        <v>Raw Yarn</v>
      </c>
      <c r="J539" s="28" t="n">
        <f aca="false">Raw!F539</f>
        <v>16.76</v>
      </c>
      <c r="K539" s="30" t="n">
        <f aca="false">DATE(LEFT(Raw!G539,4),MID(Raw!G539,6,2),MID(Raw!G539,9,2))</f>
        <v>45698</v>
      </c>
      <c r="L539" s="30" t="n">
        <f aca="false">DATE(LEFT(Raw!H539,4),MID(Raw!H539,6,2),MID(Raw!H539,9,2))</f>
        <v>45702</v>
      </c>
      <c r="M539" s="30" t="n">
        <f aca="false">DATE(LEFT(Raw!I539,4),MID(Raw!I539,6,2),MID(Raw!I539,9,2))</f>
        <v>45708</v>
      </c>
      <c r="N539" s="31" t="n">
        <f aca="false">DATE(LEFT(Raw!J539,4),MID(Raw!J539,6,2),MID(Raw!J539,9,2))+TIME(MID(Raw!J539,12,2),MID(Raw!J539,15,2),MID(Raw!J539,18,2))</f>
        <v>45702.0416666667</v>
      </c>
      <c r="O539" s="31" t="n">
        <f aca="false">DATE(LEFT(Raw!K539,4),MID(Raw!K539,6,2),MID(Raw!K539,9,2))+TIME(MID(Raw!K539,12,2),MID(Raw!K539,15,2),MID(Raw!K539,18,2))</f>
        <v>45707.3</v>
      </c>
      <c r="P539" s="32" t="n">
        <f aca="false">L539-K539</f>
        <v>4</v>
      </c>
      <c r="Q539" s="32" t="n">
        <f aca="false">M539-L539</f>
        <v>6</v>
      </c>
      <c r="R539" s="32" t="n">
        <f aca="false">O539-N539</f>
        <v>5.25833333333333</v>
      </c>
      <c r="S539" s="32" t="n">
        <f aca="false">Raw!L539</f>
        <v>-0.7</v>
      </c>
      <c r="T539" s="32" t="n">
        <f aca="false">O539-M539</f>
        <v>-0.7</v>
      </c>
      <c r="U539" s="0" t="str">
        <f aca="false">IF(ABS(T539-S539)&lt;0.01,"OK","MISMATCH")</f>
        <v>OK</v>
      </c>
      <c r="V539" s="33" t="n">
        <f aca="false">Raw!M539</f>
        <v>0</v>
      </c>
      <c r="W539" s="0" t="str">
        <f aca="false">IF((S539&gt;0)=(V539=1),"OK","MISMATCH")</f>
        <v>OK</v>
      </c>
      <c r="X539" s="0" t="str">
        <f aca="false">_xlfn.IFS(S539&lt;=0,"Early/On time",S539&lt;=2,"Minor (up to 2 days)",S539&lt;=5,"Moderate (2-5 days)",TRUE(),"Severe (over 5 days)")</f>
        <v>Early/On time</v>
      </c>
      <c r="Y539" s="0" t="str">
        <f aca="false">YEAR(K539)&amp;"-"&amp;TEXT(MONTH(K539),"00")</f>
        <v>2025-02</v>
      </c>
      <c r="Z539" s="0" t="str">
        <f aca="false">C539&amp;" → "&amp;D539</f>
        <v>Surat → Madhya Pradesh</v>
      </c>
      <c r="AA539" s="0" t="str">
        <f aca="false">Raw!Q539</f>
        <v>VRL Cargo</v>
      </c>
      <c r="AB539" s="0" t="str">
        <f aca="false">Raw!R539</f>
        <v>No</v>
      </c>
      <c r="AC539" s="0" t="str">
        <f aca="false">Raw!S539</f>
        <v>Held at warehouse</v>
      </c>
      <c r="AD539" s="29" t="n">
        <f aca="false">Raw!N539</f>
        <v>11570.98</v>
      </c>
      <c r="AE539" s="29" t="n">
        <f aca="false">Raw!O539</f>
        <v>2453.62</v>
      </c>
      <c r="AF539" s="29" t="n">
        <f aca="false">Raw!P539</f>
        <v>1438.18</v>
      </c>
      <c r="AG539" s="29" t="n">
        <f aca="false">AD539/J539</f>
        <v>690.392601431981</v>
      </c>
    </row>
    <row r="540" customFormat="false" ht="15" hidden="false" customHeight="false" outlineLevel="0" collapsed="false">
      <c r="A540" s="0" t="str">
        <f aca="false">Raw!A540</f>
        <v>SHP0539</v>
      </c>
      <c r="B540" s="0" t="str">
        <f aca="false">Raw!B540</f>
        <v>Inbound</v>
      </c>
      <c r="C540" s="0" t="str">
        <f aca="false">Raw!C540</f>
        <v>Gujarat</v>
      </c>
      <c r="D540" s="0" t="str">
        <f aca="false">Raw!D540</f>
        <v>Surat</v>
      </c>
      <c r="E540" s="0" t="str">
        <f aca="false">IFERROR(INDEX(Location_Map!$B$2:$B$15,MATCH(C540,Location_Map!$A$2:$A$15,0)),"UNMAPPED")</f>
        <v>Gujarat</v>
      </c>
      <c r="F540" s="0" t="str">
        <f aca="false">IFERROR(INDEX(Location_Map!$C$2:$C$15,MATCH(C540,Location_Map!$A$2:$A$15,0)),"UNMAPPED")</f>
        <v>West</v>
      </c>
      <c r="G540" s="0" t="str">
        <f aca="false">IFERROR(INDEX(Location_Map!$B$2:$B$15,MATCH(D540,Location_Map!$A$2:$A$15,0)),"UNMAPPED")</f>
        <v>Gujarat</v>
      </c>
      <c r="H540" s="0" t="str">
        <f aca="false">IFERROR(INDEX(Location_Map!$C$2:$C$15,MATCH(D540,Location_Map!$A$2:$A$15,0)),"UNMAPPED")</f>
        <v>West</v>
      </c>
      <c r="I540" s="0" t="str">
        <f aca="false">Raw!E540</f>
        <v>Finished Yarn</v>
      </c>
      <c r="J540" s="28" t="n">
        <f aca="false">Raw!F540</f>
        <v>6.24</v>
      </c>
      <c r="K540" s="30" t="n">
        <f aca="false">DATE(LEFT(Raw!G540,4),MID(Raw!G540,6,2),MID(Raw!G540,9,2))</f>
        <v>45757</v>
      </c>
      <c r="L540" s="30" t="n">
        <f aca="false">DATE(LEFT(Raw!H540,4),MID(Raw!H540,6,2),MID(Raw!H540,9,2))</f>
        <v>45760</v>
      </c>
      <c r="M540" s="30" t="n">
        <f aca="false">DATE(LEFT(Raw!I540,4),MID(Raw!I540,6,2),MID(Raw!I540,9,2))</f>
        <v>45766</v>
      </c>
      <c r="N540" s="31" t="n">
        <f aca="false">DATE(LEFT(Raw!J540,4),MID(Raw!J540,6,2),MID(Raw!J540,9,2))+TIME(MID(Raw!J540,12,2),MID(Raw!J540,15,2),MID(Raw!J540,18,2))</f>
        <v>45759.9583333333</v>
      </c>
      <c r="O540" s="31" t="n">
        <f aca="false">DATE(LEFT(Raw!K540,4),MID(Raw!K540,6,2),MID(Raw!K540,9,2))+TIME(MID(Raw!K540,12,2),MID(Raw!K540,15,2),MID(Raw!K540,18,2))</f>
        <v>45769.9</v>
      </c>
      <c r="P540" s="32" t="n">
        <f aca="false">L540-K540</f>
        <v>3</v>
      </c>
      <c r="Q540" s="32" t="n">
        <f aca="false">M540-L540</f>
        <v>6</v>
      </c>
      <c r="R540" s="32" t="n">
        <f aca="false">O540-N540</f>
        <v>9.94166666666667</v>
      </c>
      <c r="S540" s="32" t="n">
        <f aca="false">Raw!L540</f>
        <v>3.9</v>
      </c>
      <c r="T540" s="32" t="n">
        <f aca="false">O540-M540</f>
        <v>3.9</v>
      </c>
      <c r="U540" s="0" t="str">
        <f aca="false">IF(ABS(T540-S540)&lt;0.01,"OK","MISMATCH")</f>
        <v>OK</v>
      </c>
      <c r="V540" s="33" t="n">
        <f aca="false">Raw!M540</f>
        <v>1</v>
      </c>
      <c r="W540" s="0" t="str">
        <f aca="false">IF((S540&gt;0)=(V540=1),"OK","MISMATCH")</f>
        <v>OK</v>
      </c>
      <c r="X540" s="0" t="str">
        <f aca="false">_xlfn.IFS(S540&lt;=0,"Early/On time",S540&lt;=2,"Minor (up to 2 days)",S540&lt;=5,"Moderate (2-5 days)",TRUE(),"Severe (over 5 days)")</f>
        <v>Moderate (2-5 days)</v>
      </c>
      <c r="Y540" s="0" t="str">
        <f aca="false">YEAR(K540)&amp;"-"&amp;TEXT(MONTH(K540),"00")</f>
        <v>2025-04</v>
      </c>
      <c r="Z540" s="0" t="str">
        <f aca="false">C540&amp;" → "&amp;D540</f>
        <v>Gujarat → Surat</v>
      </c>
      <c r="AA540" s="0" t="str">
        <f aca="false">Raw!Q540</f>
        <v>GATI Logistics</v>
      </c>
      <c r="AB540" s="0" t="str">
        <f aca="false">Raw!R540</f>
        <v>Yes</v>
      </c>
      <c r="AC540" s="0" t="str">
        <f aca="false">Raw!S540</f>
        <v>Damaged</v>
      </c>
      <c r="AD540" s="29" t="n">
        <f aca="false">Raw!N540</f>
        <v>2904.05</v>
      </c>
      <c r="AE540" s="29" t="n">
        <f aca="false">Raw!O540</f>
        <v>1813.95</v>
      </c>
      <c r="AF540" s="29" t="n">
        <f aca="false">Raw!P540</f>
        <v>1454.55</v>
      </c>
      <c r="AG540" s="29" t="n">
        <f aca="false">AD540/J540</f>
        <v>465.392628205128</v>
      </c>
    </row>
    <row r="541" customFormat="false" ht="15" hidden="false" customHeight="false" outlineLevel="0" collapsed="false">
      <c r="A541" s="0" t="str">
        <f aca="false">Raw!A541</f>
        <v>SHP0540</v>
      </c>
      <c r="B541" s="0" t="str">
        <f aca="false">Raw!B541</f>
        <v>Inbound</v>
      </c>
      <c r="C541" s="0" t="str">
        <f aca="false">Raw!C541</f>
        <v>Uttar Pradesh</v>
      </c>
      <c r="D541" s="0" t="str">
        <f aca="false">Raw!D541</f>
        <v>Surat</v>
      </c>
      <c r="E541" s="0" t="str">
        <f aca="false">IFERROR(INDEX(Location_Map!$B$2:$B$15,MATCH(C541,Location_Map!$A$2:$A$15,0)),"UNMAPPED")</f>
        <v>Uttar Pradesh</v>
      </c>
      <c r="F541" s="0" t="str">
        <f aca="false">IFERROR(INDEX(Location_Map!$C$2:$C$15,MATCH(C541,Location_Map!$A$2:$A$15,0)),"UNMAPPED")</f>
        <v>North</v>
      </c>
      <c r="G541" s="0" t="str">
        <f aca="false">IFERROR(INDEX(Location_Map!$B$2:$B$15,MATCH(D541,Location_Map!$A$2:$A$15,0)),"UNMAPPED")</f>
        <v>Gujarat</v>
      </c>
      <c r="H541" s="0" t="str">
        <f aca="false">IFERROR(INDEX(Location_Map!$C$2:$C$15,MATCH(D541,Location_Map!$A$2:$A$15,0)),"UNMAPPED")</f>
        <v>West</v>
      </c>
      <c r="I541" s="0" t="str">
        <f aca="false">Raw!E541</f>
        <v>Raw Yarn</v>
      </c>
      <c r="J541" s="28" t="n">
        <f aca="false">Raw!F541</f>
        <v>18.45</v>
      </c>
      <c r="K541" s="30" t="n">
        <f aca="false">DATE(LEFT(Raw!G541,4),MID(Raw!G541,6,2),MID(Raw!G541,9,2))</f>
        <v>45672</v>
      </c>
      <c r="L541" s="30" t="n">
        <f aca="false">DATE(LEFT(Raw!H541,4),MID(Raw!H541,6,2),MID(Raw!H541,9,2))</f>
        <v>45674</v>
      </c>
      <c r="M541" s="30" t="n">
        <f aca="false">DATE(LEFT(Raw!I541,4),MID(Raw!I541,6,2),MID(Raw!I541,9,2))</f>
        <v>45679</v>
      </c>
      <c r="N541" s="31" t="n">
        <f aca="false">DATE(LEFT(Raw!J541,4),MID(Raw!J541,6,2),MID(Raw!J541,9,2))+TIME(MID(Raw!J541,12,2),MID(Raw!J541,15,2),MID(Raw!J541,18,2))</f>
        <v>45673.8333333333</v>
      </c>
      <c r="O541" s="31" t="n">
        <f aca="false">DATE(LEFT(Raw!K541,4),MID(Raw!K541,6,2),MID(Raw!K541,9,2))+TIME(MID(Raw!K541,12,2),MID(Raw!K541,15,2),MID(Raw!K541,18,2))</f>
        <v>45683.4</v>
      </c>
      <c r="P541" s="32" t="n">
        <f aca="false">L541-K541</f>
        <v>2</v>
      </c>
      <c r="Q541" s="32" t="n">
        <f aca="false">M541-L541</f>
        <v>5</v>
      </c>
      <c r="R541" s="32" t="n">
        <f aca="false">O541-N541</f>
        <v>9.56666666666667</v>
      </c>
      <c r="S541" s="32" t="n">
        <f aca="false">Raw!L541</f>
        <v>4.4</v>
      </c>
      <c r="T541" s="32" t="n">
        <f aca="false">O541-M541</f>
        <v>4.4</v>
      </c>
      <c r="U541" s="0" t="str">
        <f aca="false">IF(ABS(T541-S541)&lt;0.01,"OK","MISMATCH")</f>
        <v>OK</v>
      </c>
      <c r="V541" s="33" t="n">
        <f aca="false">Raw!M541</f>
        <v>1</v>
      </c>
      <c r="W541" s="0" t="str">
        <f aca="false">IF((S541&gt;0)=(V541=1),"OK","MISMATCH")</f>
        <v>OK</v>
      </c>
      <c r="X541" s="0" t="str">
        <f aca="false">_xlfn.IFS(S541&lt;=0,"Early/On time",S541&lt;=2,"Minor (up to 2 days)",S541&lt;=5,"Moderate (2-5 days)",TRUE(),"Severe (over 5 days)")</f>
        <v>Moderate (2-5 days)</v>
      </c>
      <c r="Y541" s="0" t="str">
        <f aca="false">YEAR(K541)&amp;"-"&amp;TEXT(MONTH(K541),"00")</f>
        <v>2025-01</v>
      </c>
      <c r="Z541" s="0" t="str">
        <f aca="false">C541&amp;" → "&amp;D541</f>
        <v>Uttar Pradesh → Surat</v>
      </c>
      <c r="AA541" s="0" t="str">
        <f aca="false">Raw!Q541</f>
        <v>TCI Express</v>
      </c>
      <c r="AB541" s="0" t="str">
        <f aca="false">Raw!R541</f>
        <v>Yes</v>
      </c>
      <c r="AC541" s="0" t="str">
        <f aca="false">Raw!S541</f>
        <v>Expedited</v>
      </c>
      <c r="AD541" s="29" t="n">
        <f aca="false">Raw!N541</f>
        <v>10079.08</v>
      </c>
      <c r="AE541" s="29" t="n">
        <f aca="false">Raw!O541</f>
        <v>4478.13</v>
      </c>
      <c r="AF541" s="29" t="n">
        <f aca="false">Raw!P541</f>
        <v>680.66</v>
      </c>
      <c r="AG541" s="29" t="n">
        <f aca="false">AD541/J541</f>
        <v>546.291598915989</v>
      </c>
    </row>
    <row r="542" customFormat="false" ht="15" hidden="false" customHeight="false" outlineLevel="0" collapsed="false">
      <c r="A542" s="0" t="str">
        <f aca="false">Raw!A542</f>
        <v>SHP0541</v>
      </c>
      <c r="B542" s="0" t="str">
        <f aca="false">Raw!B542</f>
        <v>Inbound</v>
      </c>
      <c r="C542" s="0" t="str">
        <f aca="false">Raw!C542</f>
        <v>Punjab</v>
      </c>
      <c r="D542" s="0" t="str">
        <f aca="false">Raw!D542</f>
        <v>Surat</v>
      </c>
      <c r="E542" s="0" t="str">
        <f aca="false">IFERROR(INDEX(Location_Map!$B$2:$B$15,MATCH(C542,Location_Map!$A$2:$A$15,0)),"UNMAPPED")</f>
        <v>Punjab</v>
      </c>
      <c r="F542" s="0" t="str">
        <f aca="false">IFERROR(INDEX(Location_Map!$C$2:$C$15,MATCH(C542,Location_Map!$A$2:$A$15,0)),"UNMAPPED")</f>
        <v>North</v>
      </c>
      <c r="G542" s="0" t="str">
        <f aca="false">IFERROR(INDEX(Location_Map!$B$2:$B$15,MATCH(D542,Location_Map!$A$2:$A$15,0)),"UNMAPPED")</f>
        <v>Gujarat</v>
      </c>
      <c r="H542" s="0" t="str">
        <f aca="false">IFERROR(INDEX(Location_Map!$C$2:$C$15,MATCH(D542,Location_Map!$A$2:$A$15,0)),"UNMAPPED")</f>
        <v>West</v>
      </c>
      <c r="I542" s="0" t="str">
        <f aca="false">Raw!E542</f>
        <v>Semi-Processed Yarn</v>
      </c>
      <c r="J542" s="28" t="n">
        <f aca="false">Raw!F542</f>
        <v>19.01</v>
      </c>
      <c r="K542" s="30" t="n">
        <f aca="false">DATE(LEFT(Raw!G542,4),MID(Raw!G542,6,2),MID(Raw!G542,9,2))</f>
        <v>45723</v>
      </c>
      <c r="L542" s="30" t="n">
        <f aca="false">DATE(LEFT(Raw!H542,4),MID(Raw!H542,6,2),MID(Raw!H542,9,2))</f>
        <v>45725</v>
      </c>
      <c r="M542" s="30" t="n">
        <f aca="false">DATE(LEFT(Raw!I542,4),MID(Raw!I542,6,2),MID(Raw!I542,9,2))</f>
        <v>45727</v>
      </c>
      <c r="N542" s="31" t="n">
        <f aca="false">DATE(LEFT(Raw!J542,4),MID(Raw!J542,6,2),MID(Raw!J542,9,2))+TIME(MID(Raw!J542,12,2),MID(Raw!J542,15,2),MID(Raw!J542,18,2))</f>
        <v>45725.375</v>
      </c>
      <c r="O542" s="31" t="n">
        <f aca="false">DATE(LEFT(Raw!K542,4),MID(Raw!K542,6,2),MID(Raw!K542,9,2))+TIME(MID(Raw!K542,12,2),MID(Raw!K542,15,2),MID(Raw!K542,18,2))</f>
        <v>45728.1</v>
      </c>
      <c r="P542" s="32" t="n">
        <f aca="false">L542-K542</f>
        <v>2</v>
      </c>
      <c r="Q542" s="32" t="n">
        <f aca="false">M542-L542</f>
        <v>2</v>
      </c>
      <c r="R542" s="32" t="n">
        <f aca="false">O542-N542</f>
        <v>2.725</v>
      </c>
      <c r="S542" s="32" t="n">
        <f aca="false">Raw!L542</f>
        <v>1.1</v>
      </c>
      <c r="T542" s="32" t="n">
        <f aca="false">O542-M542</f>
        <v>1.1</v>
      </c>
      <c r="U542" s="0" t="str">
        <f aca="false">IF(ABS(T542-S542)&lt;0.01,"OK","MISMATCH")</f>
        <v>OK</v>
      </c>
      <c r="V542" s="33" t="n">
        <f aca="false">Raw!M542</f>
        <v>1</v>
      </c>
      <c r="W542" s="0" t="str">
        <f aca="false">IF((S542&gt;0)=(V542=1),"OK","MISMATCH")</f>
        <v>OK</v>
      </c>
      <c r="X542" s="0" t="str">
        <f aca="false">_xlfn.IFS(S542&lt;=0,"Early/On time",S542&lt;=2,"Minor (up to 2 days)",S542&lt;=5,"Moderate (2-5 days)",TRUE(),"Severe (over 5 days)")</f>
        <v>Minor (up to 2 days)</v>
      </c>
      <c r="Y542" s="0" t="str">
        <f aca="false">YEAR(K542)&amp;"-"&amp;TEXT(MONTH(K542),"00")</f>
        <v>2025-03</v>
      </c>
      <c r="Z542" s="0" t="str">
        <f aca="false">C542&amp;" → "&amp;D542</f>
        <v>Punjab → Surat</v>
      </c>
      <c r="AA542" s="0" t="str">
        <f aca="false">Raw!Q542</f>
        <v>BlueDart</v>
      </c>
      <c r="AB542" s="0" t="str">
        <f aca="false">Raw!R542</f>
        <v>No</v>
      </c>
      <c r="AC542" s="0" t="str">
        <f aca="false">Raw!S542</f>
        <v>Damaged</v>
      </c>
      <c r="AD542" s="29" t="n">
        <f aca="false">Raw!N542</f>
        <v>9682.87</v>
      </c>
      <c r="AE542" s="29" t="n">
        <f aca="false">Raw!O542</f>
        <v>1913.33</v>
      </c>
      <c r="AF542" s="29" t="n">
        <f aca="false">Raw!P542</f>
        <v>558.46</v>
      </c>
      <c r="AG542" s="29" t="n">
        <f aca="false">AD542/J542</f>
        <v>509.356654392425</v>
      </c>
    </row>
    <row r="543" customFormat="false" ht="15" hidden="false" customHeight="false" outlineLevel="0" collapsed="false">
      <c r="A543" s="0" t="str">
        <f aca="false">Raw!A543</f>
        <v>SHP0542</v>
      </c>
      <c r="B543" s="0" t="str">
        <f aca="false">Raw!B543</f>
        <v>Inbound</v>
      </c>
      <c r="C543" s="0" t="str">
        <f aca="false">Raw!C543</f>
        <v>Gujarat</v>
      </c>
      <c r="D543" s="0" t="str">
        <f aca="false">Raw!D543</f>
        <v>Surat</v>
      </c>
      <c r="E543" s="0" t="str">
        <f aca="false">IFERROR(INDEX(Location_Map!$B$2:$B$15,MATCH(C543,Location_Map!$A$2:$A$15,0)),"UNMAPPED")</f>
        <v>Gujarat</v>
      </c>
      <c r="F543" s="0" t="str">
        <f aca="false">IFERROR(INDEX(Location_Map!$C$2:$C$15,MATCH(C543,Location_Map!$A$2:$A$15,0)),"UNMAPPED")</f>
        <v>West</v>
      </c>
      <c r="G543" s="0" t="str">
        <f aca="false">IFERROR(INDEX(Location_Map!$B$2:$B$15,MATCH(D543,Location_Map!$A$2:$A$15,0)),"UNMAPPED")</f>
        <v>Gujarat</v>
      </c>
      <c r="H543" s="0" t="str">
        <f aca="false">IFERROR(INDEX(Location_Map!$C$2:$C$15,MATCH(D543,Location_Map!$A$2:$A$15,0)),"UNMAPPED")</f>
        <v>West</v>
      </c>
      <c r="I543" s="0" t="str">
        <f aca="false">Raw!E543</f>
        <v>Raw Yarn</v>
      </c>
      <c r="J543" s="28" t="n">
        <f aca="false">Raw!F543</f>
        <v>6.7</v>
      </c>
      <c r="K543" s="30" t="n">
        <f aca="false">DATE(LEFT(Raw!G543,4),MID(Raw!G543,6,2),MID(Raw!G543,9,2))</f>
        <v>45800</v>
      </c>
      <c r="L543" s="30" t="n">
        <f aca="false">DATE(LEFT(Raw!H543,4),MID(Raw!H543,6,2),MID(Raw!H543,9,2))</f>
        <v>45801</v>
      </c>
      <c r="M543" s="30" t="n">
        <f aca="false">DATE(LEFT(Raw!I543,4),MID(Raw!I543,6,2),MID(Raw!I543,9,2))</f>
        <v>45804</v>
      </c>
      <c r="N543" s="31" t="n">
        <f aca="false">DATE(LEFT(Raw!J543,4),MID(Raw!J543,6,2),MID(Raw!J543,9,2))+TIME(MID(Raw!J543,12,2),MID(Raw!J543,15,2),MID(Raw!J543,18,2))</f>
        <v>45800.7916666667</v>
      </c>
      <c r="O543" s="31" t="n">
        <f aca="false">DATE(LEFT(Raw!K543,4),MID(Raw!K543,6,2),MID(Raw!K543,9,2))+TIME(MID(Raw!K543,12,2),MID(Raw!K543,15,2),MID(Raw!K543,18,2))</f>
        <v>45813.7</v>
      </c>
      <c r="P543" s="32" t="n">
        <f aca="false">L543-K543</f>
        <v>1</v>
      </c>
      <c r="Q543" s="32" t="n">
        <f aca="false">M543-L543</f>
        <v>3</v>
      </c>
      <c r="R543" s="32" t="n">
        <f aca="false">O543-N543</f>
        <v>12.9083333333333</v>
      </c>
      <c r="S543" s="32" t="n">
        <f aca="false">Raw!L543</f>
        <v>9.7</v>
      </c>
      <c r="T543" s="32" t="n">
        <f aca="false">O543-M543</f>
        <v>9.7</v>
      </c>
      <c r="U543" s="0" t="str">
        <f aca="false">IF(ABS(T543-S543)&lt;0.01,"OK","MISMATCH")</f>
        <v>OK</v>
      </c>
      <c r="V543" s="33" t="n">
        <f aca="false">Raw!M543</f>
        <v>1</v>
      </c>
      <c r="W543" s="0" t="str">
        <f aca="false">IF((S543&gt;0)=(V543=1),"OK","MISMATCH")</f>
        <v>OK</v>
      </c>
      <c r="X543" s="0" t="str">
        <f aca="false">_xlfn.IFS(S543&lt;=0,"Early/On time",S543&lt;=2,"Minor (up to 2 days)",S543&lt;=5,"Moderate (2-5 days)",TRUE(),"Severe (over 5 days)")</f>
        <v>Severe (over 5 days)</v>
      </c>
      <c r="Y543" s="0" t="str">
        <f aca="false">YEAR(K543)&amp;"-"&amp;TEXT(MONTH(K543),"00")</f>
        <v>2025-05</v>
      </c>
      <c r="Z543" s="0" t="str">
        <f aca="false">C543&amp;" → "&amp;D543</f>
        <v>Gujarat → Surat</v>
      </c>
      <c r="AA543" s="0" t="str">
        <f aca="false">Raw!Q543</f>
        <v>VRL Cargo</v>
      </c>
      <c r="AB543" s="0" t="str">
        <f aca="false">Raw!R543</f>
        <v>Yes</v>
      </c>
      <c r="AC543" s="0" t="str">
        <f aca="false">Raw!S543</f>
        <v>Expedited</v>
      </c>
      <c r="AD543" s="29" t="n">
        <f aca="false">Raw!N543</f>
        <v>2641.48</v>
      </c>
      <c r="AE543" s="29" t="n">
        <f aca="false">Raw!O543</f>
        <v>3333.23</v>
      </c>
      <c r="AF543" s="29" t="n">
        <f aca="false">Raw!P543</f>
        <v>1384.34</v>
      </c>
      <c r="AG543" s="29" t="n">
        <f aca="false">AD543/J543</f>
        <v>394.250746268657</v>
      </c>
    </row>
    <row r="544" customFormat="false" ht="15" hidden="false" customHeight="false" outlineLevel="0" collapsed="false">
      <c r="A544" s="0" t="str">
        <f aca="false">Raw!A544</f>
        <v>SHP0543</v>
      </c>
      <c r="B544" s="0" t="str">
        <f aca="false">Raw!B544</f>
        <v>Inbound</v>
      </c>
      <c r="C544" s="0" t="str">
        <f aca="false">Raw!C544</f>
        <v>Rajasthan</v>
      </c>
      <c r="D544" s="0" t="str">
        <f aca="false">Raw!D544</f>
        <v>Surat</v>
      </c>
      <c r="E544" s="0" t="str">
        <f aca="false">IFERROR(INDEX(Location_Map!$B$2:$B$15,MATCH(C544,Location_Map!$A$2:$A$15,0)),"UNMAPPED")</f>
        <v>Rajasthan</v>
      </c>
      <c r="F544" s="0" t="str">
        <f aca="false">IFERROR(INDEX(Location_Map!$C$2:$C$15,MATCH(C544,Location_Map!$A$2:$A$15,0)),"UNMAPPED")</f>
        <v>North</v>
      </c>
      <c r="G544" s="0" t="str">
        <f aca="false">IFERROR(INDEX(Location_Map!$B$2:$B$15,MATCH(D544,Location_Map!$A$2:$A$15,0)),"UNMAPPED")</f>
        <v>Gujarat</v>
      </c>
      <c r="H544" s="0" t="str">
        <f aca="false">IFERROR(INDEX(Location_Map!$C$2:$C$15,MATCH(D544,Location_Map!$A$2:$A$15,0)),"UNMAPPED")</f>
        <v>West</v>
      </c>
      <c r="I544" s="0" t="str">
        <f aca="false">Raw!E544</f>
        <v>Semi-Processed Yarn</v>
      </c>
      <c r="J544" s="28" t="n">
        <f aca="false">Raw!F544</f>
        <v>3.88</v>
      </c>
      <c r="K544" s="30" t="n">
        <f aca="false">DATE(LEFT(Raw!G544,4),MID(Raw!G544,6,2),MID(Raw!G544,9,2))</f>
        <v>45837</v>
      </c>
      <c r="L544" s="30" t="n">
        <f aca="false">DATE(LEFT(Raw!H544,4),MID(Raw!H544,6,2),MID(Raw!H544,9,2))</f>
        <v>45840</v>
      </c>
      <c r="M544" s="30" t="n">
        <f aca="false">DATE(LEFT(Raw!I544,4),MID(Raw!I544,6,2),MID(Raw!I544,9,2))</f>
        <v>45845</v>
      </c>
      <c r="N544" s="31" t="n">
        <f aca="false">DATE(LEFT(Raw!J544,4),MID(Raw!J544,6,2),MID(Raw!J544,9,2))+TIME(MID(Raw!J544,12,2),MID(Raw!J544,15,2),MID(Raw!J544,18,2))</f>
        <v>45840.0416666667</v>
      </c>
      <c r="O544" s="31" t="n">
        <f aca="false">DATE(LEFT(Raw!K544,4),MID(Raw!K544,6,2),MID(Raw!K544,9,2))+TIME(MID(Raw!K544,12,2),MID(Raw!K544,15,2),MID(Raw!K544,18,2))</f>
        <v>45844.8</v>
      </c>
      <c r="P544" s="32" t="n">
        <f aca="false">L544-K544</f>
        <v>3</v>
      </c>
      <c r="Q544" s="32" t="n">
        <f aca="false">M544-L544</f>
        <v>5</v>
      </c>
      <c r="R544" s="32" t="n">
        <f aca="false">O544-N544</f>
        <v>4.75833333333333</v>
      </c>
      <c r="S544" s="32" t="n">
        <f aca="false">Raw!L544</f>
        <v>-0.2</v>
      </c>
      <c r="T544" s="32" t="n">
        <f aca="false">O544-M544</f>
        <v>-0.2</v>
      </c>
      <c r="U544" s="0" t="str">
        <f aca="false">IF(ABS(T544-S544)&lt;0.01,"OK","MISMATCH")</f>
        <v>OK</v>
      </c>
      <c r="V544" s="33" t="n">
        <f aca="false">Raw!M544</f>
        <v>0</v>
      </c>
      <c r="W544" s="0" t="str">
        <f aca="false">IF((S544&gt;0)=(V544=1),"OK","MISMATCH")</f>
        <v>OK</v>
      </c>
      <c r="X544" s="0" t="str">
        <f aca="false">_xlfn.IFS(S544&lt;=0,"Early/On time",S544&lt;=2,"Minor (up to 2 days)",S544&lt;=5,"Moderate (2-5 days)",TRUE(),"Severe (over 5 days)")</f>
        <v>Early/On time</v>
      </c>
      <c r="Y544" s="0" t="str">
        <f aca="false">YEAR(K544)&amp;"-"&amp;TEXT(MONTH(K544),"00")</f>
        <v>2025-06</v>
      </c>
      <c r="Z544" s="0" t="str">
        <f aca="false">C544&amp;" → "&amp;D544</f>
        <v>Rajasthan → Surat</v>
      </c>
      <c r="AA544" s="0" t="str">
        <f aca="false">Raw!Q544</f>
        <v>BlueDart</v>
      </c>
      <c r="AB544" s="0" t="str">
        <f aca="false">Raw!R544</f>
        <v>No</v>
      </c>
      <c r="AC544" s="0" t="str">
        <f aca="false">Raw!S544</f>
        <v>Normal</v>
      </c>
      <c r="AD544" s="29" t="n">
        <f aca="false">Raw!N544</f>
        <v>3015.82</v>
      </c>
      <c r="AE544" s="29" t="n">
        <f aca="false">Raw!O544</f>
        <v>1524.23</v>
      </c>
      <c r="AF544" s="29" t="n">
        <f aca="false">Raw!P544</f>
        <v>1297.39</v>
      </c>
      <c r="AG544" s="29" t="n">
        <f aca="false">AD544/J544</f>
        <v>777.273195876289</v>
      </c>
    </row>
    <row r="545" customFormat="false" ht="15" hidden="false" customHeight="false" outlineLevel="0" collapsed="false">
      <c r="A545" s="0" t="str">
        <f aca="false">Raw!A545</f>
        <v>SHP0544</v>
      </c>
      <c r="B545" s="0" t="str">
        <f aca="false">Raw!B545</f>
        <v>Inbound</v>
      </c>
      <c r="C545" s="0" t="str">
        <f aca="false">Raw!C545</f>
        <v>Chennai</v>
      </c>
      <c r="D545" s="0" t="str">
        <f aca="false">Raw!D545</f>
        <v>Surat</v>
      </c>
      <c r="E545" s="0" t="str">
        <f aca="false">IFERROR(INDEX(Location_Map!$B$2:$B$15,MATCH(C545,Location_Map!$A$2:$A$15,0)),"UNMAPPED")</f>
        <v>Tamil Nadu</v>
      </c>
      <c r="F545" s="0" t="str">
        <f aca="false">IFERROR(INDEX(Location_Map!$C$2:$C$15,MATCH(C545,Location_Map!$A$2:$A$15,0)),"UNMAPPED")</f>
        <v>South</v>
      </c>
      <c r="G545" s="0" t="str">
        <f aca="false">IFERROR(INDEX(Location_Map!$B$2:$B$15,MATCH(D545,Location_Map!$A$2:$A$15,0)),"UNMAPPED")</f>
        <v>Gujarat</v>
      </c>
      <c r="H545" s="0" t="str">
        <f aca="false">IFERROR(INDEX(Location_Map!$C$2:$C$15,MATCH(D545,Location_Map!$A$2:$A$15,0)),"UNMAPPED")</f>
        <v>West</v>
      </c>
      <c r="I545" s="0" t="str">
        <f aca="false">Raw!E545</f>
        <v>Semi-Processed Yarn</v>
      </c>
      <c r="J545" s="28" t="n">
        <f aca="false">Raw!F545</f>
        <v>10.65</v>
      </c>
      <c r="K545" s="30" t="n">
        <f aca="false">DATE(LEFT(Raw!G545,4),MID(Raw!G545,6,2),MID(Raw!G545,9,2))</f>
        <v>45883</v>
      </c>
      <c r="L545" s="30" t="n">
        <f aca="false">DATE(LEFT(Raw!H545,4),MID(Raw!H545,6,2),MID(Raw!H545,9,2))</f>
        <v>45885</v>
      </c>
      <c r="M545" s="30" t="n">
        <f aca="false">DATE(LEFT(Raw!I545,4),MID(Raw!I545,6,2),MID(Raw!I545,9,2))</f>
        <v>45889</v>
      </c>
      <c r="N545" s="31" t="n">
        <f aca="false">DATE(LEFT(Raw!J545,4),MID(Raw!J545,6,2),MID(Raw!J545,9,2))+TIME(MID(Raw!J545,12,2),MID(Raw!J545,15,2),MID(Raw!J545,18,2))</f>
        <v>45884.8333333333</v>
      </c>
      <c r="O545" s="31" t="n">
        <f aca="false">DATE(LEFT(Raw!K545,4),MID(Raw!K545,6,2),MID(Raw!K545,9,2))+TIME(MID(Raw!K545,12,2),MID(Raw!K545,15,2),MID(Raw!K545,18,2))</f>
        <v>45896</v>
      </c>
      <c r="P545" s="32" t="n">
        <f aca="false">L545-K545</f>
        <v>2</v>
      </c>
      <c r="Q545" s="32" t="n">
        <f aca="false">M545-L545</f>
        <v>4</v>
      </c>
      <c r="R545" s="32" t="n">
        <f aca="false">O545-N545</f>
        <v>11.1666666666667</v>
      </c>
      <c r="S545" s="32" t="n">
        <f aca="false">Raw!L545</f>
        <v>7</v>
      </c>
      <c r="T545" s="32" t="n">
        <f aca="false">O545-M545</f>
        <v>7</v>
      </c>
      <c r="U545" s="0" t="str">
        <f aca="false">IF(ABS(T545-S545)&lt;0.01,"OK","MISMATCH")</f>
        <v>OK</v>
      </c>
      <c r="V545" s="33" t="n">
        <f aca="false">Raw!M545</f>
        <v>1</v>
      </c>
      <c r="W545" s="0" t="str">
        <f aca="false">IF((S545&gt;0)=(V545=1),"OK","MISMATCH")</f>
        <v>OK</v>
      </c>
      <c r="X545" s="0" t="str">
        <f aca="false">_xlfn.IFS(S545&lt;=0,"Early/On time",S545&lt;=2,"Minor (up to 2 days)",S545&lt;=5,"Moderate (2-5 days)",TRUE(),"Severe (over 5 days)")</f>
        <v>Severe (over 5 days)</v>
      </c>
      <c r="Y545" s="0" t="str">
        <f aca="false">YEAR(K545)&amp;"-"&amp;TEXT(MONTH(K545),"00")</f>
        <v>2025-08</v>
      </c>
      <c r="Z545" s="0" t="str">
        <f aca="false">C545&amp;" → "&amp;D545</f>
        <v>Chennai → Surat</v>
      </c>
      <c r="AA545" s="0" t="str">
        <f aca="false">Raw!Q545</f>
        <v>BlueDart</v>
      </c>
      <c r="AB545" s="0" t="str">
        <f aca="false">Raw!R545</f>
        <v>No</v>
      </c>
      <c r="AC545" s="0" t="str">
        <f aca="false">Raw!S545</f>
        <v>Held at warehouse</v>
      </c>
      <c r="AD545" s="29" t="n">
        <f aca="false">Raw!N545</f>
        <v>6611.69</v>
      </c>
      <c r="AE545" s="29" t="n">
        <f aca="false">Raw!O545</f>
        <v>2438.88</v>
      </c>
      <c r="AF545" s="29" t="n">
        <f aca="false">Raw!P545</f>
        <v>1036.16</v>
      </c>
      <c r="AG545" s="29" t="n">
        <f aca="false">AD545/J545</f>
        <v>620.815962441315</v>
      </c>
    </row>
    <row r="546" customFormat="false" ht="15" hidden="false" customHeight="false" outlineLevel="0" collapsed="false">
      <c r="A546" s="0" t="str">
        <f aca="false">Raw!A546</f>
        <v>SHP0545</v>
      </c>
      <c r="B546" s="0" t="str">
        <f aca="false">Raw!B546</f>
        <v>Outbound</v>
      </c>
      <c r="C546" s="0" t="str">
        <f aca="false">Raw!C546</f>
        <v>Surat</v>
      </c>
      <c r="D546" s="0" t="str">
        <f aca="false">Raw!D546</f>
        <v>Madhya Pradesh</v>
      </c>
      <c r="E546" s="0" t="str">
        <f aca="false">IFERROR(INDEX(Location_Map!$B$2:$B$15,MATCH(C546,Location_Map!$A$2:$A$15,0)),"UNMAPPED")</f>
        <v>Gujarat</v>
      </c>
      <c r="F546" s="0" t="str">
        <f aca="false">IFERROR(INDEX(Location_Map!$C$2:$C$15,MATCH(C546,Location_Map!$A$2:$A$15,0)),"UNMAPPED")</f>
        <v>West</v>
      </c>
      <c r="G546" s="0" t="str">
        <f aca="false">IFERROR(INDEX(Location_Map!$B$2:$B$15,MATCH(D546,Location_Map!$A$2:$A$15,0)),"UNMAPPED")</f>
        <v>Madhya Pradesh</v>
      </c>
      <c r="H546" s="0" t="str">
        <f aca="false">IFERROR(INDEX(Location_Map!$C$2:$C$15,MATCH(D546,Location_Map!$A$2:$A$15,0)),"UNMAPPED")</f>
        <v>Central</v>
      </c>
      <c r="I546" s="0" t="str">
        <f aca="false">Raw!E546</f>
        <v>Raw Yarn</v>
      </c>
      <c r="J546" s="28" t="n">
        <f aca="false">Raw!F546</f>
        <v>14.63</v>
      </c>
      <c r="K546" s="30" t="n">
        <f aca="false">DATE(LEFT(Raw!G546,4),MID(Raw!G546,6,2),MID(Raw!G546,9,2))</f>
        <v>45791</v>
      </c>
      <c r="L546" s="30" t="n">
        <f aca="false">DATE(LEFT(Raw!H546,4),MID(Raw!H546,6,2),MID(Raw!H546,9,2))</f>
        <v>45795</v>
      </c>
      <c r="M546" s="30" t="n">
        <f aca="false">DATE(LEFT(Raw!I546,4),MID(Raw!I546,6,2),MID(Raw!I546,9,2))</f>
        <v>45800</v>
      </c>
      <c r="N546" s="31" t="n">
        <f aca="false">DATE(LEFT(Raw!J546,4),MID(Raw!J546,6,2),MID(Raw!J546,9,2))+TIME(MID(Raw!J546,12,2),MID(Raw!J546,15,2),MID(Raw!J546,18,2))</f>
        <v>45794.7916666667</v>
      </c>
      <c r="O546" s="31" t="n">
        <f aca="false">DATE(LEFT(Raw!K546,4),MID(Raw!K546,6,2),MID(Raw!K546,9,2))+TIME(MID(Raw!K546,12,2),MID(Raw!K546,15,2),MID(Raw!K546,18,2))</f>
        <v>45806.9</v>
      </c>
      <c r="P546" s="32" t="n">
        <f aca="false">L546-K546</f>
        <v>4</v>
      </c>
      <c r="Q546" s="32" t="n">
        <f aca="false">M546-L546</f>
        <v>5</v>
      </c>
      <c r="R546" s="32" t="n">
        <f aca="false">O546-N546</f>
        <v>12.1083333333333</v>
      </c>
      <c r="S546" s="32" t="n">
        <f aca="false">Raw!L546</f>
        <v>6.9</v>
      </c>
      <c r="T546" s="32" t="n">
        <f aca="false">O546-M546</f>
        <v>6.9</v>
      </c>
      <c r="U546" s="0" t="str">
        <f aca="false">IF(ABS(T546-S546)&lt;0.01,"OK","MISMATCH")</f>
        <v>OK</v>
      </c>
      <c r="V546" s="33" t="n">
        <f aca="false">Raw!M546</f>
        <v>1</v>
      </c>
      <c r="W546" s="0" t="str">
        <f aca="false">IF((S546&gt;0)=(V546=1),"OK","MISMATCH")</f>
        <v>OK</v>
      </c>
      <c r="X546" s="0" t="str">
        <f aca="false">_xlfn.IFS(S546&lt;=0,"Early/On time",S546&lt;=2,"Minor (up to 2 days)",S546&lt;=5,"Moderate (2-5 days)",TRUE(),"Severe (over 5 days)")</f>
        <v>Severe (over 5 days)</v>
      </c>
      <c r="Y546" s="0" t="str">
        <f aca="false">YEAR(K546)&amp;"-"&amp;TEXT(MONTH(K546),"00")</f>
        <v>2025-05</v>
      </c>
      <c r="Z546" s="0" t="str">
        <f aca="false">C546&amp;" → "&amp;D546</f>
        <v>Surat → Madhya Pradesh</v>
      </c>
      <c r="AA546" s="0" t="str">
        <f aca="false">Raw!Q546</f>
        <v>BlueDart</v>
      </c>
      <c r="AB546" s="0" t="str">
        <f aca="false">Raw!R546</f>
        <v>Yes</v>
      </c>
      <c r="AC546" s="0" t="str">
        <f aca="false">Raw!S546</f>
        <v>Expedited</v>
      </c>
      <c r="AD546" s="29" t="n">
        <f aca="false">Raw!N546</f>
        <v>6025.25</v>
      </c>
      <c r="AE546" s="29" t="n">
        <f aca="false">Raw!O546</f>
        <v>2922.24</v>
      </c>
      <c r="AF546" s="29" t="n">
        <f aca="false">Raw!P546</f>
        <v>568.75</v>
      </c>
      <c r="AG546" s="29" t="n">
        <f aca="false">AD546/J546</f>
        <v>411.842105263158</v>
      </c>
    </row>
    <row r="547" customFormat="false" ht="15" hidden="false" customHeight="false" outlineLevel="0" collapsed="false">
      <c r="A547" s="0" t="str">
        <f aca="false">Raw!A547</f>
        <v>SHP0546</v>
      </c>
      <c r="B547" s="0" t="str">
        <f aca="false">Raw!B547</f>
        <v>Outbound</v>
      </c>
      <c r="C547" s="0" t="str">
        <f aca="false">Raw!C547</f>
        <v>Surat</v>
      </c>
      <c r="D547" s="0" t="str">
        <f aca="false">Raw!D547</f>
        <v>West Bengal</v>
      </c>
      <c r="E547" s="0" t="str">
        <f aca="false">IFERROR(INDEX(Location_Map!$B$2:$B$15,MATCH(C547,Location_Map!$A$2:$A$15,0)),"UNMAPPED")</f>
        <v>Gujarat</v>
      </c>
      <c r="F547" s="0" t="str">
        <f aca="false">IFERROR(INDEX(Location_Map!$C$2:$C$15,MATCH(C547,Location_Map!$A$2:$A$15,0)),"UNMAPPED")</f>
        <v>West</v>
      </c>
      <c r="G547" s="0" t="str">
        <f aca="false">IFERROR(INDEX(Location_Map!$B$2:$B$15,MATCH(D547,Location_Map!$A$2:$A$15,0)),"UNMAPPED")</f>
        <v>West Bengal</v>
      </c>
      <c r="H547" s="0" t="str">
        <f aca="false">IFERROR(INDEX(Location_Map!$C$2:$C$15,MATCH(D547,Location_Map!$A$2:$A$15,0)),"UNMAPPED")</f>
        <v>East</v>
      </c>
      <c r="I547" s="0" t="str">
        <f aca="false">Raw!E547</f>
        <v>Raw Yarn</v>
      </c>
      <c r="J547" s="28" t="n">
        <f aca="false">Raw!F547</f>
        <v>11.44</v>
      </c>
      <c r="K547" s="30" t="n">
        <f aca="false">DATE(LEFT(Raw!G547,4),MID(Raw!G547,6,2),MID(Raw!G547,9,2))</f>
        <v>45783</v>
      </c>
      <c r="L547" s="30" t="n">
        <f aca="false">DATE(LEFT(Raw!H547,4),MID(Raw!H547,6,2),MID(Raw!H547,9,2))</f>
        <v>45787</v>
      </c>
      <c r="M547" s="30" t="n">
        <f aca="false">DATE(LEFT(Raw!I547,4),MID(Raw!I547,6,2),MID(Raw!I547,9,2))</f>
        <v>45790</v>
      </c>
      <c r="N547" s="31" t="n">
        <f aca="false">DATE(LEFT(Raw!J547,4),MID(Raw!J547,6,2),MID(Raw!J547,9,2))+TIME(MID(Raw!J547,12,2),MID(Raw!J547,15,2),MID(Raw!J547,18,2))</f>
        <v>45787.0416666667</v>
      </c>
      <c r="O547" s="31" t="n">
        <f aca="false">DATE(LEFT(Raw!K547,4),MID(Raw!K547,6,2),MID(Raw!K547,9,2))+TIME(MID(Raw!K547,12,2),MID(Raw!K547,15,2),MID(Raw!K547,18,2))</f>
        <v>45791.5</v>
      </c>
      <c r="P547" s="32" t="n">
        <f aca="false">L547-K547</f>
        <v>4</v>
      </c>
      <c r="Q547" s="32" t="n">
        <f aca="false">M547-L547</f>
        <v>3</v>
      </c>
      <c r="R547" s="32" t="n">
        <f aca="false">O547-N547</f>
        <v>4.45833333333333</v>
      </c>
      <c r="S547" s="32" t="n">
        <f aca="false">Raw!L547</f>
        <v>1.5</v>
      </c>
      <c r="T547" s="32" t="n">
        <f aca="false">O547-M547</f>
        <v>1.5</v>
      </c>
      <c r="U547" s="0" t="str">
        <f aca="false">IF(ABS(T547-S547)&lt;0.01,"OK","MISMATCH")</f>
        <v>OK</v>
      </c>
      <c r="V547" s="33" t="n">
        <f aca="false">Raw!M547</f>
        <v>1</v>
      </c>
      <c r="W547" s="0" t="str">
        <f aca="false">IF((S547&gt;0)=(V547=1),"OK","MISMATCH")</f>
        <v>OK</v>
      </c>
      <c r="X547" s="0" t="str">
        <f aca="false">_xlfn.IFS(S547&lt;=0,"Early/On time",S547&lt;=2,"Minor (up to 2 days)",S547&lt;=5,"Moderate (2-5 days)",TRUE(),"Severe (over 5 days)")</f>
        <v>Minor (up to 2 days)</v>
      </c>
      <c r="Y547" s="0" t="str">
        <f aca="false">YEAR(K547)&amp;"-"&amp;TEXT(MONTH(K547),"00")</f>
        <v>2025-05</v>
      </c>
      <c r="Z547" s="0" t="str">
        <f aca="false">C547&amp;" → "&amp;D547</f>
        <v>Surat → West Bengal</v>
      </c>
      <c r="AA547" s="0" t="str">
        <f aca="false">Raw!Q547</f>
        <v>GATI Logistics</v>
      </c>
      <c r="AB547" s="0" t="str">
        <f aca="false">Raw!R547</f>
        <v>Yes</v>
      </c>
      <c r="AC547" s="0" t="str">
        <f aca="false">Raw!S547</f>
        <v>Held at warehouse</v>
      </c>
      <c r="AD547" s="29" t="n">
        <f aca="false">Raw!N547</f>
        <v>3232.28</v>
      </c>
      <c r="AE547" s="29" t="n">
        <f aca="false">Raw!O547</f>
        <v>4290.81</v>
      </c>
      <c r="AF547" s="29" t="n">
        <f aca="false">Raw!P547</f>
        <v>811.38</v>
      </c>
      <c r="AG547" s="29" t="n">
        <f aca="false">AD547/J547</f>
        <v>282.541958041958</v>
      </c>
    </row>
    <row r="548" customFormat="false" ht="15" hidden="false" customHeight="false" outlineLevel="0" collapsed="false">
      <c r="A548" s="0" t="str">
        <f aca="false">Raw!A548</f>
        <v>SHP0547</v>
      </c>
      <c r="B548" s="0" t="str">
        <f aca="false">Raw!B548</f>
        <v>Inbound</v>
      </c>
      <c r="C548" s="0" t="str">
        <f aca="false">Raw!C548</f>
        <v>Gujarat</v>
      </c>
      <c r="D548" s="0" t="str">
        <f aca="false">Raw!D548</f>
        <v>Surat</v>
      </c>
      <c r="E548" s="0" t="str">
        <f aca="false">IFERROR(INDEX(Location_Map!$B$2:$B$15,MATCH(C548,Location_Map!$A$2:$A$15,0)),"UNMAPPED")</f>
        <v>Gujarat</v>
      </c>
      <c r="F548" s="0" t="str">
        <f aca="false">IFERROR(INDEX(Location_Map!$C$2:$C$15,MATCH(C548,Location_Map!$A$2:$A$15,0)),"UNMAPPED")</f>
        <v>West</v>
      </c>
      <c r="G548" s="0" t="str">
        <f aca="false">IFERROR(INDEX(Location_Map!$B$2:$B$15,MATCH(D548,Location_Map!$A$2:$A$15,0)),"UNMAPPED")</f>
        <v>Gujarat</v>
      </c>
      <c r="H548" s="0" t="str">
        <f aca="false">IFERROR(INDEX(Location_Map!$C$2:$C$15,MATCH(D548,Location_Map!$A$2:$A$15,0)),"UNMAPPED")</f>
        <v>West</v>
      </c>
      <c r="I548" s="0" t="str">
        <f aca="false">Raw!E548</f>
        <v>Finished Yarn</v>
      </c>
      <c r="J548" s="28" t="n">
        <f aca="false">Raw!F548</f>
        <v>8.63</v>
      </c>
      <c r="K548" s="30" t="n">
        <f aca="false">DATE(LEFT(Raw!G548,4),MID(Raw!G548,6,2),MID(Raw!G548,9,2))</f>
        <v>45808</v>
      </c>
      <c r="L548" s="30" t="n">
        <f aca="false">DATE(LEFT(Raw!H548,4),MID(Raw!H548,6,2),MID(Raw!H548,9,2))</f>
        <v>45812</v>
      </c>
      <c r="M548" s="30" t="n">
        <f aca="false">DATE(LEFT(Raw!I548,4),MID(Raw!I548,6,2),MID(Raw!I548,9,2))</f>
        <v>45816</v>
      </c>
      <c r="N548" s="31" t="n">
        <f aca="false">DATE(LEFT(Raw!J548,4),MID(Raw!J548,6,2),MID(Raw!J548,9,2))+TIME(MID(Raw!J548,12,2),MID(Raw!J548,15,2),MID(Raw!J548,18,2))</f>
        <v>45812.3333333333</v>
      </c>
      <c r="O548" s="31" t="n">
        <f aca="false">DATE(LEFT(Raw!K548,4),MID(Raw!K548,6,2),MID(Raw!K548,9,2))+TIME(MID(Raw!K548,12,2),MID(Raw!K548,15,2),MID(Raw!K548,18,2))</f>
        <v>45815.1</v>
      </c>
      <c r="P548" s="32" t="n">
        <f aca="false">L548-K548</f>
        <v>4</v>
      </c>
      <c r="Q548" s="32" t="n">
        <f aca="false">M548-L548</f>
        <v>4</v>
      </c>
      <c r="R548" s="32" t="n">
        <f aca="false">O548-N548</f>
        <v>2.76666666666667</v>
      </c>
      <c r="S548" s="32" t="n">
        <f aca="false">Raw!L548</f>
        <v>-0.9</v>
      </c>
      <c r="T548" s="32" t="n">
        <f aca="false">O548-M548</f>
        <v>-0.900000000002917</v>
      </c>
      <c r="U548" s="0" t="str">
        <f aca="false">IF(ABS(T548-S548)&lt;0.01,"OK","MISMATCH")</f>
        <v>OK</v>
      </c>
      <c r="V548" s="33" t="n">
        <f aca="false">Raw!M548</f>
        <v>0</v>
      </c>
      <c r="W548" s="0" t="str">
        <f aca="false">IF((S548&gt;0)=(V548=1),"OK","MISMATCH")</f>
        <v>OK</v>
      </c>
      <c r="X548" s="0" t="str">
        <f aca="false">_xlfn.IFS(S548&lt;=0,"Early/On time",S548&lt;=2,"Minor (up to 2 days)",S548&lt;=5,"Moderate (2-5 days)",TRUE(),"Severe (over 5 days)")</f>
        <v>Early/On time</v>
      </c>
      <c r="Y548" s="0" t="str">
        <f aca="false">YEAR(K548)&amp;"-"&amp;TEXT(MONTH(K548),"00")</f>
        <v>2025-05</v>
      </c>
      <c r="Z548" s="0" t="str">
        <f aca="false">C548&amp;" → "&amp;D548</f>
        <v>Gujarat → Surat</v>
      </c>
      <c r="AA548" s="0" t="str">
        <f aca="false">Raw!Q548</f>
        <v>BlueDart</v>
      </c>
      <c r="AB548" s="0" t="str">
        <f aca="false">Raw!R548</f>
        <v>No</v>
      </c>
      <c r="AC548" s="0" t="str">
        <f aca="false">Raw!S548</f>
        <v>Expedited</v>
      </c>
      <c r="AD548" s="29" t="n">
        <f aca="false">Raw!N548</f>
        <v>5274.15</v>
      </c>
      <c r="AE548" s="29" t="n">
        <f aca="false">Raw!O548</f>
        <v>4893.04</v>
      </c>
      <c r="AF548" s="29" t="n">
        <f aca="false">Raw!P548</f>
        <v>701.41</v>
      </c>
      <c r="AG548" s="29" t="n">
        <f aca="false">AD548/J548</f>
        <v>611.141367323291</v>
      </c>
    </row>
    <row r="549" customFormat="false" ht="15" hidden="false" customHeight="false" outlineLevel="0" collapsed="false">
      <c r="A549" s="0" t="str">
        <f aca="false">Raw!A549</f>
        <v>SHP0548</v>
      </c>
      <c r="B549" s="0" t="str">
        <f aca="false">Raw!B549</f>
        <v>Inbound</v>
      </c>
      <c r="C549" s="0" t="str">
        <f aca="false">Raw!C549</f>
        <v>Rajasthan</v>
      </c>
      <c r="D549" s="0" t="str">
        <f aca="false">Raw!D549</f>
        <v>Surat</v>
      </c>
      <c r="E549" s="0" t="str">
        <f aca="false">IFERROR(INDEX(Location_Map!$B$2:$B$15,MATCH(C549,Location_Map!$A$2:$A$15,0)),"UNMAPPED")</f>
        <v>Rajasthan</v>
      </c>
      <c r="F549" s="0" t="str">
        <f aca="false">IFERROR(INDEX(Location_Map!$C$2:$C$15,MATCH(C549,Location_Map!$A$2:$A$15,0)),"UNMAPPED")</f>
        <v>North</v>
      </c>
      <c r="G549" s="0" t="str">
        <f aca="false">IFERROR(INDEX(Location_Map!$B$2:$B$15,MATCH(D549,Location_Map!$A$2:$A$15,0)),"UNMAPPED")</f>
        <v>Gujarat</v>
      </c>
      <c r="H549" s="0" t="str">
        <f aca="false">IFERROR(INDEX(Location_Map!$C$2:$C$15,MATCH(D549,Location_Map!$A$2:$A$15,0)),"UNMAPPED")</f>
        <v>West</v>
      </c>
      <c r="I549" s="0" t="str">
        <f aca="false">Raw!E549</f>
        <v>Semi-Processed Yarn</v>
      </c>
      <c r="J549" s="28" t="n">
        <f aca="false">Raw!F549</f>
        <v>1.18</v>
      </c>
      <c r="K549" s="30" t="n">
        <f aca="false">DATE(LEFT(Raw!G549,4),MID(Raw!G549,6,2),MID(Raw!G549,9,2))</f>
        <v>45680</v>
      </c>
      <c r="L549" s="30" t="n">
        <f aca="false">DATE(LEFT(Raw!H549,4),MID(Raw!H549,6,2),MID(Raw!H549,9,2))</f>
        <v>45682</v>
      </c>
      <c r="M549" s="30" t="n">
        <f aca="false">DATE(LEFT(Raw!I549,4),MID(Raw!I549,6,2),MID(Raw!I549,9,2))</f>
        <v>45685</v>
      </c>
      <c r="N549" s="31" t="n">
        <f aca="false">DATE(LEFT(Raw!J549,4),MID(Raw!J549,6,2),MID(Raw!J549,9,2))+TIME(MID(Raw!J549,12,2),MID(Raw!J549,15,2),MID(Raw!J549,18,2))</f>
        <v>45681.9583333333</v>
      </c>
      <c r="O549" s="31" t="n">
        <f aca="false">DATE(LEFT(Raw!K549,4),MID(Raw!K549,6,2),MID(Raw!K549,9,2))+TIME(MID(Raw!K549,12,2),MID(Raw!K549,15,2),MID(Raw!K549,18,2))</f>
        <v>45685.2</v>
      </c>
      <c r="P549" s="32" t="n">
        <f aca="false">L549-K549</f>
        <v>2</v>
      </c>
      <c r="Q549" s="32" t="n">
        <f aca="false">M549-L549</f>
        <v>3</v>
      </c>
      <c r="R549" s="32" t="n">
        <f aca="false">O549-N549</f>
        <v>3.24166666666667</v>
      </c>
      <c r="S549" s="32" t="n">
        <f aca="false">Raw!L549</f>
        <v>0.2</v>
      </c>
      <c r="T549" s="32" t="n">
        <f aca="false">O549-M549</f>
        <v>0.2</v>
      </c>
      <c r="U549" s="0" t="str">
        <f aca="false">IF(ABS(T549-S549)&lt;0.01,"OK","MISMATCH")</f>
        <v>OK</v>
      </c>
      <c r="V549" s="33" t="n">
        <f aca="false">Raw!M549</f>
        <v>1</v>
      </c>
      <c r="W549" s="0" t="str">
        <f aca="false">IF((S549&gt;0)=(V549=1),"OK","MISMATCH")</f>
        <v>OK</v>
      </c>
      <c r="X549" s="0" t="str">
        <f aca="false">_xlfn.IFS(S549&lt;=0,"Early/On time",S549&lt;=2,"Minor (up to 2 days)",S549&lt;=5,"Moderate (2-5 days)",TRUE(),"Severe (over 5 days)")</f>
        <v>Minor (up to 2 days)</v>
      </c>
      <c r="Y549" s="0" t="str">
        <f aca="false">YEAR(K549)&amp;"-"&amp;TEXT(MONTH(K549),"00")</f>
        <v>2025-01</v>
      </c>
      <c r="Z549" s="0" t="str">
        <f aca="false">C549&amp;" → "&amp;D549</f>
        <v>Rajasthan → Surat</v>
      </c>
      <c r="AA549" s="0" t="str">
        <f aca="false">Raw!Q549</f>
        <v>Delhivery</v>
      </c>
      <c r="AB549" s="0" t="str">
        <f aca="false">Raw!R549</f>
        <v>Yes</v>
      </c>
      <c r="AC549" s="0" t="str">
        <f aca="false">Raw!S549</f>
        <v>Normal</v>
      </c>
      <c r="AD549" s="29" t="n">
        <f aca="false">Raw!N549</f>
        <v>1386.79</v>
      </c>
      <c r="AE549" s="29" t="n">
        <f aca="false">Raw!O549</f>
        <v>2316.92</v>
      </c>
      <c r="AF549" s="29" t="n">
        <f aca="false">Raw!P549</f>
        <v>552.48</v>
      </c>
      <c r="AG549" s="29" t="n">
        <f aca="false">AD549/J549</f>
        <v>1175.24576271186</v>
      </c>
    </row>
    <row r="550" customFormat="false" ht="15" hidden="false" customHeight="false" outlineLevel="0" collapsed="false">
      <c r="A550" s="0" t="str">
        <f aca="false">Raw!A550</f>
        <v>SHP0549</v>
      </c>
      <c r="B550" s="0" t="str">
        <f aca="false">Raw!B550</f>
        <v>Inbound</v>
      </c>
      <c r="C550" s="0" t="str">
        <f aca="false">Raw!C550</f>
        <v>Chennai</v>
      </c>
      <c r="D550" s="0" t="str">
        <f aca="false">Raw!D550</f>
        <v>Surat</v>
      </c>
      <c r="E550" s="0" t="str">
        <f aca="false">IFERROR(INDEX(Location_Map!$B$2:$B$15,MATCH(C550,Location_Map!$A$2:$A$15,0)),"UNMAPPED")</f>
        <v>Tamil Nadu</v>
      </c>
      <c r="F550" s="0" t="str">
        <f aca="false">IFERROR(INDEX(Location_Map!$C$2:$C$15,MATCH(C550,Location_Map!$A$2:$A$15,0)),"UNMAPPED")</f>
        <v>South</v>
      </c>
      <c r="G550" s="0" t="str">
        <f aca="false">IFERROR(INDEX(Location_Map!$B$2:$B$15,MATCH(D550,Location_Map!$A$2:$A$15,0)),"UNMAPPED")</f>
        <v>Gujarat</v>
      </c>
      <c r="H550" s="0" t="str">
        <f aca="false">IFERROR(INDEX(Location_Map!$C$2:$C$15,MATCH(D550,Location_Map!$A$2:$A$15,0)),"UNMAPPED")</f>
        <v>West</v>
      </c>
      <c r="I550" s="0" t="str">
        <f aca="false">Raw!E550</f>
        <v>Raw Yarn</v>
      </c>
      <c r="J550" s="28" t="n">
        <f aca="false">Raw!F550</f>
        <v>9.55</v>
      </c>
      <c r="K550" s="30" t="n">
        <f aca="false">DATE(LEFT(Raw!G550,4),MID(Raw!G550,6,2),MID(Raw!G550,9,2))</f>
        <v>45734</v>
      </c>
      <c r="L550" s="30" t="n">
        <f aca="false">DATE(LEFT(Raw!H550,4),MID(Raw!H550,6,2),MID(Raw!H550,9,2))</f>
        <v>45736</v>
      </c>
      <c r="M550" s="30" t="n">
        <f aca="false">DATE(LEFT(Raw!I550,4),MID(Raw!I550,6,2),MID(Raw!I550,9,2))</f>
        <v>45740</v>
      </c>
      <c r="N550" s="31" t="n">
        <f aca="false">DATE(LEFT(Raw!J550,4),MID(Raw!J550,6,2),MID(Raw!J550,9,2))+TIME(MID(Raw!J550,12,2),MID(Raw!J550,15,2),MID(Raw!J550,18,2))</f>
        <v>45735.7916666667</v>
      </c>
      <c r="O550" s="31" t="n">
        <f aca="false">DATE(LEFT(Raw!K550,4),MID(Raw!K550,6,2),MID(Raw!K550,9,2))+TIME(MID(Raw!K550,12,2),MID(Raw!K550,15,2),MID(Raw!K550,18,2))</f>
        <v>45739</v>
      </c>
      <c r="P550" s="32" t="n">
        <f aca="false">L550-K550</f>
        <v>2</v>
      </c>
      <c r="Q550" s="32" t="n">
        <f aca="false">M550-L550</f>
        <v>4</v>
      </c>
      <c r="R550" s="32" t="n">
        <f aca="false">O550-N550</f>
        <v>3.20833333333333</v>
      </c>
      <c r="S550" s="32" t="n">
        <f aca="false">Raw!L550</f>
        <v>-1</v>
      </c>
      <c r="T550" s="32" t="n">
        <f aca="false">O550-M550</f>
        <v>-1</v>
      </c>
      <c r="U550" s="0" t="str">
        <f aca="false">IF(ABS(T550-S550)&lt;0.01,"OK","MISMATCH")</f>
        <v>OK</v>
      </c>
      <c r="V550" s="33" t="n">
        <f aca="false">Raw!M550</f>
        <v>0</v>
      </c>
      <c r="W550" s="0" t="str">
        <f aca="false">IF((S550&gt;0)=(V550=1),"OK","MISMATCH")</f>
        <v>OK</v>
      </c>
      <c r="X550" s="0" t="str">
        <f aca="false">_xlfn.IFS(S550&lt;=0,"Early/On time",S550&lt;=2,"Minor (up to 2 days)",S550&lt;=5,"Moderate (2-5 days)",TRUE(),"Severe (over 5 days)")</f>
        <v>Early/On time</v>
      </c>
      <c r="Y550" s="0" t="str">
        <f aca="false">YEAR(K550)&amp;"-"&amp;TEXT(MONTH(K550),"00")</f>
        <v>2025-03</v>
      </c>
      <c r="Z550" s="0" t="str">
        <f aca="false">C550&amp;" → "&amp;D550</f>
        <v>Chennai → Surat</v>
      </c>
      <c r="AA550" s="0" t="str">
        <f aca="false">Raw!Q550</f>
        <v>GATI Logistics</v>
      </c>
      <c r="AB550" s="0" t="str">
        <f aca="false">Raw!R550</f>
        <v>Yes</v>
      </c>
      <c r="AC550" s="0" t="str">
        <f aca="false">Raw!S550</f>
        <v>Expedited</v>
      </c>
      <c r="AD550" s="29" t="n">
        <f aca="false">Raw!N550</f>
        <v>3453.53</v>
      </c>
      <c r="AE550" s="29" t="n">
        <f aca="false">Raw!O550</f>
        <v>1157.45</v>
      </c>
      <c r="AF550" s="29" t="n">
        <f aca="false">Raw!P550</f>
        <v>521.85</v>
      </c>
      <c r="AG550" s="29" t="n">
        <f aca="false">AD550/J550</f>
        <v>361.626178010471</v>
      </c>
    </row>
    <row r="551" customFormat="false" ht="15" hidden="false" customHeight="false" outlineLevel="0" collapsed="false">
      <c r="A551" s="0" t="str">
        <f aca="false">Raw!A551</f>
        <v>SHP0550</v>
      </c>
      <c r="B551" s="0" t="str">
        <f aca="false">Raw!B551</f>
        <v>Inbound</v>
      </c>
      <c r="C551" s="0" t="str">
        <f aca="false">Raw!C551</f>
        <v>Rajasthan</v>
      </c>
      <c r="D551" s="0" t="str">
        <f aca="false">Raw!D551</f>
        <v>Surat</v>
      </c>
      <c r="E551" s="0" t="str">
        <f aca="false">IFERROR(INDEX(Location_Map!$B$2:$B$15,MATCH(C551,Location_Map!$A$2:$A$15,0)),"UNMAPPED")</f>
        <v>Rajasthan</v>
      </c>
      <c r="F551" s="0" t="str">
        <f aca="false">IFERROR(INDEX(Location_Map!$C$2:$C$15,MATCH(C551,Location_Map!$A$2:$A$15,0)),"UNMAPPED")</f>
        <v>North</v>
      </c>
      <c r="G551" s="0" t="str">
        <f aca="false">IFERROR(INDEX(Location_Map!$B$2:$B$15,MATCH(D551,Location_Map!$A$2:$A$15,0)),"UNMAPPED")</f>
        <v>Gujarat</v>
      </c>
      <c r="H551" s="0" t="str">
        <f aca="false">IFERROR(INDEX(Location_Map!$C$2:$C$15,MATCH(D551,Location_Map!$A$2:$A$15,0)),"UNMAPPED")</f>
        <v>West</v>
      </c>
      <c r="I551" s="0" t="str">
        <f aca="false">Raw!E551</f>
        <v>Semi-Processed Yarn</v>
      </c>
      <c r="J551" s="28" t="n">
        <f aca="false">Raw!F551</f>
        <v>15.72</v>
      </c>
      <c r="K551" s="30" t="n">
        <f aca="false">DATE(LEFT(Raw!G551,4),MID(Raw!G551,6,2),MID(Raw!G551,9,2))</f>
        <v>45698</v>
      </c>
      <c r="L551" s="30" t="n">
        <f aca="false">DATE(LEFT(Raw!H551,4),MID(Raw!H551,6,2),MID(Raw!H551,9,2))</f>
        <v>45700</v>
      </c>
      <c r="M551" s="30" t="n">
        <f aca="false">DATE(LEFT(Raw!I551,4),MID(Raw!I551,6,2),MID(Raw!I551,9,2))</f>
        <v>45706</v>
      </c>
      <c r="N551" s="31" t="n">
        <f aca="false">DATE(LEFT(Raw!J551,4),MID(Raw!J551,6,2),MID(Raw!J551,9,2))+TIME(MID(Raw!J551,12,2),MID(Raw!J551,15,2),MID(Raw!J551,18,2))</f>
        <v>45700.0833333333</v>
      </c>
      <c r="O551" s="31" t="n">
        <f aca="false">DATE(LEFT(Raw!K551,4),MID(Raw!K551,6,2),MID(Raw!K551,9,2))+TIME(MID(Raw!K551,12,2),MID(Raw!K551,15,2),MID(Raw!K551,18,2))</f>
        <v>45708.2</v>
      </c>
      <c r="P551" s="32" t="n">
        <f aca="false">L551-K551</f>
        <v>2</v>
      </c>
      <c r="Q551" s="32" t="n">
        <f aca="false">M551-L551</f>
        <v>6</v>
      </c>
      <c r="R551" s="32" t="n">
        <f aca="false">O551-N551</f>
        <v>8.11666666666667</v>
      </c>
      <c r="S551" s="32" t="n">
        <f aca="false">Raw!L551</f>
        <v>2.2</v>
      </c>
      <c r="T551" s="32" t="n">
        <f aca="false">O551-M551</f>
        <v>2.2</v>
      </c>
      <c r="U551" s="0" t="str">
        <f aca="false">IF(ABS(T551-S551)&lt;0.01,"OK","MISMATCH")</f>
        <v>OK</v>
      </c>
      <c r="V551" s="33" t="n">
        <f aca="false">Raw!M551</f>
        <v>1</v>
      </c>
      <c r="W551" s="0" t="str">
        <f aca="false">IF((S551&gt;0)=(V551=1),"OK","MISMATCH")</f>
        <v>OK</v>
      </c>
      <c r="X551" s="0" t="str">
        <f aca="false">_xlfn.IFS(S551&lt;=0,"Early/On time",S551&lt;=2,"Minor (up to 2 days)",S551&lt;=5,"Moderate (2-5 days)",TRUE(),"Severe (over 5 days)")</f>
        <v>Moderate (2-5 days)</v>
      </c>
      <c r="Y551" s="0" t="str">
        <f aca="false">YEAR(K551)&amp;"-"&amp;TEXT(MONTH(K551),"00")</f>
        <v>2025-02</v>
      </c>
      <c r="Z551" s="0" t="str">
        <f aca="false">C551&amp;" → "&amp;D551</f>
        <v>Rajasthan → Surat</v>
      </c>
      <c r="AA551" s="0" t="str">
        <f aca="false">Raw!Q551</f>
        <v>GATI Logistics</v>
      </c>
      <c r="AB551" s="0" t="str">
        <f aca="false">Raw!R551</f>
        <v>No</v>
      </c>
      <c r="AC551" s="0" t="str">
        <f aca="false">Raw!S551</f>
        <v>Normal</v>
      </c>
      <c r="AD551" s="29" t="n">
        <f aca="false">Raw!N551</f>
        <v>5048.25</v>
      </c>
      <c r="AE551" s="29" t="n">
        <f aca="false">Raw!O551</f>
        <v>4134.01</v>
      </c>
      <c r="AF551" s="29" t="n">
        <f aca="false">Raw!P551</f>
        <v>510.51</v>
      </c>
      <c r="AG551" s="29" t="n">
        <f aca="false">AD551/J551</f>
        <v>321.135496183206</v>
      </c>
    </row>
    <row r="552" customFormat="false" ht="15" hidden="false" customHeight="false" outlineLevel="0" collapsed="false">
      <c r="A552" s="0" t="str">
        <f aca="false">Raw!A552</f>
        <v>SHP0551</v>
      </c>
      <c r="B552" s="0" t="str">
        <f aca="false">Raw!B552</f>
        <v>Inbound</v>
      </c>
      <c r="C552" s="0" t="str">
        <f aca="false">Raw!C552</f>
        <v>Gujarat</v>
      </c>
      <c r="D552" s="0" t="str">
        <f aca="false">Raw!D552</f>
        <v>Surat</v>
      </c>
      <c r="E552" s="0" t="str">
        <f aca="false">IFERROR(INDEX(Location_Map!$B$2:$B$15,MATCH(C552,Location_Map!$A$2:$A$15,0)),"UNMAPPED")</f>
        <v>Gujarat</v>
      </c>
      <c r="F552" s="0" t="str">
        <f aca="false">IFERROR(INDEX(Location_Map!$C$2:$C$15,MATCH(C552,Location_Map!$A$2:$A$15,0)),"UNMAPPED")</f>
        <v>West</v>
      </c>
      <c r="G552" s="0" t="str">
        <f aca="false">IFERROR(INDEX(Location_Map!$B$2:$B$15,MATCH(D552,Location_Map!$A$2:$A$15,0)),"UNMAPPED")</f>
        <v>Gujarat</v>
      </c>
      <c r="H552" s="0" t="str">
        <f aca="false">IFERROR(INDEX(Location_Map!$C$2:$C$15,MATCH(D552,Location_Map!$A$2:$A$15,0)),"UNMAPPED")</f>
        <v>West</v>
      </c>
      <c r="I552" s="0" t="str">
        <f aca="false">Raw!E552</f>
        <v>Raw Yarn</v>
      </c>
      <c r="J552" s="28" t="n">
        <f aca="false">Raw!F552</f>
        <v>15.48</v>
      </c>
      <c r="K552" s="30" t="n">
        <f aca="false">DATE(LEFT(Raw!G552,4),MID(Raw!G552,6,2),MID(Raw!G552,9,2))</f>
        <v>45925</v>
      </c>
      <c r="L552" s="30" t="n">
        <f aca="false">DATE(LEFT(Raw!H552,4),MID(Raw!H552,6,2),MID(Raw!H552,9,2))</f>
        <v>45927</v>
      </c>
      <c r="M552" s="30" t="n">
        <f aca="false">DATE(LEFT(Raw!I552,4),MID(Raw!I552,6,2),MID(Raw!I552,9,2))</f>
        <v>45929</v>
      </c>
      <c r="N552" s="31" t="n">
        <f aca="false">DATE(LEFT(Raw!J552,4),MID(Raw!J552,6,2),MID(Raw!J552,9,2))+TIME(MID(Raw!J552,12,2),MID(Raw!J552,15,2),MID(Raw!J552,18,2))</f>
        <v>45927.0416666667</v>
      </c>
      <c r="O552" s="31" t="n">
        <f aca="false">DATE(LEFT(Raw!K552,4),MID(Raw!K552,6,2),MID(Raw!K552,9,2))+TIME(MID(Raw!K552,12,2),MID(Raw!K552,15,2),MID(Raw!K552,18,2))</f>
        <v>45933.7</v>
      </c>
      <c r="P552" s="32" t="n">
        <f aca="false">L552-K552</f>
        <v>2</v>
      </c>
      <c r="Q552" s="32" t="n">
        <f aca="false">M552-L552</f>
        <v>2</v>
      </c>
      <c r="R552" s="32" t="n">
        <f aca="false">O552-N552</f>
        <v>6.65833333333333</v>
      </c>
      <c r="S552" s="32" t="n">
        <f aca="false">Raw!L552</f>
        <v>4.7</v>
      </c>
      <c r="T552" s="32" t="n">
        <f aca="false">O552-M552</f>
        <v>4.7</v>
      </c>
      <c r="U552" s="0" t="str">
        <f aca="false">IF(ABS(T552-S552)&lt;0.01,"OK","MISMATCH")</f>
        <v>OK</v>
      </c>
      <c r="V552" s="33" t="n">
        <f aca="false">Raw!M552</f>
        <v>1</v>
      </c>
      <c r="W552" s="0" t="str">
        <f aca="false">IF((S552&gt;0)=(V552=1),"OK","MISMATCH")</f>
        <v>OK</v>
      </c>
      <c r="X552" s="0" t="str">
        <f aca="false">_xlfn.IFS(S552&lt;=0,"Early/On time",S552&lt;=2,"Minor (up to 2 days)",S552&lt;=5,"Moderate (2-5 days)",TRUE(),"Severe (over 5 days)")</f>
        <v>Moderate (2-5 days)</v>
      </c>
      <c r="Y552" s="0" t="str">
        <f aca="false">YEAR(K552)&amp;"-"&amp;TEXT(MONTH(K552),"00")</f>
        <v>2025-09</v>
      </c>
      <c r="Z552" s="0" t="str">
        <f aca="false">C552&amp;" → "&amp;D552</f>
        <v>Gujarat → Surat</v>
      </c>
      <c r="AA552" s="0" t="str">
        <f aca="false">Raw!Q552</f>
        <v>TCI Express</v>
      </c>
      <c r="AB552" s="0" t="str">
        <f aca="false">Raw!R552</f>
        <v>Yes</v>
      </c>
      <c r="AC552" s="0" t="str">
        <f aca="false">Raw!S552</f>
        <v>Normal</v>
      </c>
      <c r="AD552" s="29" t="n">
        <f aca="false">Raw!N552</f>
        <v>6959.41</v>
      </c>
      <c r="AE552" s="29" t="n">
        <f aca="false">Raw!O552</f>
        <v>4707.63</v>
      </c>
      <c r="AF552" s="29" t="n">
        <f aca="false">Raw!P552</f>
        <v>1462.06</v>
      </c>
      <c r="AG552" s="29" t="n">
        <f aca="false">AD552/J552</f>
        <v>449.574289405685</v>
      </c>
    </row>
    <row r="553" customFormat="false" ht="15" hidden="false" customHeight="false" outlineLevel="0" collapsed="false">
      <c r="A553" s="0" t="str">
        <f aca="false">Raw!A553</f>
        <v>SHP0552</v>
      </c>
      <c r="B553" s="0" t="str">
        <f aca="false">Raw!B553</f>
        <v>Outbound</v>
      </c>
      <c r="C553" s="0" t="str">
        <f aca="false">Raw!C553</f>
        <v>Surat</v>
      </c>
      <c r="D553" s="0" t="str">
        <f aca="false">Raw!D553</f>
        <v>West Bengal</v>
      </c>
      <c r="E553" s="0" t="str">
        <f aca="false">IFERROR(INDEX(Location_Map!$B$2:$B$15,MATCH(C553,Location_Map!$A$2:$A$15,0)),"UNMAPPED")</f>
        <v>Gujarat</v>
      </c>
      <c r="F553" s="0" t="str">
        <f aca="false">IFERROR(INDEX(Location_Map!$C$2:$C$15,MATCH(C553,Location_Map!$A$2:$A$15,0)),"UNMAPPED")</f>
        <v>West</v>
      </c>
      <c r="G553" s="0" t="str">
        <f aca="false">IFERROR(INDEX(Location_Map!$B$2:$B$15,MATCH(D553,Location_Map!$A$2:$A$15,0)),"UNMAPPED")</f>
        <v>West Bengal</v>
      </c>
      <c r="H553" s="0" t="str">
        <f aca="false">IFERROR(INDEX(Location_Map!$C$2:$C$15,MATCH(D553,Location_Map!$A$2:$A$15,0)),"UNMAPPED")</f>
        <v>East</v>
      </c>
      <c r="I553" s="0" t="str">
        <f aca="false">Raw!E553</f>
        <v>Raw Yarn</v>
      </c>
      <c r="J553" s="28" t="n">
        <f aca="false">Raw!F553</f>
        <v>10.67</v>
      </c>
      <c r="K553" s="30" t="n">
        <f aca="false">DATE(LEFT(Raw!G553,4),MID(Raw!G553,6,2),MID(Raw!G553,9,2))</f>
        <v>45793</v>
      </c>
      <c r="L553" s="30" t="n">
        <f aca="false">DATE(LEFT(Raw!H553,4),MID(Raw!H553,6,2),MID(Raw!H553,9,2))</f>
        <v>45795</v>
      </c>
      <c r="M553" s="30" t="n">
        <f aca="false">DATE(LEFT(Raw!I553,4),MID(Raw!I553,6,2),MID(Raw!I553,9,2))</f>
        <v>45800</v>
      </c>
      <c r="N553" s="31" t="n">
        <f aca="false">DATE(LEFT(Raw!J553,4),MID(Raw!J553,6,2),MID(Raw!J553,9,2))+TIME(MID(Raw!J553,12,2),MID(Raw!J553,15,2),MID(Raw!J553,18,2))</f>
        <v>45794.9583333333</v>
      </c>
      <c r="O553" s="31" t="n">
        <f aca="false">DATE(LEFT(Raw!K553,4),MID(Raw!K553,6,2),MID(Raw!K553,9,2))+TIME(MID(Raw!K553,12,2),MID(Raw!K553,15,2),MID(Raw!K553,18,2))</f>
        <v>45802.1</v>
      </c>
      <c r="P553" s="32" t="n">
        <f aca="false">L553-K553</f>
        <v>2</v>
      </c>
      <c r="Q553" s="32" t="n">
        <f aca="false">M553-L553</f>
        <v>5</v>
      </c>
      <c r="R553" s="32" t="n">
        <f aca="false">O553-N553</f>
        <v>7.14166666666667</v>
      </c>
      <c r="S553" s="32" t="n">
        <f aca="false">Raw!L553</f>
        <v>2.1</v>
      </c>
      <c r="T553" s="32" t="n">
        <f aca="false">O553-M553</f>
        <v>2.1</v>
      </c>
      <c r="U553" s="0" t="str">
        <f aca="false">IF(ABS(T553-S553)&lt;0.01,"OK","MISMATCH")</f>
        <v>OK</v>
      </c>
      <c r="V553" s="33" t="n">
        <f aca="false">Raw!M553</f>
        <v>1</v>
      </c>
      <c r="W553" s="0" t="str">
        <f aca="false">IF((S553&gt;0)=(V553=1),"OK","MISMATCH")</f>
        <v>OK</v>
      </c>
      <c r="X553" s="0" t="str">
        <f aca="false">_xlfn.IFS(S553&lt;=0,"Early/On time",S553&lt;=2,"Minor (up to 2 days)",S553&lt;=5,"Moderate (2-5 days)",TRUE(),"Severe (over 5 days)")</f>
        <v>Moderate (2-5 days)</v>
      </c>
      <c r="Y553" s="0" t="str">
        <f aca="false">YEAR(K553)&amp;"-"&amp;TEXT(MONTH(K553),"00")</f>
        <v>2025-05</v>
      </c>
      <c r="Z553" s="0" t="str">
        <f aca="false">C553&amp;" → "&amp;D553</f>
        <v>Surat → West Bengal</v>
      </c>
      <c r="AA553" s="0" t="str">
        <f aca="false">Raw!Q553</f>
        <v>GATI Logistics</v>
      </c>
      <c r="AB553" s="0" t="str">
        <f aca="false">Raw!R553</f>
        <v>No</v>
      </c>
      <c r="AC553" s="0" t="str">
        <f aca="false">Raw!S553</f>
        <v>Normal</v>
      </c>
      <c r="AD553" s="29" t="n">
        <f aca="false">Raw!N553</f>
        <v>4330.5</v>
      </c>
      <c r="AE553" s="29" t="n">
        <f aca="false">Raw!O553</f>
        <v>2130.2</v>
      </c>
      <c r="AF553" s="29" t="n">
        <f aca="false">Raw!P553</f>
        <v>779.01</v>
      </c>
      <c r="AG553" s="29" t="n">
        <f aca="false">AD553/J553</f>
        <v>405.857544517338</v>
      </c>
    </row>
    <row r="554" customFormat="false" ht="15" hidden="false" customHeight="false" outlineLevel="0" collapsed="false">
      <c r="A554" s="0" t="str">
        <f aca="false">Raw!A554</f>
        <v>SHP0553</v>
      </c>
      <c r="B554" s="0" t="str">
        <f aca="false">Raw!B554</f>
        <v>Inbound</v>
      </c>
      <c r="C554" s="0" t="str">
        <f aca="false">Raw!C554</f>
        <v>Uttar Pradesh</v>
      </c>
      <c r="D554" s="0" t="str">
        <f aca="false">Raw!D554</f>
        <v>Surat</v>
      </c>
      <c r="E554" s="0" t="str">
        <f aca="false">IFERROR(INDEX(Location_Map!$B$2:$B$15,MATCH(C554,Location_Map!$A$2:$A$15,0)),"UNMAPPED")</f>
        <v>Uttar Pradesh</v>
      </c>
      <c r="F554" s="0" t="str">
        <f aca="false">IFERROR(INDEX(Location_Map!$C$2:$C$15,MATCH(C554,Location_Map!$A$2:$A$15,0)),"UNMAPPED")</f>
        <v>North</v>
      </c>
      <c r="G554" s="0" t="str">
        <f aca="false">IFERROR(INDEX(Location_Map!$B$2:$B$15,MATCH(D554,Location_Map!$A$2:$A$15,0)),"UNMAPPED")</f>
        <v>Gujarat</v>
      </c>
      <c r="H554" s="0" t="str">
        <f aca="false">IFERROR(INDEX(Location_Map!$C$2:$C$15,MATCH(D554,Location_Map!$A$2:$A$15,0)),"UNMAPPED")</f>
        <v>West</v>
      </c>
      <c r="I554" s="0" t="str">
        <f aca="false">Raw!E554</f>
        <v>Semi-Processed Yarn</v>
      </c>
      <c r="J554" s="28" t="n">
        <f aca="false">Raw!F554</f>
        <v>8.69</v>
      </c>
      <c r="K554" s="30" t="n">
        <f aca="false">DATE(LEFT(Raw!G554,4),MID(Raw!G554,6,2),MID(Raw!G554,9,2))</f>
        <v>45957</v>
      </c>
      <c r="L554" s="30" t="n">
        <f aca="false">DATE(LEFT(Raw!H554,4),MID(Raw!H554,6,2),MID(Raw!H554,9,2))</f>
        <v>45958</v>
      </c>
      <c r="M554" s="30" t="n">
        <f aca="false">DATE(LEFT(Raw!I554,4),MID(Raw!I554,6,2),MID(Raw!I554,9,2))</f>
        <v>45964</v>
      </c>
      <c r="N554" s="31" t="n">
        <f aca="false">DATE(LEFT(Raw!J554,4),MID(Raw!J554,6,2),MID(Raw!J554,9,2))+TIME(MID(Raw!J554,12,2),MID(Raw!J554,15,2),MID(Raw!J554,18,2))</f>
        <v>45958.125</v>
      </c>
      <c r="O554" s="31" t="n">
        <f aca="false">DATE(LEFT(Raw!K554,4),MID(Raw!K554,6,2),MID(Raw!K554,9,2))+TIME(MID(Raw!K554,12,2),MID(Raw!K554,15,2),MID(Raw!K554,18,2))</f>
        <v>45963</v>
      </c>
      <c r="P554" s="32" t="n">
        <f aca="false">L554-K554</f>
        <v>1</v>
      </c>
      <c r="Q554" s="32" t="n">
        <f aca="false">M554-L554</f>
        <v>6</v>
      </c>
      <c r="R554" s="32" t="n">
        <f aca="false">O554-N554</f>
        <v>4.875</v>
      </c>
      <c r="S554" s="32" t="n">
        <f aca="false">Raw!L554</f>
        <v>-1</v>
      </c>
      <c r="T554" s="32" t="n">
        <f aca="false">O554-M554</f>
        <v>-1</v>
      </c>
      <c r="U554" s="0" t="str">
        <f aca="false">IF(ABS(T554-S554)&lt;0.01,"OK","MISMATCH")</f>
        <v>OK</v>
      </c>
      <c r="V554" s="33" t="n">
        <f aca="false">Raw!M554</f>
        <v>0</v>
      </c>
      <c r="W554" s="0" t="str">
        <f aca="false">IF((S554&gt;0)=(V554=1),"OK","MISMATCH")</f>
        <v>OK</v>
      </c>
      <c r="X554" s="0" t="str">
        <f aca="false">_xlfn.IFS(S554&lt;=0,"Early/On time",S554&lt;=2,"Minor (up to 2 days)",S554&lt;=5,"Moderate (2-5 days)",TRUE(),"Severe (over 5 days)")</f>
        <v>Early/On time</v>
      </c>
      <c r="Y554" s="0" t="str">
        <f aca="false">YEAR(K554)&amp;"-"&amp;TEXT(MONTH(K554),"00")</f>
        <v>2025-10</v>
      </c>
      <c r="Z554" s="0" t="str">
        <f aca="false">C554&amp;" → "&amp;D554</f>
        <v>Uttar Pradesh → Surat</v>
      </c>
      <c r="AA554" s="0" t="str">
        <f aca="false">Raw!Q554</f>
        <v>TCI Express</v>
      </c>
      <c r="AB554" s="0" t="str">
        <f aca="false">Raw!R554</f>
        <v>No</v>
      </c>
      <c r="AC554" s="0" t="str">
        <f aca="false">Raw!S554</f>
        <v>Normal</v>
      </c>
      <c r="AD554" s="29" t="n">
        <f aca="false">Raw!N554</f>
        <v>4494.97</v>
      </c>
      <c r="AE554" s="29" t="n">
        <f aca="false">Raw!O554</f>
        <v>2035.17</v>
      </c>
      <c r="AF554" s="29" t="n">
        <f aca="false">Raw!P554</f>
        <v>816.46</v>
      </c>
      <c r="AG554" s="29" t="n">
        <f aca="false">AD554/J554</f>
        <v>517.257767548907</v>
      </c>
    </row>
    <row r="555" customFormat="false" ht="15" hidden="false" customHeight="false" outlineLevel="0" collapsed="false">
      <c r="A555" s="0" t="str">
        <f aca="false">Raw!A555</f>
        <v>SHP0554</v>
      </c>
      <c r="B555" s="0" t="str">
        <f aca="false">Raw!B555</f>
        <v>Inbound</v>
      </c>
      <c r="C555" s="0" t="str">
        <f aca="false">Raw!C555</f>
        <v>Rajasthan</v>
      </c>
      <c r="D555" s="0" t="str">
        <f aca="false">Raw!D555</f>
        <v>Surat</v>
      </c>
      <c r="E555" s="0" t="str">
        <f aca="false">IFERROR(INDEX(Location_Map!$B$2:$B$15,MATCH(C555,Location_Map!$A$2:$A$15,0)),"UNMAPPED")</f>
        <v>Rajasthan</v>
      </c>
      <c r="F555" s="0" t="str">
        <f aca="false">IFERROR(INDEX(Location_Map!$C$2:$C$15,MATCH(C555,Location_Map!$A$2:$A$15,0)),"UNMAPPED")</f>
        <v>North</v>
      </c>
      <c r="G555" s="0" t="str">
        <f aca="false">IFERROR(INDEX(Location_Map!$B$2:$B$15,MATCH(D555,Location_Map!$A$2:$A$15,0)),"UNMAPPED")</f>
        <v>Gujarat</v>
      </c>
      <c r="H555" s="0" t="str">
        <f aca="false">IFERROR(INDEX(Location_Map!$C$2:$C$15,MATCH(D555,Location_Map!$A$2:$A$15,0)),"UNMAPPED")</f>
        <v>West</v>
      </c>
      <c r="I555" s="0" t="str">
        <f aca="false">Raw!E555</f>
        <v>Raw Yarn</v>
      </c>
      <c r="J555" s="28" t="n">
        <f aca="false">Raw!F555</f>
        <v>2.65</v>
      </c>
      <c r="K555" s="30" t="n">
        <f aca="false">DATE(LEFT(Raw!G555,4),MID(Raw!G555,6,2),MID(Raw!G555,9,2))</f>
        <v>45748</v>
      </c>
      <c r="L555" s="30" t="n">
        <f aca="false">DATE(LEFT(Raw!H555,4),MID(Raw!H555,6,2),MID(Raw!H555,9,2))</f>
        <v>45752</v>
      </c>
      <c r="M555" s="30" t="n">
        <f aca="false">DATE(LEFT(Raw!I555,4),MID(Raw!I555,6,2),MID(Raw!I555,9,2))</f>
        <v>45756</v>
      </c>
      <c r="N555" s="31" t="n">
        <f aca="false">DATE(LEFT(Raw!J555,4),MID(Raw!J555,6,2),MID(Raw!J555,9,2))+TIME(MID(Raw!J555,12,2),MID(Raw!J555,15,2),MID(Raw!J555,18,2))</f>
        <v>45751.9583333333</v>
      </c>
      <c r="O555" s="31" t="n">
        <f aca="false">DATE(LEFT(Raw!K555,4),MID(Raw!K555,6,2),MID(Raw!K555,9,2))+TIME(MID(Raw!K555,12,2),MID(Raw!K555,15,2),MID(Raw!K555,18,2))</f>
        <v>45755</v>
      </c>
      <c r="P555" s="32" t="n">
        <f aca="false">L555-K555</f>
        <v>4</v>
      </c>
      <c r="Q555" s="32" t="n">
        <f aca="false">M555-L555</f>
        <v>4</v>
      </c>
      <c r="R555" s="32" t="n">
        <f aca="false">O555-N555</f>
        <v>3.04166666666667</v>
      </c>
      <c r="S555" s="32" t="n">
        <f aca="false">Raw!L555</f>
        <v>-1</v>
      </c>
      <c r="T555" s="32" t="n">
        <f aca="false">O555-M555</f>
        <v>-1</v>
      </c>
      <c r="U555" s="0" t="str">
        <f aca="false">IF(ABS(T555-S555)&lt;0.01,"OK","MISMATCH")</f>
        <v>OK</v>
      </c>
      <c r="V555" s="33" t="n">
        <f aca="false">Raw!M555</f>
        <v>0</v>
      </c>
      <c r="W555" s="0" t="str">
        <f aca="false">IF((S555&gt;0)=(V555=1),"OK","MISMATCH")</f>
        <v>OK</v>
      </c>
      <c r="X555" s="0" t="str">
        <f aca="false">_xlfn.IFS(S555&lt;=0,"Early/On time",S555&lt;=2,"Minor (up to 2 days)",S555&lt;=5,"Moderate (2-5 days)",TRUE(),"Severe (over 5 days)")</f>
        <v>Early/On time</v>
      </c>
      <c r="Y555" s="0" t="str">
        <f aca="false">YEAR(K555)&amp;"-"&amp;TEXT(MONTH(K555),"00")</f>
        <v>2025-04</v>
      </c>
      <c r="Z555" s="0" t="str">
        <f aca="false">C555&amp;" → "&amp;D555</f>
        <v>Rajasthan → Surat</v>
      </c>
      <c r="AA555" s="0" t="str">
        <f aca="false">Raw!Q555</f>
        <v>BlueDart</v>
      </c>
      <c r="AB555" s="0" t="str">
        <f aca="false">Raw!R555</f>
        <v>Yes</v>
      </c>
      <c r="AC555" s="0" t="str">
        <f aca="false">Raw!S555</f>
        <v>Expedited</v>
      </c>
      <c r="AD555" s="29" t="n">
        <f aca="false">Raw!N555</f>
        <v>2850.2</v>
      </c>
      <c r="AE555" s="29" t="n">
        <f aca="false">Raw!O555</f>
        <v>1024.74</v>
      </c>
      <c r="AF555" s="29" t="n">
        <f aca="false">Raw!P555</f>
        <v>1310.68</v>
      </c>
      <c r="AG555" s="29" t="n">
        <f aca="false">AD555/J555</f>
        <v>1075.54716981132</v>
      </c>
    </row>
    <row r="556" customFormat="false" ht="15" hidden="false" customHeight="false" outlineLevel="0" collapsed="false">
      <c r="A556" s="0" t="str">
        <f aca="false">Raw!A556</f>
        <v>SHP0555</v>
      </c>
      <c r="B556" s="0" t="str">
        <f aca="false">Raw!B556</f>
        <v>Inbound</v>
      </c>
      <c r="C556" s="0" t="str">
        <f aca="false">Raw!C556</f>
        <v>Rajasthan</v>
      </c>
      <c r="D556" s="0" t="str">
        <f aca="false">Raw!D556</f>
        <v>Surat</v>
      </c>
      <c r="E556" s="0" t="str">
        <f aca="false">IFERROR(INDEX(Location_Map!$B$2:$B$15,MATCH(C556,Location_Map!$A$2:$A$15,0)),"UNMAPPED")</f>
        <v>Rajasthan</v>
      </c>
      <c r="F556" s="0" t="str">
        <f aca="false">IFERROR(INDEX(Location_Map!$C$2:$C$15,MATCH(C556,Location_Map!$A$2:$A$15,0)),"UNMAPPED")</f>
        <v>North</v>
      </c>
      <c r="G556" s="0" t="str">
        <f aca="false">IFERROR(INDEX(Location_Map!$B$2:$B$15,MATCH(D556,Location_Map!$A$2:$A$15,0)),"UNMAPPED")</f>
        <v>Gujarat</v>
      </c>
      <c r="H556" s="0" t="str">
        <f aca="false">IFERROR(INDEX(Location_Map!$C$2:$C$15,MATCH(D556,Location_Map!$A$2:$A$15,0)),"UNMAPPED")</f>
        <v>West</v>
      </c>
      <c r="I556" s="0" t="str">
        <f aca="false">Raw!E556</f>
        <v>Raw Yarn</v>
      </c>
      <c r="J556" s="28" t="n">
        <f aca="false">Raw!F556</f>
        <v>19.02</v>
      </c>
      <c r="K556" s="30" t="n">
        <f aca="false">DATE(LEFT(Raw!G556,4),MID(Raw!G556,6,2),MID(Raw!G556,9,2))</f>
        <v>45685</v>
      </c>
      <c r="L556" s="30" t="n">
        <f aca="false">DATE(LEFT(Raw!H556,4),MID(Raw!H556,6,2),MID(Raw!H556,9,2))</f>
        <v>45686</v>
      </c>
      <c r="M556" s="30" t="n">
        <f aca="false">DATE(LEFT(Raw!I556,4),MID(Raw!I556,6,2),MID(Raw!I556,9,2))</f>
        <v>45689</v>
      </c>
      <c r="N556" s="31" t="n">
        <f aca="false">DATE(LEFT(Raw!J556,4),MID(Raw!J556,6,2),MID(Raw!J556,9,2))+TIME(MID(Raw!J556,12,2),MID(Raw!J556,15,2),MID(Raw!J556,18,2))</f>
        <v>45686.3333333333</v>
      </c>
      <c r="O556" s="31" t="n">
        <f aca="false">DATE(LEFT(Raw!K556,4),MID(Raw!K556,6,2),MID(Raw!K556,9,2))+TIME(MID(Raw!K556,12,2),MID(Raw!K556,15,2),MID(Raw!K556,18,2))</f>
        <v>45691.1</v>
      </c>
      <c r="P556" s="32" t="n">
        <f aca="false">L556-K556</f>
        <v>1</v>
      </c>
      <c r="Q556" s="32" t="n">
        <f aca="false">M556-L556</f>
        <v>3</v>
      </c>
      <c r="R556" s="32" t="n">
        <f aca="false">O556-N556</f>
        <v>4.76666666666667</v>
      </c>
      <c r="S556" s="32" t="n">
        <f aca="false">Raw!L556</f>
        <v>2.1</v>
      </c>
      <c r="T556" s="32" t="n">
        <f aca="false">O556-M556</f>
        <v>2.1</v>
      </c>
      <c r="U556" s="0" t="str">
        <f aca="false">IF(ABS(T556-S556)&lt;0.01,"OK","MISMATCH")</f>
        <v>OK</v>
      </c>
      <c r="V556" s="33" t="n">
        <f aca="false">Raw!M556</f>
        <v>1</v>
      </c>
      <c r="W556" s="0" t="str">
        <f aca="false">IF((S556&gt;0)=(V556=1),"OK","MISMATCH")</f>
        <v>OK</v>
      </c>
      <c r="X556" s="0" t="str">
        <f aca="false">_xlfn.IFS(S556&lt;=0,"Early/On time",S556&lt;=2,"Minor (up to 2 days)",S556&lt;=5,"Moderate (2-5 days)",TRUE(),"Severe (over 5 days)")</f>
        <v>Moderate (2-5 days)</v>
      </c>
      <c r="Y556" s="0" t="str">
        <f aca="false">YEAR(K556)&amp;"-"&amp;TEXT(MONTH(K556),"00")</f>
        <v>2025-01</v>
      </c>
      <c r="Z556" s="0" t="str">
        <f aca="false">C556&amp;" → "&amp;D556</f>
        <v>Rajasthan → Surat</v>
      </c>
      <c r="AA556" s="0" t="str">
        <f aca="false">Raw!Q556</f>
        <v>GATI Logistics</v>
      </c>
      <c r="AB556" s="0" t="str">
        <f aca="false">Raw!R556</f>
        <v>Yes</v>
      </c>
      <c r="AC556" s="0" t="str">
        <f aca="false">Raw!S556</f>
        <v>Held at warehouse</v>
      </c>
      <c r="AD556" s="29" t="n">
        <f aca="false">Raw!N556</f>
        <v>11500.77</v>
      </c>
      <c r="AE556" s="29" t="n">
        <f aca="false">Raw!O556</f>
        <v>4981.69</v>
      </c>
      <c r="AF556" s="29" t="n">
        <f aca="false">Raw!P556</f>
        <v>787.51</v>
      </c>
      <c r="AG556" s="29" t="n">
        <f aca="false">AD556/J556</f>
        <v>604.667192429022</v>
      </c>
    </row>
    <row r="557" customFormat="false" ht="15" hidden="false" customHeight="false" outlineLevel="0" collapsed="false">
      <c r="A557" s="0" t="str">
        <f aca="false">Raw!A557</f>
        <v>SHP0556</v>
      </c>
      <c r="B557" s="0" t="str">
        <f aca="false">Raw!B557</f>
        <v>Inbound</v>
      </c>
      <c r="C557" s="0" t="str">
        <f aca="false">Raw!C557</f>
        <v>Uttar Pradesh</v>
      </c>
      <c r="D557" s="0" t="str">
        <f aca="false">Raw!D557</f>
        <v>Surat</v>
      </c>
      <c r="E557" s="0" t="str">
        <f aca="false">IFERROR(INDEX(Location_Map!$B$2:$B$15,MATCH(C557,Location_Map!$A$2:$A$15,0)),"UNMAPPED")</f>
        <v>Uttar Pradesh</v>
      </c>
      <c r="F557" s="0" t="str">
        <f aca="false">IFERROR(INDEX(Location_Map!$C$2:$C$15,MATCH(C557,Location_Map!$A$2:$A$15,0)),"UNMAPPED")</f>
        <v>North</v>
      </c>
      <c r="G557" s="0" t="str">
        <f aca="false">IFERROR(INDEX(Location_Map!$B$2:$B$15,MATCH(D557,Location_Map!$A$2:$A$15,0)),"UNMAPPED")</f>
        <v>Gujarat</v>
      </c>
      <c r="H557" s="0" t="str">
        <f aca="false">IFERROR(INDEX(Location_Map!$C$2:$C$15,MATCH(D557,Location_Map!$A$2:$A$15,0)),"UNMAPPED")</f>
        <v>West</v>
      </c>
      <c r="I557" s="0" t="str">
        <f aca="false">Raw!E557</f>
        <v>Semi-Processed Yarn</v>
      </c>
      <c r="J557" s="28" t="n">
        <f aca="false">Raw!F557</f>
        <v>11.23</v>
      </c>
      <c r="K557" s="30" t="n">
        <f aca="false">DATE(LEFT(Raw!G557,4),MID(Raw!G557,6,2),MID(Raw!G557,9,2))</f>
        <v>45817</v>
      </c>
      <c r="L557" s="30" t="n">
        <f aca="false">DATE(LEFT(Raw!H557,4),MID(Raw!H557,6,2),MID(Raw!H557,9,2))</f>
        <v>45819</v>
      </c>
      <c r="M557" s="30" t="n">
        <f aca="false">DATE(LEFT(Raw!I557,4),MID(Raw!I557,6,2),MID(Raw!I557,9,2))</f>
        <v>45825</v>
      </c>
      <c r="N557" s="31" t="n">
        <f aca="false">DATE(LEFT(Raw!J557,4),MID(Raw!J557,6,2),MID(Raw!J557,9,2))+TIME(MID(Raw!J557,12,2),MID(Raw!J557,15,2),MID(Raw!J557,18,2))</f>
        <v>45818.9166666667</v>
      </c>
      <c r="O557" s="31" t="n">
        <f aca="false">DATE(LEFT(Raw!K557,4),MID(Raw!K557,6,2),MID(Raw!K557,9,2))+TIME(MID(Raw!K557,12,2),MID(Raw!K557,15,2),MID(Raw!K557,18,2))</f>
        <v>45825.7</v>
      </c>
      <c r="P557" s="32" t="n">
        <f aca="false">L557-K557</f>
        <v>2</v>
      </c>
      <c r="Q557" s="32" t="n">
        <f aca="false">M557-L557</f>
        <v>6</v>
      </c>
      <c r="R557" s="32" t="n">
        <f aca="false">O557-N557</f>
        <v>6.78333333333333</v>
      </c>
      <c r="S557" s="32" t="n">
        <f aca="false">Raw!L557</f>
        <v>0.7</v>
      </c>
      <c r="T557" s="32" t="n">
        <f aca="false">O557-M557</f>
        <v>0.7</v>
      </c>
      <c r="U557" s="0" t="str">
        <f aca="false">IF(ABS(T557-S557)&lt;0.01,"OK","MISMATCH")</f>
        <v>OK</v>
      </c>
      <c r="V557" s="33" t="n">
        <f aca="false">Raw!M557</f>
        <v>1</v>
      </c>
      <c r="W557" s="0" t="str">
        <f aca="false">IF((S557&gt;0)=(V557=1),"OK","MISMATCH")</f>
        <v>OK</v>
      </c>
      <c r="X557" s="0" t="str">
        <f aca="false">_xlfn.IFS(S557&lt;=0,"Early/On time",S557&lt;=2,"Minor (up to 2 days)",S557&lt;=5,"Moderate (2-5 days)",TRUE(),"Severe (over 5 days)")</f>
        <v>Minor (up to 2 days)</v>
      </c>
      <c r="Y557" s="0" t="str">
        <f aca="false">YEAR(K557)&amp;"-"&amp;TEXT(MONTH(K557),"00")</f>
        <v>2025-06</v>
      </c>
      <c r="Z557" s="0" t="str">
        <f aca="false">C557&amp;" → "&amp;D557</f>
        <v>Uttar Pradesh → Surat</v>
      </c>
      <c r="AA557" s="0" t="str">
        <f aca="false">Raw!Q557</f>
        <v>GATI Logistics</v>
      </c>
      <c r="AB557" s="0" t="str">
        <f aca="false">Raw!R557</f>
        <v>Yes</v>
      </c>
      <c r="AC557" s="0" t="str">
        <f aca="false">Raw!S557</f>
        <v>Held at warehouse</v>
      </c>
      <c r="AD557" s="29" t="n">
        <f aca="false">Raw!N557</f>
        <v>9137.16</v>
      </c>
      <c r="AE557" s="29" t="n">
        <f aca="false">Raw!O557</f>
        <v>2993.33</v>
      </c>
      <c r="AF557" s="29" t="n">
        <f aca="false">Raw!P557</f>
        <v>1103.25</v>
      </c>
      <c r="AG557" s="29" t="n">
        <f aca="false">AD557/J557</f>
        <v>813.638468388246</v>
      </c>
    </row>
    <row r="558" customFormat="false" ht="15" hidden="false" customHeight="false" outlineLevel="0" collapsed="false">
      <c r="A558" s="0" t="str">
        <f aca="false">Raw!A558</f>
        <v>SHP0557</v>
      </c>
      <c r="B558" s="0" t="str">
        <f aca="false">Raw!B558</f>
        <v>Inbound</v>
      </c>
      <c r="C558" s="0" t="str">
        <f aca="false">Raw!C558</f>
        <v>Rajasthan</v>
      </c>
      <c r="D558" s="0" t="str">
        <f aca="false">Raw!D558</f>
        <v>Surat</v>
      </c>
      <c r="E558" s="0" t="str">
        <f aca="false">IFERROR(INDEX(Location_Map!$B$2:$B$15,MATCH(C558,Location_Map!$A$2:$A$15,0)),"UNMAPPED")</f>
        <v>Rajasthan</v>
      </c>
      <c r="F558" s="0" t="str">
        <f aca="false">IFERROR(INDEX(Location_Map!$C$2:$C$15,MATCH(C558,Location_Map!$A$2:$A$15,0)),"UNMAPPED")</f>
        <v>North</v>
      </c>
      <c r="G558" s="0" t="str">
        <f aca="false">IFERROR(INDEX(Location_Map!$B$2:$B$15,MATCH(D558,Location_Map!$A$2:$A$15,0)),"UNMAPPED")</f>
        <v>Gujarat</v>
      </c>
      <c r="H558" s="0" t="str">
        <f aca="false">IFERROR(INDEX(Location_Map!$C$2:$C$15,MATCH(D558,Location_Map!$A$2:$A$15,0)),"UNMAPPED")</f>
        <v>West</v>
      </c>
      <c r="I558" s="0" t="str">
        <f aca="false">Raw!E558</f>
        <v>Raw Yarn</v>
      </c>
      <c r="J558" s="28" t="n">
        <f aca="false">Raw!F558</f>
        <v>5.32</v>
      </c>
      <c r="K558" s="30" t="n">
        <f aca="false">DATE(LEFT(Raw!G558,4),MID(Raw!G558,6,2),MID(Raw!G558,9,2))</f>
        <v>45821</v>
      </c>
      <c r="L558" s="30" t="n">
        <f aca="false">DATE(LEFT(Raw!H558,4),MID(Raw!H558,6,2),MID(Raw!H558,9,2))</f>
        <v>45824</v>
      </c>
      <c r="M558" s="30" t="n">
        <f aca="false">DATE(LEFT(Raw!I558,4),MID(Raw!I558,6,2),MID(Raw!I558,9,2))</f>
        <v>45827</v>
      </c>
      <c r="N558" s="31" t="n">
        <f aca="false">DATE(LEFT(Raw!J558,4),MID(Raw!J558,6,2),MID(Raw!J558,9,2))+TIME(MID(Raw!J558,12,2),MID(Raw!J558,15,2),MID(Raw!J558,18,2))</f>
        <v>45823.8333333333</v>
      </c>
      <c r="O558" s="31" t="n">
        <f aca="false">DATE(LEFT(Raw!K558,4),MID(Raw!K558,6,2),MID(Raw!K558,9,2))+TIME(MID(Raw!K558,12,2),MID(Raw!K558,15,2),MID(Raw!K558,18,2))</f>
        <v>45829.8</v>
      </c>
      <c r="P558" s="32" t="n">
        <f aca="false">L558-K558</f>
        <v>3</v>
      </c>
      <c r="Q558" s="32" t="n">
        <f aca="false">M558-L558</f>
        <v>3</v>
      </c>
      <c r="R558" s="32" t="n">
        <f aca="false">O558-N558</f>
        <v>5.96666666666667</v>
      </c>
      <c r="S558" s="32" t="n">
        <f aca="false">Raw!L558</f>
        <v>2.8</v>
      </c>
      <c r="T558" s="32" t="n">
        <f aca="false">O558-M558</f>
        <v>2.8</v>
      </c>
      <c r="U558" s="0" t="str">
        <f aca="false">IF(ABS(T558-S558)&lt;0.01,"OK","MISMATCH")</f>
        <v>OK</v>
      </c>
      <c r="V558" s="33" t="n">
        <f aca="false">Raw!M558</f>
        <v>1</v>
      </c>
      <c r="W558" s="0" t="str">
        <f aca="false">IF((S558&gt;0)=(V558=1),"OK","MISMATCH")</f>
        <v>OK</v>
      </c>
      <c r="X558" s="0" t="str">
        <f aca="false">_xlfn.IFS(S558&lt;=0,"Early/On time",S558&lt;=2,"Minor (up to 2 days)",S558&lt;=5,"Moderate (2-5 days)",TRUE(),"Severe (over 5 days)")</f>
        <v>Moderate (2-5 days)</v>
      </c>
      <c r="Y558" s="0" t="str">
        <f aca="false">YEAR(K558)&amp;"-"&amp;TEXT(MONTH(K558),"00")</f>
        <v>2025-06</v>
      </c>
      <c r="Z558" s="0" t="str">
        <f aca="false">C558&amp;" → "&amp;D558</f>
        <v>Rajasthan → Surat</v>
      </c>
      <c r="AA558" s="0" t="str">
        <f aca="false">Raw!Q558</f>
        <v>Delhivery</v>
      </c>
      <c r="AB558" s="0" t="str">
        <f aca="false">Raw!R558</f>
        <v>Yes</v>
      </c>
      <c r="AC558" s="0" t="str">
        <f aca="false">Raw!S558</f>
        <v>Returned</v>
      </c>
      <c r="AD558" s="29" t="n">
        <f aca="false">Raw!N558</f>
        <v>3560.48</v>
      </c>
      <c r="AE558" s="29" t="n">
        <f aca="false">Raw!O558</f>
        <v>1681.85</v>
      </c>
      <c r="AF558" s="29" t="n">
        <f aca="false">Raw!P558</f>
        <v>884.52</v>
      </c>
      <c r="AG558" s="29" t="n">
        <f aca="false">AD558/J558</f>
        <v>669.263157894737</v>
      </c>
    </row>
    <row r="559" customFormat="false" ht="15" hidden="false" customHeight="false" outlineLevel="0" collapsed="false">
      <c r="A559" s="0" t="str">
        <f aca="false">Raw!A559</f>
        <v>SHP0558</v>
      </c>
      <c r="B559" s="0" t="str">
        <f aca="false">Raw!B559</f>
        <v>Outbound</v>
      </c>
      <c r="C559" s="0" t="str">
        <f aca="false">Raw!C559</f>
        <v>Surat</v>
      </c>
      <c r="D559" s="0" t="str">
        <f aca="false">Raw!D559</f>
        <v>Karnataka</v>
      </c>
      <c r="E559" s="0" t="str">
        <f aca="false">IFERROR(INDEX(Location_Map!$B$2:$B$15,MATCH(C559,Location_Map!$A$2:$A$15,0)),"UNMAPPED")</f>
        <v>Gujarat</v>
      </c>
      <c r="F559" s="0" t="str">
        <f aca="false">IFERROR(INDEX(Location_Map!$C$2:$C$15,MATCH(C559,Location_Map!$A$2:$A$15,0)),"UNMAPPED")</f>
        <v>West</v>
      </c>
      <c r="G559" s="0" t="str">
        <f aca="false">IFERROR(INDEX(Location_Map!$B$2:$B$15,MATCH(D559,Location_Map!$A$2:$A$15,0)),"UNMAPPED")</f>
        <v>Karnataka</v>
      </c>
      <c r="H559" s="0" t="str">
        <f aca="false">IFERROR(INDEX(Location_Map!$C$2:$C$15,MATCH(D559,Location_Map!$A$2:$A$15,0)),"UNMAPPED")</f>
        <v>South</v>
      </c>
      <c r="I559" s="0" t="str">
        <f aca="false">Raw!E559</f>
        <v>Finished Yarn</v>
      </c>
      <c r="J559" s="28" t="n">
        <f aca="false">Raw!F559</f>
        <v>7.59</v>
      </c>
      <c r="K559" s="30" t="n">
        <f aca="false">DATE(LEFT(Raw!G559,4),MID(Raw!G559,6,2),MID(Raw!G559,9,2))</f>
        <v>45787</v>
      </c>
      <c r="L559" s="30" t="n">
        <f aca="false">DATE(LEFT(Raw!H559,4),MID(Raw!H559,6,2),MID(Raw!H559,9,2))</f>
        <v>45791</v>
      </c>
      <c r="M559" s="30" t="n">
        <f aca="false">DATE(LEFT(Raw!I559,4),MID(Raw!I559,6,2),MID(Raw!I559,9,2))</f>
        <v>45796</v>
      </c>
      <c r="N559" s="31" t="n">
        <f aca="false">DATE(LEFT(Raw!J559,4),MID(Raw!J559,6,2),MID(Raw!J559,9,2))+TIME(MID(Raw!J559,12,2),MID(Raw!J559,15,2),MID(Raw!J559,18,2))</f>
        <v>45791.2916666667</v>
      </c>
      <c r="O559" s="31" t="n">
        <f aca="false">DATE(LEFT(Raw!K559,4),MID(Raw!K559,6,2),MID(Raw!K559,9,2))+TIME(MID(Raw!K559,12,2),MID(Raw!K559,15,2),MID(Raw!K559,18,2))</f>
        <v>45796.1</v>
      </c>
      <c r="P559" s="32" t="n">
        <f aca="false">L559-K559</f>
        <v>4</v>
      </c>
      <c r="Q559" s="32" t="n">
        <f aca="false">M559-L559</f>
        <v>5</v>
      </c>
      <c r="R559" s="32" t="n">
        <f aca="false">O559-N559</f>
        <v>4.80833333333333</v>
      </c>
      <c r="S559" s="32" t="n">
        <f aca="false">Raw!L559</f>
        <v>0.1</v>
      </c>
      <c r="T559" s="32" t="n">
        <f aca="false">O559-M559</f>
        <v>0.1</v>
      </c>
      <c r="U559" s="0" t="str">
        <f aca="false">IF(ABS(T559-S559)&lt;0.01,"OK","MISMATCH")</f>
        <v>OK</v>
      </c>
      <c r="V559" s="33" t="n">
        <f aca="false">Raw!M559</f>
        <v>1</v>
      </c>
      <c r="W559" s="0" t="str">
        <f aca="false">IF((S559&gt;0)=(V559=1),"OK","MISMATCH")</f>
        <v>OK</v>
      </c>
      <c r="X559" s="0" t="str">
        <f aca="false">_xlfn.IFS(S559&lt;=0,"Early/On time",S559&lt;=2,"Minor (up to 2 days)",S559&lt;=5,"Moderate (2-5 days)",TRUE(),"Severe (over 5 days)")</f>
        <v>Minor (up to 2 days)</v>
      </c>
      <c r="Y559" s="0" t="str">
        <f aca="false">YEAR(K559)&amp;"-"&amp;TEXT(MONTH(K559),"00")</f>
        <v>2025-05</v>
      </c>
      <c r="Z559" s="0" t="str">
        <f aca="false">C559&amp;" → "&amp;D559</f>
        <v>Surat → Karnataka</v>
      </c>
      <c r="AA559" s="0" t="str">
        <f aca="false">Raw!Q559</f>
        <v>BlueDart</v>
      </c>
      <c r="AB559" s="0" t="str">
        <f aca="false">Raw!R559</f>
        <v>No</v>
      </c>
      <c r="AC559" s="0" t="str">
        <f aca="false">Raw!S559</f>
        <v>Returned</v>
      </c>
      <c r="AD559" s="29" t="n">
        <f aca="false">Raw!N559</f>
        <v>5007.12</v>
      </c>
      <c r="AE559" s="29" t="n">
        <f aca="false">Raw!O559</f>
        <v>2351.93</v>
      </c>
      <c r="AF559" s="29" t="n">
        <f aca="false">Raw!P559</f>
        <v>1205.49</v>
      </c>
      <c r="AG559" s="29" t="n">
        <f aca="false">AD559/J559</f>
        <v>659.699604743083</v>
      </c>
    </row>
    <row r="560" customFormat="false" ht="15" hidden="false" customHeight="false" outlineLevel="0" collapsed="false">
      <c r="A560" s="0" t="str">
        <f aca="false">Raw!A560</f>
        <v>SHP0559</v>
      </c>
      <c r="B560" s="0" t="str">
        <f aca="false">Raw!B560</f>
        <v>Outbound</v>
      </c>
      <c r="C560" s="0" t="str">
        <f aca="false">Raw!C560</f>
        <v>Surat</v>
      </c>
      <c r="D560" s="0" t="str">
        <f aca="false">Raw!D560</f>
        <v>West Bengal</v>
      </c>
      <c r="E560" s="0" t="str">
        <f aca="false">IFERROR(INDEX(Location_Map!$B$2:$B$15,MATCH(C560,Location_Map!$A$2:$A$15,0)),"UNMAPPED")</f>
        <v>Gujarat</v>
      </c>
      <c r="F560" s="0" t="str">
        <f aca="false">IFERROR(INDEX(Location_Map!$C$2:$C$15,MATCH(C560,Location_Map!$A$2:$A$15,0)),"UNMAPPED")</f>
        <v>West</v>
      </c>
      <c r="G560" s="0" t="str">
        <f aca="false">IFERROR(INDEX(Location_Map!$B$2:$B$15,MATCH(D560,Location_Map!$A$2:$A$15,0)),"UNMAPPED")</f>
        <v>West Bengal</v>
      </c>
      <c r="H560" s="0" t="str">
        <f aca="false">IFERROR(INDEX(Location_Map!$C$2:$C$15,MATCH(D560,Location_Map!$A$2:$A$15,0)),"UNMAPPED")</f>
        <v>East</v>
      </c>
      <c r="I560" s="0" t="str">
        <f aca="false">Raw!E560</f>
        <v>Finished Yarn</v>
      </c>
      <c r="J560" s="28" t="n">
        <f aca="false">Raw!F560</f>
        <v>4.56</v>
      </c>
      <c r="K560" s="30" t="n">
        <f aca="false">DATE(LEFT(Raw!G560,4),MID(Raw!G560,6,2),MID(Raw!G560,9,2))</f>
        <v>45883</v>
      </c>
      <c r="L560" s="30" t="n">
        <f aca="false">DATE(LEFT(Raw!H560,4),MID(Raw!H560,6,2),MID(Raw!H560,9,2))</f>
        <v>45884</v>
      </c>
      <c r="M560" s="30" t="n">
        <f aca="false">DATE(LEFT(Raw!I560,4),MID(Raw!I560,6,2),MID(Raw!I560,9,2))</f>
        <v>45888</v>
      </c>
      <c r="N560" s="31" t="n">
        <f aca="false">DATE(LEFT(Raw!J560,4),MID(Raw!J560,6,2),MID(Raw!J560,9,2))+TIME(MID(Raw!J560,12,2),MID(Raw!J560,15,2),MID(Raw!J560,18,2))</f>
        <v>45884.3333333333</v>
      </c>
      <c r="O560" s="31" t="n">
        <f aca="false">DATE(LEFT(Raw!K560,4),MID(Raw!K560,6,2),MID(Raw!K560,9,2))+TIME(MID(Raw!K560,12,2),MID(Raw!K560,15,2),MID(Raw!K560,18,2))</f>
        <v>45887</v>
      </c>
      <c r="P560" s="32" t="n">
        <f aca="false">L560-K560</f>
        <v>1</v>
      </c>
      <c r="Q560" s="32" t="n">
        <f aca="false">M560-L560</f>
        <v>4</v>
      </c>
      <c r="R560" s="32" t="n">
        <f aca="false">O560-N560</f>
        <v>2.66666666666667</v>
      </c>
      <c r="S560" s="32" t="n">
        <f aca="false">Raw!L560</f>
        <v>-1</v>
      </c>
      <c r="T560" s="32" t="n">
        <f aca="false">O560-M560</f>
        <v>-1</v>
      </c>
      <c r="U560" s="0" t="str">
        <f aca="false">IF(ABS(T560-S560)&lt;0.01,"OK","MISMATCH")</f>
        <v>OK</v>
      </c>
      <c r="V560" s="33" t="n">
        <f aca="false">Raw!M560</f>
        <v>0</v>
      </c>
      <c r="W560" s="0" t="str">
        <f aca="false">IF((S560&gt;0)=(V560=1),"OK","MISMATCH")</f>
        <v>OK</v>
      </c>
      <c r="X560" s="0" t="str">
        <f aca="false">_xlfn.IFS(S560&lt;=0,"Early/On time",S560&lt;=2,"Minor (up to 2 days)",S560&lt;=5,"Moderate (2-5 days)",TRUE(),"Severe (over 5 days)")</f>
        <v>Early/On time</v>
      </c>
      <c r="Y560" s="0" t="str">
        <f aca="false">YEAR(K560)&amp;"-"&amp;TEXT(MONTH(K560),"00")</f>
        <v>2025-08</v>
      </c>
      <c r="Z560" s="0" t="str">
        <f aca="false">C560&amp;" → "&amp;D560</f>
        <v>Surat → West Bengal</v>
      </c>
      <c r="AA560" s="0" t="str">
        <f aca="false">Raw!Q560</f>
        <v>Delhivery</v>
      </c>
      <c r="AB560" s="0" t="str">
        <f aca="false">Raw!R560</f>
        <v>No</v>
      </c>
      <c r="AC560" s="0" t="str">
        <f aca="false">Raw!S560</f>
        <v>Damaged</v>
      </c>
      <c r="AD560" s="29" t="n">
        <f aca="false">Raw!N560</f>
        <v>2616.8</v>
      </c>
      <c r="AE560" s="29" t="n">
        <f aca="false">Raw!O560</f>
        <v>3617.39</v>
      </c>
      <c r="AF560" s="29" t="n">
        <f aca="false">Raw!P560</f>
        <v>1372.52</v>
      </c>
      <c r="AG560" s="29" t="n">
        <f aca="false">AD560/J560</f>
        <v>573.859649122807</v>
      </c>
    </row>
    <row r="561" customFormat="false" ht="15" hidden="false" customHeight="false" outlineLevel="0" collapsed="false">
      <c r="A561" s="0" t="str">
        <f aca="false">Raw!A561</f>
        <v>SHP0560</v>
      </c>
      <c r="B561" s="0" t="str">
        <f aca="false">Raw!B561</f>
        <v>Inbound</v>
      </c>
      <c r="C561" s="0" t="str">
        <f aca="false">Raw!C561</f>
        <v>Gujarat</v>
      </c>
      <c r="D561" s="0" t="str">
        <f aca="false">Raw!D561</f>
        <v>Surat</v>
      </c>
      <c r="E561" s="0" t="str">
        <f aca="false">IFERROR(INDEX(Location_Map!$B$2:$B$15,MATCH(C561,Location_Map!$A$2:$A$15,0)),"UNMAPPED")</f>
        <v>Gujarat</v>
      </c>
      <c r="F561" s="0" t="str">
        <f aca="false">IFERROR(INDEX(Location_Map!$C$2:$C$15,MATCH(C561,Location_Map!$A$2:$A$15,0)),"UNMAPPED")</f>
        <v>West</v>
      </c>
      <c r="G561" s="0" t="str">
        <f aca="false">IFERROR(INDEX(Location_Map!$B$2:$B$15,MATCH(D561,Location_Map!$A$2:$A$15,0)),"UNMAPPED")</f>
        <v>Gujarat</v>
      </c>
      <c r="H561" s="0" t="str">
        <f aca="false">IFERROR(INDEX(Location_Map!$C$2:$C$15,MATCH(D561,Location_Map!$A$2:$A$15,0)),"UNMAPPED")</f>
        <v>West</v>
      </c>
      <c r="I561" s="0" t="str">
        <f aca="false">Raw!E561</f>
        <v>Semi-Processed Yarn</v>
      </c>
      <c r="J561" s="28" t="n">
        <f aca="false">Raw!F561</f>
        <v>5.64</v>
      </c>
      <c r="K561" s="30" t="n">
        <f aca="false">DATE(LEFT(Raw!G561,4),MID(Raw!G561,6,2),MID(Raw!G561,9,2))</f>
        <v>45793</v>
      </c>
      <c r="L561" s="30" t="n">
        <f aca="false">DATE(LEFT(Raw!H561,4),MID(Raw!H561,6,2),MID(Raw!H561,9,2))</f>
        <v>45797</v>
      </c>
      <c r="M561" s="30" t="n">
        <f aca="false">DATE(LEFT(Raw!I561,4),MID(Raw!I561,6,2),MID(Raw!I561,9,2))</f>
        <v>45800</v>
      </c>
      <c r="N561" s="31" t="n">
        <f aca="false">DATE(LEFT(Raw!J561,4),MID(Raw!J561,6,2),MID(Raw!J561,9,2))+TIME(MID(Raw!J561,12,2),MID(Raw!J561,15,2),MID(Raw!J561,18,2))</f>
        <v>45797.0416666667</v>
      </c>
      <c r="O561" s="31" t="n">
        <f aca="false">DATE(LEFT(Raw!K561,4),MID(Raw!K561,6,2),MID(Raw!K561,9,2))+TIME(MID(Raw!K561,12,2),MID(Raw!K561,15,2),MID(Raw!K561,18,2))</f>
        <v>45803.8</v>
      </c>
      <c r="P561" s="32" t="n">
        <f aca="false">L561-K561</f>
        <v>4</v>
      </c>
      <c r="Q561" s="32" t="n">
        <f aca="false">M561-L561</f>
        <v>3</v>
      </c>
      <c r="R561" s="32" t="n">
        <f aca="false">O561-N561</f>
        <v>6.75833333333333</v>
      </c>
      <c r="S561" s="32" t="n">
        <f aca="false">Raw!L561</f>
        <v>3.8</v>
      </c>
      <c r="T561" s="32" t="n">
        <f aca="false">O561-M561</f>
        <v>3.8</v>
      </c>
      <c r="U561" s="0" t="str">
        <f aca="false">IF(ABS(T561-S561)&lt;0.01,"OK","MISMATCH")</f>
        <v>OK</v>
      </c>
      <c r="V561" s="33" t="n">
        <f aca="false">Raw!M561</f>
        <v>1</v>
      </c>
      <c r="W561" s="0" t="str">
        <f aca="false">IF((S561&gt;0)=(V561=1),"OK","MISMATCH")</f>
        <v>OK</v>
      </c>
      <c r="X561" s="0" t="str">
        <f aca="false">_xlfn.IFS(S561&lt;=0,"Early/On time",S561&lt;=2,"Minor (up to 2 days)",S561&lt;=5,"Moderate (2-5 days)",TRUE(),"Severe (over 5 days)")</f>
        <v>Moderate (2-5 days)</v>
      </c>
      <c r="Y561" s="0" t="str">
        <f aca="false">YEAR(K561)&amp;"-"&amp;TEXT(MONTH(K561),"00")</f>
        <v>2025-05</v>
      </c>
      <c r="Z561" s="0" t="str">
        <f aca="false">C561&amp;" → "&amp;D561</f>
        <v>Gujarat → Surat</v>
      </c>
      <c r="AA561" s="0" t="str">
        <f aca="false">Raw!Q561</f>
        <v>Delhivery</v>
      </c>
      <c r="AB561" s="0" t="str">
        <f aca="false">Raw!R561</f>
        <v>Yes</v>
      </c>
      <c r="AC561" s="0" t="str">
        <f aca="false">Raw!S561</f>
        <v>Normal</v>
      </c>
      <c r="AD561" s="29" t="n">
        <f aca="false">Raw!N561</f>
        <v>2484.9</v>
      </c>
      <c r="AE561" s="29" t="n">
        <f aca="false">Raw!O561</f>
        <v>2049.94</v>
      </c>
      <c r="AF561" s="29" t="n">
        <f aca="false">Raw!P561</f>
        <v>1081.22</v>
      </c>
      <c r="AG561" s="29" t="n">
        <f aca="false">AD561/J561</f>
        <v>440.585106382979</v>
      </c>
    </row>
    <row r="562" customFormat="false" ht="15" hidden="false" customHeight="false" outlineLevel="0" collapsed="false">
      <c r="A562" s="0" t="str">
        <f aca="false">Raw!A562</f>
        <v>SHP0561</v>
      </c>
      <c r="B562" s="0" t="str">
        <f aca="false">Raw!B562</f>
        <v>Outbound</v>
      </c>
      <c r="C562" s="0" t="str">
        <f aca="false">Raw!C562</f>
        <v>Surat</v>
      </c>
      <c r="D562" s="0" t="str">
        <f aca="false">Raw!D562</f>
        <v>Kerala</v>
      </c>
      <c r="E562" s="0" t="str">
        <f aca="false">IFERROR(INDEX(Location_Map!$B$2:$B$15,MATCH(C562,Location_Map!$A$2:$A$15,0)),"UNMAPPED")</f>
        <v>Gujarat</v>
      </c>
      <c r="F562" s="0" t="str">
        <f aca="false">IFERROR(INDEX(Location_Map!$C$2:$C$15,MATCH(C562,Location_Map!$A$2:$A$15,0)),"UNMAPPED")</f>
        <v>West</v>
      </c>
      <c r="G562" s="0" t="str">
        <f aca="false">IFERROR(INDEX(Location_Map!$B$2:$B$15,MATCH(D562,Location_Map!$A$2:$A$15,0)),"UNMAPPED")</f>
        <v>Kerala</v>
      </c>
      <c r="H562" s="0" t="str">
        <f aca="false">IFERROR(INDEX(Location_Map!$C$2:$C$15,MATCH(D562,Location_Map!$A$2:$A$15,0)),"UNMAPPED")</f>
        <v>South</v>
      </c>
      <c r="I562" s="0" t="str">
        <f aca="false">Raw!E562</f>
        <v>Raw Yarn</v>
      </c>
      <c r="J562" s="28" t="n">
        <f aca="false">Raw!F562</f>
        <v>14.65</v>
      </c>
      <c r="K562" s="30" t="n">
        <f aca="false">DATE(LEFT(Raw!G562,4),MID(Raw!G562,6,2),MID(Raw!G562,9,2))</f>
        <v>45695</v>
      </c>
      <c r="L562" s="30" t="n">
        <f aca="false">DATE(LEFT(Raw!H562,4),MID(Raw!H562,6,2),MID(Raw!H562,9,2))</f>
        <v>45698</v>
      </c>
      <c r="M562" s="30" t="n">
        <f aca="false">DATE(LEFT(Raw!I562,4),MID(Raw!I562,6,2),MID(Raw!I562,9,2))</f>
        <v>45701</v>
      </c>
      <c r="N562" s="31" t="n">
        <f aca="false">DATE(LEFT(Raw!J562,4),MID(Raw!J562,6,2),MID(Raw!J562,9,2))+TIME(MID(Raw!J562,12,2),MID(Raw!J562,15,2),MID(Raw!J562,18,2))</f>
        <v>45697.9166666667</v>
      </c>
      <c r="O562" s="31" t="n">
        <f aca="false">DATE(LEFT(Raw!K562,4),MID(Raw!K562,6,2),MID(Raw!K562,9,2))+TIME(MID(Raw!K562,12,2),MID(Raw!K562,15,2),MID(Raw!K562,18,2))</f>
        <v>45700.7</v>
      </c>
      <c r="P562" s="32" t="n">
        <f aca="false">L562-K562</f>
        <v>3</v>
      </c>
      <c r="Q562" s="32" t="n">
        <f aca="false">M562-L562</f>
        <v>3</v>
      </c>
      <c r="R562" s="32" t="n">
        <f aca="false">O562-N562</f>
        <v>2.78333333333333</v>
      </c>
      <c r="S562" s="32" t="n">
        <f aca="false">Raw!L562</f>
        <v>-0.3</v>
      </c>
      <c r="T562" s="32" t="n">
        <f aca="false">O562-M562</f>
        <v>-0.300000000005833</v>
      </c>
      <c r="U562" s="0" t="str">
        <f aca="false">IF(ABS(T562-S562)&lt;0.01,"OK","MISMATCH")</f>
        <v>OK</v>
      </c>
      <c r="V562" s="33" t="n">
        <f aca="false">Raw!M562</f>
        <v>0</v>
      </c>
      <c r="W562" s="0" t="str">
        <f aca="false">IF((S562&gt;0)=(V562=1),"OK","MISMATCH")</f>
        <v>OK</v>
      </c>
      <c r="X562" s="0" t="str">
        <f aca="false">_xlfn.IFS(S562&lt;=0,"Early/On time",S562&lt;=2,"Minor (up to 2 days)",S562&lt;=5,"Moderate (2-5 days)",TRUE(),"Severe (over 5 days)")</f>
        <v>Early/On time</v>
      </c>
      <c r="Y562" s="0" t="str">
        <f aca="false">YEAR(K562)&amp;"-"&amp;TEXT(MONTH(K562),"00")</f>
        <v>2025-02</v>
      </c>
      <c r="Z562" s="0" t="str">
        <f aca="false">C562&amp;" → "&amp;D562</f>
        <v>Surat → Kerala</v>
      </c>
      <c r="AA562" s="0" t="str">
        <f aca="false">Raw!Q562</f>
        <v>TCI Express</v>
      </c>
      <c r="AB562" s="0" t="str">
        <f aca="false">Raw!R562</f>
        <v>No</v>
      </c>
      <c r="AC562" s="0" t="str">
        <f aca="false">Raw!S562</f>
        <v>Returned</v>
      </c>
      <c r="AD562" s="29" t="n">
        <f aca="false">Raw!N562</f>
        <v>7809.17</v>
      </c>
      <c r="AE562" s="29" t="n">
        <f aca="false">Raw!O562</f>
        <v>4556.05</v>
      </c>
      <c r="AF562" s="29" t="n">
        <f aca="false">Raw!P562</f>
        <v>660.63</v>
      </c>
      <c r="AG562" s="29" t="n">
        <f aca="false">AD562/J562</f>
        <v>533.049146757679</v>
      </c>
    </row>
    <row r="563" customFormat="false" ht="15" hidden="false" customHeight="false" outlineLevel="0" collapsed="false">
      <c r="A563" s="0" t="str">
        <f aca="false">Raw!A563</f>
        <v>SHP0562</v>
      </c>
      <c r="B563" s="0" t="str">
        <f aca="false">Raw!B563</f>
        <v>Outbound</v>
      </c>
      <c r="C563" s="0" t="str">
        <f aca="false">Raw!C563</f>
        <v>Surat</v>
      </c>
      <c r="D563" s="0" t="str">
        <f aca="false">Raw!D563</f>
        <v>Assam</v>
      </c>
      <c r="E563" s="0" t="str">
        <f aca="false">IFERROR(INDEX(Location_Map!$B$2:$B$15,MATCH(C563,Location_Map!$A$2:$A$15,0)),"UNMAPPED")</f>
        <v>Gujarat</v>
      </c>
      <c r="F563" s="0" t="str">
        <f aca="false">IFERROR(INDEX(Location_Map!$C$2:$C$15,MATCH(C563,Location_Map!$A$2:$A$15,0)),"UNMAPPED")</f>
        <v>West</v>
      </c>
      <c r="G563" s="0" t="str">
        <f aca="false">IFERROR(INDEX(Location_Map!$B$2:$B$15,MATCH(D563,Location_Map!$A$2:$A$15,0)),"UNMAPPED")</f>
        <v>Assam</v>
      </c>
      <c r="H563" s="0" t="str">
        <f aca="false">IFERROR(INDEX(Location_Map!$C$2:$C$15,MATCH(D563,Location_Map!$A$2:$A$15,0)),"UNMAPPED")</f>
        <v>North-East</v>
      </c>
      <c r="I563" s="0" t="str">
        <f aca="false">Raw!E563</f>
        <v>Raw Yarn</v>
      </c>
      <c r="J563" s="28" t="n">
        <f aca="false">Raw!F563</f>
        <v>4.29</v>
      </c>
      <c r="K563" s="30" t="n">
        <f aca="false">DATE(LEFT(Raw!G563,4),MID(Raw!G563,6,2),MID(Raw!G563,9,2))</f>
        <v>45738</v>
      </c>
      <c r="L563" s="30" t="n">
        <f aca="false">DATE(LEFT(Raw!H563,4),MID(Raw!H563,6,2),MID(Raw!H563,9,2))</f>
        <v>45739</v>
      </c>
      <c r="M563" s="30" t="n">
        <f aca="false">DATE(LEFT(Raw!I563,4),MID(Raw!I563,6,2),MID(Raw!I563,9,2))</f>
        <v>45745</v>
      </c>
      <c r="N563" s="31" t="n">
        <f aca="false">DATE(LEFT(Raw!J563,4),MID(Raw!J563,6,2),MID(Raw!J563,9,2))+TIME(MID(Raw!J563,12,2),MID(Raw!J563,15,2),MID(Raw!J563,18,2))</f>
        <v>45739</v>
      </c>
      <c r="O563" s="31" t="n">
        <f aca="false">DATE(LEFT(Raw!K563,4),MID(Raw!K563,6,2),MID(Raw!K563,9,2))+TIME(MID(Raw!K563,12,2),MID(Raw!K563,15,2),MID(Raw!K563,18,2))</f>
        <v>45744</v>
      </c>
      <c r="P563" s="32" t="n">
        <f aca="false">L563-K563</f>
        <v>1</v>
      </c>
      <c r="Q563" s="32" t="n">
        <f aca="false">M563-L563</f>
        <v>6</v>
      </c>
      <c r="R563" s="32" t="n">
        <f aca="false">O563-N563</f>
        <v>5</v>
      </c>
      <c r="S563" s="32" t="n">
        <f aca="false">Raw!L563</f>
        <v>-1</v>
      </c>
      <c r="T563" s="32" t="n">
        <f aca="false">O563-M563</f>
        <v>-1</v>
      </c>
      <c r="U563" s="0" t="str">
        <f aca="false">IF(ABS(T563-S563)&lt;0.01,"OK","MISMATCH")</f>
        <v>OK</v>
      </c>
      <c r="V563" s="33" t="n">
        <f aca="false">Raw!M563</f>
        <v>0</v>
      </c>
      <c r="W563" s="0" t="str">
        <f aca="false">IF((S563&gt;0)=(V563=1),"OK","MISMATCH")</f>
        <v>OK</v>
      </c>
      <c r="X563" s="0" t="str">
        <f aca="false">_xlfn.IFS(S563&lt;=0,"Early/On time",S563&lt;=2,"Minor (up to 2 days)",S563&lt;=5,"Moderate (2-5 days)",TRUE(),"Severe (over 5 days)")</f>
        <v>Early/On time</v>
      </c>
      <c r="Y563" s="0" t="str">
        <f aca="false">YEAR(K563)&amp;"-"&amp;TEXT(MONTH(K563),"00")</f>
        <v>2025-03</v>
      </c>
      <c r="Z563" s="0" t="str">
        <f aca="false">C563&amp;" → "&amp;D563</f>
        <v>Surat → Assam</v>
      </c>
      <c r="AA563" s="0" t="str">
        <f aca="false">Raw!Q563</f>
        <v>VRL Cargo</v>
      </c>
      <c r="AB563" s="0" t="str">
        <f aca="false">Raw!R563</f>
        <v>Yes</v>
      </c>
      <c r="AC563" s="0" t="str">
        <f aca="false">Raw!S563</f>
        <v>Held at warehouse</v>
      </c>
      <c r="AD563" s="29" t="n">
        <f aca="false">Raw!N563</f>
        <v>2743.51</v>
      </c>
      <c r="AE563" s="29" t="n">
        <f aca="false">Raw!O563</f>
        <v>1555.88</v>
      </c>
      <c r="AF563" s="29" t="n">
        <f aca="false">Raw!P563</f>
        <v>1247.3</v>
      </c>
      <c r="AG563" s="29" t="n">
        <f aca="false">AD563/J563</f>
        <v>639.512820512821</v>
      </c>
    </row>
    <row r="564" customFormat="false" ht="15" hidden="false" customHeight="false" outlineLevel="0" collapsed="false">
      <c r="A564" s="0" t="str">
        <f aca="false">Raw!A564</f>
        <v>SHP0563</v>
      </c>
      <c r="B564" s="0" t="str">
        <f aca="false">Raw!B564</f>
        <v>Inbound</v>
      </c>
      <c r="C564" s="0" t="str">
        <f aca="false">Raw!C564</f>
        <v>Gujarat</v>
      </c>
      <c r="D564" s="0" t="str">
        <f aca="false">Raw!D564</f>
        <v>Surat</v>
      </c>
      <c r="E564" s="0" t="str">
        <f aca="false">IFERROR(INDEX(Location_Map!$B$2:$B$15,MATCH(C564,Location_Map!$A$2:$A$15,0)),"UNMAPPED")</f>
        <v>Gujarat</v>
      </c>
      <c r="F564" s="0" t="str">
        <f aca="false">IFERROR(INDEX(Location_Map!$C$2:$C$15,MATCH(C564,Location_Map!$A$2:$A$15,0)),"UNMAPPED")</f>
        <v>West</v>
      </c>
      <c r="G564" s="0" t="str">
        <f aca="false">IFERROR(INDEX(Location_Map!$B$2:$B$15,MATCH(D564,Location_Map!$A$2:$A$15,0)),"UNMAPPED")</f>
        <v>Gujarat</v>
      </c>
      <c r="H564" s="0" t="str">
        <f aca="false">IFERROR(INDEX(Location_Map!$C$2:$C$15,MATCH(D564,Location_Map!$A$2:$A$15,0)),"UNMAPPED")</f>
        <v>West</v>
      </c>
      <c r="I564" s="0" t="str">
        <f aca="false">Raw!E564</f>
        <v>Raw Yarn</v>
      </c>
      <c r="J564" s="28" t="n">
        <f aca="false">Raw!F564</f>
        <v>1.91</v>
      </c>
      <c r="K564" s="30" t="n">
        <f aca="false">DATE(LEFT(Raw!G564,4),MID(Raw!G564,6,2),MID(Raw!G564,9,2))</f>
        <v>45942</v>
      </c>
      <c r="L564" s="30" t="n">
        <f aca="false">DATE(LEFT(Raw!H564,4),MID(Raw!H564,6,2),MID(Raw!H564,9,2))</f>
        <v>45945</v>
      </c>
      <c r="M564" s="30" t="n">
        <f aca="false">DATE(LEFT(Raw!I564,4),MID(Raw!I564,6,2),MID(Raw!I564,9,2))</f>
        <v>45948</v>
      </c>
      <c r="N564" s="31" t="n">
        <f aca="false">DATE(LEFT(Raw!J564,4),MID(Raw!J564,6,2),MID(Raw!J564,9,2))+TIME(MID(Raw!J564,12,2),MID(Raw!J564,15,2),MID(Raw!J564,18,2))</f>
        <v>45945.3333333333</v>
      </c>
      <c r="O564" s="31" t="n">
        <f aca="false">DATE(LEFT(Raw!K564,4),MID(Raw!K564,6,2),MID(Raw!K564,9,2))+TIME(MID(Raw!K564,12,2),MID(Raw!K564,15,2),MID(Raw!K564,18,2))</f>
        <v>45947</v>
      </c>
      <c r="P564" s="32" t="n">
        <f aca="false">L564-K564</f>
        <v>3</v>
      </c>
      <c r="Q564" s="32" t="n">
        <f aca="false">M564-L564</f>
        <v>3</v>
      </c>
      <c r="R564" s="32" t="n">
        <f aca="false">O564-N564</f>
        <v>1.66666666666667</v>
      </c>
      <c r="S564" s="32" t="n">
        <f aca="false">Raw!L564</f>
        <v>-1</v>
      </c>
      <c r="T564" s="32" t="n">
        <f aca="false">O564-M564</f>
        <v>-1</v>
      </c>
      <c r="U564" s="0" t="str">
        <f aca="false">IF(ABS(T564-S564)&lt;0.01,"OK","MISMATCH")</f>
        <v>OK</v>
      </c>
      <c r="V564" s="33" t="n">
        <f aca="false">Raw!M564</f>
        <v>0</v>
      </c>
      <c r="W564" s="0" t="str">
        <f aca="false">IF((S564&gt;0)=(V564=1),"OK","MISMATCH")</f>
        <v>OK</v>
      </c>
      <c r="X564" s="0" t="str">
        <f aca="false">_xlfn.IFS(S564&lt;=0,"Early/On time",S564&lt;=2,"Minor (up to 2 days)",S564&lt;=5,"Moderate (2-5 days)",TRUE(),"Severe (over 5 days)")</f>
        <v>Early/On time</v>
      </c>
      <c r="Y564" s="0" t="str">
        <f aca="false">YEAR(K564)&amp;"-"&amp;TEXT(MONTH(K564),"00")</f>
        <v>2025-10</v>
      </c>
      <c r="Z564" s="0" t="str">
        <f aca="false">C564&amp;" → "&amp;D564</f>
        <v>Gujarat → Surat</v>
      </c>
      <c r="AA564" s="0" t="str">
        <f aca="false">Raw!Q564</f>
        <v>Delhivery</v>
      </c>
      <c r="AB564" s="0" t="str">
        <f aca="false">Raw!R564</f>
        <v>No</v>
      </c>
      <c r="AC564" s="0" t="str">
        <f aca="false">Raw!S564</f>
        <v>Held at warehouse</v>
      </c>
      <c r="AD564" s="29" t="n">
        <f aca="false">Raw!N564</f>
        <v>2362.32</v>
      </c>
      <c r="AE564" s="29" t="n">
        <f aca="false">Raw!O564</f>
        <v>2620.43</v>
      </c>
      <c r="AF564" s="29" t="n">
        <f aca="false">Raw!P564</f>
        <v>502.71</v>
      </c>
      <c r="AG564" s="29" t="n">
        <f aca="false">AD564/J564</f>
        <v>1236.8167539267</v>
      </c>
    </row>
    <row r="565" customFormat="false" ht="15" hidden="false" customHeight="false" outlineLevel="0" collapsed="false">
      <c r="A565" s="0" t="str">
        <f aca="false">Raw!A565</f>
        <v>SHP0564</v>
      </c>
      <c r="B565" s="0" t="str">
        <f aca="false">Raw!B565</f>
        <v>Outbound</v>
      </c>
      <c r="C565" s="0" t="str">
        <f aca="false">Raw!C565</f>
        <v>Surat</v>
      </c>
      <c r="D565" s="0" t="str">
        <f aca="false">Raw!D565</f>
        <v>Assam</v>
      </c>
      <c r="E565" s="0" t="str">
        <f aca="false">IFERROR(INDEX(Location_Map!$B$2:$B$15,MATCH(C565,Location_Map!$A$2:$A$15,0)),"UNMAPPED")</f>
        <v>Gujarat</v>
      </c>
      <c r="F565" s="0" t="str">
        <f aca="false">IFERROR(INDEX(Location_Map!$C$2:$C$15,MATCH(C565,Location_Map!$A$2:$A$15,0)),"UNMAPPED")</f>
        <v>West</v>
      </c>
      <c r="G565" s="0" t="str">
        <f aca="false">IFERROR(INDEX(Location_Map!$B$2:$B$15,MATCH(D565,Location_Map!$A$2:$A$15,0)),"UNMAPPED")</f>
        <v>Assam</v>
      </c>
      <c r="H565" s="0" t="str">
        <f aca="false">IFERROR(INDEX(Location_Map!$C$2:$C$15,MATCH(D565,Location_Map!$A$2:$A$15,0)),"UNMAPPED")</f>
        <v>North-East</v>
      </c>
      <c r="I565" s="0" t="str">
        <f aca="false">Raw!E565</f>
        <v>Raw Yarn</v>
      </c>
      <c r="J565" s="28" t="n">
        <f aca="false">Raw!F565</f>
        <v>17.15</v>
      </c>
      <c r="K565" s="30" t="n">
        <f aca="false">DATE(LEFT(Raw!G565,4),MID(Raw!G565,6,2),MID(Raw!G565,9,2))</f>
        <v>45772</v>
      </c>
      <c r="L565" s="30" t="n">
        <f aca="false">DATE(LEFT(Raw!H565,4),MID(Raw!H565,6,2),MID(Raw!H565,9,2))</f>
        <v>45774</v>
      </c>
      <c r="M565" s="30" t="n">
        <f aca="false">DATE(LEFT(Raw!I565,4),MID(Raw!I565,6,2),MID(Raw!I565,9,2))</f>
        <v>45777</v>
      </c>
      <c r="N565" s="31" t="n">
        <f aca="false">DATE(LEFT(Raw!J565,4),MID(Raw!J565,6,2),MID(Raw!J565,9,2))+TIME(MID(Raw!J565,12,2),MID(Raw!J565,15,2),MID(Raw!J565,18,2))</f>
        <v>45774</v>
      </c>
      <c r="O565" s="31" t="n">
        <f aca="false">DATE(LEFT(Raw!K565,4),MID(Raw!K565,6,2),MID(Raw!K565,9,2))+TIME(MID(Raw!K565,12,2),MID(Raw!K565,15,2),MID(Raw!K565,18,2))</f>
        <v>45776</v>
      </c>
      <c r="P565" s="32" t="n">
        <f aca="false">L565-K565</f>
        <v>2</v>
      </c>
      <c r="Q565" s="32" t="n">
        <f aca="false">M565-L565</f>
        <v>3</v>
      </c>
      <c r="R565" s="32" t="n">
        <f aca="false">O565-N565</f>
        <v>2</v>
      </c>
      <c r="S565" s="32" t="n">
        <f aca="false">Raw!L565</f>
        <v>-1</v>
      </c>
      <c r="T565" s="32" t="n">
        <f aca="false">O565-M565</f>
        <v>-1</v>
      </c>
      <c r="U565" s="0" t="str">
        <f aca="false">IF(ABS(T565-S565)&lt;0.01,"OK","MISMATCH")</f>
        <v>OK</v>
      </c>
      <c r="V565" s="33" t="n">
        <f aca="false">Raw!M565</f>
        <v>0</v>
      </c>
      <c r="W565" s="0" t="str">
        <f aca="false">IF((S565&gt;0)=(V565=1),"OK","MISMATCH")</f>
        <v>OK</v>
      </c>
      <c r="X565" s="0" t="str">
        <f aca="false">_xlfn.IFS(S565&lt;=0,"Early/On time",S565&lt;=2,"Minor (up to 2 days)",S565&lt;=5,"Moderate (2-5 days)",TRUE(),"Severe (over 5 days)")</f>
        <v>Early/On time</v>
      </c>
      <c r="Y565" s="0" t="str">
        <f aca="false">YEAR(K565)&amp;"-"&amp;TEXT(MONTH(K565),"00")</f>
        <v>2025-04</v>
      </c>
      <c r="Z565" s="0" t="str">
        <f aca="false">C565&amp;" → "&amp;D565</f>
        <v>Surat → Assam</v>
      </c>
      <c r="AA565" s="0" t="str">
        <f aca="false">Raw!Q565</f>
        <v>VRL Cargo</v>
      </c>
      <c r="AB565" s="0" t="str">
        <f aca="false">Raw!R565</f>
        <v>No</v>
      </c>
      <c r="AC565" s="0" t="str">
        <f aca="false">Raw!S565</f>
        <v>Held at warehouse</v>
      </c>
      <c r="AD565" s="29" t="n">
        <f aca="false">Raw!N565</f>
        <v>10376.87</v>
      </c>
      <c r="AE565" s="29" t="n">
        <f aca="false">Raw!O565</f>
        <v>2113.07</v>
      </c>
      <c r="AF565" s="29" t="n">
        <f aca="false">Raw!P565</f>
        <v>895.42</v>
      </c>
      <c r="AG565" s="29" t="n">
        <f aca="false">AD565/J565</f>
        <v>605.065306122449</v>
      </c>
    </row>
    <row r="566" customFormat="false" ht="15" hidden="false" customHeight="false" outlineLevel="0" collapsed="false">
      <c r="A566" s="0" t="str">
        <f aca="false">Raw!A566</f>
        <v>SHP0565</v>
      </c>
      <c r="B566" s="0" t="str">
        <f aca="false">Raw!B566</f>
        <v>Outbound</v>
      </c>
      <c r="C566" s="0" t="str">
        <f aca="false">Raw!C566</f>
        <v>Surat</v>
      </c>
      <c r="D566" s="0" t="str">
        <f aca="false">Raw!D566</f>
        <v>Mumbai</v>
      </c>
      <c r="E566" s="0" t="str">
        <f aca="false">IFERROR(INDEX(Location_Map!$B$2:$B$15,MATCH(C566,Location_Map!$A$2:$A$15,0)),"UNMAPPED")</f>
        <v>Gujarat</v>
      </c>
      <c r="F566" s="0" t="str">
        <f aca="false">IFERROR(INDEX(Location_Map!$C$2:$C$15,MATCH(C566,Location_Map!$A$2:$A$15,0)),"UNMAPPED")</f>
        <v>West</v>
      </c>
      <c r="G566" s="0" t="str">
        <f aca="false">IFERROR(INDEX(Location_Map!$B$2:$B$15,MATCH(D566,Location_Map!$A$2:$A$15,0)),"UNMAPPED")</f>
        <v>Maharashtra</v>
      </c>
      <c r="H566" s="0" t="str">
        <f aca="false">IFERROR(INDEX(Location_Map!$C$2:$C$15,MATCH(D566,Location_Map!$A$2:$A$15,0)),"UNMAPPED")</f>
        <v>West</v>
      </c>
      <c r="I566" s="0" t="str">
        <f aca="false">Raw!E566</f>
        <v>Finished Yarn</v>
      </c>
      <c r="J566" s="28" t="n">
        <f aca="false">Raw!F566</f>
        <v>14.06</v>
      </c>
      <c r="K566" s="30" t="n">
        <f aca="false">DATE(LEFT(Raw!G566,4),MID(Raw!G566,6,2),MID(Raw!G566,9,2))</f>
        <v>45902</v>
      </c>
      <c r="L566" s="30" t="n">
        <f aca="false">DATE(LEFT(Raw!H566,4),MID(Raw!H566,6,2),MID(Raw!H566,9,2))</f>
        <v>45904</v>
      </c>
      <c r="M566" s="30" t="n">
        <f aca="false">DATE(LEFT(Raw!I566,4),MID(Raw!I566,6,2),MID(Raw!I566,9,2))</f>
        <v>45908</v>
      </c>
      <c r="N566" s="31" t="n">
        <f aca="false">DATE(LEFT(Raw!J566,4),MID(Raw!J566,6,2),MID(Raw!J566,9,2))+TIME(MID(Raw!J566,12,2),MID(Raw!J566,15,2),MID(Raw!J566,18,2))</f>
        <v>45903.875</v>
      </c>
      <c r="O566" s="31" t="n">
        <f aca="false">DATE(LEFT(Raw!K566,4),MID(Raw!K566,6,2),MID(Raw!K566,9,2))+TIME(MID(Raw!K566,12,2),MID(Raw!K566,15,2),MID(Raw!K566,18,2))</f>
        <v>45910.5</v>
      </c>
      <c r="P566" s="32" t="n">
        <f aca="false">L566-K566</f>
        <v>2</v>
      </c>
      <c r="Q566" s="32" t="n">
        <f aca="false">M566-L566</f>
        <v>4</v>
      </c>
      <c r="R566" s="32" t="n">
        <f aca="false">O566-N566</f>
        <v>6.625</v>
      </c>
      <c r="S566" s="32" t="n">
        <f aca="false">Raw!L566</f>
        <v>2.5</v>
      </c>
      <c r="T566" s="32" t="n">
        <f aca="false">O566-M566</f>
        <v>2.5</v>
      </c>
      <c r="U566" s="0" t="str">
        <f aca="false">IF(ABS(T566-S566)&lt;0.01,"OK","MISMATCH")</f>
        <v>OK</v>
      </c>
      <c r="V566" s="33" t="n">
        <f aca="false">Raw!M566</f>
        <v>1</v>
      </c>
      <c r="W566" s="0" t="str">
        <f aca="false">IF((S566&gt;0)=(V566=1),"OK","MISMATCH")</f>
        <v>OK</v>
      </c>
      <c r="X566" s="0" t="str">
        <f aca="false">_xlfn.IFS(S566&lt;=0,"Early/On time",S566&lt;=2,"Minor (up to 2 days)",S566&lt;=5,"Moderate (2-5 days)",TRUE(),"Severe (over 5 days)")</f>
        <v>Moderate (2-5 days)</v>
      </c>
      <c r="Y566" s="0" t="str">
        <f aca="false">YEAR(K566)&amp;"-"&amp;TEXT(MONTH(K566),"00")</f>
        <v>2025-09</v>
      </c>
      <c r="Z566" s="0" t="str">
        <f aca="false">C566&amp;" → "&amp;D566</f>
        <v>Surat → Mumbai</v>
      </c>
      <c r="AA566" s="0" t="str">
        <f aca="false">Raw!Q566</f>
        <v>BlueDart</v>
      </c>
      <c r="AB566" s="0" t="str">
        <f aca="false">Raw!R566</f>
        <v>Yes</v>
      </c>
      <c r="AC566" s="0" t="str">
        <f aca="false">Raw!S566</f>
        <v>Returned</v>
      </c>
      <c r="AD566" s="29" t="n">
        <f aca="false">Raw!N566</f>
        <v>3868.78</v>
      </c>
      <c r="AE566" s="29" t="n">
        <f aca="false">Raw!O566</f>
        <v>2391.29</v>
      </c>
      <c r="AF566" s="29" t="n">
        <f aca="false">Raw!P566</f>
        <v>1120.23</v>
      </c>
      <c r="AG566" s="29" t="n">
        <f aca="false">AD566/J566</f>
        <v>275.162162162162</v>
      </c>
    </row>
    <row r="567" customFormat="false" ht="15" hidden="false" customHeight="false" outlineLevel="0" collapsed="false">
      <c r="A567" s="0" t="str">
        <f aca="false">Raw!A567</f>
        <v>SHP0566</v>
      </c>
      <c r="B567" s="0" t="str">
        <f aca="false">Raw!B567</f>
        <v>Outbound</v>
      </c>
      <c r="C567" s="0" t="str">
        <f aca="false">Raw!C567</f>
        <v>Surat</v>
      </c>
      <c r="D567" s="0" t="str">
        <f aca="false">Raw!D567</f>
        <v>Jaipur</v>
      </c>
      <c r="E567" s="0" t="str">
        <f aca="false">IFERROR(INDEX(Location_Map!$B$2:$B$15,MATCH(C567,Location_Map!$A$2:$A$15,0)),"UNMAPPED")</f>
        <v>Gujarat</v>
      </c>
      <c r="F567" s="0" t="str">
        <f aca="false">IFERROR(INDEX(Location_Map!$C$2:$C$15,MATCH(C567,Location_Map!$A$2:$A$15,0)),"UNMAPPED")</f>
        <v>West</v>
      </c>
      <c r="G567" s="0" t="str">
        <f aca="false">IFERROR(INDEX(Location_Map!$B$2:$B$15,MATCH(D567,Location_Map!$A$2:$A$15,0)),"UNMAPPED")</f>
        <v>Rajasthan</v>
      </c>
      <c r="H567" s="0" t="str">
        <f aca="false">IFERROR(INDEX(Location_Map!$C$2:$C$15,MATCH(D567,Location_Map!$A$2:$A$15,0)),"UNMAPPED")</f>
        <v>North</v>
      </c>
      <c r="I567" s="0" t="str">
        <f aca="false">Raw!E567</f>
        <v>Finished Yarn</v>
      </c>
      <c r="J567" s="28" t="n">
        <f aca="false">Raw!F567</f>
        <v>11.35</v>
      </c>
      <c r="K567" s="30" t="n">
        <f aca="false">DATE(LEFT(Raw!G567,4),MID(Raw!G567,6,2),MID(Raw!G567,9,2))</f>
        <v>45695</v>
      </c>
      <c r="L567" s="30" t="n">
        <f aca="false">DATE(LEFT(Raw!H567,4),MID(Raw!H567,6,2),MID(Raw!H567,9,2))</f>
        <v>45697</v>
      </c>
      <c r="M567" s="30" t="n">
        <f aca="false">DATE(LEFT(Raw!I567,4),MID(Raw!I567,6,2),MID(Raw!I567,9,2))</f>
        <v>45699</v>
      </c>
      <c r="N567" s="31" t="n">
        <f aca="false">DATE(LEFT(Raw!J567,4),MID(Raw!J567,6,2),MID(Raw!J567,9,2))+TIME(MID(Raw!J567,12,2),MID(Raw!J567,15,2),MID(Raw!J567,18,2))</f>
        <v>45696.9166666667</v>
      </c>
      <c r="O567" s="31" t="n">
        <f aca="false">DATE(LEFT(Raw!K567,4),MID(Raw!K567,6,2),MID(Raw!K567,9,2))+TIME(MID(Raw!K567,12,2),MID(Raw!K567,15,2),MID(Raw!K567,18,2))</f>
        <v>45702.3</v>
      </c>
      <c r="P567" s="32" t="n">
        <f aca="false">L567-K567</f>
        <v>2</v>
      </c>
      <c r="Q567" s="32" t="n">
        <f aca="false">M567-L567</f>
        <v>2</v>
      </c>
      <c r="R567" s="32" t="n">
        <f aca="false">O567-N567</f>
        <v>5.38333333333333</v>
      </c>
      <c r="S567" s="32" t="n">
        <f aca="false">Raw!L567</f>
        <v>3.3</v>
      </c>
      <c r="T567" s="32" t="n">
        <f aca="false">O567-M567</f>
        <v>3.3</v>
      </c>
      <c r="U567" s="0" t="str">
        <f aca="false">IF(ABS(T567-S567)&lt;0.01,"OK","MISMATCH")</f>
        <v>OK</v>
      </c>
      <c r="V567" s="33" t="n">
        <f aca="false">Raw!M567</f>
        <v>1</v>
      </c>
      <c r="W567" s="0" t="str">
        <f aca="false">IF((S567&gt;0)=(V567=1),"OK","MISMATCH")</f>
        <v>OK</v>
      </c>
      <c r="X567" s="0" t="str">
        <f aca="false">_xlfn.IFS(S567&lt;=0,"Early/On time",S567&lt;=2,"Minor (up to 2 days)",S567&lt;=5,"Moderate (2-5 days)",TRUE(),"Severe (over 5 days)")</f>
        <v>Moderate (2-5 days)</v>
      </c>
      <c r="Y567" s="0" t="str">
        <f aca="false">YEAR(K567)&amp;"-"&amp;TEXT(MONTH(K567),"00")</f>
        <v>2025-02</v>
      </c>
      <c r="Z567" s="0" t="str">
        <f aca="false">C567&amp;" → "&amp;D567</f>
        <v>Surat → Jaipur</v>
      </c>
      <c r="AA567" s="0" t="str">
        <f aca="false">Raw!Q567</f>
        <v>BlueDart</v>
      </c>
      <c r="AB567" s="0" t="str">
        <f aca="false">Raw!R567</f>
        <v>Yes</v>
      </c>
      <c r="AC567" s="0" t="str">
        <f aca="false">Raw!S567</f>
        <v>Damaged</v>
      </c>
      <c r="AD567" s="29" t="n">
        <f aca="false">Raw!N567</f>
        <v>4348.06</v>
      </c>
      <c r="AE567" s="29" t="n">
        <f aca="false">Raw!O567</f>
        <v>3816.13</v>
      </c>
      <c r="AF567" s="29" t="n">
        <f aca="false">Raw!P567</f>
        <v>717.45</v>
      </c>
      <c r="AG567" s="29" t="n">
        <f aca="false">AD567/J567</f>
        <v>383.088986784141</v>
      </c>
    </row>
    <row r="568" customFormat="false" ht="15" hidden="false" customHeight="false" outlineLevel="0" collapsed="false">
      <c r="A568" s="0" t="str">
        <f aca="false">Raw!A568</f>
        <v>SHP0567</v>
      </c>
      <c r="B568" s="0" t="str">
        <f aca="false">Raw!B568</f>
        <v>Inbound</v>
      </c>
      <c r="C568" s="0" t="str">
        <f aca="false">Raw!C568</f>
        <v>Gujarat</v>
      </c>
      <c r="D568" s="0" t="str">
        <f aca="false">Raw!D568</f>
        <v>Surat</v>
      </c>
      <c r="E568" s="0" t="str">
        <f aca="false">IFERROR(INDEX(Location_Map!$B$2:$B$15,MATCH(C568,Location_Map!$A$2:$A$15,0)),"UNMAPPED")</f>
        <v>Gujarat</v>
      </c>
      <c r="F568" s="0" t="str">
        <f aca="false">IFERROR(INDEX(Location_Map!$C$2:$C$15,MATCH(C568,Location_Map!$A$2:$A$15,0)),"UNMAPPED")</f>
        <v>West</v>
      </c>
      <c r="G568" s="0" t="str">
        <f aca="false">IFERROR(INDEX(Location_Map!$B$2:$B$15,MATCH(D568,Location_Map!$A$2:$A$15,0)),"UNMAPPED")</f>
        <v>Gujarat</v>
      </c>
      <c r="H568" s="0" t="str">
        <f aca="false">IFERROR(INDEX(Location_Map!$C$2:$C$15,MATCH(D568,Location_Map!$A$2:$A$15,0)),"UNMAPPED")</f>
        <v>West</v>
      </c>
      <c r="I568" s="0" t="str">
        <f aca="false">Raw!E568</f>
        <v>Raw Yarn</v>
      </c>
      <c r="J568" s="28" t="n">
        <f aca="false">Raw!F568</f>
        <v>7.97</v>
      </c>
      <c r="K568" s="30" t="n">
        <f aca="false">DATE(LEFT(Raw!G568,4),MID(Raw!G568,6,2),MID(Raw!G568,9,2))</f>
        <v>45775</v>
      </c>
      <c r="L568" s="30" t="n">
        <f aca="false">DATE(LEFT(Raw!H568,4),MID(Raw!H568,6,2),MID(Raw!H568,9,2))</f>
        <v>45779</v>
      </c>
      <c r="M568" s="30" t="n">
        <f aca="false">DATE(LEFT(Raw!I568,4),MID(Raw!I568,6,2),MID(Raw!I568,9,2))</f>
        <v>45783</v>
      </c>
      <c r="N568" s="31" t="n">
        <f aca="false">DATE(LEFT(Raw!J568,4),MID(Raw!J568,6,2),MID(Raw!J568,9,2))+TIME(MID(Raw!J568,12,2),MID(Raw!J568,15,2),MID(Raw!J568,18,2))</f>
        <v>45778.9583333333</v>
      </c>
      <c r="O568" s="31" t="n">
        <f aca="false">DATE(LEFT(Raw!K568,4),MID(Raw!K568,6,2),MID(Raw!K568,9,2))+TIME(MID(Raw!K568,12,2),MID(Raw!K568,15,2),MID(Raw!K568,18,2))</f>
        <v>45782</v>
      </c>
      <c r="P568" s="32" t="n">
        <f aca="false">L568-K568</f>
        <v>4</v>
      </c>
      <c r="Q568" s="32" t="n">
        <f aca="false">M568-L568</f>
        <v>4</v>
      </c>
      <c r="R568" s="32" t="n">
        <f aca="false">O568-N568</f>
        <v>3.04166666666667</v>
      </c>
      <c r="S568" s="32" t="n">
        <f aca="false">Raw!L568</f>
        <v>-1</v>
      </c>
      <c r="T568" s="32" t="n">
        <f aca="false">O568-M568</f>
        <v>-1</v>
      </c>
      <c r="U568" s="0" t="str">
        <f aca="false">IF(ABS(T568-S568)&lt;0.01,"OK","MISMATCH")</f>
        <v>OK</v>
      </c>
      <c r="V568" s="33" t="n">
        <f aca="false">Raw!M568</f>
        <v>0</v>
      </c>
      <c r="W568" s="0" t="str">
        <f aca="false">IF((S568&gt;0)=(V568=1),"OK","MISMATCH")</f>
        <v>OK</v>
      </c>
      <c r="X568" s="0" t="str">
        <f aca="false">_xlfn.IFS(S568&lt;=0,"Early/On time",S568&lt;=2,"Minor (up to 2 days)",S568&lt;=5,"Moderate (2-5 days)",TRUE(),"Severe (over 5 days)")</f>
        <v>Early/On time</v>
      </c>
      <c r="Y568" s="0" t="str">
        <f aca="false">YEAR(K568)&amp;"-"&amp;TEXT(MONTH(K568),"00")</f>
        <v>2025-04</v>
      </c>
      <c r="Z568" s="0" t="str">
        <f aca="false">C568&amp;" → "&amp;D568</f>
        <v>Gujarat → Surat</v>
      </c>
      <c r="AA568" s="0" t="str">
        <f aca="false">Raw!Q568</f>
        <v>Delhivery</v>
      </c>
      <c r="AB568" s="0" t="str">
        <f aca="false">Raw!R568</f>
        <v>Yes</v>
      </c>
      <c r="AC568" s="0" t="str">
        <f aca="false">Raw!S568</f>
        <v>Normal</v>
      </c>
      <c r="AD568" s="29" t="n">
        <f aca="false">Raw!N568</f>
        <v>2816.86</v>
      </c>
      <c r="AE568" s="29" t="n">
        <f aca="false">Raw!O568</f>
        <v>2067.18</v>
      </c>
      <c r="AF568" s="29" t="n">
        <f aca="false">Raw!P568</f>
        <v>1005.93</v>
      </c>
      <c r="AG568" s="29" t="n">
        <f aca="false">AD568/J568</f>
        <v>353.43287327478</v>
      </c>
    </row>
    <row r="569" customFormat="false" ht="15" hidden="false" customHeight="false" outlineLevel="0" collapsed="false">
      <c r="A569" s="0" t="str">
        <f aca="false">Raw!A569</f>
        <v>SHP0568</v>
      </c>
      <c r="B569" s="0" t="str">
        <f aca="false">Raw!B569</f>
        <v>Inbound</v>
      </c>
      <c r="C569" s="0" t="str">
        <f aca="false">Raw!C569</f>
        <v>Gujarat</v>
      </c>
      <c r="D569" s="0" t="str">
        <f aca="false">Raw!D569</f>
        <v>Surat</v>
      </c>
      <c r="E569" s="0" t="str">
        <f aca="false">IFERROR(INDEX(Location_Map!$B$2:$B$15,MATCH(C569,Location_Map!$A$2:$A$15,0)),"UNMAPPED")</f>
        <v>Gujarat</v>
      </c>
      <c r="F569" s="0" t="str">
        <f aca="false">IFERROR(INDEX(Location_Map!$C$2:$C$15,MATCH(C569,Location_Map!$A$2:$A$15,0)),"UNMAPPED")</f>
        <v>West</v>
      </c>
      <c r="G569" s="0" t="str">
        <f aca="false">IFERROR(INDEX(Location_Map!$B$2:$B$15,MATCH(D569,Location_Map!$A$2:$A$15,0)),"UNMAPPED")</f>
        <v>Gujarat</v>
      </c>
      <c r="H569" s="0" t="str">
        <f aca="false">IFERROR(INDEX(Location_Map!$C$2:$C$15,MATCH(D569,Location_Map!$A$2:$A$15,0)),"UNMAPPED")</f>
        <v>West</v>
      </c>
      <c r="I569" s="0" t="str">
        <f aca="false">Raw!E569</f>
        <v>Semi-Processed Yarn</v>
      </c>
      <c r="J569" s="28" t="n">
        <f aca="false">Raw!F569</f>
        <v>15.78</v>
      </c>
      <c r="K569" s="30" t="n">
        <f aca="false">DATE(LEFT(Raw!G569,4),MID(Raw!G569,6,2),MID(Raw!G569,9,2))</f>
        <v>45915</v>
      </c>
      <c r="L569" s="30" t="n">
        <f aca="false">DATE(LEFT(Raw!H569,4),MID(Raw!H569,6,2),MID(Raw!H569,9,2))</f>
        <v>45919</v>
      </c>
      <c r="M569" s="30" t="n">
        <f aca="false">DATE(LEFT(Raw!I569,4),MID(Raw!I569,6,2),MID(Raw!I569,9,2))</f>
        <v>45923</v>
      </c>
      <c r="N569" s="31" t="n">
        <f aca="false">DATE(LEFT(Raw!J569,4),MID(Raw!J569,6,2),MID(Raw!J569,9,2))+TIME(MID(Raw!J569,12,2),MID(Raw!J569,15,2),MID(Raw!J569,18,2))</f>
        <v>45919</v>
      </c>
      <c r="O569" s="31" t="n">
        <f aca="false">DATE(LEFT(Raw!K569,4),MID(Raw!K569,6,2),MID(Raw!K569,9,2))+TIME(MID(Raw!K569,12,2),MID(Raw!K569,15,2),MID(Raw!K569,18,2))</f>
        <v>45922</v>
      </c>
      <c r="P569" s="32" t="n">
        <f aca="false">L569-K569</f>
        <v>4</v>
      </c>
      <c r="Q569" s="32" t="n">
        <f aca="false">M569-L569</f>
        <v>4</v>
      </c>
      <c r="R569" s="32" t="n">
        <f aca="false">O569-N569</f>
        <v>3</v>
      </c>
      <c r="S569" s="32" t="n">
        <f aca="false">Raw!L569</f>
        <v>-1</v>
      </c>
      <c r="T569" s="32" t="n">
        <f aca="false">O569-M569</f>
        <v>-1</v>
      </c>
      <c r="U569" s="0" t="str">
        <f aca="false">IF(ABS(T569-S569)&lt;0.01,"OK","MISMATCH")</f>
        <v>OK</v>
      </c>
      <c r="V569" s="33" t="n">
        <f aca="false">Raw!M569</f>
        <v>0</v>
      </c>
      <c r="W569" s="0" t="str">
        <f aca="false">IF((S569&gt;0)=(V569=1),"OK","MISMATCH")</f>
        <v>OK</v>
      </c>
      <c r="X569" s="0" t="str">
        <f aca="false">_xlfn.IFS(S569&lt;=0,"Early/On time",S569&lt;=2,"Minor (up to 2 days)",S569&lt;=5,"Moderate (2-5 days)",TRUE(),"Severe (over 5 days)")</f>
        <v>Early/On time</v>
      </c>
      <c r="Y569" s="0" t="str">
        <f aca="false">YEAR(K569)&amp;"-"&amp;TEXT(MONTH(K569),"00")</f>
        <v>2025-09</v>
      </c>
      <c r="Z569" s="0" t="str">
        <f aca="false">C569&amp;" → "&amp;D569</f>
        <v>Gujarat → Surat</v>
      </c>
      <c r="AA569" s="0" t="str">
        <f aca="false">Raw!Q569</f>
        <v>Delhivery</v>
      </c>
      <c r="AB569" s="0" t="str">
        <f aca="false">Raw!R569</f>
        <v>Yes</v>
      </c>
      <c r="AC569" s="0" t="str">
        <f aca="false">Raw!S569</f>
        <v>Expedited</v>
      </c>
      <c r="AD569" s="29" t="n">
        <f aca="false">Raw!N569</f>
        <v>7550.03</v>
      </c>
      <c r="AE569" s="29" t="n">
        <f aca="false">Raw!O569</f>
        <v>1243.62</v>
      </c>
      <c r="AF569" s="29" t="n">
        <f aca="false">Raw!P569</f>
        <v>1201.57</v>
      </c>
      <c r="AG569" s="29" t="n">
        <f aca="false">AD569/J569</f>
        <v>478.455640050697</v>
      </c>
    </row>
    <row r="570" customFormat="false" ht="15" hidden="false" customHeight="false" outlineLevel="0" collapsed="false">
      <c r="A570" s="0" t="str">
        <f aca="false">Raw!A570</f>
        <v>SHP0569</v>
      </c>
      <c r="B570" s="0" t="str">
        <f aca="false">Raw!B570</f>
        <v>Inbound</v>
      </c>
      <c r="C570" s="0" t="str">
        <f aca="false">Raw!C570</f>
        <v>Chennai</v>
      </c>
      <c r="D570" s="0" t="str">
        <f aca="false">Raw!D570</f>
        <v>Surat</v>
      </c>
      <c r="E570" s="0" t="str">
        <f aca="false">IFERROR(INDEX(Location_Map!$B$2:$B$15,MATCH(C570,Location_Map!$A$2:$A$15,0)),"UNMAPPED")</f>
        <v>Tamil Nadu</v>
      </c>
      <c r="F570" s="0" t="str">
        <f aca="false">IFERROR(INDEX(Location_Map!$C$2:$C$15,MATCH(C570,Location_Map!$A$2:$A$15,0)),"UNMAPPED")</f>
        <v>South</v>
      </c>
      <c r="G570" s="0" t="str">
        <f aca="false">IFERROR(INDEX(Location_Map!$B$2:$B$15,MATCH(D570,Location_Map!$A$2:$A$15,0)),"UNMAPPED")</f>
        <v>Gujarat</v>
      </c>
      <c r="H570" s="0" t="str">
        <f aca="false">IFERROR(INDEX(Location_Map!$C$2:$C$15,MATCH(D570,Location_Map!$A$2:$A$15,0)),"UNMAPPED")</f>
        <v>West</v>
      </c>
      <c r="I570" s="0" t="str">
        <f aca="false">Raw!E570</f>
        <v>Semi-Processed Yarn</v>
      </c>
      <c r="J570" s="28" t="n">
        <f aca="false">Raw!F570</f>
        <v>1.19</v>
      </c>
      <c r="K570" s="30" t="n">
        <f aca="false">DATE(LEFT(Raw!G570,4),MID(Raw!G570,6,2),MID(Raw!G570,9,2))</f>
        <v>45780</v>
      </c>
      <c r="L570" s="30" t="n">
        <f aca="false">DATE(LEFT(Raw!H570,4),MID(Raw!H570,6,2),MID(Raw!H570,9,2))</f>
        <v>45782</v>
      </c>
      <c r="M570" s="30" t="n">
        <f aca="false">DATE(LEFT(Raw!I570,4),MID(Raw!I570,6,2),MID(Raw!I570,9,2))</f>
        <v>45786</v>
      </c>
      <c r="N570" s="31" t="n">
        <f aca="false">DATE(LEFT(Raw!J570,4),MID(Raw!J570,6,2),MID(Raw!J570,9,2))+TIME(MID(Raw!J570,12,2),MID(Raw!J570,15,2),MID(Raw!J570,18,2))</f>
        <v>45782.2083333333</v>
      </c>
      <c r="O570" s="31" t="n">
        <f aca="false">DATE(LEFT(Raw!K570,4),MID(Raw!K570,6,2),MID(Raw!K570,9,2))+TIME(MID(Raw!K570,12,2),MID(Raw!K570,15,2),MID(Raw!K570,18,2))</f>
        <v>45787.5</v>
      </c>
      <c r="P570" s="32" t="n">
        <f aca="false">L570-K570</f>
        <v>2</v>
      </c>
      <c r="Q570" s="32" t="n">
        <f aca="false">M570-L570</f>
        <v>4</v>
      </c>
      <c r="R570" s="32" t="n">
        <f aca="false">O570-N570</f>
        <v>5.29166666666667</v>
      </c>
      <c r="S570" s="32" t="n">
        <f aca="false">Raw!L570</f>
        <v>1.5</v>
      </c>
      <c r="T570" s="32" t="n">
        <f aca="false">O570-M570</f>
        <v>1.5</v>
      </c>
      <c r="U570" s="0" t="str">
        <f aca="false">IF(ABS(T570-S570)&lt;0.01,"OK","MISMATCH")</f>
        <v>OK</v>
      </c>
      <c r="V570" s="33" t="n">
        <f aca="false">Raw!M570</f>
        <v>1</v>
      </c>
      <c r="W570" s="0" t="str">
        <f aca="false">IF((S570&gt;0)=(V570=1),"OK","MISMATCH")</f>
        <v>OK</v>
      </c>
      <c r="X570" s="0" t="str">
        <f aca="false">_xlfn.IFS(S570&lt;=0,"Early/On time",S570&lt;=2,"Minor (up to 2 days)",S570&lt;=5,"Moderate (2-5 days)",TRUE(),"Severe (over 5 days)")</f>
        <v>Minor (up to 2 days)</v>
      </c>
      <c r="Y570" s="0" t="str">
        <f aca="false">YEAR(K570)&amp;"-"&amp;TEXT(MONTH(K570),"00")</f>
        <v>2025-05</v>
      </c>
      <c r="Z570" s="0" t="str">
        <f aca="false">C570&amp;" → "&amp;D570</f>
        <v>Chennai → Surat</v>
      </c>
      <c r="AA570" s="0" t="str">
        <f aca="false">Raw!Q570</f>
        <v>GATI Logistics</v>
      </c>
      <c r="AB570" s="0" t="str">
        <f aca="false">Raw!R570</f>
        <v>Yes</v>
      </c>
      <c r="AC570" s="0" t="str">
        <f aca="false">Raw!S570</f>
        <v>Expedited</v>
      </c>
      <c r="AD570" s="29" t="n">
        <f aca="false">Raw!N570</f>
        <v>1536.52</v>
      </c>
      <c r="AE570" s="29" t="n">
        <f aca="false">Raw!O570</f>
        <v>2785.31</v>
      </c>
      <c r="AF570" s="29" t="n">
        <f aca="false">Raw!P570</f>
        <v>1227.02</v>
      </c>
      <c r="AG570" s="29" t="n">
        <f aca="false">AD570/J570</f>
        <v>1291.19327731092</v>
      </c>
    </row>
    <row r="571" customFormat="false" ht="15" hidden="false" customHeight="false" outlineLevel="0" collapsed="false">
      <c r="A571" s="0" t="str">
        <f aca="false">Raw!A571</f>
        <v>SHP0570</v>
      </c>
      <c r="B571" s="0" t="str">
        <f aca="false">Raw!B571</f>
        <v>Inbound</v>
      </c>
      <c r="C571" s="0" t="str">
        <f aca="false">Raw!C571</f>
        <v>Chennai</v>
      </c>
      <c r="D571" s="0" t="str">
        <f aca="false">Raw!D571</f>
        <v>Surat</v>
      </c>
      <c r="E571" s="0" t="str">
        <f aca="false">IFERROR(INDEX(Location_Map!$B$2:$B$15,MATCH(C571,Location_Map!$A$2:$A$15,0)),"UNMAPPED")</f>
        <v>Tamil Nadu</v>
      </c>
      <c r="F571" s="0" t="str">
        <f aca="false">IFERROR(INDEX(Location_Map!$C$2:$C$15,MATCH(C571,Location_Map!$A$2:$A$15,0)),"UNMAPPED")</f>
        <v>South</v>
      </c>
      <c r="G571" s="0" t="str">
        <f aca="false">IFERROR(INDEX(Location_Map!$B$2:$B$15,MATCH(D571,Location_Map!$A$2:$A$15,0)),"UNMAPPED")</f>
        <v>Gujarat</v>
      </c>
      <c r="H571" s="0" t="str">
        <f aca="false">IFERROR(INDEX(Location_Map!$C$2:$C$15,MATCH(D571,Location_Map!$A$2:$A$15,0)),"UNMAPPED")</f>
        <v>West</v>
      </c>
      <c r="I571" s="0" t="str">
        <f aca="false">Raw!E571</f>
        <v>Raw Yarn</v>
      </c>
      <c r="J571" s="28" t="n">
        <f aca="false">Raw!F571</f>
        <v>14.17</v>
      </c>
      <c r="K571" s="30" t="n">
        <f aca="false">DATE(LEFT(Raw!G571,4),MID(Raw!G571,6,2),MID(Raw!G571,9,2))</f>
        <v>45954</v>
      </c>
      <c r="L571" s="30" t="n">
        <f aca="false">DATE(LEFT(Raw!H571,4),MID(Raw!H571,6,2),MID(Raw!H571,9,2))</f>
        <v>45955</v>
      </c>
      <c r="M571" s="30" t="n">
        <f aca="false">DATE(LEFT(Raw!I571,4),MID(Raw!I571,6,2),MID(Raw!I571,9,2))</f>
        <v>45961</v>
      </c>
      <c r="N571" s="31" t="n">
        <f aca="false">DATE(LEFT(Raw!J571,4),MID(Raw!J571,6,2),MID(Raw!J571,9,2))+TIME(MID(Raw!J571,12,2),MID(Raw!J571,15,2),MID(Raw!J571,18,2))</f>
        <v>45955.2916666667</v>
      </c>
      <c r="O571" s="31" t="n">
        <f aca="false">DATE(LEFT(Raw!K571,4),MID(Raw!K571,6,2),MID(Raw!K571,9,2))+TIME(MID(Raw!K571,12,2),MID(Raw!K571,15,2),MID(Raw!K571,18,2))</f>
        <v>45966.2</v>
      </c>
      <c r="P571" s="32" t="n">
        <f aca="false">L571-K571</f>
        <v>1</v>
      </c>
      <c r="Q571" s="32" t="n">
        <f aca="false">M571-L571</f>
        <v>6</v>
      </c>
      <c r="R571" s="32" t="n">
        <f aca="false">O571-N571</f>
        <v>10.9083333333333</v>
      </c>
      <c r="S571" s="32" t="n">
        <f aca="false">Raw!L571</f>
        <v>5.2</v>
      </c>
      <c r="T571" s="32" t="n">
        <f aca="false">O571-M571</f>
        <v>5.2</v>
      </c>
      <c r="U571" s="0" t="str">
        <f aca="false">IF(ABS(T571-S571)&lt;0.01,"OK","MISMATCH")</f>
        <v>OK</v>
      </c>
      <c r="V571" s="33" t="n">
        <f aca="false">Raw!M571</f>
        <v>1</v>
      </c>
      <c r="W571" s="0" t="str">
        <f aca="false">IF((S571&gt;0)=(V571=1),"OK","MISMATCH")</f>
        <v>OK</v>
      </c>
      <c r="X571" s="0" t="str">
        <f aca="false">_xlfn.IFS(S571&lt;=0,"Early/On time",S571&lt;=2,"Minor (up to 2 days)",S571&lt;=5,"Moderate (2-5 days)",TRUE(),"Severe (over 5 days)")</f>
        <v>Severe (over 5 days)</v>
      </c>
      <c r="Y571" s="0" t="str">
        <f aca="false">YEAR(K571)&amp;"-"&amp;TEXT(MONTH(K571),"00")</f>
        <v>2025-10</v>
      </c>
      <c r="Z571" s="0" t="str">
        <f aca="false">C571&amp;" → "&amp;D571</f>
        <v>Chennai → Surat</v>
      </c>
      <c r="AA571" s="0" t="str">
        <f aca="false">Raw!Q571</f>
        <v>Delhivery</v>
      </c>
      <c r="AB571" s="0" t="str">
        <f aca="false">Raw!R571</f>
        <v>No</v>
      </c>
      <c r="AC571" s="0" t="str">
        <f aca="false">Raw!S571</f>
        <v>Normal</v>
      </c>
      <c r="AD571" s="29" t="n">
        <f aca="false">Raw!N571</f>
        <v>9256.75</v>
      </c>
      <c r="AE571" s="29" t="n">
        <f aca="false">Raw!O571</f>
        <v>1625.45</v>
      </c>
      <c r="AF571" s="29" t="n">
        <f aca="false">Raw!P571</f>
        <v>1251.8</v>
      </c>
      <c r="AG571" s="29" t="n">
        <f aca="false">AD571/J571</f>
        <v>653.263937896965</v>
      </c>
    </row>
    <row r="572" customFormat="false" ht="15" hidden="false" customHeight="false" outlineLevel="0" collapsed="false">
      <c r="A572" s="0" t="str">
        <f aca="false">Raw!A572</f>
        <v>SHP0571</v>
      </c>
      <c r="B572" s="0" t="str">
        <f aca="false">Raw!B572</f>
        <v>Inbound</v>
      </c>
      <c r="C572" s="0" t="str">
        <f aca="false">Raw!C572</f>
        <v>Rajasthan</v>
      </c>
      <c r="D572" s="0" t="str">
        <f aca="false">Raw!D572</f>
        <v>Surat</v>
      </c>
      <c r="E572" s="0" t="str">
        <f aca="false">IFERROR(INDEX(Location_Map!$B$2:$B$15,MATCH(C572,Location_Map!$A$2:$A$15,0)),"UNMAPPED")</f>
        <v>Rajasthan</v>
      </c>
      <c r="F572" s="0" t="str">
        <f aca="false">IFERROR(INDEX(Location_Map!$C$2:$C$15,MATCH(C572,Location_Map!$A$2:$A$15,0)),"UNMAPPED")</f>
        <v>North</v>
      </c>
      <c r="G572" s="0" t="str">
        <f aca="false">IFERROR(INDEX(Location_Map!$B$2:$B$15,MATCH(D572,Location_Map!$A$2:$A$15,0)),"UNMAPPED")</f>
        <v>Gujarat</v>
      </c>
      <c r="H572" s="0" t="str">
        <f aca="false">IFERROR(INDEX(Location_Map!$C$2:$C$15,MATCH(D572,Location_Map!$A$2:$A$15,0)),"UNMAPPED")</f>
        <v>West</v>
      </c>
      <c r="I572" s="0" t="str">
        <f aca="false">Raw!E572</f>
        <v>Finished Yarn</v>
      </c>
      <c r="J572" s="28" t="n">
        <f aca="false">Raw!F572</f>
        <v>11.8</v>
      </c>
      <c r="K572" s="30" t="n">
        <f aca="false">DATE(LEFT(Raw!G572,4),MID(Raw!G572,6,2),MID(Raw!G572,9,2))</f>
        <v>45740</v>
      </c>
      <c r="L572" s="30" t="n">
        <f aca="false">DATE(LEFT(Raw!H572,4),MID(Raw!H572,6,2),MID(Raw!H572,9,2))</f>
        <v>45742</v>
      </c>
      <c r="M572" s="30" t="n">
        <f aca="false">DATE(LEFT(Raw!I572,4),MID(Raw!I572,6,2),MID(Raw!I572,9,2))</f>
        <v>45748</v>
      </c>
      <c r="N572" s="31" t="n">
        <f aca="false">DATE(LEFT(Raw!J572,4),MID(Raw!J572,6,2),MID(Raw!J572,9,2))+TIME(MID(Raw!J572,12,2),MID(Raw!J572,15,2),MID(Raw!J572,18,2))</f>
        <v>45741.9583333333</v>
      </c>
      <c r="O572" s="31" t="n">
        <f aca="false">DATE(LEFT(Raw!K572,4),MID(Raw!K572,6,2),MID(Raw!K572,9,2))+TIME(MID(Raw!K572,12,2),MID(Raw!K572,15,2),MID(Raw!K572,18,2))</f>
        <v>45755.4</v>
      </c>
      <c r="P572" s="32" t="n">
        <f aca="false">L572-K572</f>
        <v>2</v>
      </c>
      <c r="Q572" s="32" t="n">
        <f aca="false">M572-L572</f>
        <v>6</v>
      </c>
      <c r="R572" s="32" t="n">
        <f aca="false">O572-N572</f>
        <v>13.4416666666667</v>
      </c>
      <c r="S572" s="32" t="n">
        <f aca="false">Raw!L572</f>
        <v>7.4</v>
      </c>
      <c r="T572" s="32" t="n">
        <f aca="false">O572-M572</f>
        <v>7.4</v>
      </c>
      <c r="U572" s="0" t="str">
        <f aca="false">IF(ABS(T572-S572)&lt;0.01,"OK","MISMATCH")</f>
        <v>OK</v>
      </c>
      <c r="V572" s="33" t="n">
        <f aca="false">Raw!M572</f>
        <v>1</v>
      </c>
      <c r="W572" s="0" t="str">
        <f aca="false">IF((S572&gt;0)=(V572=1),"OK","MISMATCH")</f>
        <v>OK</v>
      </c>
      <c r="X572" s="0" t="str">
        <f aca="false">_xlfn.IFS(S572&lt;=0,"Early/On time",S572&lt;=2,"Minor (up to 2 days)",S572&lt;=5,"Moderate (2-5 days)",TRUE(),"Severe (over 5 days)")</f>
        <v>Severe (over 5 days)</v>
      </c>
      <c r="Y572" s="0" t="str">
        <f aca="false">YEAR(K572)&amp;"-"&amp;TEXT(MONTH(K572),"00")</f>
        <v>2025-03</v>
      </c>
      <c r="Z572" s="0" t="str">
        <f aca="false">C572&amp;" → "&amp;D572</f>
        <v>Rajasthan → Surat</v>
      </c>
      <c r="AA572" s="0" t="str">
        <f aca="false">Raw!Q572</f>
        <v>GATI Logistics</v>
      </c>
      <c r="AB572" s="0" t="str">
        <f aca="false">Raw!R572</f>
        <v>No</v>
      </c>
      <c r="AC572" s="0" t="str">
        <f aca="false">Raw!S572</f>
        <v>Held at warehouse</v>
      </c>
      <c r="AD572" s="29" t="n">
        <f aca="false">Raw!N572</f>
        <v>6677.28</v>
      </c>
      <c r="AE572" s="29" t="n">
        <f aca="false">Raw!O572</f>
        <v>3074.99</v>
      </c>
      <c r="AF572" s="29" t="n">
        <f aca="false">Raw!P572</f>
        <v>551.17</v>
      </c>
      <c r="AG572" s="29" t="n">
        <f aca="false">AD572/J572</f>
        <v>565.871186440678</v>
      </c>
    </row>
    <row r="573" customFormat="false" ht="15" hidden="false" customHeight="false" outlineLevel="0" collapsed="false">
      <c r="A573" s="0" t="str">
        <f aca="false">Raw!A573</f>
        <v>SHP0572</v>
      </c>
      <c r="B573" s="0" t="str">
        <f aca="false">Raw!B573</f>
        <v>Inbound</v>
      </c>
      <c r="C573" s="0" t="str">
        <f aca="false">Raw!C573</f>
        <v>Chennai</v>
      </c>
      <c r="D573" s="0" t="str">
        <f aca="false">Raw!D573</f>
        <v>Surat</v>
      </c>
      <c r="E573" s="0" t="str">
        <f aca="false">IFERROR(INDEX(Location_Map!$B$2:$B$15,MATCH(C573,Location_Map!$A$2:$A$15,0)),"UNMAPPED")</f>
        <v>Tamil Nadu</v>
      </c>
      <c r="F573" s="0" t="str">
        <f aca="false">IFERROR(INDEX(Location_Map!$C$2:$C$15,MATCH(C573,Location_Map!$A$2:$A$15,0)),"UNMAPPED")</f>
        <v>South</v>
      </c>
      <c r="G573" s="0" t="str">
        <f aca="false">IFERROR(INDEX(Location_Map!$B$2:$B$15,MATCH(D573,Location_Map!$A$2:$A$15,0)),"UNMAPPED")</f>
        <v>Gujarat</v>
      </c>
      <c r="H573" s="0" t="str">
        <f aca="false">IFERROR(INDEX(Location_Map!$C$2:$C$15,MATCH(D573,Location_Map!$A$2:$A$15,0)),"UNMAPPED")</f>
        <v>West</v>
      </c>
      <c r="I573" s="0" t="str">
        <f aca="false">Raw!E573</f>
        <v>Finished Yarn</v>
      </c>
      <c r="J573" s="28" t="n">
        <f aca="false">Raw!F573</f>
        <v>5.42</v>
      </c>
      <c r="K573" s="30" t="n">
        <f aca="false">DATE(LEFT(Raw!G573,4),MID(Raw!G573,6,2),MID(Raw!G573,9,2))</f>
        <v>45805</v>
      </c>
      <c r="L573" s="30" t="n">
        <f aca="false">DATE(LEFT(Raw!H573,4),MID(Raw!H573,6,2),MID(Raw!H573,9,2))</f>
        <v>45807</v>
      </c>
      <c r="M573" s="30" t="n">
        <f aca="false">DATE(LEFT(Raw!I573,4),MID(Raw!I573,6,2),MID(Raw!I573,9,2))</f>
        <v>45809</v>
      </c>
      <c r="N573" s="31" t="n">
        <f aca="false">DATE(LEFT(Raw!J573,4),MID(Raw!J573,6,2),MID(Raw!J573,9,2))+TIME(MID(Raw!J573,12,2),MID(Raw!J573,15,2),MID(Raw!J573,18,2))</f>
        <v>45807.375</v>
      </c>
      <c r="O573" s="31" t="n">
        <f aca="false">DATE(LEFT(Raw!K573,4),MID(Raw!K573,6,2),MID(Raw!K573,9,2))+TIME(MID(Raw!K573,12,2),MID(Raw!K573,15,2),MID(Raw!K573,18,2))</f>
        <v>45811.4</v>
      </c>
      <c r="P573" s="32" t="n">
        <f aca="false">L573-K573</f>
        <v>2</v>
      </c>
      <c r="Q573" s="32" t="n">
        <f aca="false">M573-L573</f>
        <v>2</v>
      </c>
      <c r="R573" s="32" t="n">
        <f aca="false">O573-N573</f>
        <v>4.025</v>
      </c>
      <c r="S573" s="32" t="n">
        <f aca="false">Raw!L573</f>
        <v>2.4</v>
      </c>
      <c r="T573" s="32" t="n">
        <f aca="false">O573-M573</f>
        <v>2.4</v>
      </c>
      <c r="U573" s="0" t="str">
        <f aca="false">IF(ABS(T573-S573)&lt;0.01,"OK","MISMATCH")</f>
        <v>OK</v>
      </c>
      <c r="V573" s="33" t="n">
        <f aca="false">Raw!M573</f>
        <v>1</v>
      </c>
      <c r="W573" s="0" t="str">
        <f aca="false">IF((S573&gt;0)=(V573=1),"OK","MISMATCH")</f>
        <v>OK</v>
      </c>
      <c r="X573" s="0" t="str">
        <f aca="false">_xlfn.IFS(S573&lt;=0,"Early/On time",S573&lt;=2,"Minor (up to 2 days)",S573&lt;=5,"Moderate (2-5 days)",TRUE(),"Severe (over 5 days)")</f>
        <v>Moderate (2-5 days)</v>
      </c>
      <c r="Y573" s="0" t="str">
        <f aca="false">YEAR(K573)&amp;"-"&amp;TEXT(MONTH(K573),"00")</f>
        <v>2025-05</v>
      </c>
      <c r="Z573" s="0" t="str">
        <f aca="false">C573&amp;" → "&amp;D573</f>
        <v>Chennai → Surat</v>
      </c>
      <c r="AA573" s="0" t="str">
        <f aca="false">Raw!Q573</f>
        <v>TCI Express</v>
      </c>
      <c r="AB573" s="0" t="str">
        <f aca="false">Raw!R573</f>
        <v>No</v>
      </c>
      <c r="AC573" s="0" t="str">
        <f aca="false">Raw!S573</f>
        <v>Held at warehouse</v>
      </c>
      <c r="AD573" s="29" t="n">
        <f aca="false">Raw!N573</f>
        <v>2979.12</v>
      </c>
      <c r="AE573" s="29" t="n">
        <f aca="false">Raw!O573</f>
        <v>2032.43</v>
      </c>
      <c r="AF573" s="29" t="n">
        <f aca="false">Raw!P573</f>
        <v>963.99</v>
      </c>
      <c r="AG573" s="29" t="n">
        <f aca="false">AD573/J573</f>
        <v>549.653136531365</v>
      </c>
    </row>
    <row r="574" customFormat="false" ht="15" hidden="false" customHeight="false" outlineLevel="0" collapsed="false">
      <c r="A574" s="0" t="str">
        <f aca="false">Raw!A574</f>
        <v>SHP0573</v>
      </c>
      <c r="B574" s="0" t="str">
        <f aca="false">Raw!B574</f>
        <v>Inbound</v>
      </c>
      <c r="C574" s="0" t="str">
        <f aca="false">Raw!C574</f>
        <v>Uttar Pradesh</v>
      </c>
      <c r="D574" s="0" t="str">
        <f aca="false">Raw!D574</f>
        <v>Surat</v>
      </c>
      <c r="E574" s="0" t="str">
        <f aca="false">IFERROR(INDEX(Location_Map!$B$2:$B$15,MATCH(C574,Location_Map!$A$2:$A$15,0)),"UNMAPPED")</f>
        <v>Uttar Pradesh</v>
      </c>
      <c r="F574" s="0" t="str">
        <f aca="false">IFERROR(INDEX(Location_Map!$C$2:$C$15,MATCH(C574,Location_Map!$A$2:$A$15,0)),"UNMAPPED")</f>
        <v>North</v>
      </c>
      <c r="G574" s="0" t="str">
        <f aca="false">IFERROR(INDEX(Location_Map!$B$2:$B$15,MATCH(D574,Location_Map!$A$2:$A$15,0)),"UNMAPPED")</f>
        <v>Gujarat</v>
      </c>
      <c r="H574" s="0" t="str">
        <f aca="false">IFERROR(INDEX(Location_Map!$C$2:$C$15,MATCH(D574,Location_Map!$A$2:$A$15,0)),"UNMAPPED")</f>
        <v>West</v>
      </c>
      <c r="I574" s="0" t="str">
        <f aca="false">Raw!E574</f>
        <v>Finished Yarn</v>
      </c>
      <c r="J574" s="28" t="n">
        <f aca="false">Raw!F574</f>
        <v>3.53</v>
      </c>
      <c r="K574" s="30" t="n">
        <f aca="false">DATE(LEFT(Raw!G574,4),MID(Raw!G574,6,2),MID(Raw!G574,9,2))</f>
        <v>45936</v>
      </c>
      <c r="L574" s="30" t="n">
        <f aca="false">DATE(LEFT(Raw!H574,4),MID(Raw!H574,6,2),MID(Raw!H574,9,2))</f>
        <v>45940</v>
      </c>
      <c r="M574" s="30" t="n">
        <f aca="false">DATE(LEFT(Raw!I574,4),MID(Raw!I574,6,2),MID(Raw!I574,9,2))</f>
        <v>45946</v>
      </c>
      <c r="N574" s="31" t="n">
        <f aca="false">DATE(LEFT(Raw!J574,4),MID(Raw!J574,6,2),MID(Raw!J574,9,2))+TIME(MID(Raw!J574,12,2),MID(Raw!J574,15,2),MID(Raw!J574,18,2))</f>
        <v>45940</v>
      </c>
      <c r="O574" s="31" t="n">
        <f aca="false">DATE(LEFT(Raw!K574,4),MID(Raw!K574,6,2),MID(Raw!K574,9,2))+TIME(MID(Raw!K574,12,2),MID(Raw!K574,15,2),MID(Raw!K574,18,2))</f>
        <v>45950.8</v>
      </c>
      <c r="P574" s="32" t="n">
        <f aca="false">L574-K574</f>
        <v>4</v>
      </c>
      <c r="Q574" s="32" t="n">
        <f aca="false">M574-L574</f>
        <v>6</v>
      </c>
      <c r="R574" s="32" t="n">
        <f aca="false">O574-N574</f>
        <v>10.8</v>
      </c>
      <c r="S574" s="32" t="n">
        <f aca="false">Raw!L574</f>
        <v>4.8</v>
      </c>
      <c r="T574" s="32" t="n">
        <f aca="false">O574-M574</f>
        <v>4.8</v>
      </c>
      <c r="U574" s="0" t="str">
        <f aca="false">IF(ABS(T574-S574)&lt;0.01,"OK","MISMATCH")</f>
        <v>OK</v>
      </c>
      <c r="V574" s="33" t="n">
        <f aca="false">Raw!M574</f>
        <v>1</v>
      </c>
      <c r="W574" s="0" t="str">
        <f aca="false">IF((S574&gt;0)=(V574=1),"OK","MISMATCH")</f>
        <v>OK</v>
      </c>
      <c r="X574" s="0" t="str">
        <f aca="false">_xlfn.IFS(S574&lt;=0,"Early/On time",S574&lt;=2,"Minor (up to 2 days)",S574&lt;=5,"Moderate (2-5 days)",TRUE(),"Severe (over 5 days)")</f>
        <v>Moderate (2-5 days)</v>
      </c>
      <c r="Y574" s="0" t="str">
        <f aca="false">YEAR(K574)&amp;"-"&amp;TEXT(MONTH(K574),"00")</f>
        <v>2025-10</v>
      </c>
      <c r="Z574" s="0" t="str">
        <f aca="false">C574&amp;" → "&amp;D574</f>
        <v>Uttar Pradesh → Surat</v>
      </c>
      <c r="AA574" s="0" t="str">
        <f aca="false">Raw!Q574</f>
        <v>Delhivery</v>
      </c>
      <c r="AB574" s="0" t="str">
        <f aca="false">Raw!R574</f>
        <v>No</v>
      </c>
      <c r="AC574" s="0" t="str">
        <f aca="false">Raw!S574</f>
        <v>Expedited</v>
      </c>
      <c r="AD574" s="29" t="n">
        <f aca="false">Raw!N574</f>
        <v>3426.01</v>
      </c>
      <c r="AE574" s="29" t="n">
        <f aca="false">Raw!O574</f>
        <v>1455.86</v>
      </c>
      <c r="AF574" s="29" t="n">
        <f aca="false">Raw!P574</f>
        <v>1143.91</v>
      </c>
      <c r="AG574" s="29" t="n">
        <f aca="false">AD574/J574</f>
        <v>970.541076487252</v>
      </c>
    </row>
    <row r="575" customFormat="false" ht="15" hidden="false" customHeight="false" outlineLevel="0" collapsed="false">
      <c r="A575" s="0" t="str">
        <f aca="false">Raw!A575</f>
        <v>SHP0574</v>
      </c>
      <c r="B575" s="0" t="str">
        <f aca="false">Raw!B575</f>
        <v>Outbound</v>
      </c>
      <c r="C575" s="0" t="str">
        <f aca="false">Raw!C575</f>
        <v>Surat</v>
      </c>
      <c r="D575" s="0" t="str">
        <f aca="false">Raw!D575</f>
        <v>Assam</v>
      </c>
      <c r="E575" s="0" t="str">
        <f aca="false">IFERROR(INDEX(Location_Map!$B$2:$B$15,MATCH(C575,Location_Map!$A$2:$A$15,0)),"UNMAPPED")</f>
        <v>Gujarat</v>
      </c>
      <c r="F575" s="0" t="str">
        <f aca="false">IFERROR(INDEX(Location_Map!$C$2:$C$15,MATCH(C575,Location_Map!$A$2:$A$15,0)),"UNMAPPED")</f>
        <v>West</v>
      </c>
      <c r="G575" s="0" t="str">
        <f aca="false">IFERROR(INDEX(Location_Map!$B$2:$B$15,MATCH(D575,Location_Map!$A$2:$A$15,0)),"UNMAPPED")</f>
        <v>Assam</v>
      </c>
      <c r="H575" s="0" t="str">
        <f aca="false">IFERROR(INDEX(Location_Map!$C$2:$C$15,MATCH(D575,Location_Map!$A$2:$A$15,0)),"UNMAPPED")</f>
        <v>North-East</v>
      </c>
      <c r="I575" s="0" t="str">
        <f aca="false">Raw!E575</f>
        <v>Semi-Processed Yarn</v>
      </c>
      <c r="J575" s="28" t="n">
        <f aca="false">Raw!F575</f>
        <v>16.85</v>
      </c>
      <c r="K575" s="30" t="n">
        <f aca="false">DATE(LEFT(Raw!G575,4),MID(Raw!G575,6,2),MID(Raw!G575,9,2))</f>
        <v>45831</v>
      </c>
      <c r="L575" s="30" t="n">
        <f aca="false">DATE(LEFT(Raw!H575,4),MID(Raw!H575,6,2),MID(Raw!H575,9,2))</f>
        <v>45834</v>
      </c>
      <c r="M575" s="30" t="n">
        <f aca="false">DATE(LEFT(Raw!I575,4),MID(Raw!I575,6,2),MID(Raw!I575,9,2))</f>
        <v>45837</v>
      </c>
      <c r="N575" s="31" t="n">
        <f aca="false">DATE(LEFT(Raw!J575,4),MID(Raw!J575,6,2),MID(Raw!J575,9,2))+TIME(MID(Raw!J575,12,2),MID(Raw!J575,15,2),MID(Raw!J575,18,2))</f>
        <v>45834.375</v>
      </c>
      <c r="O575" s="31" t="n">
        <f aca="false">DATE(LEFT(Raw!K575,4),MID(Raw!K575,6,2),MID(Raw!K575,9,2))+TIME(MID(Raw!K575,12,2),MID(Raw!K575,15,2),MID(Raw!K575,18,2))</f>
        <v>45836</v>
      </c>
      <c r="P575" s="32" t="n">
        <f aca="false">L575-K575</f>
        <v>3</v>
      </c>
      <c r="Q575" s="32" t="n">
        <f aca="false">M575-L575</f>
        <v>3</v>
      </c>
      <c r="R575" s="32" t="n">
        <f aca="false">O575-N575</f>
        <v>1.625</v>
      </c>
      <c r="S575" s="32" t="n">
        <f aca="false">Raw!L575</f>
        <v>-1</v>
      </c>
      <c r="T575" s="32" t="n">
        <f aca="false">O575-M575</f>
        <v>-1</v>
      </c>
      <c r="U575" s="0" t="str">
        <f aca="false">IF(ABS(T575-S575)&lt;0.01,"OK","MISMATCH")</f>
        <v>OK</v>
      </c>
      <c r="V575" s="33" t="n">
        <f aca="false">Raw!M575</f>
        <v>0</v>
      </c>
      <c r="W575" s="0" t="str">
        <f aca="false">IF((S575&gt;0)=(V575=1),"OK","MISMATCH")</f>
        <v>OK</v>
      </c>
      <c r="X575" s="0" t="str">
        <f aca="false">_xlfn.IFS(S575&lt;=0,"Early/On time",S575&lt;=2,"Minor (up to 2 days)",S575&lt;=5,"Moderate (2-5 days)",TRUE(),"Severe (over 5 days)")</f>
        <v>Early/On time</v>
      </c>
      <c r="Y575" s="0" t="str">
        <f aca="false">YEAR(K575)&amp;"-"&amp;TEXT(MONTH(K575),"00")</f>
        <v>2025-06</v>
      </c>
      <c r="Z575" s="0" t="str">
        <f aca="false">C575&amp;" → "&amp;D575</f>
        <v>Surat → Assam</v>
      </c>
      <c r="AA575" s="0" t="str">
        <f aca="false">Raw!Q575</f>
        <v>BlueDart</v>
      </c>
      <c r="AB575" s="0" t="str">
        <f aca="false">Raw!R575</f>
        <v>No</v>
      </c>
      <c r="AC575" s="0" t="str">
        <f aca="false">Raw!S575</f>
        <v>Expedited</v>
      </c>
      <c r="AD575" s="29" t="n">
        <f aca="false">Raw!N575</f>
        <v>7768.12</v>
      </c>
      <c r="AE575" s="29" t="n">
        <f aca="false">Raw!O575</f>
        <v>1341.07</v>
      </c>
      <c r="AF575" s="29" t="n">
        <f aca="false">Raw!P575</f>
        <v>1366.18</v>
      </c>
      <c r="AG575" s="29" t="n">
        <f aca="false">AD575/J575</f>
        <v>461.016023738872</v>
      </c>
    </row>
    <row r="576" customFormat="false" ht="15" hidden="false" customHeight="false" outlineLevel="0" collapsed="false">
      <c r="A576" s="0" t="str">
        <f aca="false">Raw!A576</f>
        <v>SHP0575</v>
      </c>
      <c r="B576" s="0" t="str">
        <f aca="false">Raw!B576</f>
        <v>Inbound</v>
      </c>
      <c r="C576" s="0" t="str">
        <f aca="false">Raw!C576</f>
        <v>Gujarat</v>
      </c>
      <c r="D576" s="0" t="str">
        <f aca="false">Raw!D576</f>
        <v>Surat</v>
      </c>
      <c r="E576" s="0" t="str">
        <f aca="false">IFERROR(INDEX(Location_Map!$B$2:$B$15,MATCH(C576,Location_Map!$A$2:$A$15,0)),"UNMAPPED")</f>
        <v>Gujarat</v>
      </c>
      <c r="F576" s="0" t="str">
        <f aca="false">IFERROR(INDEX(Location_Map!$C$2:$C$15,MATCH(C576,Location_Map!$A$2:$A$15,0)),"UNMAPPED")</f>
        <v>West</v>
      </c>
      <c r="G576" s="0" t="str">
        <f aca="false">IFERROR(INDEX(Location_Map!$B$2:$B$15,MATCH(D576,Location_Map!$A$2:$A$15,0)),"UNMAPPED")</f>
        <v>Gujarat</v>
      </c>
      <c r="H576" s="0" t="str">
        <f aca="false">IFERROR(INDEX(Location_Map!$C$2:$C$15,MATCH(D576,Location_Map!$A$2:$A$15,0)),"UNMAPPED")</f>
        <v>West</v>
      </c>
      <c r="I576" s="0" t="str">
        <f aca="false">Raw!E576</f>
        <v>Finished Yarn</v>
      </c>
      <c r="J576" s="28" t="n">
        <f aca="false">Raw!F576</f>
        <v>10.48</v>
      </c>
      <c r="K576" s="30" t="n">
        <f aca="false">DATE(LEFT(Raw!G576,4),MID(Raw!G576,6,2),MID(Raw!G576,9,2))</f>
        <v>45746</v>
      </c>
      <c r="L576" s="30" t="n">
        <f aca="false">DATE(LEFT(Raw!H576,4),MID(Raw!H576,6,2),MID(Raw!H576,9,2))</f>
        <v>45748</v>
      </c>
      <c r="M576" s="30" t="n">
        <f aca="false">DATE(LEFT(Raw!I576,4),MID(Raw!I576,6,2),MID(Raw!I576,9,2))</f>
        <v>45752</v>
      </c>
      <c r="N576" s="31" t="n">
        <f aca="false">DATE(LEFT(Raw!J576,4),MID(Raw!J576,6,2),MID(Raw!J576,9,2))+TIME(MID(Raw!J576,12,2),MID(Raw!J576,15,2),MID(Raw!J576,18,2))</f>
        <v>45747.7916666667</v>
      </c>
      <c r="O576" s="31" t="n">
        <f aca="false">DATE(LEFT(Raw!K576,4),MID(Raw!K576,6,2),MID(Raw!K576,9,2))+TIME(MID(Raw!K576,12,2),MID(Raw!K576,15,2),MID(Raw!K576,18,2))</f>
        <v>45757</v>
      </c>
      <c r="P576" s="32" t="n">
        <f aca="false">L576-K576</f>
        <v>2</v>
      </c>
      <c r="Q576" s="32" t="n">
        <f aca="false">M576-L576</f>
        <v>4</v>
      </c>
      <c r="R576" s="32" t="n">
        <f aca="false">O576-N576</f>
        <v>9.20833333333333</v>
      </c>
      <c r="S576" s="32" t="n">
        <f aca="false">Raw!L576</f>
        <v>5</v>
      </c>
      <c r="T576" s="32" t="n">
        <f aca="false">O576-M576</f>
        <v>5</v>
      </c>
      <c r="U576" s="0" t="str">
        <f aca="false">IF(ABS(T576-S576)&lt;0.01,"OK","MISMATCH")</f>
        <v>OK</v>
      </c>
      <c r="V576" s="33" t="n">
        <f aca="false">Raw!M576</f>
        <v>1</v>
      </c>
      <c r="W576" s="0" t="str">
        <f aca="false">IF((S576&gt;0)=(V576=1),"OK","MISMATCH")</f>
        <v>OK</v>
      </c>
      <c r="X576" s="0" t="str">
        <f aca="false">_xlfn.IFS(S576&lt;=0,"Early/On time",S576&lt;=2,"Minor (up to 2 days)",S576&lt;=5,"Moderate (2-5 days)",TRUE(),"Severe (over 5 days)")</f>
        <v>Moderate (2-5 days)</v>
      </c>
      <c r="Y576" s="0" t="str">
        <f aca="false">YEAR(K576)&amp;"-"&amp;TEXT(MONTH(K576),"00")</f>
        <v>2025-03</v>
      </c>
      <c r="Z576" s="0" t="str">
        <f aca="false">C576&amp;" → "&amp;D576</f>
        <v>Gujarat → Surat</v>
      </c>
      <c r="AA576" s="0" t="str">
        <f aca="false">Raw!Q576</f>
        <v>Delhivery</v>
      </c>
      <c r="AB576" s="0" t="str">
        <f aca="false">Raw!R576</f>
        <v>No</v>
      </c>
      <c r="AC576" s="0" t="str">
        <f aca="false">Raw!S576</f>
        <v>Returned</v>
      </c>
      <c r="AD576" s="29" t="n">
        <f aca="false">Raw!N576</f>
        <v>4137.19</v>
      </c>
      <c r="AE576" s="29" t="n">
        <f aca="false">Raw!O576</f>
        <v>2954.17</v>
      </c>
      <c r="AF576" s="29" t="n">
        <f aca="false">Raw!P576</f>
        <v>1024.2</v>
      </c>
      <c r="AG576" s="29" t="n">
        <f aca="false">AD576/J576</f>
        <v>394.770038167939</v>
      </c>
    </row>
    <row r="577" customFormat="false" ht="15" hidden="false" customHeight="false" outlineLevel="0" collapsed="false">
      <c r="A577" s="0" t="str">
        <f aca="false">Raw!A577</f>
        <v>SHP0576</v>
      </c>
      <c r="B577" s="0" t="str">
        <f aca="false">Raw!B577</f>
        <v>Inbound</v>
      </c>
      <c r="C577" s="0" t="str">
        <f aca="false">Raw!C577</f>
        <v>Uttar Pradesh</v>
      </c>
      <c r="D577" s="0" t="str">
        <f aca="false">Raw!D577</f>
        <v>Surat</v>
      </c>
      <c r="E577" s="0" t="str">
        <f aca="false">IFERROR(INDEX(Location_Map!$B$2:$B$15,MATCH(C577,Location_Map!$A$2:$A$15,0)),"UNMAPPED")</f>
        <v>Uttar Pradesh</v>
      </c>
      <c r="F577" s="0" t="str">
        <f aca="false">IFERROR(INDEX(Location_Map!$C$2:$C$15,MATCH(C577,Location_Map!$A$2:$A$15,0)),"UNMAPPED")</f>
        <v>North</v>
      </c>
      <c r="G577" s="0" t="str">
        <f aca="false">IFERROR(INDEX(Location_Map!$B$2:$B$15,MATCH(D577,Location_Map!$A$2:$A$15,0)),"UNMAPPED")</f>
        <v>Gujarat</v>
      </c>
      <c r="H577" s="0" t="str">
        <f aca="false">IFERROR(INDEX(Location_Map!$C$2:$C$15,MATCH(D577,Location_Map!$A$2:$A$15,0)),"UNMAPPED")</f>
        <v>West</v>
      </c>
      <c r="I577" s="0" t="str">
        <f aca="false">Raw!E577</f>
        <v>Semi-Processed Yarn</v>
      </c>
      <c r="J577" s="28" t="n">
        <f aca="false">Raw!F577</f>
        <v>13.67</v>
      </c>
      <c r="K577" s="30" t="n">
        <f aca="false">DATE(LEFT(Raw!G577,4),MID(Raw!G577,6,2),MID(Raw!G577,9,2))</f>
        <v>45738</v>
      </c>
      <c r="L577" s="30" t="n">
        <f aca="false">DATE(LEFT(Raw!H577,4),MID(Raw!H577,6,2),MID(Raw!H577,9,2))</f>
        <v>45742</v>
      </c>
      <c r="M577" s="30" t="n">
        <f aca="false">DATE(LEFT(Raw!I577,4),MID(Raw!I577,6,2),MID(Raw!I577,9,2))</f>
        <v>45747</v>
      </c>
      <c r="N577" s="31" t="n">
        <f aca="false">DATE(LEFT(Raw!J577,4),MID(Raw!J577,6,2),MID(Raw!J577,9,2))+TIME(MID(Raw!J577,12,2),MID(Raw!J577,15,2),MID(Raw!J577,18,2))</f>
        <v>45741.9583333333</v>
      </c>
      <c r="O577" s="31" t="n">
        <f aca="false">DATE(LEFT(Raw!K577,4),MID(Raw!K577,6,2),MID(Raw!K577,9,2))+TIME(MID(Raw!K577,12,2),MID(Raw!K577,15,2),MID(Raw!K577,18,2))</f>
        <v>45750.9</v>
      </c>
      <c r="P577" s="32" t="n">
        <f aca="false">L577-K577</f>
        <v>4</v>
      </c>
      <c r="Q577" s="32" t="n">
        <f aca="false">M577-L577</f>
        <v>5</v>
      </c>
      <c r="R577" s="32" t="n">
        <f aca="false">O577-N577</f>
        <v>8.94166666666667</v>
      </c>
      <c r="S577" s="32" t="n">
        <f aca="false">Raw!L577</f>
        <v>3.9</v>
      </c>
      <c r="T577" s="32" t="n">
        <f aca="false">O577-M577</f>
        <v>3.9</v>
      </c>
      <c r="U577" s="0" t="str">
        <f aca="false">IF(ABS(T577-S577)&lt;0.01,"OK","MISMATCH")</f>
        <v>OK</v>
      </c>
      <c r="V577" s="33" t="n">
        <f aca="false">Raw!M577</f>
        <v>1</v>
      </c>
      <c r="W577" s="0" t="str">
        <f aca="false">IF((S577&gt;0)=(V577=1),"OK","MISMATCH")</f>
        <v>OK</v>
      </c>
      <c r="X577" s="0" t="str">
        <f aca="false">_xlfn.IFS(S577&lt;=0,"Early/On time",S577&lt;=2,"Minor (up to 2 days)",S577&lt;=5,"Moderate (2-5 days)",TRUE(),"Severe (over 5 days)")</f>
        <v>Moderate (2-5 days)</v>
      </c>
      <c r="Y577" s="0" t="str">
        <f aca="false">YEAR(K577)&amp;"-"&amp;TEXT(MONTH(K577),"00")</f>
        <v>2025-03</v>
      </c>
      <c r="Z577" s="0" t="str">
        <f aca="false">C577&amp;" → "&amp;D577</f>
        <v>Uttar Pradesh → Surat</v>
      </c>
      <c r="AA577" s="0" t="str">
        <f aca="false">Raw!Q577</f>
        <v>Delhivery</v>
      </c>
      <c r="AB577" s="0" t="str">
        <f aca="false">Raw!R577</f>
        <v>Yes</v>
      </c>
      <c r="AC577" s="0" t="str">
        <f aca="false">Raw!S577</f>
        <v>Returned</v>
      </c>
      <c r="AD577" s="29" t="n">
        <f aca="false">Raw!N577</f>
        <v>5626</v>
      </c>
      <c r="AE577" s="29" t="n">
        <f aca="false">Raw!O577</f>
        <v>3572.42</v>
      </c>
      <c r="AF577" s="29" t="n">
        <f aca="false">Raw!P577</f>
        <v>815.74</v>
      </c>
      <c r="AG577" s="29" t="n">
        <f aca="false">AD577/J577</f>
        <v>411.558156547184</v>
      </c>
    </row>
    <row r="578" customFormat="false" ht="15" hidden="false" customHeight="false" outlineLevel="0" collapsed="false">
      <c r="A578" s="0" t="str">
        <f aca="false">Raw!A578</f>
        <v>SHP0577</v>
      </c>
      <c r="B578" s="0" t="str">
        <f aca="false">Raw!B578</f>
        <v>Inbound</v>
      </c>
      <c r="C578" s="0" t="str">
        <f aca="false">Raw!C578</f>
        <v>Rajasthan</v>
      </c>
      <c r="D578" s="0" t="str">
        <f aca="false">Raw!D578</f>
        <v>Surat</v>
      </c>
      <c r="E578" s="0" t="str">
        <f aca="false">IFERROR(INDEX(Location_Map!$B$2:$B$15,MATCH(C578,Location_Map!$A$2:$A$15,0)),"UNMAPPED")</f>
        <v>Rajasthan</v>
      </c>
      <c r="F578" s="0" t="str">
        <f aca="false">IFERROR(INDEX(Location_Map!$C$2:$C$15,MATCH(C578,Location_Map!$A$2:$A$15,0)),"UNMAPPED")</f>
        <v>North</v>
      </c>
      <c r="G578" s="0" t="str">
        <f aca="false">IFERROR(INDEX(Location_Map!$B$2:$B$15,MATCH(D578,Location_Map!$A$2:$A$15,0)),"UNMAPPED")</f>
        <v>Gujarat</v>
      </c>
      <c r="H578" s="0" t="str">
        <f aca="false">IFERROR(INDEX(Location_Map!$C$2:$C$15,MATCH(D578,Location_Map!$A$2:$A$15,0)),"UNMAPPED")</f>
        <v>West</v>
      </c>
      <c r="I578" s="0" t="str">
        <f aca="false">Raw!E578</f>
        <v>Raw Yarn</v>
      </c>
      <c r="J578" s="28" t="n">
        <f aca="false">Raw!F578</f>
        <v>12.81</v>
      </c>
      <c r="K578" s="30" t="n">
        <f aca="false">DATE(LEFT(Raw!G578,4),MID(Raw!G578,6,2),MID(Raw!G578,9,2))</f>
        <v>45723</v>
      </c>
      <c r="L578" s="30" t="n">
        <f aca="false">DATE(LEFT(Raw!H578,4),MID(Raw!H578,6,2),MID(Raw!H578,9,2))</f>
        <v>45725</v>
      </c>
      <c r="M578" s="30" t="n">
        <f aca="false">DATE(LEFT(Raw!I578,4),MID(Raw!I578,6,2),MID(Raw!I578,9,2))</f>
        <v>45731</v>
      </c>
      <c r="N578" s="31" t="n">
        <f aca="false">DATE(LEFT(Raw!J578,4),MID(Raw!J578,6,2),MID(Raw!J578,9,2))+TIME(MID(Raw!J578,12,2),MID(Raw!J578,15,2),MID(Raw!J578,18,2))</f>
        <v>45725.25</v>
      </c>
      <c r="O578" s="31" t="n">
        <f aca="false">DATE(LEFT(Raw!K578,4),MID(Raw!K578,6,2),MID(Raw!K578,9,2))+TIME(MID(Raw!K578,12,2),MID(Raw!K578,15,2),MID(Raw!K578,18,2))</f>
        <v>45732.1</v>
      </c>
      <c r="P578" s="32" t="n">
        <f aca="false">L578-K578</f>
        <v>2</v>
      </c>
      <c r="Q578" s="32" t="n">
        <f aca="false">M578-L578</f>
        <v>6</v>
      </c>
      <c r="R578" s="32" t="n">
        <f aca="false">O578-N578</f>
        <v>6.85</v>
      </c>
      <c r="S578" s="32" t="n">
        <f aca="false">Raw!L578</f>
        <v>1.1</v>
      </c>
      <c r="T578" s="32" t="n">
        <f aca="false">O578-M578</f>
        <v>1.1</v>
      </c>
      <c r="U578" s="0" t="str">
        <f aca="false">IF(ABS(T578-S578)&lt;0.01,"OK","MISMATCH")</f>
        <v>OK</v>
      </c>
      <c r="V578" s="33" t="n">
        <f aca="false">Raw!M578</f>
        <v>1</v>
      </c>
      <c r="W578" s="0" t="str">
        <f aca="false">IF((S578&gt;0)=(V578=1),"OK","MISMATCH")</f>
        <v>OK</v>
      </c>
      <c r="X578" s="0" t="str">
        <f aca="false">_xlfn.IFS(S578&lt;=0,"Early/On time",S578&lt;=2,"Minor (up to 2 days)",S578&lt;=5,"Moderate (2-5 days)",TRUE(),"Severe (over 5 days)")</f>
        <v>Minor (up to 2 days)</v>
      </c>
      <c r="Y578" s="0" t="str">
        <f aca="false">YEAR(K578)&amp;"-"&amp;TEXT(MONTH(K578),"00")</f>
        <v>2025-03</v>
      </c>
      <c r="Z578" s="0" t="str">
        <f aca="false">C578&amp;" → "&amp;D578</f>
        <v>Rajasthan → Surat</v>
      </c>
      <c r="AA578" s="0" t="str">
        <f aca="false">Raw!Q578</f>
        <v>BlueDart</v>
      </c>
      <c r="AB578" s="0" t="str">
        <f aca="false">Raw!R578</f>
        <v>Yes</v>
      </c>
      <c r="AC578" s="0" t="str">
        <f aca="false">Raw!S578</f>
        <v>Expedited</v>
      </c>
      <c r="AD578" s="29" t="n">
        <f aca="false">Raw!N578</f>
        <v>8179.07</v>
      </c>
      <c r="AE578" s="29" t="n">
        <f aca="false">Raw!O578</f>
        <v>3841.41</v>
      </c>
      <c r="AF578" s="29" t="n">
        <f aca="false">Raw!P578</f>
        <v>612.5</v>
      </c>
      <c r="AG578" s="29" t="n">
        <f aca="false">AD578/J578</f>
        <v>638.491022638564</v>
      </c>
    </row>
    <row r="579" customFormat="false" ht="15" hidden="false" customHeight="false" outlineLevel="0" collapsed="false">
      <c r="A579" s="0" t="str">
        <f aca="false">Raw!A579</f>
        <v>SHP0578</v>
      </c>
      <c r="B579" s="0" t="str">
        <f aca="false">Raw!B579</f>
        <v>Inbound</v>
      </c>
      <c r="C579" s="0" t="str">
        <f aca="false">Raw!C579</f>
        <v>Punjab</v>
      </c>
      <c r="D579" s="0" t="str">
        <f aca="false">Raw!D579</f>
        <v>Surat</v>
      </c>
      <c r="E579" s="0" t="str">
        <f aca="false">IFERROR(INDEX(Location_Map!$B$2:$B$15,MATCH(C579,Location_Map!$A$2:$A$15,0)),"UNMAPPED")</f>
        <v>Punjab</v>
      </c>
      <c r="F579" s="0" t="str">
        <f aca="false">IFERROR(INDEX(Location_Map!$C$2:$C$15,MATCH(C579,Location_Map!$A$2:$A$15,0)),"UNMAPPED")</f>
        <v>North</v>
      </c>
      <c r="G579" s="0" t="str">
        <f aca="false">IFERROR(INDEX(Location_Map!$B$2:$B$15,MATCH(D579,Location_Map!$A$2:$A$15,0)),"UNMAPPED")</f>
        <v>Gujarat</v>
      </c>
      <c r="H579" s="0" t="str">
        <f aca="false">IFERROR(INDEX(Location_Map!$C$2:$C$15,MATCH(D579,Location_Map!$A$2:$A$15,0)),"UNMAPPED")</f>
        <v>West</v>
      </c>
      <c r="I579" s="0" t="str">
        <f aca="false">Raw!E579</f>
        <v>Raw Yarn</v>
      </c>
      <c r="J579" s="28" t="n">
        <f aca="false">Raw!F579</f>
        <v>14.98</v>
      </c>
      <c r="K579" s="30" t="n">
        <f aca="false">DATE(LEFT(Raw!G579,4),MID(Raw!G579,6,2),MID(Raw!G579,9,2))</f>
        <v>45740</v>
      </c>
      <c r="L579" s="30" t="n">
        <f aca="false">DATE(LEFT(Raw!H579,4),MID(Raw!H579,6,2),MID(Raw!H579,9,2))</f>
        <v>45743</v>
      </c>
      <c r="M579" s="30" t="n">
        <f aca="false">DATE(LEFT(Raw!I579,4),MID(Raw!I579,6,2),MID(Raw!I579,9,2))</f>
        <v>45747</v>
      </c>
      <c r="N579" s="31" t="n">
        <f aca="false">DATE(LEFT(Raw!J579,4),MID(Raw!J579,6,2),MID(Raw!J579,9,2))+TIME(MID(Raw!J579,12,2),MID(Raw!J579,15,2),MID(Raw!J579,18,2))</f>
        <v>45743.0416666667</v>
      </c>
      <c r="O579" s="31" t="n">
        <f aca="false">DATE(LEFT(Raw!K579,4),MID(Raw!K579,6,2),MID(Raw!K579,9,2))+TIME(MID(Raw!K579,12,2),MID(Raw!K579,15,2),MID(Raw!K579,18,2))</f>
        <v>45746</v>
      </c>
      <c r="P579" s="32" t="n">
        <f aca="false">L579-K579</f>
        <v>3</v>
      </c>
      <c r="Q579" s="32" t="n">
        <f aca="false">M579-L579</f>
        <v>4</v>
      </c>
      <c r="R579" s="32" t="n">
        <f aca="false">O579-N579</f>
        <v>2.95833333333333</v>
      </c>
      <c r="S579" s="32" t="n">
        <f aca="false">Raw!L579</f>
        <v>-1</v>
      </c>
      <c r="T579" s="32" t="n">
        <f aca="false">O579-M579</f>
        <v>-1</v>
      </c>
      <c r="U579" s="0" t="str">
        <f aca="false">IF(ABS(T579-S579)&lt;0.01,"OK","MISMATCH")</f>
        <v>OK</v>
      </c>
      <c r="V579" s="33" t="n">
        <f aca="false">Raw!M579</f>
        <v>0</v>
      </c>
      <c r="W579" s="0" t="str">
        <f aca="false">IF((S579&gt;0)=(V579=1),"OK","MISMATCH")</f>
        <v>OK</v>
      </c>
      <c r="X579" s="0" t="str">
        <f aca="false">_xlfn.IFS(S579&lt;=0,"Early/On time",S579&lt;=2,"Minor (up to 2 days)",S579&lt;=5,"Moderate (2-5 days)",TRUE(),"Severe (over 5 days)")</f>
        <v>Early/On time</v>
      </c>
      <c r="Y579" s="0" t="str">
        <f aca="false">YEAR(K579)&amp;"-"&amp;TEXT(MONTH(K579),"00")</f>
        <v>2025-03</v>
      </c>
      <c r="Z579" s="0" t="str">
        <f aca="false">C579&amp;" → "&amp;D579</f>
        <v>Punjab → Surat</v>
      </c>
      <c r="AA579" s="0" t="str">
        <f aca="false">Raw!Q579</f>
        <v>GATI Logistics</v>
      </c>
      <c r="AB579" s="0" t="str">
        <f aca="false">Raw!R579</f>
        <v>No</v>
      </c>
      <c r="AC579" s="0" t="str">
        <f aca="false">Raw!S579</f>
        <v>Damaged</v>
      </c>
      <c r="AD579" s="29" t="n">
        <f aca="false">Raw!N579</f>
        <v>8347.99</v>
      </c>
      <c r="AE579" s="29" t="n">
        <f aca="false">Raw!O579</f>
        <v>2116.52</v>
      </c>
      <c r="AF579" s="29" t="n">
        <f aca="false">Raw!P579</f>
        <v>1430.67</v>
      </c>
      <c r="AG579" s="29" t="n">
        <f aca="false">AD579/J579</f>
        <v>557.275700934579</v>
      </c>
    </row>
    <row r="580" customFormat="false" ht="15" hidden="false" customHeight="false" outlineLevel="0" collapsed="false">
      <c r="A580" s="0" t="str">
        <f aca="false">Raw!A580</f>
        <v>SHP0579</v>
      </c>
      <c r="B580" s="0" t="str">
        <f aca="false">Raw!B580</f>
        <v>Inbound</v>
      </c>
      <c r="C580" s="0" t="str">
        <f aca="false">Raw!C580</f>
        <v>Chennai</v>
      </c>
      <c r="D580" s="0" t="str">
        <f aca="false">Raw!D580</f>
        <v>Surat</v>
      </c>
      <c r="E580" s="0" t="str">
        <f aca="false">IFERROR(INDEX(Location_Map!$B$2:$B$15,MATCH(C580,Location_Map!$A$2:$A$15,0)),"UNMAPPED")</f>
        <v>Tamil Nadu</v>
      </c>
      <c r="F580" s="0" t="str">
        <f aca="false">IFERROR(INDEX(Location_Map!$C$2:$C$15,MATCH(C580,Location_Map!$A$2:$A$15,0)),"UNMAPPED")</f>
        <v>South</v>
      </c>
      <c r="G580" s="0" t="str">
        <f aca="false">IFERROR(INDEX(Location_Map!$B$2:$B$15,MATCH(D580,Location_Map!$A$2:$A$15,0)),"UNMAPPED")</f>
        <v>Gujarat</v>
      </c>
      <c r="H580" s="0" t="str">
        <f aca="false">IFERROR(INDEX(Location_Map!$C$2:$C$15,MATCH(D580,Location_Map!$A$2:$A$15,0)),"UNMAPPED")</f>
        <v>West</v>
      </c>
      <c r="I580" s="0" t="str">
        <f aca="false">Raw!E580</f>
        <v>Raw Yarn</v>
      </c>
      <c r="J580" s="28" t="n">
        <f aca="false">Raw!F580</f>
        <v>1.47</v>
      </c>
      <c r="K580" s="30" t="n">
        <f aca="false">DATE(LEFT(Raw!G580,4),MID(Raw!G580,6,2),MID(Raw!G580,9,2))</f>
        <v>45867</v>
      </c>
      <c r="L580" s="30" t="n">
        <f aca="false">DATE(LEFT(Raw!H580,4),MID(Raw!H580,6,2),MID(Raw!H580,9,2))</f>
        <v>45870</v>
      </c>
      <c r="M580" s="30" t="n">
        <f aca="false">DATE(LEFT(Raw!I580,4),MID(Raw!I580,6,2),MID(Raw!I580,9,2))</f>
        <v>45876</v>
      </c>
      <c r="N580" s="31" t="n">
        <f aca="false">DATE(LEFT(Raw!J580,4),MID(Raw!J580,6,2),MID(Raw!J580,9,2))+TIME(MID(Raw!J580,12,2),MID(Raw!J580,15,2),MID(Raw!J580,18,2))</f>
        <v>45869.8333333333</v>
      </c>
      <c r="O580" s="31" t="n">
        <f aca="false">DATE(LEFT(Raw!K580,4),MID(Raw!K580,6,2),MID(Raw!K580,9,2))+TIME(MID(Raw!K580,12,2),MID(Raw!K580,15,2),MID(Raw!K580,18,2))</f>
        <v>45875</v>
      </c>
      <c r="P580" s="32" t="n">
        <f aca="false">L580-K580</f>
        <v>3</v>
      </c>
      <c r="Q580" s="32" t="n">
        <f aca="false">M580-L580</f>
        <v>6</v>
      </c>
      <c r="R580" s="32" t="n">
        <f aca="false">O580-N580</f>
        <v>5.16666666666667</v>
      </c>
      <c r="S580" s="32" t="n">
        <f aca="false">Raw!L580</f>
        <v>-1</v>
      </c>
      <c r="T580" s="32" t="n">
        <f aca="false">O580-M580</f>
        <v>-1</v>
      </c>
      <c r="U580" s="0" t="str">
        <f aca="false">IF(ABS(T580-S580)&lt;0.01,"OK","MISMATCH")</f>
        <v>OK</v>
      </c>
      <c r="V580" s="33" t="n">
        <f aca="false">Raw!M580</f>
        <v>0</v>
      </c>
      <c r="W580" s="0" t="str">
        <f aca="false">IF((S580&gt;0)=(V580=1),"OK","MISMATCH")</f>
        <v>OK</v>
      </c>
      <c r="X580" s="0" t="str">
        <f aca="false">_xlfn.IFS(S580&lt;=0,"Early/On time",S580&lt;=2,"Minor (up to 2 days)",S580&lt;=5,"Moderate (2-5 days)",TRUE(),"Severe (over 5 days)")</f>
        <v>Early/On time</v>
      </c>
      <c r="Y580" s="0" t="str">
        <f aca="false">YEAR(K580)&amp;"-"&amp;TEXT(MONTH(K580),"00")</f>
        <v>2025-07</v>
      </c>
      <c r="Z580" s="0" t="str">
        <f aca="false">C580&amp;" → "&amp;D580</f>
        <v>Chennai → Surat</v>
      </c>
      <c r="AA580" s="0" t="str">
        <f aca="false">Raw!Q580</f>
        <v>GATI Logistics</v>
      </c>
      <c r="AB580" s="0" t="str">
        <f aca="false">Raw!R580</f>
        <v>No</v>
      </c>
      <c r="AC580" s="0" t="str">
        <f aca="false">Raw!S580</f>
        <v>Held at warehouse</v>
      </c>
      <c r="AD580" s="29" t="n">
        <f aca="false">Raw!N580</f>
        <v>1819.21</v>
      </c>
      <c r="AE580" s="29" t="n">
        <f aca="false">Raw!O580</f>
        <v>3585.24</v>
      </c>
      <c r="AF580" s="29" t="n">
        <f aca="false">Raw!P580</f>
        <v>1147.34</v>
      </c>
      <c r="AG580" s="29" t="n">
        <f aca="false">AD580/J580</f>
        <v>1237.55782312925</v>
      </c>
    </row>
    <row r="581" customFormat="false" ht="15" hidden="false" customHeight="false" outlineLevel="0" collapsed="false">
      <c r="A581" s="0" t="str">
        <f aca="false">Raw!A581</f>
        <v>SHP0580</v>
      </c>
      <c r="B581" s="0" t="str">
        <f aca="false">Raw!B581</f>
        <v>Outbound</v>
      </c>
      <c r="C581" s="0" t="str">
        <f aca="false">Raw!C581</f>
        <v>Surat</v>
      </c>
      <c r="D581" s="0" t="str">
        <f aca="false">Raw!D581</f>
        <v>Mumbai</v>
      </c>
      <c r="E581" s="0" t="str">
        <f aca="false">IFERROR(INDEX(Location_Map!$B$2:$B$15,MATCH(C581,Location_Map!$A$2:$A$15,0)),"UNMAPPED")</f>
        <v>Gujarat</v>
      </c>
      <c r="F581" s="0" t="str">
        <f aca="false">IFERROR(INDEX(Location_Map!$C$2:$C$15,MATCH(C581,Location_Map!$A$2:$A$15,0)),"UNMAPPED")</f>
        <v>West</v>
      </c>
      <c r="G581" s="0" t="str">
        <f aca="false">IFERROR(INDEX(Location_Map!$B$2:$B$15,MATCH(D581,Location_Map!$A$2:$A$15,0)),"UNMAPPED")</f>
        <v>Maharashtra</v>
      </c>
      <c r="H581" s="0" t="str">
        <f aca="false">IFERROR(INDEX(Location_Map!$C$2:$C$15,MATCH(D581,Location_Map!$A$2:$A$15,0)),"UNMAPPED")</f>
        <v>West</v>
      </c>
      <c r="I581" s="0" t="str">
        <f aca="false">Raw!E581</f>
        <v>Raw Yarn</v>
      </c>
      <c r="J581" s="28" t="n">
        <f aca="false">Raw!F581</f>
        <v>3.44</v>
      </c>
      <c r="K581" s="30" t="n">
        <f aca="false">DATE(LEFT(Raw!G581,4),MID(Raw!G581,6,2),MID(Raw!G581,9,2))</f>
        <v>45853</v>
      </c>
      <c r="L581" s="30" t="n">
        <f aca="false">DATE(LEFT(Raw!H581,4),MID(Raw!H581,6,2),MID(Raw!H581,9,2))</f>
        <v>45857</v>
      </c>
      <c r="M581" s="30" t="n">
        <f aca="false">DATE(LEFT(Raw!I581,4),MID(Raw!I581,6,2),MID(Raw!I581,9,2))</f>
        <v>45859</v>
      </c>
      <c r="N581" s="31" t="n">
        <f aca="false">DATE(LEFT(Raw!J581,4),MID(Raw!J581,6,2),MID(Raw!J581,9,2))+TIME(MID(Raw!J581,12,2),MID(Raw!J581,15,2),MID(Raw!J581,18,2))</f>
        <v>45857.2083333333</v>
      </c>
      <c r="O581" s="31" t="n">
        <f aca="false">DATE(LEFT(Raw!K581,4),MID(Raw!K581,6,2),MID(Raw!K581,9,2))+TIME(MID(Raw!K581,12,2),MID(Raw!K581,15,2),MID(Raw!K581,18,2))</f>
        <v>45858</v>
      </c>
      <c r="P581" s="32" t="n">
        <f aca="false">L581-K581</f>
        <v>4</v>
      </c>
      <c r="Q581" s="32" t="n">
        <f aca="false">M581-L581</f>
        <v>2</v>
      </c>
      <c r="R581" s="32" t="n">
        <f aca="false">O581-N581</f>
        <v>0.791666666666667</v>
      </c>
      <c r="S581" s="32" t="n">
        <f aca="false">Raw!L581</f>
        <v>-1</v>
      </c>
      <c r="T581" s="32" t="n">
        <f aca="false">O581-M581</f>
        <v>-1</v>
      </c>
      <c r="U581" s="0" t="str">
        <f aca="false">IF(ABS(T581-S581)&lt;0.01,"OK","MISMATCH")</f>
        <v>OK</v>
      </c>
      <c r="V581" s="33" t="n">
        <f aca="false">Raw!M581</f>
        <v>0</v>
      </c>
      <c r="W581" s="0" t="str">
        <f aca="false">IF((S581&gt;0)=(V581=1),"OK","MISMATCH")</f>
        <v>OK</v>
      </c>
      <c r="X581" s="0" t="str">
        <f aca="false">_xlfn.IFS(S581&lt;=0,"Early/On time",S581&lt;=2,"Minor (up to 2 days)",S581&lt;=5,"Moderate (2-5 days)",TRUE(),"Severe (over 5 days)")</f>
        <v>Early/On time</v>
      </c>
      <c r="Y581" s="0" t="str">
        <f aca="false">YEAR(K581)&amp;"-"&amp;TEXT(MONTH(K581),"00")</f>
        <v>2025-07</v>
      </c>
      <c r="Z581" s="0" t="str">
        <f aca="false">C581&amp;" → "&amp;D581</f>
        <v>Surat → Mumbai</v>
      </c>
      <c r="AA581" s="0" t="str">
        <f aca="false">Raw!Q581</f>
        <v>TCI Express</v>
      </c>
      <c r="AB581" s="0" t="str">
        <f aca="false">Raw!R581</f>
        <v>No</v>
      </c>
      <c r="AC581" s="0" t="str">
        <f aca="false">Raw!S581</f>
        <v>Damaged</v>
      </c>
      <c r="AD581" s="29" t="n">
        <f aca="false">Raw!N581</f>
        <v>1772.82</v>
      </c>
      <c r="AE581" s="29" t="n">
        <f aca="false">Raw!O581</f>
        <v>2449.17</v>
      </c>
      <c r="AF581" s="29" t="n">
        <f aca="false">Raw!P581</f>
        <v>1326.39</v>
      </c>
      <c r="AG581" s="29" t="n">
        <f aca="false">AD581/J581</f>
        <v>515.354651162791</v>
      </c>
    </row>
    <row r="582" customFormat="false" ht="15" hidden="false" customHeight="false" outlineLevel="0" collapsed="false">
      <c r="A582" s="0" t="str">
        <f aca="false">Raw!A582</f>
        <v>SHP0581</v>
      </c>
      <c r="B582" s="0" t="str">
        <f aca="false">Raw!B582</f>
        <v>Outbound</v>
      </c>
      <c r="C582" s="0" t="str">
        <f aca="false">Raw!C582</f>
        <v>Surat</v>
      </c>
      <c r="D582" s="0" t="str">
        <f aca="false">Raw!D582</f>
        <v>Karnataka</v>
      </c>
      <c r="E582" s="0" t="str">
        <f aca="false">IFERROR(INDEX(Location_Map!$B$2:$B$15,MATCH(C582,Location_Map!$A$2:$A$15,0)),"UNMAPPED")</f>
        <v>Gujarat</v>
      </c>
      <c r="F582" s="0" t="str">
        <f aca="false">IFERROR(INDEX(Location_Map!$C$2:$C$15,MATCH(C582,Location_Map!$A$2:$A$15,0)),"UNMAPPED")</f>
        <v>West</v>
      </c>
      <c r="G582" s="0" t="str">
        <f aca="false">IFERROR(INDEX(Location_Map!$B$2:$B$15,MATCH(D582,Location_Map!$A$2:$A$15,0)),"UNMAPPED")</f>
        <v>Karnataka</v>
      </c>
      <c r="H582" s="0" t="str">
        <f aca="false">IFERROR(INDEX(Location_Map!$C$2:$C$15,MATCH(D582,Location_Map!$A$2:$A$15,0)),"UNMAPPED")</f>
        <v>South</v>
      </c>
      <c r="I582" s="0" t="str">
        <f aca="false">Raw!E582</f>
        <v>Semi-Processed Yarn</v>
      </c>
      <c r="J582" s="28" t="n">
        <f aca="false">Raw!F582</f>
        <v>14.33</v>
      </c>
      <c r="K582" s="30" t="n">
        <f aca="false">DATE(LEFT(Raw!G582,4),MID(Raw!G582,6,2),MID(Raw!G582,9,2))</f>
        <v>45795</v>
      </c>
      <c r="L582" s="30" t="n">
        <f aca="false">DATE(LEFT(Raw!H582,4),MID(Raw!H582,6,2),MID(Raw!H582,9,2))</f>
        <v>45796</v>
      </c>
      <c r="M582" s="30" t="n">
        <f aca="false">DATE(LEFT(Raw!I582,4),MID(Raw!I582,6,2),MID(Raw!I582,9,2))</f>
        <v>45799</v>
      </c>
      <c r="N582" s="31" t="n">
        <f aca="false">DATE(LEFT(Raw!J582,4),MID(Raw!J582,6,2),MID(Raw!J582,9,2))+TIME(MID(Raw!J582,12,2),MID(Raw!J582,15,2),MID(Raw!J582,18,2))</f>
        <v>45796.375</v>
      </c>
      <c r="O582" s="31" t="n">
        <f aca="false">DATE(LEFT(Raw!K582,4),MID(Raw!K582,6,2),MID(Raw!K582,9,2))+TIME(MID(Raw!K582,12,2),MID(Raw!K582,15,2),MID(Raw!K582,18,2))</f>
        <v>45805.4</v>
      </c>
      <c r="P582" s="32" t="n">
        <f aca="false">L582-K582</f>
        <v>1</v>
      </c>
      <c r="Q582" s="32" t="n">
        <f aca="false">M582-L582</f>
        <v>3</v>
      </c>
      <c r="R582" s="32" t="n">
        <f aca="false">O582-N582</f>
        <v>9.025</v>
      </c>
      <c r="S582" s="32" t="n">
        <f aca="false">Raw!L582</f>
        <v>6.4</v>
      </c>
      <c r="T582" s="32" t="n">
        <f aca="false">O582-M582</f>
        <v>6.4</v>
      </c>
      <c r="U582" s="0" t="str">
        <f aca="false">IF(ABS(T582-S582)&lt;0.01,"OK","MISMATCH")</f>
        <v>OK</v>
      </c>
      <c r="V582" s="33" t="n">
        <f aca="false">Raw!M582</f>
        <v>1</v>
      </c>
      <c r="W582" s="0" t="str">
        <f aca="false">IF((S582&gt;0)=(V582=1),"OK","MISMATCH")</f>
        <v>OK</v>
      </c>
      <c r="X582" s="0" t="str">
        <f aca="false">_xlfn.IFS(S582&lt;=0,"Early/On time",S582&lt;=2,"Minor (up to 2 days)",S582&lt;=5,"Moderate (2-5 days)",TRUE(),"Severe (over 5 days)")</f>
        <v>Severe (over 5 days)</v>
      </c>
      <c r="Y582" s="0" t="str">
        <f aca="false">YEAR(K582)&amp;"-"&amp;TEXT(MONTH(K582),"00")</f>
        <v>2025-05</v>
      </c>
      <c r="Z582" s="0" t="str">
        <f aca="false">C582&amp;" → "&amp;D582</f>
        <v>Surat → Karnataka</v>
      </c>
      <c r="AA582" s="0" t="str">
        <f aca="false">Raw!Q582</f>
        <v>TCI Express</v>
      </c>
      <c r="AB582" s="0" t="str">
        <f aca="false">Raw!R582</f>
        <v>No</v>
      </c>
      <c r="AC582" s="0" t="str">
        <f aca="false">Raw!S582</f>
        <v>Returned</v>
      </c>
      <c r="AD582" s="29" t="n">
        <f aca="false">Raw!N582</f>
        <v>6742.27</v>
      </c>
      <c r="AE582" s="29" t="n">
        <f aca="false">Raw!O582</f>
        <v>3101.27</v>
      </c>
      <c r="AF582" s="29" t="n">
        <f aca="false">Raw!P582</f>
        <v>566.06</v>
      </c>
      <c r="AG582" s="29" t="n">
        <f aca="false">AD582/J582</f>
        <v>470.500348918353</v>
      </c>
    </row>
    <row r="583" customFormat="false" ht="15" hidden="false" customHeight="false" outlineLevel="0" collapsed="false">
      <c r="A583" s="0" t="str">
        <f aca="false">Raw!A583</f>
        <v>SHP0582</v>
      </c>
      <c r="B583" s="0" t="str">
        <f aca="false">Raw!B583</f>
        <v>Inbound</v>
      </c>
      <c r="C583" s="0" t="str">
        <f aca="false">Raw!C583</f>
        <v>Rajasthan</v>
      </c>
      <c r="D583" s="0" t="str">
        <f aca="false">Raw!D583</f>
        <v>Surat</v>
      </c>
      <c r="E583" s="0" t="str">
        <f aca="false">IFERROR(INDEX(Location_Map!$B$2:$B$15,MATCH(C583,Location_Map!$A$2:$A$15,0)),"UNMAPPED")</f>
        <v>Rajasthan</v>
      </c>
      <c r="F583" s="0" t="str">
        <f aca="false">IFERROR(INDEX(Location_Map!$C$2:$C$15,MATCH(C583,Location_Map!$A$2:$A$15,0)),"UNMAPPED")</f>
        <v>North</v>
      </c>
      <c r="G583" s="0" t="str">
        <f aca="false">IFERROR(INDEX(Location_Map!$B$2:$B$15,MATCH(D583,Location_Map!$A$2:$A$15,0)),"UNMAPPED")</f>
        <v>Gujarat</v>
      </c>
      <c r="H583" s="0" t="str">
        <f aca="false">IFERROR(INDEX(Location_Map!$C$2:$C$15,MATCH(D583,Location_Map!$A$2:$A$15,0)),"UNMAPPED")</f>
        <v>West</v>
      </c>
      <c r="I583" s="0" t="str">
        <f aca="false">Raw!E583</f>
        <v>Finished Yarn</v>
      </c>
      <c r="J583" s="28" t="n">
        <f aca="false">Raw!F583</f>
        <v>19.48</v>
      </c>
      <c r="K583" s="30" t="n">
        <f aca="false">DATE(LEFT(Raw!G583,4),MID(Raw!G583,6,2),MID(Raw!G583,9,2))</f>
        <v>45766</v>
      </c>
      <c r="L583" s="30" t="n">
        <f aca="false">DATE(LEFT(Raw!H583,4),MID(Raw!H583,6,2),MID(Raw!H583,9,2))</f>
        <v>45768</v>
      </c>
      <c r="M583" s="30" t="n">
        <f aca="false">DATE(LEFT(Raw!I583,4),MID(Raw!I583,6,2),MID(Raw!I583,9,2))</f>
        <v>45771</v>
      </c>
      <c r="N583" s="31" t="n">
        <f aca="false">DATE(LEFT(Raw!J583,4),MID(Raw!J583,6,2),MID(Raw!J583,9,2))+TIME(MID(Raw!J583,12,2),MID(Raw!J583,15,2),MID(Raw!J583,18,2))</f>
        <v>45768.2916666667</v>
      </c>
      <c r="O583" s="31" t="n">
        <f aca="false">DATE(LEFT(Raw!K583,4),MID(Raw!K583,6,2),MID(Raw!K583,9,2))+TIME(MID(Raw!K583,12,2),MID(Raw!K583,15,2),MID(Raw!K583,18,2))</f>
        <v>45772.4</v>
      </c>
      <c r="P583" s="32" t="n">
        <f aca="false">L583-K583</f>
        <v>2</v>
      </c>
      <c r="Q583" s="32" t="n">
        <f aca="false">M583-L583</f>
        <v>3</v>
      </c>
      <c r="R583" s="32" t="n">
        <f aca="false">O583-N583</f>
        <v>4.10833333333333</v>
      </c>
      <c r="S583" s="32" t="n">
        <f aca="false">Raw!L583</f>
        <v>1.4</v>
      </c>
      <c r="T583" s="32" t="n">
        <f aca="false">O583-M583</f>
        <v>1.4</v>
      </c>
      <c r="U583" s="0" t="str">
        <f aca="false">IF(ABS(T583-S583)&lt;0.01,"OK","MISMATCH")</f>
        <v>OK</v>
      </c>
      <c r="V583" s="33" t="n">
        <f aca="false">Raw!M583</f>
        <v>1</v>
      </c>
      <c r="W583" s="0" t="str">
        <f aca="false">IF((S583&gt;0)=(V583=1),"OK","MISMATCH")</f>
        <v>OK</v>
      </c>
      <c r="X583" s="0" t="str">
        <f aca="false">_xlfn.IFS(S583&lt;=0,"Early/On time",S583&lt;=2,"Minor (up to 2 days)",S583&lt;=5,"Moderate (2-5 days)",TRUE(),"Severe (over 5 days)")</f>
        <v>Minor (up to 2 days)</v>
      </c>
      <c r="Y583" s="0" t="str">
        <f aca="false">YEAR(K583)&amp;"-"&amp;TEXT(MONTH(K583),"00")</f>
        <v>2025-04</v>
      </c>
      <c r="Z583" s="0" t="str">
        <f aca="false">C583&amp;" → "&amp;D583</f>
        <v>Rajasthan → Surat</v>
      </c>
      <c r="AA583" s="0" t="str">
        <f aca="false">Raw!Q583</f>
        <v>VRL Cargo</v>
      </c>
      <c r="AB583" s="0" t="str">
        <f aca="false">Raw!R583</f>
        <v>Yes</v>
      </c>
      <c r="AC583" s="0" t="str">
        <f aca="false">Raw!S583</f>
        <v>Damaged</v>
      </c>
      <c r="AD583" s="29" t="n">
        <f aca="false">Raw!N583</f>
        <v>11963.46</v>
      </c>
      <c r="AE583" s="29" t="n">
        <f aca="false">Raw!O583</f>
        <v>2227.72</v>
      </c>
      <c r="AF583" s="29" t="n">
        <f aca="false">Raw!P583</f>
        <v>557.09</v>
      </c>
      <c r="AG583" s="29" t="n">
        <f aca="false">AD583/J583</f>
        <v>614.140657084189</v>
      </c>
    </row>
    <row r="584" customFormat="false" ht="15" hidden="false" customHeight="false" outlineLevel="0" collapsed="false">
      <c r="A584" s="0" t="str">
        <f aca="false">Raw!A584</f>
        <v>SHP0583</v>
      </c>
      <c r="B584" s="0" t="str">
        <f aca="false">Raw!B584</f>
        <v>Inbound</v>
      </c>
      <c r="C584" s="0" t="str">
        <f aca="false">Raw!C584</f>
        <v>Gujarat</v>
      </c>
      <c r="D584" s="0" t="str">
        <f aca="false">Raw!D584</f>
        <v>Surat</v>
      </c>
      <c r="E584" s="0" t="str">
        <f aca="false">IFERROR(INDEX(Location_Map!$B$2:$B$15,MATCH(C584,Location_Map!$A$2:$A$15,0)),"UNMAPPED")</f>
        <v>Gujarat</v>
      </c>
      <c r="F584" s="0" t="str">
        <f aca="false">IFERROR(INDEX(Location_Map!$C$2:$C$15,MATCH(C584,Location_Map!$A$2:$A$15,0)),"UNMAPPED")</f>
        <v>West</v>
      </c>
      <c r="G584" s="0" t="str">
        <f aca="false">IFERROR(INDEX(Location_Map!$B$2:$B$15,MATCH(D584,Location_Map!$A$2:$A$15,0)),"UNMAPPED")</f>
        <v>Gujarat</v>
      </c>
      <c r="H584" s="0" t="str">
        <f aca="false">IFERROR(INDEX(Location_Map!$C$2:$C$15,MATCH(D584,Location_Map!$A$2:$A$15,0)),"UNMAPPED")</f>
        <v>West</v>
      </c>
      <c r="I584" s="0" t="str">
        <f aca="false">Raw!E584</f>
        <v>Semi-Processed Yarn</v>
      </c>
      <c r="J584" s="28" t="n">
        <f aca="false">Raw!F584</f>
        <v>7.52</v>
      </c>
      <c r="K584" s="30" t="n">
        <f aca="false">DATE(LEFT(Raw!G584,4),MID(Raw!G584,6,2),MID(Raw!G584,9,2))</f>
        <v>45858</v>
      </c>
      <c r="L584" s="30" t="n">
        <f aca="false">DATE(LEFT(Raw!H584,4),MID(Raw!H584,6,2),MID(Raw!H584,9,2))</f>
        <v>45859</v>
      </c>
      <c r="M584" s="30" t="n">
        <f aca="false">DATE(LEFT(Raw!I584,4),MID(Raw!I584,6,2),MID(Raw!I584,9,2))</f>
        <v>45865</v>
      </c>
      <c r="N584" s="31" t="n">
        <f aca="false">DATE(LEFT(Raw!J584,4),MID(Raw!J584,6,2),MID(Raw!J584,9,2))+TIME(MID(Raw!J584,12,2),MID(Raw!J584,15,2),MID(Raw!J584,18,2))</f>
        <v>45859.2916666667</v>
      </c>
      <c r="O584" s="31" t="n">
        <f aca="false">DATE(LEFT(Raw!K584,4),MID(Raw!K584,6,2),MID(Raw!K584,9,2))+TIME(MID(Raw!K584,12,2),MID(Raw!K584,15,2),MID(Raw!K584,18,2))</f>
        <v>45868.3</v>
      </c>
      <c r="P584" s="32" t="n">
        <f aca="false">L584-K584</f>
        <v>1</v>
      </c>
      <c r="Q584" s="32" t="n">
        <f aca="false">M584-L584</f>
        <v>6</v>
      </c>
      <c r="R584" s="32" t="n">
        <f aca="false">O584-N584</f>
        <v>9.00833333333333</v>
      </c>
      <c r="S584" s="32" t="n">
        <f aca="false">Raw!L584</f>
        <v>3.3</v>
      </c>
      <c r="T584" s="32" t="n">
        <f aca="false">O584-M584</f>
        <v>3.3</v>
      </c>
      <c r="U584" s="0" t="str">
        <f aca="false">IF(ABS(T584-S584)&lt;0.01,"OK","MISMATCH")</f>
        <v>OK</v>
      </c>
      <c r="V584" s="33" t="n">
        <f aca="false">Raw!M584</f>
        <v>1</v>
      </c>
      <c r="W584" s="0" t="str">
        <f aca="false">IF((S584&gt;0)=(V584=1),"OK","MISMATCH")</f>
        <v>OK</v>
      </c>
      <c r="X584" s="0" t="str">
        <f aca="false">_xlfn.IFS(S584&lt;=0,"Early/On time",S584&lt;=2,"Minor (up to 2 days)",S584&lt;=5,"Moderate (2-5 days)",TRUE(),"Severe (over 5 days)")</f>
        <v>Moderate (2-5 days)</v>
      </c>
      <c r="Y584" s="0" t="str">
        <f aca="false">YEAR(K584)&amp;"-"&amp;TEXT(MONTH(K584),"00")</f>
        <v>2025-07</v>
      </c>
      <c r="Z584" s="0" t="str">
        <f aca="false">C584&amp;" → "&amp;D584</f>
        <v>Gujarat → Surat</v>
      </c>
      <c r="AA584" s="0" t="str">
        <f aca="false">Raw!Q584</f>
        <v>GATI Logistics</v>
      </c>
      <c r="AB584" s="0" t="str">
        <f aca="false">Raw!R584</f>
        <v>No</v>
      </c>
      <c r="AC584" s="0" t="str">
        <f aca="false">Raw!S584</f>
        <v>Held at warehouse</v>
      </c>
      <c r="AD584" s="29" t="n">
        <f aca="false">Raw!N584</f>
        <v>3944.39</v>
      </c>
      <c r="AE584" s="29" t="n">
        <f aca="false">Raw!O584</f>
        <v>1307.88</v>
      </c>
      <c r="AF584" s="29" t="n">
        <f aca="false">Raw!P584</f>
        <v>1170.77</v>
      </c>
      <c r="AG584" s="29" t="n">
        <f aca="false">AD584/J584</f>
        <v>524.519946808511</v>
      </c>
    </row>
    <row r="585" customFormat="false" ht="15" hidden="false" customHeight="false" outlineLevel="0" collapsed="false">
      <c r="A585" s="0" t="str">
        <f aca="false">Raw!A585</f>
        <v>SHP0584</v>
      </c>
      <c r="B585" s="0" t="str">
        <f aca="false">Raw!B585</f>
        <v>Outbound</v>
      </c>
      <c r="C585" s="0" t="str">
        <f aca="false">Raw!C585</f>
        <v>Surat</v>
      </c>
      <c r="D585" s="0" t="str">
        <f aca="false">Raw!D585</f>
        <v>Madhya Pradesh</v>
      </c>
      <c r="E585" s="0" t="str">
        <f aca="false">IFERROR(INDEX(Location_Map!$B$2:$B$15,MATCH(C585,Location_Map!$A$2:$A$15,0)),"UNMAPPED")</f>
        <v>Gujarat</v>
      </c>
      <c r="F585" s="0" t="str">
        <f aca="false">IFERROR(INDEX(Location_Map!$C$2:$C$15,MATCH(C585,Location_Map!$A$2:$A$15,0)),"UNMAPPED")</f>
        <v>West</v>
      </c>
      <c r="G585" s="0" t="str">
        <f aca="false">IFERROR(INDEX(Location_Map!$B$2:$B$15,MATCH(D585,Location_Map!$A$2:$A$15,0)),"UNMAPPED")</f>
        <v>Madhya Pradesh</v>
      </c>
      <c r="H585" s="0" t="str">
        <f aca="false">IFERROR(INDEX(Location_Map!$C$2:$C$15,MATCH(D585,Location_Map!$A$2:$A$15,0)),"UNMAPPED")</f>
        <v>Central</v>
      </c>
      <c r="I585" s="0" t="str">
        <f aca="false">Raw!E585</f>
        <v>Semi-Processed Yarn</v>
      </c>
      <c r="J585" s="28" t="n">
        <f aca="false">Raw!F585</f>
        <v>16.6</v>
      </c>
      <c r="K585" s="30" t="n">
        <f aca="false">DATE(LEFT(Raw!G585,4),MID(Raw!G585,6,2),MID(Raw!G585,9,2))</f>
        <v>45731</v>
      </c>
      <c r="L585" s="30" t="n">
        <f aca="false">DATE(LEFT(Raw!H585,4),MID(Raw!H585,6,2),MID(Raw!H585,9,2))</f>
        <v>45733</v>
      </c>
      <c r="M585" s="30" t="n">
        <f aca="false">DATE(LEFT(Raw!I585,4),MID(Raw!I585,6,2),MID(Raw!I585,9,2))</f>
        <v>45735</v>
      </c>
      <c r="N585" s="31" t="n">
        <f aca="false">DATE(LEFT(Raw!J585,4),MID(Raw!J585,6,2),MID(Raw!J585,9,2))+TIME(MID(Raw!J585,12,2),MID(Raw!J585,15,2),MID(Raw!J585,18,2))</f>
        <v>45733.2083333333</v>
      </c>
      <c r="O585" s="31" t="n">
        <f aca="false">DATE(LEFT(Raw!K585,4),MID(Raw!K585,6,2),MID(Raw!K585,9,2))+TIME(MID(Raw!K585,12,2),MID(Raw!K585,15,2),MID(Raw!K585,18,2))</f>
        <v>45734.8</v>
      </c>
      <c r="P585" s="32" t="n">
        <f aca="false">L585-K585</f>
        <v>2</v>
      </c>
      <c r="Q585" s="32" t="n">
        <f aca="false">M585-L585</f>
        <v>2</v>
      </c>
      <c r="R585" s="32" t="n">
        <f aca="false">O585-N585</f>
        <v>1.59166666666667</v>
      </c>
      <c r="S585" s="32" t="n">
        <f aca="false">Raw!L585</f>
        <v>-0.2</v>
      </c>
      <c r="T585" s="32" t="n">
        <f aca="false">O585-M585</f>
        <v>-0.2</v>
      </c>
      <c r="U585" s="0" t="str">
        <f aca="false">IF(ABS(T585-S585)&lt;0.01,"OK","MISMATCH")</f>
        <v>OK</v>
      </c>
      <c r="V585" s="33" t="n">
        <f aca="false">Raw!M585</f>
        <v>0</v>
      </c>
      <c r="W585" s="0" t="str">
        <f aca="false">IF((S585&gt;0)=(V585=1),"OK","MISMATCH")</f>
        <v>OK</v>
      </c>
      <c r="X585" s="0" t="str">
        <f aca="false">_xlfn.IFS(S585&lt;=0,"Early/On time",S585&lt;=2,"Minor (up to 2 days)",S585&lt;=5,"Moderate (2-5 days)",TRUE(),"Severe (over 5 days)")</f>
        <v>Early/On time</v>
      </c>
      <c r="Y585" s="0" t="str">
        <f aca="false">YEAR(K585)&amp;"-"&amp;TEXT(MONTH(K585),"00")</f>
        <v>2025-03</v>
      </c>
      <c r="Z585" s="0" t="str">
        <f aca="false">C585&amp;" → "&amp;D585</f>
        <v>Surat → Madhya Pradesh</v>
      </c>
      <c r="AA585" s="0" t="str">
        <f aca="false">Raw!Q585</f>
        <v>VRL Cargo</v>
      </c>
      <c r="AB585" s="0" t="str">
        <f aca="false">Raw!R585</f>
        <v>No</v>
      </c>
      <c r="AC585" s="0" t="str">
        <f aca="false">Raw!S585</f>
        <v>Expedited</v>
      </c>
      <c r="AD585" s="29" t="n">
        <f aca="false">Raw!N585</f>
        <v>6754.59</v>
      </c>
      <c r="AE585" s="29" t="n">
        <f aca="false">Raw!O585</f>
        <v>3686.64</v>
      </c>
      <c r="AF585" s="29" t="n">
        <f aca="false">Raw!P585</f>
        <v>833.9</v>
      </c>
      <c r="AG585" s="29" t="n">
        <f aca="false">AD585/J585</f>
        <v>406.903012048193</v>
      </c>
    </row>
    <row r="586" customFormat="false" ht="15" hidden="false" customHeight="false" outlineLevel="0" collapsed="false">
      <c r="A586" s="0" t="str">
        <f aca="false">Raw!A586</f>
        <v>SHP0585</v>
      </c>
      <c r="B586" s="0" t="str">
        <f aca="false">Raw!B586</f>
        <v>Outbound</v>
      </c>
      <c r="C586" s="0" t="str">
        <f aca="false">Raw!C586</f>
        <v>Surat</v>
      </c>
      <c r="D586" s="0" t="str">
        <f aca="false">Raw!D586</f>
        <v>Uttarakhand</v>
      </c>
      <c r="E586" s="0" t="str">
        <f aca="false">IFERROR(INDEX(Location_Map!$B$2:$B$15,MATCH(C586,Location_Map!$A$2:$A$15,0)),"UNMAPPED")</f>
        <v>Gujarat</v>
      </c>
      <c r="F586" s="0" t="str">
        <f aca="false">IFERROR(INDEX(Location_Map!$C$2:$C$15,MATCH(C586,Location_Map!$A$2:$A$15,0)),"UNMAPPED")</f>
        <v>West</v>
      </c>
      <c r="G586" s="0" t="str">
        <f aca="false">IFERROR(INDEX(Location_Map!$B$2:$B$15,MATCH(D586,Location_Map!$A$2:$A$15,0)),"UNMAPPED")</f>
        <v>Uttarakhand</v>
      </c>
      <c r="H586" s="0" t="str">
        <f aca="false">IFERROR(INDEX(Location_Map!$C$2:$C$15,MATCH(D586,Location_Map!$A$2:$A$15,0)),"UNMAPPED")</f>
        <v>North</v>
      </c>
      <c r="I586" s="0" t="str">
        <f aca="false">Raw!E586</f>
        <v>Raw Yarn</v>
      </c>
      <c r="J586" s="28" t="n">
        <f aca="false">Raw!F586</f>
        <v>5.83</v>
      </c>
      <c r="K586" s="30" t="n">
        <f aca="false">DATE(LEFT(Raw!G586,4),MID(Raw!G586,6,2),MID(Raw!G586,9,2))</f>
        <v>45847</v>
      </c>
      <c r="L586" s="30" t="n">
        <f aca="false">DATE(LEFT(Raw!H586,4),MID(Raw!H586,6,2),MID(Raw!H586,9,2))</f>
        <v>45848</v>
      </c>
      <c r="M586" s="30" t="n">
        <f aca="false">DATE(LEFT(Raw!I586,4),MID(Raw!I586,6,2),MID(Raw!I586,9,2))</f>
        <v>45853</v>
      </c>
      <c r="N586" s="31" t="n">
        <f aca="false">DATE(LEFT(Raw!J586,4),MID(Raw!J586,6,2),MID(Raw!J586,9,2))+TIME(MID(Raw!J586,12,2),MID(Raw!J586,15,2),MID(Raw!J586,18,2))</f>
        <v>45847.8333333333</v>
      </c>
      <c r="O586" s="31" t="n">
        <f aca="false">DATE(LEFT(Raw!K586,4),MID(Raw!K586,6,2),MID(Raw!K586,9,2))+TIME(MID(Raw!K586,12,2),MID(Raw!K586,15,2),MID(Raw!K586,18,2))</f>
        <v>45862.4</v>
      </c>
      <c r="P586" s="32" t="n">
        <f aca="false">L586-K586</f>
        <v>1</v>
      </c>
      <c r="Q586" s="32" t="n">
        <f aca="false">M586-L586</f>
        <v>5</v>
      </c>
      <c r="R586" s="32" t="n">
        <f aca="false">O586-N586</f>
        <v>14.5666666666667</v>
      </c>
      <c r="S586" s="32" t="n">
        <f aca="false">Raw!L586</f>
        <v>9.4</v>
      </c>
      <c r="T586" s="32" t="n">
        <f aca="false">O586-M586</f>
        <v>9.4</v>
      </c>
      <c r="U586" s="0" t="str">
        <f aca="false">IF(ABS(T586-S586)&lt;0.01,"OK","MISMATCH")</f>
        <v>OK</v>
      </c>
      <c r="V586" s="33" t="n">
        <f aca="false">Raw!M586</f>
        <v>1</v>
      </c>
      <c r="W586" s="0" t="str">
        <f aca="false">IF((S586&gt;0)=(V586=1),"OK","MISMATCH")</f>
        <v>OK</v>
      </c>
      <c r="X586" s="0" t="str">
        <f aca="false">_xlfn.IFS(S586&lt;=0,"Early/On time",S586&lt;=2,"Minor (up to 2 days)",S586&lt;=5,"Moderate (2-5 days)",TRUE(),"Severe (over 5 days)")</f>
        <v>Severe (over 5 days)</v>
      </c>
      <c r="Y586" s="0" t="str">
        <f aca="false">YEAR(K586)&amp;"-"&amp;TEXT(MONTH(K586),"00")</f>
        <v>2025-07</v>
      </c>
      <c r="Z586" s="0" t="str">
        <f aca="false">C586&amp;" → "&amp;D586</f>
        <v>Surat → Uttarakhand</v>
      </c>
      <c r="AA586" s="0" t="str">
        <f aca="false">Raw!Q586</f>
        <v>BlueDart</v>
      </c>
      <c r="AB586" s="0" t="str">
        <f aca="false">Raw!R586</f>
        <v>No</v>
      </c>
      <c r="AC586" s="0" t="str">
        <f aca="false">Raw!S586</f>
        <v>Normal</v>
      </c>
      <c r="AD586" s="29" t="n">
        <f aca="false">Raw!N586</f>
        <v>3269.53</v>
      </c>
      <c r="AE586" s="29" t="n">
        <f aca="false">Raw!O586</f>
        <v>1365.41</v>
      </c>
      <c r="AF586" s="29" t="n">
        <f aca="false">Raw!P586</f>
        <v>1256.65</v>
      </c>
      <c r="AG586" s="29" t="n">
        <f aca="false">AD586/J586</f>
        <v>560.811320754717</v>
      </c>
    </row>
    <row r="587" customFormat="false" ht="15" hidden="false" customHeight="false" outlineLevel="0" collapsed="false">
      <c r="A587" s="0" t="str">
        <f aca="false">Raw!A587</f>
        <v>SHP0586</v>
      </c>
      <c r="B587" s="0" t="str">
        <f aca="false">Raw!B587</f>
        <v>Inbound</v>
      </c>
      <c r="C587" s="0" t="str">
        <f aca="false">Raw!C587</f>
        <v>Chennai</v>
      </c>
      <c r="D587" s="0" t="str">
        <f aca="false">Raw!D587</f>
        <v>Surat</v>
      </c>
      <c r="E587" s="0" t="str">
        <f aca="false">IFERROR(INDEX(Location_Map!$B$2:$B$15,MATCH(C587,Location_Map!$A$2:$A$15,0)),"UNMAPPED")</f>
        <v>Tamil Nadu</v>
      </c>
      <c r="F587" s="0" t="str">
        <f aca="false">IFERROR(INDEX(Location_Map!$C$2:$C$15,MATCH(C587,Location_Map!$A$2:$A$15,0)),"UNMAPPED")</f>
        <v>South</v>
      </c>
      <c r="G587" s="0" t="str">
        <f aca="false">IFERROR(INDEX(Location_Map!$B$2:$B$15,MATCH(D587,Location_Map!$A$2:$A$15,0)),"UNMAPPED")</f>
        <v>Gujarat</v>
      </c>
      <c r="H587" s="0" t="str">
        <f aca="false">IFERROR(INDEX(Location_Map!$C$2:$C$15,MATCH(D587,Location_Map!$A$2:$A$15,0)),"UNMAPPED")</f>
        <v>West</v>
      </c>
      <c r="I587" s="0" t="str">
        <f aca="false">Raw!E587</f>
        <v>Finished Yarn</v>
      </c>
      <c r="J587" s="28" t="n">
        <f aca="false">Raw!F587</f>
        <v>12.07</v>
      </c>
      <c r="K587" s="30" t="n">
        <f aca="false">DATE(LEFT(Raw!G587,4),MID(Raw!G587,6,2),MID(Raw!G587,9,2))</f>
        <v>45713</v>
      </c>
      <c r="L587" s="30" t="n">
        <f aca="false">DATE(LEFT(Raw!H587,4),MID(Raw!H587,6,2),MID(Raw!H587,9,2))</f>
        <v>45714</v>
      </c>
      <c r="M587" s="30" t="n">
        <f aca="false">DATE(LEFT(Raw!I587,4),MID(Raw!I587,6,2),MID(Raw!I587,9,2))</f>
        <v>45720</v>
      </c>
      <c r="N587" s="31" t="n">
        <f aca="false">DATE(LEFT(Raw!J587,4),MID(Raw!J587,6,2),MID(Raw!J587,9,2))+TIME(MID(Raw!J587,12,2),MID(Raw!J587,15,2),MID(Raw!J587,18,2))</f>
        <v>45714</v>
      </c>
      <c r="O587" s="31" t="n">
        <f aca="false">DATE(LEFT(Raw!K587,4),MID(Raw!K587,6,2),MID(Raw!K587,9,2))+TIME(MID(Raw!K587,12,2),MID(Raw!K587,15,2),MID(Raw!K587,18,2))</f>
        <v>45723</v>
      </c>
      <c r="P587" s="32" t="n">
        <f aca="false">L587-K587</f>
        <v>1</v>
      </c>
      <c r="Q587" s="32" t="n">
        <f aca="false">M587-L587</f>
        <v>6</v>
      </c>
      <c r="R587" s="32" t="n">
        <f aca="false">O587-N587</f>
        <v>9</v>
      </c>
      <c r="S587" s="32" t="n">
        <f aca="false">Raw!L587</f>
        <v>3</v>
      </c>
      <c r="T587" s="32" t="n">
        <f aca="false">O587-M587</f>
        <v>3</v>
      </c>
      <c r="U587" s="0" t="str">
        <f aca="false">IF(ABS(T587-S587)&lt;0.01,"OK","MISMATCH")</f>
        <v>OK</v>
      </c>
      <c r="V587" s="33" t="n">
        <f aca="false">Raw!M587</f>
        <v>1</v>
      </c>
      <c r="W587" s="0" t="str">
        <f aca="false">IF((S587&gt;0)=(V587=1),"OK","MISMATCH")</f>
        <v>OK</v>
      </c>
      <c r="X587" s="0" t="str">
        <f aca="false">_xlfn.IFS(S587&lt;=0,"Early/On time",S587&lt;=2,"Minor (up to 2 days)",S587&lt;=5,"Moderate (2-5 days)",TRUE(),"Severe (over 5 days)")</f>
        <v>Moderate (2-5 days)</v>
      </c>
      <c r="Y587" s="0" t="str">
        <f aca="false">YEAR(K587)&amp;"-"&amp;TEXT(MONTH(K587),"00")</f>
        <v>2025-02</v>
      </c>
      <c r="Z587" s="0" t="str">
        <f aca="false">C587&amp;" → "&amp;D587</f>
        <v>Chennai → Surat</v>
      </c>
      <c r="AA587" s="0" t="str">
        <f aca="false">Raw!Q587</f>
        <v>TCI Express</v>
      </c>
      <c r="AB587" s="0" t="str">
        <f aca="false">Raw!R587</f>
        <v>Yes</v>
      </c>
      <c r="AC587" s="0" t="str">
        <f aca="false">Raw!S587</f>
        <v>Normal</v>
      </c>
      <c r="AD587" s="29" t="n">
        <f aca="false">Raw!N587</f>
        <v>7377.31</v>
      </c>
      <c r="AE587" s="29" t="n">
        <f aca="false">Raw!O587</f>
        <v>1499.48</v>
      </c>
      <c r="AF587" s="29" t="n">
        <f aca="false">Raw!P587</f>
        <v>1025.45</v>
      </c>
      <c r="AG587" s="29" t="n">
        <f aca="false">AD587/J587</f>
        <v>611.21043910522</v>
      </c>
    </row>
    <row r="588" customFormat="false" ht="15" hidden="false" customHeight="false" outlineLevel="0" collapsed="false">
      <c r="A588" s="0" t="str">
        <f aca="false">Raw!A588</f>
        <v>SHP0587</v>
      </c>
      <c r="B588" s="0" t="str">
        <f aca="false">Raw!B588</f>
        <v>Inbound</v>
      </c>
      <c r="C588" s="0" t="str">
        <f aca="false">Raw!C588</f>
        <v>Chennai</v>
      </c>
      <c r="D588" s="0" t="str">
        <f aca="false">Raw!D588</f>
        <v>Surat</v>
      </c>
      <c r="E588" s="0" t="str">
        <f aca="false">IFERROR(INDEX(Location_Map!$B$2:$B$15,MATCH(C588,Location_Map!$A$2:$A$15,0)),"UNMAPPED")</f>
        <v>Tamil Nadu</v>
      </c>
      <c r="F588" s="0" t="str">
        <f aca="false">IFERROR(INDEX(Location_Map!$C$2:$C$15,MATCH(C588,Location_Map!$A$2:$A$15,0)),"UNMAPPED")</f>
        <v>South</v>
      </c>
      <c r="G588" s="0" t="str">
        <f aca="false">IFERROR(INDEX(Location_Map!$B$2:$B$15,MATCH(D588,Location_Map!$A$2:$A$15,0)),"UNMAPPED")</f>
        <v>Gujarat</v>
      </c>
      <c r="H588" s="0" t="str">
        <f aca="false">IFERROR(INDEX(Location_Map!$C$2:$C$15,MATCH(D588,Location_Map!$A$2:$A$15,0)),"UNMAPPED")</f>
        <v>West</v>
      </c>
      <c r="I588" s="0" t="str">
        <f aca="false">Raw!E588</f>
        <v>Raw Yarn</v>
      </c>
      <c r="J588" s="28" t="n">
        <f aca="false">Raw!F588</f>
        <v>3.08</v>
      </c>
      <c r="K588" s="30" t="n">
        <f aca="false">DATE(LEFT(Raw!G588,4),MID(Raw!G588,6,2),MID(Raw!G588,9,2))</f>
        <v>45718</v>
      </c>
      <c r="L588" s="30" t="n">
        <f aca="false">DATE(LEFT(Raw!H588,4),MID(Raw!H588,6,2),MID(Raw!H588,9,2))</f>
        <v>45722</v>
      </c>
      <c r="M588" s="30" t="n">
        <f aca="false">DATE(LEFT(Raw!I588,4),MID(Raw!I588,6,2),MID(Raw!I588,9,2))</f>
        <v>45724</v>
      </c>
      <c r="N588" s="31" t="n">
        <f aca="false">DATE(LEFT(Raw!J588,4),MID(Raw!J588,6,2),MID(Raw!J588,9,2))+TIME(MID(Raw!J588,12,2),MID(Raw!J588,15,2),MID(Raw!J588,18,2))</f>
        <v>45722.0833333333</v>
      </c>
      <c r="O588" s="31" t="n">
        <f aca="false">DATE(LEFT(Raw!K588,4),MID(Raw!K588,6,2),MID(Raw!K588,9,2))+TIME(MID(Raw!K588,12,2),MID(Raw!K588,15,2),MID(Raw!K588,18,2))</f>
        <v>45729.3</v>
      </c>
      <c r="P588" s="32" t="n">
        <f aca="false">L588-K588</f>
        <v>4</v>
      </c>
      <c r="Q588" s="32" t="n">
        <f aca="false">M588-L588</f>
        <v>2</v>
      </c>
      <c r="R588" s="32" t="n">
        <f aca="false">O588-N588</f>
        <v>7.21666666666667</v>
      </c>
      <c r="S588" s="32" t="n">
        <f aca="false">Raw!L588</f>
        <v>5.3</v>
      </c>
      <c r="T588" s="32" t="n">
        <f aca="false">O588-M588</f>
        <v>5.3</v>
      </c>
      <c r="U588" s="0" t="str">
        <f aca="false">IF(ABS(T588-S588)&lt;0.01,"OK","MISMATCH")</f>
        <v>OK</v>
      </c>
      <c r="V588" s="33" t="n">
        <f aca="false">Raw!M588</f>
        <v>1</v>
      </c>
      <c r="W588" s="0" t="str">
        <f aca="false">IF((S588&gt;0)=(V588=1),"OK","MISMATCH")</f>
        <v>OK</v>
      </c>
      <c r="X588" s="0" t="str">
        <f aca="false">_xlfn.IFS(S588&lt;=0,"Early/On time",S588&lt;=2,"Minor (up to 2 days)",S588&lt;=5,"Moderate (2-5 days)",TRUE(),"Severe (over 5 days)")</f>
        <v>Severe (over 5 days)</v>
      </c>
      <c r="Y588" s="0" t="str">
        <f aca="false">YEAR(K588)&amp;"-"&amp;TEXT(MONTH(K588),"00")</f>
        <v>2025-03</v>
      </c>
      <c r="Z588" s="0" t="str">
        <f aca="false">C588&amp;" → "&amp;D588</f>
        <v>Chennai → Surat</v>
      </c>
      <c r="AA588" s="0" t="str">
        <f aca="false">Raw!Q588</f>
        <v>TCI Express</v>
      </c>
      <c r="AB588" s="0" t="str">
        <f aca="false">Raw!R588</f>
        <v>No</v>
      </c>
      <c r="AC588" s="0" t="str">
        <f aca="false">Raw!S588</f>
        <v>Held at warehouse</v>
      </c>
      <c r="AD588" s="29" t="n">
        <f aca="false">Raw!N588</f>
        <v>2781.38</v>
      </c>
      <c r="AE588" s="29" t="n">
        <f aca="false">Raw!O588</f>
        <v>2041.61</v>
      </c>
      <c r="AF588" s="29" t="n">
        <f aca="false">Raw!P588</f>
        <v>1338.4</v>
      </c>
      <c r="AG588" s="29" t="n">
        <f aca="false">AD588/J588</f>
        <v>903.045454545455</v>
      </c>
    </row>
    <row r="589" customFormat="false" ht="15" hidden="false" customHeight="false" outlineLevel="0" collapsed="false">
      <c r="A589" s="0" t="str">
        <f aca="false">Raw!A589</f>
        <v>SHP0588</v>
      </c>
      <c r="B589" s="0" t="str">
        <f aca="false">Raw!B589</f>
        <v>Inbound</v>
      </c>
      <c r="C589" s="0" t="str">
        <f aca="false">Raw!C589</f>
        <v>Gujarat</v>
      </c>
      <c r="D589" s="0" t="str">
        <f aca="false">Raw!D589</f>
        <v>Surat</v>
      </c>
      <c r="E589" s="0" t="str">
        <f aca="false">IFERROR(INDEX(Location_Map!$B$2:$B$15,MATCH(C589,Location_Map!$A$2:$A$15,0)),"UNMAPPED")</f>
        <v>Gujarat</v>
      </c>
      <c r="F589" s="0" t="str">
        <f aca="false">IFERROR(INDEX(Location_Map!$C$2:$C$15,MATCH(C589,Location_Map!$A$2:$A$15,0)),"UNMAPPED")</f>
        <v>West</v>
      </c>
      <c r="G589" s="0" t="str">
        <f aca="false">IFERROR(INDEX(Location_Map!$B$2:$B$15,MATCH(D589,Location_Map!$A$2:$A$15,0)),"UNMAPPED")</f>
        <v>Gujarat</v>
      </c>
      <c r="H589" s="0" t="str">
        <f aca="false">IFERROR(INDEX(Location_Map!$C$2:$C$15,MATCH(D589,Location_Map!$A$2:$A$15,0)),"UNMAPPED")</f>
        <v>West</v>
      </c>
      <c r="I589" s="0" t="str">
        <f aca="false">Raw!E589</f>
        <v>Raw Yarn</v>
      </c>
      <c r="J589" s="28" t="n">
        <f aca="false">Raw!F589</f>
        <v>14.6</v>
      </c>
      <c r="K589" s="30" t="n">
        <f aca="false">DATE(LEFT(Raw!G589,4),MID(Raw!G589,6,2),MID(Raw!G589,9,2))</f>
        <v>45864</v>
      </c>
      <c r="L589" s="30" t="n">
        <f aca="false">DATE(LEFT(Raw!H589,4),MID(Raw!H589,6,2),MID(Raw!H589,9,2))</f>
        <v>45868</v>
      </c>
      <c r="M589" s="30" t="n">
        <f aca="false">DATE(LEFT(Raw!I589,4),MID(Raw!I589,6,2),MID(Raw!I589,9,2))</f>
        <v>45871</v>
      </c>
      <c r="N589" s="31" t="n">
        <f aca="false">DATE(LEFT(Raw!J589,4),MID(Raw!J589,6,2),MID(Raw!J589,9,2))+TIME(MID(Raw!J589,12,2),MID(Raw!J589,15,2),MID(Raw!J589,18,2))</f>
        <v>45867.9166666667</v>
      </c>
      <c r="O589" s="31" t="n">
        <f aca="false">DATE(LEFT(Raw!K589,4),MID(Raw!K589,6,2),MID(Raw!K589,9,2))+TIME(MID(Raw!K589,12,2),MID(Raw!K589,15,2),MID(Raw!K589,18,2))</f>
        <v>45870</v>
      </c>
      <c r="P589" s="32" t="n">
        <f aca="false">L589-K589</f>
        <v>4</v>
      </c>
      <c r="Q589" s="32" t="n">
        <f aca="false">M589-L589</f>
        <v>3</v>
      </c>
      <c r="R589" s="32" t="n">
        <f aca="false">O589-N589</f>
        <v>2.08333333333333</v>
      </c>
      <c r="S589" s="32" t="n">
        <f aca="false">Raw!L589</f>
        <v>-1</v>
      </c>
      <c r="T589" s="32" t="n">
        <f aca="false">O589-M589</f>
        <v>-1</v>
      </c>
      <c r="U589" s="0" t="str">
        <f aca="false">IF(ABS(T589-S589)&lt;0.01,"OK","MISMATCH")</f>
        <v>OK</v>
      </c>
      <c r="V589" s="33" t="n">
        <f aca="false">Raw!M589</f>
        <v>0</v>
      </c>
      <c r="W589" s="0" t="str">
        <f aca="false">IF((S589&gt;0)=(V589=1),"OK","MISMATCH")</f>
        <v>OK</v>
      </c>
      <c r="X589" s="0" t="str">
        <f aca="false">_xlfn.IFS(S589&lt;=0,"Early/On time",S589&lt;=2,"Minor (up to 2 days)",S589&lt;=5,"Moderate (2-5 days)",TRUE(),"Severe (over 5 days)")</f>
        <v>Early/On time</v>
      </c>
      <c r="Y589" s="0" t="str">
        <f aca="false">YEAR(K589)&amp;"-"&amp;TEXT(MONTH(K589),"00")</f>
        <v>2025-07</v>
      </c>
      <c r="Z589" s="0" t="str">
        <f aca="false">C589&amp;" → "&amp;D589</f>
        <v>Gujarat → Surat</v>
      </c>
      <c r="AA589" s="0" t="str">
        <f aca="false">Raw!Q589</f>
        <v>TCI Express</v>
      </c>
      <c r="AB589" s="0" t="str">
        <f aca="false">Raw!R589</f>
        <v>No</v>
      </c>
      <c r="AC589" s="0" t="str">
        <f aca="false">Raw!S589</f>
        <v>Expedited</v>
      </c>
      <c r="AD589" s="29" t="n">
        <f aca="false">Raw!N589</f>
        <v>6638.14</v>
      </c>
      <c r="AE589" s="29" t="n">
        <f aca="false">Raw!O589</f>
        <v>2223.25</v>
      </c>
      <c r="AF589" s="29" t="n">
        <f aca="false">Raw!P589</f>
        <v>1259.24</v>
      </c>
      <c r="AG589" s="29" t="n">
        <f aca="false">AD589/J589</f>
        <v>454.667123287671</v>
      </c>
    </row>
    <row r="590" customFormat="false" ht="15" hidden="false" customHeight="false" outlineLevel="0" collapsed="false">
      <c r="A590" s="0" t="str">
        <f aca="false">Raw!A590</f>
        <v>SHP0589</v>
      </c>
      <c r="B590" s="0" t="str">
        <f aca="false">Raw!B590</f>
        <v>Inbound</v>
      </c>
      <c r="C590" s="0" t="str">
        <f aca="false">Raw!C590</f>
        <v>Gujarat</v>
      </c>
      <c r="D590" s="0" t="str">
        <f aca="false">Raw!D590</f>
        <v>Surat</v>
      </c>
      <c r="E590" s="0" t="str">
        <f aca="false">IFERROR(INDEX(Location_Map!$B$2:$B$15,MATCH(C590,Location_Map!$A$2:$A$15,0)),"UNMAPPED")</f>
        <v>Gujarat</v>
      </c>
      <c r="F590" s="0" t="str">
        <f aca="false">IFERROR(INDEX(Location_Map!$C$2:$C$15,MATCH(C590,Location_Map!$A$2:$A$15,0)),"UNMAPPED")</f>
        <v>West</v>
      </c>
      <c r="G590" s="0" t="str">
        <f aca="false">IFERROR(INDEX(Location_Map!$B$2:$B$15,MATCH(D590,Location_Map!$A$2:$A$15,0)),"UNMAPPED")</f>
        <v>Gujarat</v>
      </c>
      <c r="H590" s="0" t="str">
        <f aca="false">IFERROR(INDEX(Location_Map!$C$2:$C$15,MATCH(D590,Location_Map!$A$2:$A$15,0)),"UNMAPPED")</f>
        <v>West</v>
      </c>
      <c r="I590" s="0" t="str">
        <f aca="false">Raw!E590</f>
        <v>Semi-Processed Yarn</v>
      </c>
      <c r="J590" s="28" t="n">
        <f aca="false">Raw!F590</f>
        <v>12.78</v>
      </c>
      <c r="K590" s="30" t="n">
        <f aca="false">DATE(LEFT(Raw!G590,4),MID(Raw!G590,6,2),MID(Raw!G590,9,2))</f>
        <v>45681</v>
      </c>
      <c r="L590" s="30" t="n">
        <f aca="false">DATE(LEFT(Raw!H590,4),MID(Raw!H590,6,2),MID(Raw!H590,9,2))</f>
        <v>45684</v>
      </c>
      <c r="M590" s="30" t="n">
        <f aca="false">DATE(LEFT(Raw!I590,4),MID(Raw!I590,6,2),MID(Raw!I590,9,2))</f>
        <v>45686</v>
      </c>
      <c r="N590" s="31" t="n">
        <f aca="false">DATE(LEFT(Raw!J590,4),MID(Raw!J590,6,2),MID(Raw!J590,9,2))+TIME(MID(Raw!J590,12,2),MID(Raw!J590,15,2),MID(Raw!J590,18,2))</f>
        <v>45683.8333333333</v>
      </c>
      <c r="O590" s="31" t="n">
        <f aca="false">DATE(LEFT(Raw!K590,4),MID(Raw!K590,6,2),MID(Raw!K590,9,2))+TIME(MID(Raw!K590,12,2),MID(Raw!K590,15,2),MID(Raw!K590,18,2))</f>
        <v>45693.6</v>
      </c>
      <c r="P590" s="32" t="n">
        <f aca="false">L590-K590</f>
        <v>3</v>
      </c>
      <c r="Q590" s="32" t="n">
        <f aca="false">M590-L590</f>
        <v>2</v>
      </c>
      <c r="R590" s="32" t="n">
        <f aca="false">O590-N590</f>
        <v>9.76666666666667</v>
      </c>
      <c r="S590" s="32" t="n">
        <f aca="false">Raw!L590</f>
        <v>7.6</v>
      </c>
      <c r="T590" s="32" t="n">
        <f aca="false">O590-M590</f>
        <v>7.6</v>
      </c>
      <c r="U590" s="0" t="str">
        <f aca="false">IF(ABS(T590-S590)&lt;0.01,"OK","MISMATCH")</f>
        <v>OK</v>
      </c>
      <c r="V590" s="33" t="n">
        <f aca="false">Raw!M590</f>
        <v>1</v>
      </c>
      <c r="W590" s="0" t="str">
        <f aca="false">IF((S590&gt;0)=(V590=1),"OK","MISMATCH")</f>
        <v>OK</v>
      </c>
      <c r="X590" s="0" t="str">
        <f aca="false">_xlfn.IFS(S590&lt;=0,"Early/On time",S590&lt;=2,"Minor (up to 2 days)",S590&lt;=5,"Moderate (2-5 days)",TRUE(),"Severe (over 5 days)")</f>
        <v>Severe (over 5 days)</v>
      </c>
      <c r="Y590" s="0" t="str">
        <f aca="false">YEAR(K590)&amp;"-"&amp;TEXT(MONTH(K590),"00")</f>
        <v>2025-01</v>
      </c>
      <c r="Z590" s="0" t="str">
        <f aca="false">C590&amp;" → "&amp;D590</f>
        <v>Gujarat → Surat</v>
      </c>
      <c r="AA590" s="0" t="str">
        <f aca="false">Raw!Q590</f>
        <v>GATI Logistics</v>
      </c>
      <c r="AB590" s="0" t="str">
        <f aca="false">Raw!R590</f>
        <v>No</v>
      </c>
      <c r="AC590" s="0" t="str">
        <f aca="false">Raw!S590</f>
        <v>Returned</v>
      </c>
      <c r="AD590" s="29" t="n">
        <f aca="false">Raw!N590</f>
        <v>4831.24</v>
      </c>
      <c r="AE590" s="29" t="n">
        <f aca="false">Raw!O590</f>
        <v>4236.78</v>
      </c>
      <c r="AF590" s="29" t="n">
        <f aca="false">Raw!P590</f>
        <v>1172.83</v>
      </c>
      <c r="AG590" s="29" t="n">
        <f aca="false">AD590/J590</f>
        <v>378.031298904538</v>
      </c>
    </row>
    <row r="591" customFormat="false" ht="15" hidden="false" customHeight="false" outlineLevel="0" collapsed="false">
      <c r="A591" s="0" t="str">
        <f aca="false">Raw!A591</f>
        <v>SHP0590</v>
      </c>
      <c r="B591" s="0" t="str">
        <f aca="false">Raw!B591</f>
        <v>Inbound</v>
      </c>
      <c r="C591" s="0" t="str">
        <f aca="false">Raw!C591</f>
        <v>Gujarat</v>
      </c>
      <c r="D591" s="0" t="str">
        <f aca="false">Raw!D591</f>
        <v>Surat</v>
      </c>
      <c r="E591" s="0" t="str">
        <f aca="false">IFERROR(INDEX(Location_Map!$B$2:$B$15,MATCH(C591,Location_Map!$A$2:$A$15,0)),"UNMAPPED")</f>
        <v>Gujarat</v>
      </c>
      <c r="F591" s="0" t="str">
        <f aca="false">IFERROR(INDEX(Location_Map!$C$2:$C$15,MATCH(C591,Location_Map!$A$2:$A$15,0)),"UNMAPPED")</f>
        <v>West</v>
      </c>
      <c r="G591" s="0" t="str">
        <f aca="false">IFERROR(INDEX(Location_Map!$B$2:$B$15,MATCH(D591,Location_Map!$A$2:$A$15,0)),"UNMAPPED")</f>
        <v>Gujarat</v>
      </c>
      <c r="H591" s="0" t="str">
        <f aca="false">IFERROR(INDEX(Location_Map!$C$2:$C$15,MATCH(D591,Location_Map!$A$2:$A$15,0)),"UNMAPPED")</f>
        <v>West</v>
      </c>
      <c r="I591" s="0" t="str">
        <f aca="false">Raw!E591</f>
        <v>Raw Yarn</v>
      </c>
      <c r="J591" s="28" t="n">
        <f aca="false">Raw!F591</f>
        <v>10.45</v>
      </c>
      <c r="K591" s="30" t="n">
        <f aca="false">DATE(LEFT(Raw!G591,4),MID(Raw!G591,6,2),MID(Raw!G591,9,2))</f>
        <v>45943</v>
      </c>
      <c r="L591" s="30" t="n">
        <f aca="false">DATE(LEFT(Raw!H591,4),MID(Raw!H591,6,2),MID(Raw!H591,9,2))</f>
        <v>45945</v>
      </c>
      <c r="M591" s="30" t="n">
        <f aca="false">DATE(LEFT(Raw!I591,4),MID(Raw!I591,6,2),MID(Raw!I591,9,2))</f>
        <v>45947</v>
      </c>
      <c r="N591" s="31" t="n">
        <f aca="false">DATE(LEFT(Raw!J591,4),MID(Raw!J591,6,2),MID(Raw!J591,9,2))+TIME(MID(Raw!J591,12,2),MID(Raw!J591,15,2),MID(Raw!J591,18,2))</f>
        <v>45944.7916666667</v>
      </c>
      <c r="O591" s="31" t="n">
        <f aca="false">DATE(LEFT(Raw!K591,4),MID(Raw!K591,6,2),MID(Raw!K591,9,2))+TIME(MID(Raw!K591,12,2),MID(Raw!K591,15,2),MID(Raw!K591,18,2))</f>
        <v>45952.7</v>
      </c>
      <c r="P591" s="32" t="n">
        <f aca="false">L591-K591</f>
        <v>2</v>
      </c>
      <c r="Q591" s="32" t="n">
        <f aca="false">M591-L591</f>
        <v>2</v>
      </c>
      <c r="R591" s="32" t="n">
        <f aca="false">O591-N591</f>
        <v>7.90833333333333</v>
      </c>
      <c r="S591" s="32" t="n">
        <f aca="false">Raw!L591</f>
        <v>5.7</v>
      </c>
      <c r="T591" s="32" t="n">
        <f aca="false">O591-M591</f>
        <v>5.7</v>
      </c>
      <c r="U591" s="0" t="str">
        <f aca="false">IF(ABS(T591-S591)&lt;0.01,"OK","MISMATCH")</f>
        <v>OK</v>
      </c>
      <c r="V591" s="33" t="n">
        <f aca="false">Raw!M591</f>
        <v>1</v>
      </c>
      <c r="W591" s="0" t="str">
        <f aca="false">IF((S591&gt;0)=(V591=1),"OK","MISMATCH")</f>
        <v>OK</v>
      </c>
      <c r="X591" s="0" t="str">
        <f aca="false">_xlfn.IFS(S591&lt;=0,"Early/On time",S591&lt;=2,"Minor (up to 2 days)",S591&lt;=5,"Moderate (2-5 days)",TRUE(),"Severe (over 5 days)")</f>
        <v>Severe (over 5 days)</v>
      </c>
      <c r="Y591" s="0" t="str">
        <f aca="false">YEAR(K591)&amp;"-"&amp;TEXT(MONTH(K591),"00")</f>
        <v>2025-10</v>
      </c>
      <c r="Z591" s="0" t="str">
        <f aca="false">C591&amp;" → "&amp;D591</f>
        <v>Gujarat → Surat</v>
      </c>
      <c r="AA591" s="0" t="str">
        <f aca="false">Raw!Q591</f>
        <v>VRL Cargo</v>
      </c>
      <c r="AB591" s="0" t="str">
        <f aca="false">Raw!R591</f>
        <v>Yes</v>
      </c>
      <c r="AC591" s="0" t="str">
        <f aca="false">Raw!S591</f>
        <v>Held at warehouse</v>
      </c>
      <c r="AD591" s="29" t="n">
        <f aca="false">Raw!N591</f>
        <v>3658.13</v>
      </c>
      <c r="AE591" s="29" t="n">
        <f aca="false">Raw!O591</f>
        <v>4815.75</v>
      </c>
      <c r="AF591" s="29" t="n">
        <f aca="false">Raw!P591</f>
        <v>709.92</v>
      </c>
      <c r="AG591" s="29" t="n">
        <f aca="false">AD591/J591</f>
        <v>350.06028708134</v>
      </c>
    </row>
    <row r="592" customFormat="false" ht="15" hidden="false" customHeight="false" outlineLevel="0" collapsed="false">
      <c r="A592" s="0" t="str">
        <f aca="false">Raw!A592</f>
        <v>SHP0591</v>
      </c>
      <c r="B592" s="0" t="str">
        <f aca="false">Raw!B592</f>
        <v>Outbound</v>
      </c>
      <c r="C592" s="0" t="str">
        <f aca="false">Raw!C592</f>
        <v>Surat</v>
      </c>
      <c r="D592" s="0" t="str">
        <f aca="false">Raw!D592</f>
        <v>Jaipur</v>
      </c>
      <c r="E592" s="0" t="str">
        <f aca="false">IFERROR(INDEX(Location_Map!$B$2:$B$15,MATCH(C592,Location_Map!$A$2:$A$15,0)),"UNMAPPED")</f>
        <v>Gujarat</v>
      </c>
      <c r="F592" s="0" t="str">
        <f aca="false">IFERROR(INDEX(Location_Map!$C$2:$C$15,MATCH(C592,Location_Map!$A$2:$A$15,0)),"UNMAPPED")</f>
        <v>West</v>
      </c>
      <c r="G592" s="0" t="str">
        <f aca="false">IFERROR(INDEX(Location_Map!$B$2:$B$15,MATCH(D592,Location_Map!$A$2:$A$15,0)),"UNMAPPED")</f>
        <v>Rajasthan</v>
      </c>
      <c r="H592" s="0" t="str">
        <f aca="false">IFERROR(INDEX(Location_Map!$C$2:$C$15,MATCH(D592,Location_Map!$A$2:$A$15,0)),"UNMAPPED")</f>
        <v>North</v>
      </c>
      <c r="I592" s="0" t="str">
        <f aca="false">Raw!E592</f>
        <v>Raw Yarn</v>
      </c>
      <c r="J592" s="28" t="n">
        <f aca="false">Raw!F592</f>
        <v>15.99</v>
      </c>
      <c r="K592" s="30" t="n">
        <f aca="false">DATE(LEFT(Raw!G592,4),MID(Raw!G592,6,2),MID(Raw!G592,9,2))</f>
        <v>45890</v>
      </c>
      <c r="L592" s="30" t="n">
        <f aca="false">DATE(LEFT(Raw!H592,4),MID(Raw!H592,6,2),MID(Raw!H592,9,2))</f>
        <v>45891</v>
      </c>
      <c r="M592" s="30" t="n">
        <f aca="false">DATE(LEFT(Raw!I592,4),MID(Raw!I592,6,2),MID(Raw!I592,9,2))</f>
        <v>45896</v>
      </c>
      <c r="N592" s="31" t="n">
        <f aca="false">DATE(LEFT(Raw!J592,4),MID(Raw!J592,6,2),MID(Raw!J592,9,2))+TIME(MID(Raw!J592,12,2),MID(Raw!J592,15,2),MID(Raw!J592,18,2))</f>
        <v>45891.0833333333</v>
      </c>
      <c r="O592" s="31" t="n">
        <f aca="false">DATE(LEFT(Raw!K592,4),MID(Raw!K592,6,2),MID(Raw!K592,9,2))+TIME(MID(Raw!K592,12,2),MID(Raw!K592,15,2),MID(Raw!K592,18,2))</f>
        <v>45897.9</v>
      </c>
      <c r="P592" s="32" t="n">
        <f aca="false">L592-K592</f>
        <v>1</v>
      </c>
      <c r="Q592" s="32" t="n">
        <f aca="false">M592-L592</f>
        <v>5</v>
      </c>
      <c r="R592" s="32" t="n">
        <f aca="false">O592-N592</f>
        <v>6.81666666666667</v>
      </c>
      <c r="S592" s="32" t="n">
        <f aca="false">Raw!L592</f>
        <v>1.9</v>
      </c>
      <c r="T592" s="32" t="n">
        <f aca="false">O592-M592</f>
        <v>1.9</v>
      </c>
      <c r="U592" s="0" t="str">
        <f aca="false">IF(ABS(T592-S592)&lt;0.01,"OK","MISMATCH")</f>
        <v>OK</v>
      </c>
      <c r="V592" s="33" t="n">
        <f aca="false">Raw!M592</f>
        <v>1</v>
      </c>
      <c r="W592" s="0" t="str">
        <f aca="false">IF((S592&gt;0)=(V592=1),"OK","MISMATCH")</f>
        <v>OK</v>
      </c>
      <c r="X592" s="0" t="str">
        <f aca="false">_xlfn.IFS(S592&lt;=0,"Early/On time",S592&lt;=2,"Minor (up to 2 days)",S592&lt;=5,"Moderate (2-5 days)",TRUE(),"Severe (over 5 days)")</f>
        <v>Minor (up to 2 days)</v>
      </c>
      <c r="Y592" s="0" t="str">
        <f aca="false">YEAR(K592)&amp;"-"&amp;TEXT(MONTH(K592),"00")</f>
        <v>2025-08</v>
      </c>
      <c r="Z592" s="0" t="str">
        <f aca="false">C592&amp;" → "&amp;D592</f>
        <v>Surat → Jaipur</v>
      </c>
      <c r="AA592" s="0" t="str">
        <f aca="false">Raw!Q592</f>
        <v>BlueDart</v>
      </c>
      <c r="AB592" s="0" t="str">
        <f aca="false">Raw!R592</f>
        <v>No</v>
      </c>
      <c r="AC592" s="0" t="str">
        <f aca="false">Raw!S592</f>
        <v>Damaged</v>
      </c>
      <c r="AD592" s="29" t="n">
        <f aca="false">Raw!N592</f>
        <v>6509.87</v>
      </c>
      <c r="AE592" s="29" t="n">
        <f aca="false">Raw!O592</f>
        <v>3002.48</v>
      </c>
      <c r="AF592" s="29" t="n">
        <f aca="false">Raw!P592</f>
        <v>1411.79</v>
      </c>
      <c r="AG592" s="29" t="n">
        <f aca="false">AD592/J592</f>
        <v>407.121325828643</v>
      </c>
    </row>
    <row r="593" customFormat="false" ht="15" hidden="false" customHeight="false" outlineLevel="0" collapsed="false">
      <c r="A593" s="0" t="str">
        <f aca="false">Raw!A593</f>
        <v>SHP0592</v>
      </c>
      <c r="B593" s="0" t="str">
        <f aca="false">Raw!B593</f>
        <v>Inbound</v>
      </c>
      <c r="C593" s="0" t="str">
        <f aca="false">Raw!C593</f>
        <v>Punjab</v>
      </c>
      <c r="D593" s="0" t="str">
        <f aca="false">Raw!D593</f>
        <v>Surat</v>
      </c>
      <c r="E593" s="0" t="str">
        <f aca="false">IFERROR(INDEX(Location_Map!$B$2:$B$15,MATCH(C593,Location_Map!$A$2:$A$15,0)),"UNMAPPED")</f>
        <v>Punjab</v>
      </c>
      <c r="F593" s="0" t="str">
        <f aca="false">IFERROR(INDEX(Location_Map!$C$2:$C$15,MATCH(C593,Location_Map!$A$2:$A$15,0)),"UNMAPPED")</f>
        <v>North</v>
      </c>
      <c r="G593" s="0" t="str">
        <f aca="false">IFERROR(INDEX(Location_Map!$B$2:$B$15,MATCH(D593,Location_Map!$A$2:$A$15,0)),"UNMAPPED")</f>
        <v>Gujarat</v>
      </c>
      <c r="H593" s="0" t="str">
        <f aca="false">IFERROR(INDEX(Location_Map!$C$2:$C$15,MATCH(D593,Location_Map!$A$2:$A$15,0)),"UNMAPPED")</f>
        <v>West</v>
      </c>
      <c r="I593" s="0" t="str">
        <f aca="false">Raw!E593</f>
        <v>Raw Yarn</v>
      </c>
      <c r="J593" s="28" t="n">
        <f aca="false">Raw!F593</f>
        <v>3.79</v>
      </c>
      <c r="K593" s="30" t="n">
        <f aca="false">DATE(LEFT(Raw!G593,4),MID(Raw!G593,6,2),MID(Raw!G593,9,2))</f>
        <v>45851</v>
      </c>
      <c r="L593" s="30" t="n">
        <f aca="false">DATE(LEFT(Raw!H593,4),MID(Raw!H593,6,2),MID(Raw!H593,9,2))</f>
        <v>45852</v>
      </c>
      <c r="M593" s="30" t="n">
        <f aca="false">DATE(LEFT(Raw!I593,4),MID(Raw!I593,6,2),MID(Raw!I593,9,2))</f>
        <v>45854</v>
      </c>
      <c r="N593" s="31" t="n">
        <f aca="false">DATE(LEFT(Raw!J593,4),MID(Raw!J593,6,2),MID(Raw!J593,9,2))+TIME(MID(Raw!J593,12,2),MID(Raw!J593,15,2),MID(Raw!J593,18,2))</f>
        <v>45851.8333333333</v>
      </c>
      <c r="O593" s="31" t="n">
        <f aca="false">DATE(LEFT(Raw!K593,4),MID(Raw!K593,6,2),MID(Raw!K593,9,2))+TIME(MID(Raw!K593,12,2),MID(Raw!K593,15,2),MID(Raw!K593,18,2))</f>
        <v>45854.1</v>
      </c>
      <c r="P593" s="32" t="n">
        <f aca="false">L593-K593</f>
        <v>1</v>
      </c>
      <c r="Q593" s="32" t="n">
        <f aca="false">M593-L593</f>
        <v>2</v>
      </c>
      <c r="R593" s="32" t="n">
        <f aca="false">O593-N593</f>
        <v>2.26666666666667</v>
      </c>
      <c r="S593" s="32" t="n">
        <f aca="false">Raw!L593</f>
        <v>0.1</v>
      </c>
      <c r="T593" s="32" t="n">
        <f aca="false">O593-M593</f>
        <v>0.1</v>
      </c>
      <c r="U593" s="0" t="str">
        <f aca="false">IF(ABS(T593-S593)&lt;0.01,"OK","MISMATCH")</f>
        <v>OK</v>
      </c>
      <c r="V593" s="33" t="n">
        <f aca="false">Raw!M593</f>
        <v>1</v>
      </c>
      <c r="W593" s="0" t="str">
        <f aca="false">IF((S593&gt;0)=(V593=1),"OK","MISMATCH")</f>
        <v>OK</v>
      </c>
      <c r="X593" s="0" t="str">
        <f aca="false">_xlfn.IFS(S593&lt;=0,"Early/On time",S593&lt;=2,"Minor (up to 2 days)",S593&lt;=5,"Moderate (2-5 days)",TRUE(),"Severe (over 5 days)")</f>
        <v>Minor (up to 2 days)</v>
      </c>
      <c r="Y593" s="0" t="str">
        <f aca="false">YEAR(K593)&amp;"-"&amp;TEXT(MONTH(K593),"00")</f>
        <v>2025-07</v>
      </c>
      <c r="Z593" s="0" t="str">
        <f aca="false">C593&amp;" → "&amp;D593</f>
        <v>Punjab → Surat</v>
      </c>
      <c r="AA593" s="0" t="str">
        <f aca="false">Raw!Q593</f>
        <v>Delhivery</v>
      </c>
      <c r="AB593" s="0" t="str">
        <f aca="false">Raw!R593</f>
        <v>No</v>
      </c>
      <c r="AC593" s="0" t="str">
        <f aca="false">Raw!S593</f>
        <v>Expedited</v>
      </c>
      <c r="AD593" s="29" t="n">
        <f aca="false">Raw!N593</f>
        <v>3231.97</v>
      </c>
      <c r="AE593" s="29" t="n">
        <f aca="false">Raw!O593</f>
        <v>2237.85</v>
      </c>
      <c r="AF593" s="29" t="n">
        <f aca="false">Raw!P593</f>
        <v>947.97</v>
      </c>
      <c r="AG593" s="29" t="n">
        <f aca="false">AD593/J593</f>
        <v>852.76253298153</v>
      </c>
    </row>
    <row r="594" customFormat="false" ht="15" hidden="false" customHeight="false" outlineLevel="0" collapsed="false">
      <c r="A594" s="0" t="str">
        <f aca="false">Raw!A594</f>
        <v>SHP0593</v>
      </c>
      <c r="B594" s="0" t="str">
        <f aca="false">Raw!B594</f>
        <v>Inbound</v>
      </c>
      <c r="C594" s="0" t="str">
        <f aca="false">Raw!C594</f>
        <v>Rajasthan</v>
      </c>
      <c r="D594" s="0" t="str">
        <f aca="false">Raw!D594</f>
        <v>Surat</v>
      </c>
      <c r="E594" s="0" t="str">
        <f aca="false">IFERROR(INDEX(Location_Map!$B$2:$B$15,MATCH(C594,Location_Map!$A$2:$A$15,0)),"UNMAPPED")</f>
        <v>Rajasthan</v>
      </c>
      <c r="F594" s="0" t="str">
        <f aca="false">IFERROR(INDEX(Location_Map!$C$2:$C$15,MATCH(C594,Location_Map!$A$2:$A$15,0)),"UNMAPPED")</f>
        <v>North</v>
      </c>
      <c r="G594" s="0" t="str">
        <f aca="false">IFERROR(INDEX(Location_Map!$B$2:$B$15,MATCH(D594,Location_Map!$A$2:$A$15,0)),"UNMAPPED")</f>
        <v>Gujarat</v>
      </c>
      <c r="H594" s="0" t="str">
        <f aca="false">IFERROR(INDEX(Location_Map!$C$2:$C$15,MATCH(D594,Location_Map!$A$2:$A$15,0)),"UNMAPPED")</f>
        <v>West</v>
      </c>
      <c r="I594" s="0" t="str">
        <f aca="false">Raw!E594</f>
        <v>Semi-Processed Yarn</v>
      </c>
      <c r="J594" s="28" t="n">
        <f aca="false">Raw!F594</f>
        <v>8.7</v>
      </c>
      <c r="K594" s="30" t="n">
        <f aca="false">DATE(LEFT(Raw!G594,4),MID(Raw!G594,6,2),MID(Raw!G594,9,2))</f>
        <v>45953</v>
      </c>
      <c r="L594" s="30" t="n">
        <f aca="false">DATE(LEFT(Raw!H594,4),MID(Raw!H594,6,2),MID(Raw!H594,9,2))</f>
        <v>45955</v>
      </c>
      <c r="M594" s="30" t="n">
        <f aca="false">DATE(LEFT(Raw!I594,4),MID(Raw!I594,6,2),MID(Raw!I594,9,2))</f>
        <v>45957</v>
      </c>
      <c r="N594" s="31" t="n">
        <f aca="false">DATE(LEFT(Raw!J594,4),MID(Raw!J594,6,2),MID(Raw!J594,9,2))+TIME(MID(Raw!J594,12,2),MID(Raw!J594,15,2),MID(Raw!J594,18,2))</f>
        <v>45955.2083333333</v>
      </c>
      <c r="O594" s="31" t="n">
        <f aca="false">DATE(LEFT(Raw!K594,4),MID(Raw!K594,6,2),MID(Raw!K594,9,2))+TIME(MID(Raw!K594,12,2),MID(Raw!K594,15,2),MID(Raw!K594,18,2))</f>
        <v>45961.6</v>
      </c>
      <c r="P594" s="32" t="n">
        <f aca="false">L594-K594</f>
        <v>2</v>
      </c>
      <c r="Q594" s="32" t="n">
        <f aca="false">M594-L594</f>
        <v>2</v>
      </c>
      <c r="R594" s="32" t="n">
        <f aca="false">O594-N594</f>
        <v>6.39166666666667</v>
      </c>
      <c r="S594" s="32" t="n">
        <f aca="false">Raw!L594</f>
        <v>4.6</v>
      </c>
      <c r="T594" s="32" t="n">
        <f aca="false">O594-M594</f>
        <v>4.6</v>
      </c>
      <c r="U594" s="0" t="str">
        <f aca="false">IF(ABS(T594-S594)&lt;0.01,"OK","MISMATCH")</f>
        <v>OK</v>
      </c>
      <c r="V594" s="33" t="n">
        <f aca="false">Raw!M594</f>
        <v>1</v>
      </c>
      <c r="W594" s="0" t="str">
        <f aca="false">IF((S594&gt;0)=(V594=1),"OK","MISMATCH")</f>
        <v>OK</v>
      </c>
      <c r="X594" s="0" t="str">
        <f aca="false">_xlfn.IFS(S594&lt;=0,"Early/On time",S594&lt;=2,"Minor (up to 2 days)",S594&lt;=5,"Moderate (2-5 days)",TRUE(),"Severe (over 5 days)")</f>
        <v>Moderate (2-5 days)</v>
      </c>
      <c r="Y594" s="0" t="str">
        <f aca="false">YEAR(K594)&amp;"-"&amp;TEXT(MONTH(K594),"00")</f>
        <v>2025-10</v>
      </c>
      <c r="Z594" s="0" t="str">
        <f aca="false">C594&amp;" → "&amp;D594</f>
        <v>Rajasthan → Surat</v>
      </c>
      <c r="AA594" s="0" t="str">
        <f aca="false">Raw!Q594</f>
        <v>VRL Cargo</v>
      </c>
      <c r="AB594" s="0" t="str">
        <f aca="false">Raw!R594</f>
        <v>No</v>
      </c>
      <c r="AC594" s="0" t="str">
        <f aca="false">Raw!S594</f>
        <v>Normal</v>
      </c>
      <c r="AD594" s="29" t="n">
        <f aca="false">Raw!N594</f>
        <v>3861.18</v>
      </c>
      <c r="AE594" s="29" t="n">
        <f aca="false">Raw!O594</f>
        <v>4514.99</v>
      </c>
      <c r="AF594" s="29" t="n">
        <f aca="false">Raw!P594</f>
        <v>696.67</v>
      </c>
      <c r="AG594" s="29" t="n">
        <f aca="false">AD594/J594</f>
        <v>443.813793103448</v>
      </c>
    </row>
    <row r="595" customFormat="false" ht="15" hidden="false" customHeight="false" outlineLevel="0" collapsed="false">
      <c r="A595" s="0" t="str">
        <f aca="false">Raw!A595</f>
        <v>SHP0594</v>
      </c>
      <c r="B595" s="0" t="str">
        <f aca="false">Raw!B595</f>
        <v>Inbound</v>
      </c>
      <c r="C595" s="0" t="str">
        <f aca="false">Raw!C595</f>
        <v>Rajasthan</v>
      </c>
      <c r="D595" s="0" t="str">
        <f aca="false">Raw!D595</f>
        <v>Surat</v>
      </c>
      <c r="E595" s="0" t="str">
        <f aca="false">IFERROR(INDEX(Location_Map!$B$2:$B$15,MATCH(C595,Location_Map!$A$2:$A$15,0)),"UNMAPPED")</f>
        <v>Rajasthan</v>
      </c>
      <c r="F595" s="0" t="str">
        <f aca="false">IFERROR(INDEX(Location_Map!$C$2:$C$15,MATCH(C595,Location_Map!$A$2:$A$15,0)),"UNMAPPED")</f>
        <v>North</v>
      </c>
      <c r="G595" s="0" t="str">
        <f aca="false">IFERROR(INDEX(Location_Map!$B$2:$B$15,MATCH(D595,Location_Map!$A$2:$A$15,0)),"UNMAPPED")</f>
        <v>Gujarat</v>
      </c>
      <c r="H595" s="0" t="str">
        <f aca="false">IFERROR(INDEX(Location_Map!$C$2:$C$15,MATCH(D595,Location_Map!$A$2:$A$15,0)),"UNMAPPED")</f>
        <v>West</v>
      </c>
      <c r="I595" s="0" t="str">
        <f aca="false">Raw!E595</f>
        <v>Semi-Processed Yarn</v>
      </c>
      <c r="J595" s="28" t="n">
        <f aca="false">Raw!F595</f>
        <v>19</v>
      </c>
      <c r="K595" s="30" t="n">
        <f aca="false">DATE(LEFT(Raw!G595,4),MID(Raw!G595,6,2),MID(Raw!G595,9,2))</f>
        <v>45719</v>
      </c>
      <c r="L595" s="30" t="n">
        <f aca="false">DATE(LEFT(Raw!H595,4),MID(Raw!H595,6,2),MID(Raw!H595,9,2))</f>
        <v>45722</v>
      </c>
      <c r="M595" s="30" t="n">
        <f aca="false">DATE(LEFT(Raw!I595,4),MID(Raw!I595,6,2),MID(Raw!I595,9,2))</f>
        <v>45727</v>
      </c>
      <c r="N595" s="31" t="n">
        <f aca="false">DATE(LEFT(Raw!J595,4),MID(Raw!J595,6,2),MID(Raw!J595,9,2))+TIME(MID(Raw!J595,12,2),MID(Raw!J595,15,2),MID(Raw!J595,18,2))</f>
        <v>45721.9166666667</v>
      </c>
      <c r="O595" s="31" t="n">
        <f aca="false">DATE(LEFT(Raw!K595,4),MID(Raw!K595,6,2),MID(Raw!K595,9,2))+TIME(MID(Raw!K595,12,2),MID(Raw!K595,15,2),MID(Raw!K595,18,2))</f>
        <v>45726</v>
      </c>
      <c r="P595" s="32" t="n">
        <f aca="false">L595-K595</f>
        <v>3</v>
      </c>
      <c r="Q595" s="32" t="n">
        <f aca="false">M595-L595</f>
        <v>5</v>
      </c>
      <c r="R595" s="32" t="n">
        <f aca="false">O595-N595</f>
        <v>4.08333333333333</v>
      </c>
      <c r="S595" s="32" t="n">
        <f aca="false">Raw!L595</f>
        <v>-1</v>
      </c>
      <c r="T595" s="32" t="n">
        <f aca="false">O595-M595</f>
        <v>-1</v>
      </c>
      <c r="U595" s="0" t="str">
        <f aca="false">IF(ABS(T595-S595)&lt;0.01,"OK","MISMATCH")</f>
        <v>OK</v>
      </c>
      <c r="V595" s="33" t="n">
        <f aca="false">Raw!M595</f>
        <v>0</v>
      </c>
      <c r="W595" s="0" t="str">
        <f aca="false">IF((S595&gt;0)=(V595=1),"OK","MISMATCH")</f>
        <v>OK</v>
      </c>
      <c r="X595" s="0" t="str">
        <f aca="false">_xlfn.IFS(S595&lt;=0,"Early/On time",S595&lt;=2,"Minor (up to 2 days)",S595&lt;=5,"Moderate (2-5 days)",TRUE(),"Severe (over 5 days)")</f>
        <v>Early/On time</v>
      </c>
      <c r="Y595" s="0" t="str">
        <f aca="false">YEAR(K595)&amp;"-"&amp;TEXT(MONTH(K595),"00")</f>
        <v>2025-03</v>
      </c>
      <c r="Z595" s="0" t="str">
        <f aca="false">C595&amp;" → "&amp;D595</f>
        <v>Rajasthan → Surat</v>
      </c>
      <c r="AA595" s="0" t="str">
        <f aca="false">Raw!Q595</f>
        <v>VRL Cargo</v>
      </c>
      <c r="AB595" s="0" t="str">
        <f aca="false">Raw!R595</f>
        <v>No</v>
      </c>
      <c r="AC595" s="0" t="str">
        <f aca="false">Raw!S595</f>
        <v>Returned</v>
      </c>
      <c r="AD595" s="29" t="n">
        <f aca="false">Raw!N595</f>
        <v>10791.66</v>
      </c>
      <c r="AE595" s="29" t="n">
        <f aca="false">Raw!O595</f>
        <v>3707.28</v>
      </c>
      <c r="AF595" s="29" t="n">
        <f aca="false">Raw!P595</f>
        <v>801.59</v>
      </c>
      <c r="AG595" s="29" t="n">
        <f aca="false">AD595/J595</f>
        <v>567.982105263158</v>
      </c>
    </row>
    <row r="596" customFormat="false" ht="15" hidden="false" customHeight="false" outlineLevel="0" collapsed="false">
      <c r="A596" s="0" t="str">
        <f aca="false">Raw!A596</f>
        <v>SHP0595</v>
      </c>
      <c r="B596" s="0" t="str">
        <f aca="false">Raw!B596</f>
        <v>Inbound</v>
      </c>
      <c r="C596" s="0" t="str">
        <f aca="false">Raw!C596</f>
        <v>Gujarat</v>
      </c>
      <c r="D596" s="0" t="str">
        <f aca="false">Raw!D596</f>
        <v>Surat</v>
      </c>
      <c r="E596" s="0" t="str">
        <f aca="false">IFERROR(INDEX(Location_Map!$B$2:$B$15,MATCH(C596,Location_Map!$A$2:$A$15,0)),"UNMAPPED")</f>
        <v>Gujarat</v>
      </c>
      <c r="F596" s="0" t="str">
        <f aca="false">IFERROR(INDEX(Location_Map!$C$2:$C$15,MATCH(C596,Location_Map!$A$2:$A$15,0)),"UNMAPPED")</f>
        <v>West</v>
      </c>
      <c r="G596" s="0" t="str">
        <f aca="false">IFERROR(INDEX(Location_Map!$B$2:$B$15,MATCH(D596,Location_Map!$A$2:$A$15,0)),"UNMAPPED")</f>
        <v>Gujarat</v>
      </c>
      <c r="H596" s="0" t="str">
        <f aca="false">IFERROR(INDEX(Location_Map!$C$2:$C$15,MATCH(D596,Location_Map!$A$2:$A$15,0)),"UNMAPPED")</f>
        <v>West</v>
      </c>
      <c r="I596" s="0" t="str">
        <f aca="false">Raw!E596</f>
        <v>Raw Yarn</v>
      </c>
      <c r="J596" s="28" t="n">
        <f aca="false">Raw!F596</f>
        <v>4.58</v>
      </c>
      <c r="K596" s="30" t="n">
        <f aca="false">DATE(LEFT(Raw!G596,4),MID(Raw!G596,6,2),MID(Raw!G596,9,2))</f>
        <v>45749</v>
      </c>
      <c r="L596" s="30" t="n">
        <f aca="false">DATE(LEFT(Raw!H596,4),MID(Raw!H596,6,2),MID(Raw!H596,9,2))</f>
        <v>45750</v>
      </c>
      <c r="M596" s="30" t="n">
        <f aca="false">DATE(LEFT(Raw!I596,4),MID(Raw!I596,6,2),MID(Raw!I596,9,2))</f>
        <v>45752</v>
      </c>
      <c r="N596" s="31" t="n">
        <f aca="false">DATE(LEFT(Raw!J596,4),MID(Raw!J596,6,2),MID(Raw!J596,9,2))+TIME(MID(Raw!J596,12,2),MID(Raw!J596,15,2),MID(Raw!J596,18,2))</f>
        <v>45749.875</v>
      </c>
      <c r="O596" s="31" t="n">
        <f aca="false">DATE(LEFT(Raw!K596,4),MID(Raw!K596,6,2),MID(Raw!K596,9,2))+TIME(MID(Raw!K596,12,2),MID(Raw!K596,15,2),MID(Raw!K596,18,2))</f>
        <v>45755.6</v>
      </c>
      <c r="P596" s="32" t="n">
        <f aca="false">L596-K596</f>
        <v>1</v>
      </c>
      <c r="Q596" s="32" t="n">
        <f aca="false">M596-L596</f>
        <v>2</v>
      </c>
      <c r="R596" s="32" t="n">
        <f aca="false">O596-N596</f>
        <v>5.725</v>
      </c>
      <c r="S596" s="32" t="n">
        <f aca="false">Raw!L596</f>
        <v>3.6</v>
      </c>
      <c r="T596" s="32" t="n">
        <f aca="false">O596-M596</f>
        <v>3.6</v>
      </c>
      <c r="U596" s="0" t="str">
        <f aca="false">IF(ABS(T596-S596)&lt;0.01,"OK","MISMATCH")</f>
        <v>OK</v>
      </c>
      <c r="V596" s="33" t="n">
        <f aca="false">Raw!M596</f>
        <v>1</v>
      </c>
      <c r="W596" s="0" t="str">
        <f aca="false">IF((S596&gt;0)=(V596=1),"OK","MISMATCH")</f>
        <v>OK</v>
      </c>
      <c r="X596" s="0" t="str">
        <f aca="false">_xlfn.IFS(S596&lt;=0,"Early/On time",S596&lt;=2,"Minor (up to 2 days)",S596&lt;=5,"Moderate (2-5 days)",TRUE(),"Severe (over 5 days)")</f>
        <v>Moderate (2-5 days)</v>
      </c>
      <c r="Y596" s="0" t="str">
        <f aca="false">YEAR(K596)&amp;"-"&amp;TEXT(MONTH(K596),"00")</f>
        <v>2025-04</v>
      </c>
      <c r="Z596" s="0" t="str">
        <f aca="false">C596&amp;" → "&amp;D596</f>
        <v>Gujarat → Surat</v>
      </c>
      <c r="AA596" s="0" t="str">
        <f aca="false">Raw!Q596</f>
        <v>BlueDart</v>
      </c>
      <c r="AB596" s="0" t="str">
        <f aca="false">Raw!R596</f>
        <v>No</v>
      </c>
      <c r="AC596" s="0" t="str">
        <f aca="false">Raw!S596</f>
        <v>Returned</v>
      </c>
      <c r="AD596" s="29" t="n">
        <f aca="false">Raw!N596</f>
        <v>2705.11</v>
      </c>
      <c r="AE596" s="29" t="n">
        <f aca="false">Raw!O596</f>
        <v>1521.28</v>
      </c>
      <c r="AF596" s="29" t="n">
        <f aca="false">Raw!P596</f>
        <v>1143.43</v>
      </c>
      <c r="AG596" s="29" t="n">
        <f aca="false">AD596/J596</f>
        <v>590.635371179039</v>
      </c>
    </row>
    <row r="597" customFormat="false" ht="15" hidden="false" customHeight="false" outlineLevel="0" collapsed="false">
      <c r="A597" s="0" t="str">
        <f aca="false">Raw!A597</f>
        <v>SHP0596</v>
      </c>
      <c r="B597" s="0" t="str">
        <f aca="false">Raw!B597</f>
        <v>Inbound</v>
      </c>
      <c r="C597" s="0" t="str">
        <f aca="false">Raw!C597</f>
        <v>Gujarat</v>
      </c>
      <c r="D597" s="0" t="str">
        <f aca="false">Raw!D597</f>
        <v>Surat</v>
      </c>
      <c r="E597" s="0" t="str">
        <f aca="false">IFERROR(INDEX(Location_Map!$B$2:$B$15,MATCH(C597,Location_Map!$A$2:$A$15,0)),"UNMAPPED")</f>
        <v>Gujarat</v>
      </c>
      <c r="F597" s="0" t="str">
        <f aca="false">IFERROR(INDEX(Location_Map!$C$2:$C$15,MATCH(C597,Location_Map!$A$2:$A$15,0)),"UNMAPPED")</f>
        <v>West</v>
      </c>
      <c r="G597" s="0" t="str">
        <f aca="false">IFERROR(INDEX(Location_Map!$B$2:$B$15,MATCH(D597,Location_Map!$A$2:$A$15,0)),"UNMAPPED")</f>
        <v>Gujarat</v>
      </c>
      <c r="H597" s="0" t="str">
        <f aca="false">IFERROR(INDEX(Location_Map!$C$2:$C$15,MATCH(D597,Location_Map!$A$2:$A$15,0)),"UNMAPPED")</f>
        <v>West</v>
      </c>
      <c r="I597" s="0" t="str">
        <f aca="false">Raw!E597</f>
        <v>Semi-Processed Yarn</v>
      </c>
      <c r="J597" s="28" t="n">
        <f aca="false">Raw!F597</f>
        <v>4.75</v>
      </c>
      <c r="K597" s="30" t="n">
        <f aca="false">DATE(LEFT(Raw!G597,4),MID(Raw!G597,6,2),MID(Raw!G597,9,2))</f>
        <v>45687</v>
      </c>
      <c r="L597" s="30" t="n">
        <f aca="false">DATE(LEFT(Raw!H597,4),MID(Raw!H597,6,2),MID(Raw!H597,9,2))</f>
        <v>45688</v>
      </c>
      <c r="M597" s="30" t="n">
        <f aca="false">DATE(LEFT(Raw!I597,4),MID(Raw!I597,6,2),MID(Raw!I597,9,2))</f>
        <v>45693</v>
      </c>
      <c r="N597" s="31" t="n">
        <f aca="false">DATE(LEFT(Raw!J597,4),MID(Raw!J597,6,2),MID(Raw!J597,9,2))+TIME(MID(Raw!J597,12,2),MID(Raw!J597,15,2),MID(Raw!J597,18,2))</f>
        <v>45687.9166666667</v>
      </c>
      <c r="O597" s="31" t="n">
        <f aca="false">DATE(LEFT(Raw!K597,4),MID(Raw!K597,6,2),MID(Raw!K597,9,2))+TIME(MID(Raw!K597,12,2),MID(Raw!K597,15,2),MID(Raw!K597,18,2))</f>
        <v>45703.1</v>
      </c>
      <c r="P597" s="32" t="n">
        <f aca="false">L597-K597</f>
        <v>1</v>
      </c>
      <c r="Q597" s="32" t="n">
        <f aca="false">M597-L597</f>
        <v>5</v>
      </c>
      <c r="R597" s="32" t="n">
        <f aca="false">O597-N597</f>
        <v>15.1833333333333</v>
      </c>
      <c r="S597" s="32" t="n">
        <f aca="false">Raw!L597</f>
        <v>10.1</v>
      </c>
      <c r="T597" s="32" t="n">
        <f aca="false">O597-M597</f>
        <v>10.1</v>
      </c>
      <c r="U597" s="0" t="str">
        <f aca="false">IF(ABS(T597-S597)&lt;0.01,"OK","MISMATCH")</f>
        <v>OK</v>
      </c>
      <c r="V597" s="33" t="n">
        <f aca="false">Raw!M597</f>
        <v>1</v>
      </c>
      <c r="W597" s="0" t="str">
        <f aca="false">IF((S597&gt;0)=(V597=1),"OK","MISMATCH")</f>
        <v>OK</v>
      </c>
      <c r="X597" s="0" t="str">
        <f aca="false">_xlfn.IFS(S597&lt;=0,"Early/On time",S597&lt;=2,"Minor (up to 2 days)",S597&lt;=5,"Moderate (2-5 days)",TRUE(),"Severe (over 5 days)")</f>
        <v>Severe (over 5 days)</v>
      </c>
      <c r="Y597" s="0" t="str">
        <f aca="false">YEAR(K597)&amp;"-"&amp;TEXT(MONTH(K597),"00")</f>
        <v>2025-01</v>
      </c>
      <c r="Z597" s="0" t="str">
        <f aca="false">C597&amp;" → "&amp;D597</f>
        <v>Gujarat → Surat</v>
      </c>
      <c r="AA597" s="0" t="str">
        <f aca="false">Raw!Q597</f>
        <v>Delhivery</v>
      </c>
      <c r="AB597" s="0" t="str">
        <f aca="false">Raw!R597</f>
        <v>No</v>
      </c>
      <c r="AC597" s="0" t="str">
        <f aca="false">Raw!S597</f>
        <v>Returned</v>
      </c>
      <c r="AD597" s="29" t="n">
        <f aca="false">Raw!N597</f>
        <v>3269.9</v>
      </c>
      <c r="AE597" s="29" t="n">
        <f aca="false">Raw!O597</f>
        <v>3623.28</v>
      </c>
      <c r="AF597" s="29" t="n">
        <f aca="false">Raw!P597</f>
        <v>1037.28</v>
      </c>
      <c r="AG597" s="29" t="n">
        <f aca="false">AD597/J597</f>
        <v>688.4</v>
      </c>
    </row>
    <row r="598" customFormat="false" ht="15" hidden="false" customHeight="false" outlineLevel="0" collapsed="false">
      <c r="A598" s="0" t="str">
        <f aca="false">Raw!A598</f>
        <v>SHP0597</v>
      </c>
      <c r="B598" s="0" t="str">
        <f aca="false">Raw!B598</f>
        <v>Outbound</v>
      </c>
      <c r="C598" s="0" t="str">
        <f aca="false">Raw!C598</f>
        <v>Surat</v>
      </c>
      <c r="D598" s="0" t="str">
        <f aca="false">Raw!D598</f>
        <v>Jaipur</v>
      </c>
      <c r="E598" s="0" t="str">
        <f aca="false">IFERROR(INDEX(Location_Map!$B$2:$B$15,MATCH(C598,Location_Map!$A$2:$A$15,0)),"UNMAPPED")</f>
        <v>Gujarat</v>
      </c>
      <c r="F598" s="0" t="str">
        <f aca="false">IFERROR(INDEX(Location_Map!$C$2:$C$15,MATCH(C598,Location_Map!$A$2:$A$15,0)),"UNMAPPED")</f>
        <v>West</v>
      </c>
      <c r="G598" s="0" t="str">
        <f aca="false">IFERROR(INDEX(Location_Map!$B$2:$B$15,MATCH(D598,Location_Map!$A$2:$A$15,0)),"UNMAPPED")</f>
        <v>Rajasthan</v>
      </c>
      <c r="H598" s="0" t="str">
        <f aca="false">IFERROR(INDEX(Location_Map!$C$2:$C$15,MATCH(D598,Location_Map!$A$2:$A$15,0)),"UNMAPPED")</f>
        <v>North</v>
      </c>
      <c r="I598" s="0" t="str">
        <f aca="false">Raw!E598</f>
        <v>Finished Yarn</v>
      </c>
      <c r="J598" s="28" t="n">
        <f aca="false">Raw!F598</f>
        <v>13.87</v>
      </c>
      <c r="K598" s="30" t="n">
        <f aca="false">DATE(LEFT(Raw!G598,4),MID(Raw!G598,6,2),MID(Raw!G598,9,2))</f>
        <v>45862</v>
      </c>
      <c r="L598" s="30" t="n">
        <f aca="false">DATE(LEFT(Raw!H598,4),MID(Raw!H598,6,2),MID(Raw!H598,9,2))</f>
        <v>45865</v>
      </c>
      <c r="M598" s="30" t="n">
        <f aca="false">DATE(LEFT(Raw!I598,4),MID(Raw!I598,6,2),MID(Raw!I598,9,2))</f>
        <v>45871</v>
      </c>
      <c r="N598" s="31" t="n">
        <f aca="false">DATE(LEFT(Raw!J598,4),MID(Raw!J598,6,2),MID(Raw!J598,9,2))+TIME(MID(Raw!J598,12,2),MID(Raw!J598,15,2),MID(Raw!J598,18,2))</f>
        <v>45865.25</v>
      </c>
      <c r="O598" s="31" t="n">
        <f aca="false">DATE(LEFT(Raw!K598,4),MID(Raw!K598,6,2),MID(Raw!K598,9,2))+TIME(MID(Raw!K598,12,2),MID(Raw!K598,15,2),MID(Raw!K598,18,2))</f>
        <v>45872.8</v>
      </c>
      <c r="P598" s="32" t="n">
        <f aca="false">L598-K598</f>
        <v>3</v>
      </c>
      <c r="Q598" s="32" t="n">
        <f aca="false">M598-L598</f>
        <v>6</v>
      </c>
      <c r="R598" s="32" t="n">
        <f aca="false">O598-N598</f>
        <v>7.55</v>
      </c>
      <c r="S598" s="32" t="n">
        <f aca="false">Raw!L598</f>
        <v>1.8</v>
      </c>
      <c r="T598" s="32" t="n">
        <f aca="false">O598-M598</f>
        <v>1.8</v>
      </c>
      <c r="U598" s="0" t="str">
        <f aca="false">IF(ABS(T598-S598)&lt;0.01,"OK","MISMATCH")</f>
        <v>OK</v>
      </c>
      <c r="V598" s="33" t="n">
        <f aca="false">Raw!M598</f>
        <v>1</v>
      </c>
      <c r="W598" s="0" t="str">
        <f aca="false">IF((S598&gt;0)=(V598=1),"OK","MISMATCH")</f>
        <v>OK</v>
      </c>
      <c r="X598" s="0" t="str">
        <f aca="false">_xlfn.IFS(S598&lt;=0,"Early/On time",S598&lt;=2,"Minor (up to 2 days)",S598&lt;=5,"Moderate (2-5 days)",TRUE(),"Severe (over 5 days)")</f>
        <v>Minor (up to 2 days)</v>
      </c>
      <c r="Y598" s="0" t="str">
        <f aca="false">YEAR(K598)&amp;"-"&amp;TEXT(MONTH(K598),"00")</f>
        <v>2025-07</v>
      </c>
      <c r="Z598" s="0" t="str">
        <f aca="false">C598&amp;" → "&amp;D598</f>
        <v>Surat → Jaipur</v>
      </c>
      <c r="AA598" s="0" t="str">
        <f aca="false">Raw!Q598</f>
        <v>VRL Cargo</v>
      </c>
      <c r="AB598" s="0" t="str">
        <f aca="false">Raw!R598</f>
        <v>No</v>
      </c>
      <c r="AC598" s="0" t="str">
        <f aca="false">Raw!S598</f>
        <v>Held at warehouse</v>
      </c>
      <c r="AD598" s="29" t="n">
        <f aca="false">Raw!N598</f>
        <v>8494.7</v>
      </c>
      <c r="AE598" s="29" t="n">
        <f aca="false">Raw!O598</f>
        <v>4966.5</v>
      </c>
      <c r="AF598" s="29" t="n">
        <f aca="false">Raw!P598</f>
        <v>663.62</v>
      </c>
      <c r="AG598" s="29" t="n">
        <f aca="false">AD598/J598</f>
        <v>612.451333813987</v>
      </c>
    </row>
    <row r="599" customFormat="false" ht="15" hidden="false" customHeight="false" outlineLevel="0" collapsed="false">
      <c r="A599" s="0" t="str">
        <f aca="false">Raw!A599</f>
        <v>SHP0598</v>
      </c>
      <c r="B599" s="0" t="str">
        <f aca="false">Raw!B599</f>
        <v>Inbound</v>
      </c>
      <c r="C599" s="0" t="str">
        <f aca="false">Raw!C599</f>
        <v>Gujarat</v>
      </c>
      <c r="D599" s="0" t="str">
        <f aca="false">Raw!D599</f>
        <v>Surat</v>
      </c>
      <c r="E599" s="0" t="str">
        <f aca="false">IFERROR(INDEX(Location_Map!$B$2:$B$15,MATCH(C599,Location_Map!$A$2:$A$15,0)),"UNMAPPED")</f>
        <v>Gujarat</v>
      </c>
      <c r="F599" s="0" t="str">
        <f aca="false">IFERROR(INDEX(Location_Map!$C$2:$C$15,MATCH(C599,Location_Map!$A$2:$A$15,0)),"UNMAPPED")</f>
        <v>West</v>
      </c>
      <c r="G599" s="0" t="str">
        <f aca="false">IFERROR(INDEX(Location_Map!$B$2:$B$15,MATCH(D599,Location_Map!$A$2:$A$15,0)),"UNMAPPED")</f>
        <v>Gujarat</v>
      </c>
      <c r="H599" s="0" t="str">
        <f aca="false">IFERROR(INDEX(Location_Map!$C$2:$C$15,MATCH(D599,Location_Map!$A$2:$A$15,0)),"UNMAPPED")</f>
        <v>West</v>
      </c>
      <c r="I599" s="0" t="str">
        <f aca="false">Raw!E599</f>
        <v>Finished Yarn</v>
      </c>
      <c r="J599" s="28" t="n">
        <f aca="false">Raw!F599</f>
        <v>14.14</v>
      </c>
      <c r="K599" s="30" t="n">
        <f aca="false">DATE(LEFT(Raw!G599,4),MID(Raw!G599,6,2),MID(Raw!G599,9,2))</f>
        <v>45860</v>
      </c>
      <c r="L599" s="30" t="n">
        <f aca="false">DATE(LEFT(Raw!H599,4),MID(Raw!H599,6,2),MID(Raw!H599,9,2))</f>
        <v>45864</v>
      </c>
      <c r="M599" s="30" t="n">
        <f aca="false">DATE(LEFT(Raw!I599,4),MID(Raw!I599,6,2),MID(Raw!I599,9,2))</f>
        <v>45868</v>
      </c>
      <c r="N599" s="31" t="n">
        <f aca="false">DATE(LEFT(Raw!J599,4),MID(Raw!J599,6,2),MID(Raw!J599,9,2))+TIME(MID(Raw!J599,12,2),MID(Raw!J599,15,2),MID(Raw!J599,18,2))</f>
        <v>45864.1666666667</v>
      </c>
      <c r="O599" s="31" t="n">
        <f aca="false">DATE(LEFT(Raw!K599,4),MID(Raw!K599,6,2),MID(Raw!K599,9,2))+TIME(MID(Raw!K599,12,2),MID(Raw!K599,15,2),MID(Raw!K599,18,2))</f>
        <v>45868.3</v>
      </c>
      <c r="P599" s="32" t="n">
        <f aca="false">L599-K599</f>
        <v>4</v>
      </c>
      <c r="Q599" s="32" t="n">
        <f aca="false">M599-L599</f>
        <v>4</v>
      </c>
      <c r="R599" s="32" t="n">
        <f aca="false">O599-N599</f>
        <v>4.13333333333333</v>
      </c>
      <c r="S599" s="32" t="n">
        <f aca="false">Raw!L599</f>
        <v>0.3</v>
      </c>
      <c r="T599" s="32" t="n">
        <f aca="false">O599-M599</f>
        <v>0.3</v>
      </c>
      <c r="U599" s="0" t="str">
        <f aca="false">IF(ABS(T599-S599)&lt;0.01,"OK","MISMATCH")</f>
        <v>OK</v>
      </c>
      <c r="V599" s="33" t="n">
        <f aca="false">Raw!M599</f>
        <v>1</v>
      </c>
      <c r="W599" s="0" t="str">
        <f aca="false">IF((S599&gt;0)=(V599=1),"OK","MISMATCH")</f>
        <v>OK</v>
      </c>
      <c r="X599" s="0" t="str">
        <f aca="false">_xlfn.IFS(S599&lt;=0,"Early/On time",S599&lt;=2,"Minor (up to 2 days)",S599&lt;=5,"Moderate (2-5 days)",TRUE(),"Severe (over 5 days)")</f>
        <v>Minor (up to 2 days)</v>
      </c>
      <c r="Y599" s="0" t="str">
        <f aca="false">YEAR(K599)&amp;"-"&amp;TEXT(MONTH(K599),"00")</f>
        <v>2025-07</v>
      </c>
      <c r="Z599" s="0" t="str">
        <f aca="false">C599&amp;" → "&amp;D599</f>
        <v>Gujarat → Surat</v>
      </c>
      <c r="AA599" s="0" t="str">
        <f aca="false">Raw!Q599</f>
        <v>Delhivery</v>
      </c>
      <c r="AB599" s="0" t="str">
        <f aca="false">Raw!R599</f>
        <v>Yes</v>
      </c>
      <c r="AC599" s="0" t="str">
        <f aca="false">Raw!S599</f>
        <v>Normal</v>
      </c>
      <c r="AD599" s="29" t="n">
        <f aca="false">Raw!N599</f>
        <v>6542.24</v>
      </c>
      <c r="AE599" s="29" t="n">
        <f aca="false">Raw!O599</f>
        <v>4194.22</v>
      </c>
      <c r="AF599" s="29" t="n">
        <f aca="false">Raw!P599</f>
        <v>607.03</v>
      </c>
      <c r="AG599" s="29" t="n">
        <f aca="false">AD599/J599</f>
        <v>462.676096181047</v>
      </c>
    </row>
    <row r="600" customFormat="false" ht="15" hidden="false" customHeight="false" outlineLevel="0" collapsed="false">
      <c r="A600" s="0" t="str">
        <f aca="false">Raw!A600</f>
        <v>SHP0599</v>
      </c>
      <c r="B600" s="0" t="str">
        <f aca="false">Raw!B600</f>
        <v>Outbound</v>
      </c>
      <c r="C600" s="0" t="str">
        <f aca="false">Raw!C600</f>
        <v>Surat</v>
      </c>
      <c r="D600" s="0" t="str">
        <f aca="false">Raw!D600</f>
        <v>Jaipur</v>
      </c>
      <c r="E600" s="0" t="str">
        <f aca="false">IFERROR(INDEX(Location_Map!$B$2:$B$15,MATCH(C600,Location_Map!$A$2:$A$15,0)),"UNMAPPED")</f>
        <v>Gujarat</v>
      </c>
      <c r="F600" s="0" t="str">
        <f aca="false">IFERROR(INDEX(Location_Map!$C$2:$C$15,MATCH(C600,Location_Map!$A$2:$A$15,0)),"UNMAPPED")</f>
        <v>West</v>
      </c>
      <c r="G600" s="0" t="str">
        <f aca="false">IFERROR(INDEX(Location_Map!$B$2:$B$15,MATCH(D600,Location_Map!$A$2:$A$15,0)),"UNMAPPED")</f>
        <v>Rajasthan</v>
      </c>
      <c r="H600" s="0" t="str">
        <f aca="false">IFERROR(INDEX(Location_Map!$C$2:$C$15,MATCH(D600,Location_Map!$A$2:$A$15,0)),"UNMAPPED")</f>
        <v>North</v>
      </c>
      <c r="I600" s="0" t="str">
        <f aca="false">Raw!E600</f>
        <v>Raw Yarn</v>
      </c>
      <c r="J600" s="28" t="n">
        <f aca="false">Raw!F600</f>
        <v>15.83</v>
      </c>
      <c r="K600" s="30" t="n">
        <f aca="false">DATE(LEFT(Raw!G600,4),MID(Raw!G600,6,2),MID(Raw!G600,9,2))</f>
        <v>45931</v>
      </c>
      <c r="L600" s="30" t="n">
        <f aca="false">DATE(LEFT(Raw!H600,4),MID(Raw!H600,6,2),MID(Raw!H600,9,2))</f>
        <v>45933</v>
      </c>
      <c r="M600" s="30" t="n">
        <f aca="false">DATE(LEFT(Raw!I600,4),MID(Raw!I600,6,2),MID(Raw!I600,9,2))</f>
        <v>45938</v>
      </c>
      <c r="N600" s="31" t="n">
        <f aca="false">DATE(LEFT(Raw!J600,4),MID(Raw!J600,6,2),MID(Raw!J600,9,2))+TIME(MID(Raw!J600,12,2),MID(Raw!J600,15,2),MID(Raw!J600,18,2))</f>
        <v>45933.25</v>
      </c>
      <c r="O600" s="31" t="n">
        <f aca="false">DATE(LEFT(Raw!K600,4),MID(Raw!K600,6,2),MID(Raw!K600,9,2))+TIME(MID(Raw!K600,12,2),MID(Raw!K600,15,2),MID(Raw!K600,18,2))</f>
        <v>45937</v>
      </c>
      <c r="P600" s="32" t="n">
        <f aca="false">L600-K600</f>
        <v>2</v>
      </c>
      <c r="Q600" s="32" t="n">
        <f aca="false">M600-L600</f>
        <v>5</v>
      </c>
      <c r="R600" s="32" t="n">
        <f aca="false">O600-N600</f>
        <v>3.75</v>
      </c>
      <c r="S600" s="32" t="n">
        <f aca="false">Raw!L600</f>
        <v>-1</v>
      </c>
      <c r="T600" s="32" t="n">
        <f aca="false">O600-M600</f>
        <v>-1</v>
      </c>
      <c r="U600" s="0" t="str">
        <f aca="false">IF(ABS(T600-S600)&lt;0.01,"OK","MISMATCH")</f>
        <v>OK</v>
      </c>
      <c r="V600" s="33" t="n">
        <f aca="false">Raw!M600</f>
        <v>0</v>
      </c>
      <c r="W600" s="0" t="str">
        <f aca="false">IF((S600&gt;0)=(V600=1),"OK","MISMATCH")</f>
        <v>OK</v>
      </c>
      <c r="X600" s="0" t="str">
        <f aca="false">_xlfn.IFS(S600&lt;=0,"Early/On time",S600&lt;=2,"Minor (up to 2 days)",S600&lt;=5,"Moderate (2-5 days)",TRUE(),"Severe (over 5 days)")</f>
        <v>Early/On time</v>
      </c>
      <c r="Y600" s="0" t="str">
        <f aca="false">YEAR(K600)&amp;"-"&amp;TEXT(MONTH(K600),"00")</f>
        <v>2025-10</v>
      </c>
      <c r="Z600" s="0" t="str">
        <f aca="false">C600&amp;" → "&amp;D600</f>
        <v>Surat → Jaipur</v>
      </c>
      <c r="AA600" s="0" t="str">
        <f aca="false">Raw!Q600</f>
        <v>VRL Cargo</v>
      </c>
      <c r="AB600" s="0" t="str">
        <f aca="false">Raw!R600</f>
        <v>Yes</v>
      </c>
      <c r="AC600" s="0" t="str">
        <f aca="false">Raw!S600</f>
        <v>Expedited</v>
      </c>
      <c r="AD600" s="29" t="n">
        <f aca="false">Raw!N600</f>
        <v>7520.82</v>
      </c>
      <c r="AE600" s="29" t="n">
        <f aca="false">Raw!O600</f>
        <v>4744.71</v>
      </c>
      <c r="AF600" s="29" t="n">
        <f aca="false">Raw!P600</f>
        <v>1440.75</v>
      </c>
      <c r="AG600" s="29" t="n">
        <f aca="false">AD600/J600</f>
        <v>475.099178774479</v>
      </c>
    </row>
    <row r="601" customFormat="false" ht="15" hidden="false" customHeight="false" outlineLevel="0" collapsed="false">
      <c r="A601" s="0" t="str">
        <f aca="false">Raw!A601</f>
        <v>SHP0600</v>
      </c>
      <c r="B601" s="0" t="str">
        <f aca="false">Raw!B601</f>
        <v>Inbound</v>
      </c>
      <c r="C601" s="0" t="str">
        <f aca="false">Raw!C601</f>
        <v>Rajasthan</v>
      </c>
      <c r="D601" s="0" t="str">
        <f aca="false">Raw!D601</f>
        <v>Surat</v>
      </c>
      <c r="E601" s="0" t="str">
        <f aca="false">IFERROR(INDEX(Location_Map!$B$2:$B$15,MATCH(C601,Location_Map!$A$2:$A$15,0)),"UNMAPPED")</f>
        <v>Rajasthan</v>
      </c>
      <c r="F601" s="0" t="str">
        <f aca="false">IFERROR(INDEX(Location_Map!$C$2:$C$15,MATCH(C601,Location_Map!$A$2:$A$15,0)),"UNMAPPED")</f>
        <v>North</v>
      </c>
      <c r="G601" s="0" t="str">
        <f aca="false">IFERROR(INDEX(Location_Map!$B$2:$B$15,MATCH(D601,Location_Map!$A$2:$A$15,0)),"UNMAPPED")</f>
        <v>Gujarat</v>
      </c>
      <c r="H601" s="0" t="str">
        <f aca="false">IFERROR(INDEX(Location_Map!$C$2:$C$15,MATCH(D601,Location_Map!$A$2:$A$15,0)),"UNMAPPED")</f>
        <v>West</v>
      </c>
      <c r="I601" s="0" t="str">
        <f aca="false">Raw!E601</f>
        <v>Raw Yarn</v>
      </c>
      <c r="J601" s="28" t="n">
        <f aca="false">Raw!F601</f>
        <v>4.32</v>
      </c>
      <c r="K601" s="30" t="n">
        <f aca="false">DATE(LEFT(Raw!G601,4),MID(Raw!G601,6,2),MID(Raw!G601,9,2))</f>
        <v>45920</v>
      </c>
      <c r="L601" s="30" t="n">
        <f aca="false">DATE(LEFT(Raw!H601,4),MID(Raw!H601,6,2),MID(Raw!H601,9,2))</f>
        <v>45923</v>
      </c>
      <c r="M601" s="30" t="n">
        <f aca="false">DATE(LEFT(Raw!I601,4),MID(Raw!I601,6,2),MID(Raw!I601,9,2))</f>
        <v>45925</v>
      </c>
      <c r="N601" s="31" t="n">
        <f aca="false">DATE(LEFT(Raw!J601,4),MID(Raw!J601,6,2),MID(Raw!J601,9,2))+TIME(MID(Raw!J601,12,2),MID(Raw!J601,15,2),MID(Raw!J601,18,2))</f>
        <v>45922.9166666667</v>
      </c>
      <c r="O601" s="31" t="n">
        <f aca="false">DATE(LEFT(Raw!K601,4),MID(Raw!K601,6,2),MID(Raw!K601,9,2))+TIME(MID(Raw!K601,12,2),MID(Raw!K601,15,2),MID(Raw!K601,18,2))</f>
        <v>45926.8</v>
      </c>
      <c r="P601" s="32" t="n">
        <f aca="false">L601-K601</f>
        <v>3</v>
      </c>
      <c r="Q601" s="32" t="n">
        <f aca="false">M601-L601</f>
        <v>2</v>
      </c>
      <c r="R601" s="32" t="n">
        <f aca="false">O601-N601</f>
        <v>3.88333333333333</v>
      </c>
      <c r="S601" s="32" t="n">
        <f aca="false">Raw!L601</f>
        <v>1.8</v>
      </c>
      <c r="T601" s="32" t="n">
        <f aca="false">O601-M601</f>
        <v>1.8</v>
      </c>
      <c r="U601" s="0" t="str">
        <f aca="false">IF(ABS(T601-S601)&lt;0.01,"OK","MISMATCH")</f>
        <v>OK</v>
      </c>
      <c r="V601" s="33" t="n">
        <f aca="false">Raw!M601</f>
        <v>1</v>
      </c>
      <c r="W601" s="0" t="str">
        <f aca="false">IF((S601&gt;0)=(V601=1),"OK","MISMATCH")</f>
        <v>OK</v>
      </c>
      <c r="X601" s="0" t="str">
        <f aca="false">_xlfn.IFS(S601&lt;=0,"Early/On time",S601&lt;=2,"Minor (up to 2 days)",S601&lt;=5,"Moderate (2-5 days)",TRUE(),"Severe (over 5 days)")</f>
        <v>Minor (up to 2 days)</v>
      </c>
      <c r="Y601" s="0" t="str">
        <f aca="false">YEAR(K601)&amp;"-"&amp;TEXT(MONTH(K601),"00")</f>
        <v>2025-09</v>
      </c>
      <c r="Z601" s="0" t="str">
        <f aca="false">C601&amp;" → "&amp;D601</f>
        <v>Rajasthan → Surat</v>
      </c>
      <c r="AA601" s="0" t="str">
        <f aca="false">Raw!Q601</f>
        <v>TCI Express</v>
      </c>
      <c r="AB601" s="0" t="str">
        <f aca="false">Raw!R601</f>
        <v>Yes</v>
      </c>
      <c r="AC601" s="0" t="str">
        <f aca="false">Raw!S601</f>
        <v>Expedited</v>
      </c>
      <c r="AD601" s="29" t="n">
        <f aca="false">Raw!N601</f>
        <v>1927</v>
      </c>
      <c r="AE601" s="29" t="n">
        <f aca="false">Raw!O601</f>
        <v>4648.83</v>
      </c>
      <c r="AF601" s="29" t="n">
        <f aca="false">Raw!P601</f>
        <v>1133.18</v>
      </c>
      <c r="AG601" s="29" t="n">
        <f aca="false">AD601/J601</f>
        <v>446.064814814815</v>
      </c>
    </row>
    <row r="602" customFormat="false" ht="15" hidden="false" customHeight="false" outlineLevel="0" collapsed="false">
      <c r="A602" s="0" t="str">
        <f aca="false">Raw!A602</f>
        <v>SHP0601</v>
      </c>
      <c r="B602" s="0" t="str">
        <f aca="false">Raw!B602</f>
        <v>Outbound</v>
      </c>
      <c r="C602" s="0" t="str">
        <f aca="false">Raw!C602</f>
        <v>Surat</v>
      </c>
      <c r="D602" s="0" t="str">
        <f aca="false">Raw!D602</f>
        <v>Kerala</v>
      </c>
      <c r="E602" s="0" t="str">
        <f aca="false">IFERROR(INDEX(Location_Map!$B$2:$B$15,MATCH(C602,Location_Map!$A$2:$A$15,0)),"UNMAPPED")</f>
        <v>Gujarat</v>
      </c>
      <c r="F602" s="0" t="str">
        <f aca="false">IFERROR(INDEX(Location_Map!$C$2:$C$15,MATCH(C602,Location_Map!$A$2:$A$15,0)),"UNMAPPED")</f>
        <v>West</v>
      </c>
      <c r="G602" s="0" t="str">
        <f aca="false">IFERROR(INDEX(Location_Map!$B$2:$B$15,MATCH(D602,Location_Map!$A$2:$A$15,0)),"UNMAPPED")</f>
        <v>Kerala</v>
      </c>
      <c r="H602" s="0" t="str">
        <f aca="false">IFERROR(INDEX(Location_Map!$C$2:$C$15,MATCH(D602,Location_Map!$A$2:$A$15,0)),"UNMAPPED")</f>
        <v>South</v>
      </c>
      <c r="I602" s="0" t="str">
        <f aca="false">Raw!E602</f>
        <v>Semi-Processed Yarn</v>
      </c>
      <c r="J602" s="28" t="n">
        <f aca="false">Raw!F602</f>
        <v>14.7</v>
      </c>
      <c r="K602" s="30" t="n">
        <f aca="false">DATE(LEFT(Raw!G602,4),MID(Raw!G602,6,2),MID(Raw!G602,9,2))</f>
        <v>45735</v>
      </c>
      <c r="L602" s="30" t="n">
        <f aca="false">DATE(LEFT(Raw!H602,4),MID(Raw!H602,6,2),MID(Raw!H602,9,2))</f>
        <v>45738</v>
      </c>
      <c r="M602" s="30" t="n">
        <f aca="false">DATE(LEFT(Raw!I602,4),MID(Raw!I602,6,2),MID(Raw!I602,9,2))</f>
        <v>45744</v>
      </c>
      <c r="N602" s="31" t="n">
        <f aca="false">DATE(LEFT(Raw!J602,4),MID(Raw!J602,6,2),MID(Raw!J602,9,2))+TIME(MID(Raw!J602,12,2),MID(Raw!J602,15,2),MID(Raw!J602,18,2))</f>
        <v>45737.8333333333</v>
      </c>
      <c r="O602" s="31" t="n">
        <f aca="false">DATE(LEFT(Raw!K602,4),MID(Raw!K602,6,2),MID(Raw!K602,9,2))+TIME(MID(Raw!K602,12,2),MID(Raw!K602,15,2),MID(Raw!K602,18,2))</f>
        <v>45743</v>
      </c>
      <c r="P602" s="32" t="n">
        <f aca="false">L602-K602</f>
        <v>3</v>
      </c>
      <c r="Q602" s="32" t="n">
        <f aca="false">M602-L602</f>
        <v>6</v>
      </c>
      <c r="R602" s="32" t="n">
        <f aca="false">O602-N602</f>
        <v>5.16666666666667</v>
      </c>
      <c r="S602" s="32" t="n">
        <f aca="false">Raw!L602</f>
        <v>-1</v>
      </c>
      <c r="T602" s="32" t="n">
        <f aca="false">O602-M602</f>
        <v>-1</v>
      </c>
      <c r="U602" s="0" t="str">
        <f aca="false">IF(ABS(T602-S602)&lt;0.01,"OK","MISMATCH")</f>
        <v>OK</v>
      </c>
      <c r="V602" s="33" t="n">
        <f aca="false">Raw!M602</f>
        <v>0</v>
      </c>
      <c r="W602" s="0" t="str">
        <f aca="false">IF((S602&gt;0)=(V602=1),"OK","MISMATCH")</f>
        <v>OK</v>
      </c>
      <c r="X602" s="0" t="str">
        <f aca="false">_xlfn.IFS(S602&lt;=0,"Early/On time",S602&lt;=2,"Minor (up to 2 days)",S602&lt;=5,"Moderate (2-5 days)",TRUE(),"Severe (over 5 days)")</f>
        <v>Early/On time</v>
      </c>
      <c r="Y602" s="0" t="str">
        <f aca="false">YEAR(K602)&amp;"-"&amp;TEXT(MONTH(K602),"00")</f>
        <v>2025-03</v>
      </c>
      <c r="Z602" s="0" t="str">
        <f aca="false">C602&amp;" → "&amp;D602</f>
        <v>Surat → Kerala</v>
      </c>
      <c r="AA602" s="0" t="str">
        <f aca="false">Raw!Q602</f>
        <v>GATI Logistics</v>
      </c>
      <c r="AB602" s="0" t="str">
        <f aca="false">Raw!R602</f>
        <v>Yes</v>
      </c>
      <c r="AC602" s="0" t="str">
        <f aca="false">Raw!S602</f>
        <v>Damaged</v>
      </c>
      <c r="AD602" s="29" t="n">
        <f aca="false">Raw!N602</f>
        <v>6308.45</v>
      </c>
      <c r="AE602" s="29" t="n">
        <f aca="false">Raw!O602</f>
        <v>1940.13</v>
      </c>
      <c r="AF602" s="29" t="n">
        <f aca="false">Raw!P602</f>
        <v>1152.28</v>
      </c>
      <c r="AG602" s="29" t="n">
        <f aca="false">AD602/J602</f>
        <v>429.146258503401</v>
      </c>
    </row>
    <row r="603" customFormat="false" ht="15" hidden="false" customHeight="false" outlineLevel="0" collapsed="false">
      <c r="A603" s="0" t="str">
        <f aca="false">Raw!A603</f>
        <v>SHP0602</v>
      </c>
      <c r="B603" s="0" t="str">
        <f aca="false">Raw!B603</f>
        <v>Inbound</v>
      </c>
      <c r="C603" s="0" t="str">
        <f aca="false">Raw!C603</f>
        <v>Uttar Pradesh</v>
      </c>
      <c r="D603" s="0" t="str">
        <f aca="false">Raw!D603</f>
        <v>Surat</v>
      </c>
      <c r="E603" s="0" t="str">
        <f aca="false">IFERROR(INDEX(Location_Map!$B$2:$B$15,MATCH(C603,Location_Map!$A$2:$A$15,0)),"UNMAPPED")</f>
        <v>Uttar Pradesh</v>
      </c>
      <c r="F603" s="0" t="str">
        <f aca="false">IFERROR(INDEX(Location_Map!$C$2:$C$15,MATCH(C603,Location_Map!$A$2:$A$15,0)),"UNMAPPED")</f>
        <v>North</v>
      </c>
      <c r="G603" s="0" t="str">
        <f aca="false">IFERROR(INDEX(Location_Map!$B$2:$B$15,MATCH(D603,Location_Map!$A$2:$A$15,0)),"UNMAPPED")</f>
        <v>Gujarat</v>
      </c>
      <c r="H603" s="0" t="str">
        <f aca="false">IFERROR(INDEX(Location_Map!$C$2:$C$15,MATCH(D603,Location_Map!$A$2:$A$15,0)),"UNMAPPED")</f>
        <v>West</v>
      </c>
      <c r="I603" s="0" t="str">
        <f aca="false">Raw!E603</f>
        <v>Semi-Processed Yarn</v>
      </c>
      <c r="J603" s="28" t="n">
        <f aca="false">Raw!F603</f>
        <v>8.7</v>
      </c>
      <c r="K603" s="30" t="n">
        <f aca="false">DATE(LEFT(Raw!G603,4),MID(Raw!G603,6,2),MID(Raw!G603,9,2))</f>
        <v>45836</v>
      </c>
      <c r="L603" s="30" t="n">
        <f aca="false">DATE(LEFT(Raw!H603,4),MID(Raw!H603,6,2),MID(Raw!H603,9,2))</f>
        <v>45837</v>
      </c>
      <c r="M603" s="30" t="n">
        <f aca="false">DATE(LEFT(Raw!I603,4),MID(Raw!I603,6,2),MID(Raw!I603,9,2))</f>
        <v>45843</v>
      </c>
      <c r="N603" s="31" t="n">
        <f aca="false">DATE(LEFT(Raw!J603,4),MID(Raw!J603,6,2),MID(Raw!J603,9,2))+TIME(MID(Raw!J603,12,2),MID(Raw!J603,15,2),MID(Raw!J603,18,2))</f>
        <v>45837.1666666667</v>
      </c>
      <c r="O603" s="31" t="n">
        <f aca="false">DATE(LEFT(Raw!K603,4),MID(Raw!K603,6,2),MID(Raw!K603,9,2))+TIME(MID(Raw!K603,12,2),MID(Raw!K603,15,2),MID(Raw!K603,18,2))</f>
        <v>45848.2</v>
      </c>
      <c r="P603" s="32" t="n">
        <f aca="false">L603-K603</f>
        <v>1</v>
      </c>
      <c r="Q603" s="32" t="n">
        <f aca="false">M603-L603</f>
        <v>6</v>
      </c>
      <c r="R603" s="32" t="n">
        <f aca="false">O603-N603</f>
        <v>11.0333333333333</v>
      </c>
      <c r="S603" s="32" t="n">
        <f aca="false">Raw!L603</f>
        <v>5.2</v>
      </c>
      <c r="T603" s="32" t="n">
        <f aca="false">O603-M603</f>
        <v>5.2</v>
      </c>
      <c r="U603" s="0" t="str">
        <f aca="false">IF(ABS(T603-S603)&lt;0.01,"OK","MISMATCH")</f>
        <v>OK</v>
      </c>
      <c r="V603" s="33" t="n">
        <f aca="false">Raw!M603</f>
        <v>1</v>
      </c>
      <c r="W603" s="0" t="str">
        <f aca="false">IF((S603&gt;0)=(V603=1),"OK","MISMATCH")</f>
        <v>OK</v>
      </c>
      <c r="X603" s="0" t="str">
        <f aca="false">_xlfn.IFS(S603&lt;=0,"Early/On time",S603&lt;=2,"Minor (up to 2 days)",S603&lt;=5,"Moderate (2-5 days)",TRUE(),"Severe (over 5 days)")</f>
        <v>Severe (over 5 days)</v>
      </c>
      <c r="Y603" s="0" t="str">
        <f aca="false">YEAR(K603)&amp;"-"&amp;TEXT(MONTH(K603),"00")</f>
        <v>2025-06</v>
      </c>
      <c r="Z603" s="0" t="str">
        <f aca="false">C603&amp;" → "&amp;D603</f>
        <v>Uttar Pradesh → Surat</v>
      </c>
      <c r="AA603" s="0" t="str">
        <f aca="false">Raw!Q603</f>
        <v>BlueDart</v>
      </c>
      <c r="AB603" s="0" t="str">
        <f aca="false">Raw!R603</f>
        <v>No</v>
      </c>
      <c r="AC603" s="0" t="str">
        <f aca="false">Raw!S603</f>
        <v>Normal</v>
      </c>
      <c r="AD603" s="29" t="n">
        <f aca="false">Raw!N603</f>
        <v>5056.39</v>
      </c>
      <c r="AE603" s="29" t="n">
        <f aca="false">Raw!O603</f>
        <v>4278.71</v>
      </c>
      <c r="AF603" s="29" t="n">
        <f aca="false">Raw!P603</f>
        <v>1499.35</v>
      </c>
      <c r="AG603" s="29" t="n">
        <f aca="false">AD603/J603</f>
        <v>581.194252873563</v>
      </c>
    </row>
    <row r="604" customFormat="false" ht="15" hidden="false" customHeight="false" outlineLevel="0" collapsed="false">
      <c r="A604" s="0" t="str">
        <f aca="false">Raw!A604</f>
        <v>SHP0603</v>
      </c>
      <c r="B604" s="0" t="str">
        <f aca="false">Raw!B604</f>
        <v>Outbound</v>
      </c>
      <c r="C604" s="0" t="str">
        <f aca="false">Raw!C604</f>
        <v>Surat</v>
      </c>
      <c r="D604" s="0" t="str">
        <f aca="false">Raw!D604</f>
        <v>Uttarakhand</v>
      </c>
      <c r="E604" s="0" t="str">
        <f aca="false">IFERROR(INDEX(Location_Map!$B$2:$B$15,MATCH(C604,Location_Map!$A$2:$A$15,0)),"UNMAPPED")</f>
        <v>Gujarat</v>
      </c>
      <c r="F604" s="0" t="str">
        <f aca="false">IFERROR(INDEX(Location_Map!$C$2:$C$15,MATCH(C604,Location_Map!$A$2:$A$15,0)),"UNMAPPED")</f>
        <v>West</v>
      </c>
      <c r="G604" s="0" t="str">
        <f aca="false">IFERROR(INDEX(Location_Map!$B$2:$B$15,MATCH(D604,Location_Map!$A$2:$A$15,0)),"UNMAPPED")</f>
        <v>Uttarakhand</v>
      </c>
      <c r="H604" s="0" t="str">
        <f aca="false">IFERROR(INDEX(Location_Map!$C$2:$C$15,MATCH(D604,Location_Map!$A$2:$A$15,0)),"UNMAPPED")</f>
        <v>North</v>
      </c>
      <c r="I604" s="0" t="str">
        <f aca="false">Raw!E604</f>
        <v>Semi-Processed Yarn</v>
      </c>
      <c r="J604" s="28" t="n">
        <f aca="false">Raw!F604</f>
        <v>5.02</v>
      </c>
      <c r="K604" s="30" t="n">
        <f aca="false">DATE(LEFT(Raw!G604,4),MID(Raw!G604,6,2),MID(Raw!G604,9,2))</f>
        <v>45737</v>
      </c>
      <c r="L604" s="30" t="n">
        <f aca="false">DATE(LEFT(Raw!H604,4),MID(Raw!H604,6,2),MID(Raw!H604,9,2))</f>
        <v>45740</v>
      </c>
      <c r="M604" s="30" t="n">
        <f aca="false">DATE(LEFT(Raw!I604,4),MID(Raw!I604,6,2),MID(Raw!I604,9,2))</f>
        <v>45745</v>
      </c>
      <c r="N604" s="31" t="n">
        <f aca="false">DATE(LEFT(Raw!J604,4),MID(Raw!J604,6,2),MID(Raw!J604,9,2))+TIME(MID(Raw!J604,12,2),MID(Raw!J604,15,2),MID(Raw!J604,18,2))</f>
        <v>45739.8333333333</v>
      </c>
      <c r="O604" s="31" t="n">
        <f aca="false">DATE(LEFT(Raw!K604,4),MID(Raw!K604,6,2),MID(Raw!K604,9,2))+TIME(MID(Raw!K604,12,2),MID(Raw!K604,15,2),MID(Raw!K604,18,2))</f>
        <v>45746.4</v>
      </c>
      <c r="P604" s="32" t="n">
        <f aca="false">L604-K604</f>
        <v>3</v>
      </c>
      <c r="Q604" s="32" t="n">
        <f aca="false">M604-L604</f>
        <v>5</v>
      </c>
      <c r="R604" s="32" t="n">
        <f aca="false">O604-N604</f>
        <v>6.56666666666667</v>
      </c>
      <c r="S604" s="32" t="n">
        <f aca="false">Raw!L604</f>
        <v>1.4</v>
      </c>
      <c r="T604" s="32" t="n">
        <f aca="false">O604-M604</f>
        <v>1.4</v>
      </c>
      <c r="U604" s="0" t="str">
        <f aca="false">IF(ABS(T604-S604)&lt;0.01,"OK","MISMATCH")</f>
        <v>OK</v>
      </c>
      <c r="V604" s="33" t="n">
        <f aca="false">Raw!M604</f>
        <v>1</v>
      </c>
      <c r="W604" s="0" t="str">
        <f aca="false">IF((S604&gt;0)=(V604=1),"OK","MISMATCH")</f>
        <v>OK</v>
      </c>
      <c r="X604" s="0" t="str">
        <f aca="false">_xlfn.IFS(S604&lt;=0,"Early/On time",S604&lt;=2,"Minor (up to 2 days)",S604&lt;=5,"Moderate (2-5 days)",TRUE(),"Severe (over 5 days)")</f>
        <v>Minor (up to 2 days)</v>
      </c>
      <c r="Y604" s="0" t="str">
        <f aca="false">YEAR(K604)&amp;"-"&amp;TEXT(MONTH(K604),"00")</f>
        <v>2025-03</v>
      </c>
      <c r="Z604" s="0" t="str">
        <f aca="false">C604&amp;" → "&amp;D604</f>
        <v>Surat → Uttarakhand</v>
      </c>
      <c r="AA604" s="0" t="str">
        <f aca="false">Raw!Q604</f>
        <v>GATI Logistics</v>
      </c>
      <c r="AB604" s="0" t="str">
        <f aca="false">Raw!R604</f>
        <v>No</v>
      </c>
      <c r="AC604" s="0" t="str">
        <f aca="false">Raw!S604</f>
        <v>Expedited</v>
      </c>
      <c r="AD604" s="29" t="n">
        <f aca="false">Raw!N604</f>
        <v>2865.36</v>
      </c>
      <c r="AE604" s="29" t="n">
        <f aca="false">Raw!O604</f>
        <v>4909.75</v>
      </c>
      <c r="AF604" s="29" t="n">
        <f aca="false">Raw!P604</f>
        <v>1464.35</v>
      </c>
      <c r="AG604" s="29" t="n">
        <f aca="false">AD604/J604</f>
        <v>570.788844621514</v>
      </c>
    </row>
    <row r="605" customFormat="false" ht="15" hidden="false" customHeight="false" outlineLevel="0" collapsed="false">
      <c r="A605" s="0" t="str">
        <f aca="false">Raw!A605</f>
        <v>SHP0604</v>
      </c>
      <c r="B605" s="0" t="str">
        <f aca="false">Raw!B605</f>
        <v>Inbound</v>
      </c>
      <c r="C605" s="0" t="str">
        <f aca="false">Raw!C605</f>
        <v>Uttar Pradesh</v>
      </c>
      <c r="D605" s="0" t="str">
        <f aca="false">Raw!D605</f>
        <v>Surat</v>
      </c>
      <c r="E605" s="0" t="str">
        <f aca="false">IFERROR(INDEX(Location_Map!$B$2:$B$15,MATCH(C605,Location_Map!$A$2:$A$15,0)),"UNMAPPED")</f>
        <v>Uttar Pradesh</v>
      </c>
      <c r="F605" s="0" t="str">
        <f aca="false">IFERROR(INDEX(Location_Map!$C$2:$C$15,MATCH(C605,Location_Map!$A$2:$A$15,0)),"UNMAPPED")</f>
        <v>North</v>
      </c>
      <c r="G605" s="0" t="str">
        <f aca="false">IFERROR(INDEX(Location_Map!$B$2:$B$15,MATCH(D605,Location_Map!$A$2:$A$15,0)),"UNMAPPED")</f>
        <v>Gujarat</v>
      </c>
      <c r="H605" s="0" t="str">
        <f aca="false">IFERROR(INDEX(Location_Map!$C$2:$C$15,MATCH(D605,Location_Map!$A$2:$A$15,0)),"UNMAPPED")</f>
        <v>West</v>
      </c>
      <c r="I605" s="0" t="str">
        <f aca="false">Raw!E605</f>
        <v>Finished Yarn</v>
      </c>
      <c r="J605" s="28" t="n">
        <f aca="false">Raw!F605</f>
        <v>4.11</v>
      </c>
      <c r="K605" s="30" t="n">
        <f aca="false">DATE(LEFT(Raw!G605,4),MID(Raw!G605,6,2),MID(Raw!G605,9,2))</f>
        <v>45747</v>
      </c>
      <c r="L605" s="30" t="n">
        <f aca="false">DATE(LEFT(Raw!H605,4),MID(Raw!H605,6,2),MID(Raw!H605,9,2))</f>
        <v>45748</v>
      </c>
      <c r="M605" s="30" t="n">
        <f aca="false">DATE(LEFT(Raw!I605,4),MID(Raw!I605,6,2),MID(Raw!I605,9,2))</f>
        <v>45753</v>
      </c>
      <c r="N605" s="31" t="n">
        <f aca="false">DATE(LEFT(Raw!J605,4),MID(Raw!J605,6,2),MID(Raw!J605,9,2))+TIME(MID(Raw!J605,12,2),MID(Raw!J605,15,2),MID(Raw!J605,18,2))</f>
        <v>45748.2916666667</v>
      </c>
      <c r="O605" s="31" t="n">
        <f aca="false">DATE(LEFT(Raw!K605,4),MID(Raw!K605,6,2),MID(Raw!K605,9,2))+TIME(MID(Raw!K605,12,2),MID(Raw!K605,15,2),MID(Raw!K605,18,2))</f>
        <v>45754.6</v>
      </c>
      <c r="P605" s="32" t="n">
        <f aca="false">L605-K605</f>
        <v>1</v>
      </c>
      <c r="Q605" s="32" t="n">
        <f aca="false">M605-L605</f>
        <v>5</v>
      </c>
      <c r="R605" s="32" t="n">
        <f aca="false">O605-N605</f>
        <v>6.30833333333333</v>
      </c>
      <c r="S605" s="32" t="n">
        <f aca="false">Raw!L605</f>
        <v>1.6</v>
      </c>
      <c r="T605" s="32" t="n">
        <f aca="false">O605-M605</f>
        <v>1.6</v>
      </c>
      <c r="U605" s="0" t="str">
        <f aca="false">IF(ABS(T605-S605)&lt;0.01,"OK","MISMATCH")</f>
        <v>OK</v>
      </c>
      <c r="V605" s="33" t="n">
        <f aca="false">Raw!M605</f>
        <v>1</v>
      </c>
      <c r="W605" s="0" t="str">
        <f aca="false">IF((S605&gt;0)=(V605=1),"OK","MISMATCH")</f>
        <v>OK</v>
      </c>
      <c r="X605" s="0" t="str">
        <f aca="false">_xlfn.IFS(S605&lt;=0,"Early/On time",S605&lt;=2,"Minor (up to 2 days)",S605&lt;=5,"Moderate (2-5 days)",TRUE(),"Severe (over 5 days)")</f>
        <v>Minor (up to 2 days)</v>
      </c>
      <c r="Y605" s="0" t="str">
        <f aca="false">YEAR(K605)&amp;"-"&amp;TEXT(MONTH(K605),"00")</f>
        <v>2025-03</v>
      </c>
      <c r="Z605" s="0" t="str">
        <f aca="false">C605&amp;" → "&amp;D605</f>
        <v>Uttar Pradesh → Surat</v>
      </c>
      <c r="AA605" s="0" t="str">
        <f aca="false">Raw!Q605</f>
        <v>GATI Logistics</v>
      </c>
      <c r="AB605" s="0" t="str">
        <f aca="false">Raw!R605</f>
        <v>Yes</v>
      </c>
      <c r="AC605" s="0" t="str">
        <f aca="false">Raw!S605</f>
        <v>Returned</v>
      </c>
      <c r="AD605" s="29" t="n">
        <f aca="false">Raw!N605</f>
        <v>3011.39</v>
      </c>
      <c r="AE605" s="29" t="n">
        <f aca="false">Raw!O605</f>
        <v>1353.59</v>
      </c>
      <c r="AF605" s="29" t="n">
        <f aca="false">Raw!P605</f>
        <v>842.23</v>
      </c>
      <c r="AG605" s="29" t="n">
        <f aca="false">AD605/J605</f>
        <v>732.698296836983</v>
      </c>
    </row>
    <row r="606" customFormat="false" ht="15" hidden="false" customHeight="false" outlineLevel="0" collapsed="false">
      <c r="A606" s="0" t="str">
        <f aca="false">Raw!A606</f>
        <v>SHP0605</v>
      </c>
      <c r="B606" s="0" t="str">
        <f aca="false">Raw!B606</f>
        <v>Outbound</v>
      </c>
      <c r="C606" s="0" t="str">
        <f aca="false">Raw!C606</f>
        <v>Surat</v>
      </c>
      <c r="D606" s="0" t="str">
        <f aca="false">Raw!D606</f>
        <v>Kerala</v>
      </c>
      <c r="E606" s="0" t="str">
        <f aca="false">IFERROR(INDEX(Location_Map!$B$2:$B$15,MATCH(C606,Location_Map!$A$2:$A$15,0)),"UNMAPPED")</f>
        <v>Gujarat</v>
      </c>
      <c r="F606" s="0" t="str">
        <f aca="false">IFERROR(INDEX(Location_Map!$C$2:$C$15,MATCH(C606,Location_Map!$A$2:$A$15,0)),"UNMAPPED")</f>
        <v>West</v>
      </c>
      <c r="G606" s="0" t="str">
        <f aca="false">IFERROR(INDEX(Location_Map!$B$2:$B$15,MATCH(D606,Location_Map!$A$2:$A$15,0)),"UNMAPPED")</f>
        <v>Kerala</v>
      </c>
      <c r="H606" s="0" t="str">
        <f aca="false">IFERROR(INDEX(Location_Map!$C$2:$C$15,MATCH(D606,Location_Map!$A$2:$A$15,0)),"UNMAPPED")</f>
        <v>South</v>
      </c>
      <c r="I606" s="0" t="str">
        <f aca="false">Raw!E606</f>
        <v>Finished Yarn</v>
      </c>
      <c r="J606" s="28" t="n">
        <f aca="false">Raw!F606</f>
        <v>19.65</v>
      </c>
      <c r="K606" s="30" t="n">
        <f aca="false">DATE(LEFT(Raw!G606,4),MID(Raw!G606,6,2),MID(Raw!G606,9,2))</f>
        <v>45846</v>
      </c>
      <c r="L606" s="30" t="n">
        <f aca="false">DATE(LEFT(Raw!H606,4),MID(Raw!H606,6,2),MID(Raw!H606,9,2))</f>
        <v>45848</v>
      </c>
      <c r="M606" s="30" t="n">
        <f aca="false">DATE(LEFT(Raw!I606,4),MID(Raw!I606,6,2),MID(Raw!I606,9,2))</f>
        <v>45854</v>
      </c>
      <c r="N606" s="31" t="n">
        <f aca="false">DATE(LEFT(Raw!J606,4),MID(Raw!J606,6,2),MID(Raw!J606,9,2))+TIME(MID(Raw!J606,12,2),MID(Raw!J606,15,2),MID(Raw!J606,18,2))</f>
        <v>45848.375</v>
      </c>
      <c r="O606" s="31" t="n">
        <f aca="false">DATE(LEFT(Raw!K606,4),MID(Raw!K606,6,2),MID(Raw!K606,9,2))+TIME(MID(Raw!K606,12,2),MID(Raw!K606,15,2),MID(Raw!K606,18,2))</f>
        <v>45857.2</v>
      </c>
      <c r="P606" s="32" t="n">
        <f aca="false">L606-K606</f>
        <v>2</v>
      </c>
      <c r="Q606" s="32" t="n">
        <f aca="false">M606-L606</f>
        <v>6</v>
      </c>
      <c r="R606" s="32" t="n">
        <f aca="false">O606-N606</f>
        <v>8.825</v>
      </c>
      <c r="S606" s="32" t="n">
        <f aca="false">Raw!L606</f>
        <v>3.2</v>
      </c>
      <c r="T606" s="32" t="n">
        <f aca="false">O606-M606</f>
        <v>3.2</v>
      </c>
      <c r="U606" s="0" t="str">
        <f aca="false">IF(ABS(T606-S606)&lt;0.01,"OK","MISMATCH")</f>
        <v>OK</v>
      </c>
      <c r="V606" s="33" t="n">
        <f aca="false">Raw!M606</f>
        <v>1</v>
      </c>
      <c r="W606" s="0" t="str">
        <f aca="false">IF((S606&gt;0)=(V606=1),"OK","MISMATCH")</f>
        <v>OK</v>
      </c>
      <c r="X606" s="0" t="str">
        <f aca="false">_xlfn.IFS(S606&lt;=0,"Early/On time",S606&lt;=2,"Minor (up to 2 days)",S606&lt;=5,"Moderate (2-5 days)",TRUE(),"Severe (over 5 days)")</f>
        <v>Moderate (2-5 days)</v>
      </c>
      <c r="Y606" s="0" t="str">
        <f aca="false">YEAR(K606)&amp;"-"&amp;TEXT(MONTH(K606),"00")</f>
        <v>2025-07</v>
      </c>
      <c r="Z606" s="0" t="str">
        <f aca="false">C606&amp;" → "&amp;D606</f>
        <v>Surat → Kerala</v>
      </c>
      <c r="AA606" s="0" t="str">
        <f aca="false">Raw!Q606</f>
        <v>BlueDart</v>
      </c>
      <c r="AB606" s="0" t="str">
        <f aca="false">Raw!R606</f>
        <v>No</v>
      </c>
      <c r="AC606" s="0" t="str">
        <f aca="false">Raw!S606</f>
        <v>Held at warehouse</v>
      </c>
      <c r="AD606" s="29" t="n">
        <f aca="false">Raw!N606</f>
        <v>12113.89</v>
      </c>
      <c r="AE606" s="29" t="n">
        <f aca="false">Raw!O606</f>
        <v>2986.97</v>
      </c>
      <c r="AF606" s="29" t="n">
        <f aca="false">Raw!P606</f>
        <v>1342.95</v>
      </c>
      <c r="AG606" s="29" t="n">
        <f aca="false">AD606/J606</f>
        <v>616.482951653944</v>
      </c>
    </row>
    <row r="607" customFormat="false" ht="15" hidden="false" customHeight="false" outlineLevel="0" collapsed="false">
      <c r="A607" s="0" t="str">
        <f aca="false">Raw!A607</f>
        <v>SHP0606</v>
      </c>
      <c r="B607" s="0" t="str">
        <f aca="false">Raw!B607</f>
        <v>Inbound</v>
      </c>
      <c r="C607" s="0" t="str">
        <f aca="false">Raw!C607</f>
        <v>Rajasthan</v>
      </c>
      <c r="D607" s="0" t="str">
        <f aca="false">Raw!D607</f>
        <v>Surat</v>
      </c>
      <c r="E607" s="0" t="str">
        <f aca="false">IFERROR(INDEX(Location_Map!$B$2:$B$15,MATCH(C607,Location_Map!$A$2:$A$15,0)),"UNMAPPED")</f>
        <v>Rajasthan</v>
      </c>
      <c r="F607" s="0" t="str">
        <f aca="false">IFERROR(INDEX(Location_Map!$C$2:$C$15,MATCH(C607,Location_Map!$A$2:$A$15,0)),"UNMAPPED")</f>
        <v>North</v>
      </c>
      <c r="G607" s="0" t="str">
        <f aca="false">IFERROR(INDEX(Location_Map!$B$2:$B$15,MATCH(D607,Location_Map!$A$2:$A$15,0)),"UNMAPPED")</f>
        <v>Gujarat</v>
      </c>
      <c r="H607" s="0" t="str">
        <f aca="false">IFERROR(INDEX(Location_Map!$C$2:$C$15,MATCH(D607,Location_Map!$A$2:$A$15,0)),"UNMAPPED")</f>
        <v>West</v>
      </c>
      <c r="I607" s="0" t="str">
        <f aca="false">Raw!E607</f>
        <v>Finished Yarn</v>
      </c>
      <c r="J607" s="28" t="n">
        <f aca="false">Raw!F607</f>
        <v>9.47</v>
      </c>
      <c r="K607" s="30" t="n">
        <f aca="false">DATE(LEFT(Raw!G607,4),MID(Raw!G607,6,2),MID(Raw!G607,9,2))</f>
        <v>45870</v>
      </c>
      <c r="L607" s="30" t="n">
        <f aca="false">DATE(LEFT(Raw!H607,4),MID(Raw!H607,6,2),MID(Raw!H607,9,2))</f>
        <v>45873</v>
      </c>
      <c r="M607" s="30" t="n">
        <f aca="false">DATE(LEFT(Raw!I607,4),MID(Raw!I607,6,2),MID(Raw!I607,9,2))</f>
        <v>45877</v>
      </c>
      <c r="N607" s="31" t="n">
        <f aca="false">DATE(LEFT(Raw!J607,4),MID(Raw!J607,6,2),MID(Raw!J607,9,2))+TIME(MID(Raw!J607,12,2),MID(Raw!J607,15,2),MID(Raw!J607,18,2))</f>
        <v>45873.375</v>
      </c>
      <c r="O607" s="31" t="n">
        <f aca="false">DATE(LEFT(Raw!K607,4),MID(Raw!K607,6,2),MID(Raw!K607,9,2))+TIME(MID(Raw!K607,12,2),MID(Raw!K607,15,2),MID(Raw!K607,18,2))</f>
        <v>45876.3</v>
      </c>
      <c r="P607" s="32" t="n">
        <f aca="false">L607-K607</f>
        <v>3</v>
      </c>
      <c r="Q607" s="32" t="n">
        <f aca="false">M607-L607</f>
        <v>4</v>
      </c>
      <c r="R607" s="32" t="n">
        <f aca="false">O607-N607</f>
        <v>2.925</v>
      </c>
      <c r="S607" s="32" t="n">
        <f aca="false">Raw!L607</f>
        <v>-0.7</v>
      </c>
      <c r="T607" s="32" t="n">
        <f aca="false">O607-M607</f>
        <v>-0.7</v>
      </c>
      <c r="U607" s="0" t="str">
        <f aca="false">IF(ABS(T607-S607)&lt;0.01,"OK","MISMATCH")</f>
        <v>OK</v>
      </c>
      <c r="V607" s="33" t="n">
        <f aca="false">Raw!M607</f>
        <v>0</v>
      </c>
      <c r="W607" s="0" t="str">
        <f aca="false">IF((S607&gt;0)=(V607=1),"OK","MISMATCH")</f>
        <v>OK</v>
      </c>
      <c r="X607" s="0" t="str">
        <f aca="false">_xlfn.IFS(S607&lt;=0,"Early/On time",S607&lt;=2,"Minor (up to 2 days)",S607&lt;=5,"Moderate (2-5 days)",TRUE(),"Severe (over 5 days)")</f>
        <v>Early/On time</v>
      </c>
      <c r="Y607" s="0" t="str">
        <f aca="false">YEAR(K607)&amp;"-"&amp;TEXT(MONTH(K607),"00")</f>
        <v>2025-08</v>
      </c>
      <c r="Z607" s="0" t="str">
        <f aca="false">C607&amp;" → "&amp;D607</f>
        <v>Rajasthan → Surat</v>
      </c>
      <c r="AA607" s="0" t="str">
        <f aca="false">Raw!Q607</f>
        <v>Delhivery</v>
      </c>
      <c r="AB607" s="0" t="str">
        <f aca="false">Raw!R607</f>
        <v>No</v>
      </c>
      <c r="AC607" s="0" t="str">
        <f aca="false">Raw!S607</f>
        <v>Normal</v>
      </c>
      <c r="AD607" s="29" t="n">
        <f aca="false">Raw!N607</f>
        <v>4885.02</v>
      </c>
      <c r="AE607" s="29" t="n">
        <f aca="false">Raw!O607</f>
        <v>1282.79</v>
      </c>
      <c r="AF607" s="29" t="n">
        <f aca="false">Raw!P607</f>
        <v>861.54</v>
      </c>
      <c r="AG607" s="29" t="n">
        <f aca="false">AD607/J607</f>
        <v>515.841605068638</v>
      </c>
    </row>
    <row r="608" customFormat="false" ht="15" hidden="false" customHeight="false" outlineLevel="0" collapsed="false">
      <c r="A608" s="0" t="str">
        <f aca="false">Raw!A608</f>
        <v>SHP0607</v>
      </c>
      <c r="B608" s="0" t="str">
        <f aca="false">Raw!B608</f>
        <v>Inbound</v>
      </c>
      <c r="C608" s="0" t="str">
        <f aca="false">Raw!C608</f>
        <v>Rajasthan</v>
      </c>
      <c r="D608" s="0" t="str">
        <f aca="false">Raw!D608</f>
        <v>Surat</v>
      </c>
      <c r="E608" s="0" t="str">
        <f aca="false">IFERROR(INDEX(Location_Map!$B$2:$B$15,MATCH(C608,Location_Map!$A$2:$A$15,0)),"UNMAPPED")</f>
        <v>Rajasthan</v>
      </c>
      <c r="F608" s="0" t="str">
        <f aca="false">IFERROR(INDEX(Location_Map!$C$2:$C$15,MATCH(C608,Location_Map!$A$2:$A$15,0)),"UNMAPPED")</f>
        <v>North</v>
      </c>
      <c r="G608" s="0" t="str">
        <f aca="false">IFERROR(INDEX(Location_Map!$B$2:$B$15,MATCH(D608,Location_Map!$A$2:$A$15,0)),"UNMAPPED")</f>
        <v>Gujarat</v>
      </c>
      <c r="H608" s="0" t="str">
        <f aca="false">IFERROR(INDEX(Location_Map!$C$2:$C$15,MATCH(D608,Location_Map!$A$2:$A$15,0)),"UNMAPPED")</f>
        <v>West</v>
      </c>
      <c r="I608" s="0" t="str">
        <f aca="false">Raw!E608</f>
        <v>Raw Yarn</v>
      </c>
      <c r="J608" s="28" t="n">
        <f aca="false">Raw!F608</f>
        <v>11.16</v>
      </c>
      <c r="K608" s="30" t="n">
        <f aca="false">DATE(LEFT(Raw!G608,4),MID(Raw!G608,6,2),MID(Raw!G608,9,2))</f>
        <v>45956</v>
      </c>
      <c r="L608" s="30" t="n">
        <f aca="false">DATE(LEFT(Raw!H608,4),MID(Raw!H608,6,2),MID(Raw!H608,9,2))</f>
        <v>45958</v>
      </c>
      <c r="M608" s="30" t="n">
        <f aca="false">DATE(LEFT(Raw!I608,4),MID(Raw!I608,6,2),MID(Raw!I608,9,2))</f>
        <v>45964</v>
      </c>
      <c r="N608" s="31" t="n">
        <f aca="false">DATE(LEFT(Raw!J608,4),MID(Raw!J608,6,2),MID(Raw!J608,9,2))+TIME(MID(Raw!J608,12,2),MID(Raw!J608,15,2),MID(Raw!J608,18,2))</f>
        <v>45957.7916666667</v>
      </c>
      <c r="O608" s="31" t="n">
        <f aca="false">DATE(LEFT(Raw!K608,4),MID(Raw!K608,6,2),MID(Raw!K608,9,2))+TIME(MID(Raw!K608,12,2),MID(Raw!K608,15,2),MID(Raw!K608,18,2))</f>
        <v>45963</v>
      </c>
      <c r="P608" s="32" t="n">
        <f aca="false">L608-K608</f>
        <v>2</v>
      </c>
      <c r="Q608" s="32" t="n">
        <f aca="false">M608-L608</f>
        <v>6</v>
      </c>
      <c r="R608" s="32" t="n">
        <f aca="false">O608-N608</f>
        <v>5.20833333333333</v>
      </c>
      <c r="S608" s="32" t="n">
        <f aca="false">Raw!L608</f>
        <v>-1</v>
      </c>
      <c r="T608" s="32" t="n">
        <f aca="false">O608-M608</f>
        <v>-1</v>
      </c>
      <c r="U608" s="0" t="str">
        <f aca="false">IF(ABS(T608-S608)&lt;0.01,"OK","MISMATCH")</f>
        <v>OK</v>
      </c>
      <c r="V608" s="33" t="n">
        <f aca="false">Raw!M608</f>
        <v>0</v>
      </c>
      <c r="W608" s="0" t="str">
        <f aca="false">IF((S608&gt;0)=(V608=1),"OK","MISMATCH")</f>
        <v>OK</v>
      </c>
      <c r="X608" s="0" t="str">
        <f aca="false">_xlfn.IFS(S608&lt;=0,"Early/On time",S608&lt;=2,"Minor (up to 2 days)",S608&lt;=5,"Moderate (2-5 days)",TRUE(),"Severe (over 5 days)")</f>
        <v>Early/On time</v>
      </c>
      <c r="Y608" s="0" t="str">
        <f aca="false">YEAR(K608)&amp;"-"&amp;TEXT(MONTH(K608),"00")</f>
        <v>2025-10</v>
      </c>
      <c r="Z608" s="0" t="str">
        <f aca="false">C608&amp;" → "&amp;D608</f>
        <v>Rajasthan → Surat</v>
      </c>
      <c r="AA608" s="0" t="str">
        <f aca="false">Raw!Q608</f>
        <v>Delhivery</v>
      </c>
      <c r="AB608" s="0" t="str">
        <f aca="false">Raw!R608</f>
        <v>No</v>
      </c>
      <c r="AC608" s="0" t="str">
        <f aca="false">Raw!S608</f>
        <v>Normal</v>
      </c>
      <c r="AD608" s="29" t="n">
        <f aca="false">Raw!N608</f>
        <v>6743.84</v>
      </c>
      <c r="AE608" s="29" t="n">
        <f aca="false">Raw!O608</f>
        <v>3417.22</v>
      </c>
      <c r="AF608" s="29" t="n">
        <f aca="false">Raw!P608</f>
        <v>1130.02</v>
      </c>
      <c r="AG608" s="29" t="n">
        <f aca="false">AD608/J608</f>
        <v>604.286738351255</v>
      </c>
    </row>
    <row r="609" customFormat="false" ht="15" hidden="false" customHeight="false" outlineLevel="0" collapsed="false">
      <c r="A609" s="0" t="str">
        <f aca="false">Raw!A609</f>
        <v>SHP0608</v>
      </c>
      <c r="B609" s="0" t="str">
        <f aca="false">Raw!B609</f>
        <v>Inbound</v>
      </c>
      <c r="C609" s="0" t="str">
        <f aca="false">Raw!C609</f>
        <v>Punjab</v>
      </c>
      <c r="D609" s="0" t="str">
        <f aca="false">Raw!D609</f>
        <v>Surat</v>
      </c>
      <c r="E609" s="0" t="str">
        <f aca="false">IFERROR(INDEX(Location_Map!$B$2:$B$15,MATCH(C609,Location_Map!$A$2:$A$15,0)),"UNMAPPED")</f>
        <v>Punjab</v>
      </c>
      <c r="F609" s="0" t="str">
        <f aca="false">IFERROR(INDEX(Location_Map!$C$2:$C$15,MATCH(C609,Location_Map!$A$2:$A$15,0)),"UNMAPPED")</f>
        <v>North</v>
      </c>
      <c r="G609" s="0" t="str">
        <f aca="false">IFERROR(INDEX(Location_Map!$B$2:$B$15,MATCH(D609,Location_Map!$A$2:$A$15,0)),"UNMAPPED")</f>
        <v>Gujarat</v>
      </c>
      <c r="H609" s="0" t="str">
        <f aca="false">IFERROR(INDEX(Location_Map!$C$2:$C$15,MATCH(D609,Location_Map!$A$2:$A$15,0)),"UNMAPPED")</f>
        <v>West</v>
      </c>
      <c r="I609" s="0" t="str">
        <f aca="false">Raw!E609</f>
        <v>Finished Yarn</v>
      </c>
      <c r="J609" s="28" t="n">
        <f aca="false">Raw!F609</f>
        <v>8.93</v>
      </c>
      <c r="K609" s="30" t="n">
        <f aca="false">DATE(LEFT(Raw!G609,4),MID(Raw!G609,6,2),MID(Raw!G609,9,2))</f>
        <v>45701</v>
      </c>
      <c r="L609" s="30" t="n">
        <f aca="false">DATE(LEFT(Raw!H609,4),MID(Raw!H609,6,2),MID(Raw!H609,9,2))</f>
        <v>45702</v>
      </c>
      <c r="M609" s="30" t="n">
        <f aca="false">DATE(LEFT(Raw!I609,4),MID(Raw!I609,6,2),MID(Raw!I609,9,2))</f>
        <v>45707</v>
      </c>
      <c r="N609" s="31" t="n">
        <f aca="false">DATE(LEFT(Raw!J609,4),MID(Raw!J609,6,2),MID(Raw!J609,9,2))+TIME(MID(Raw!J609,12,2),MID(Raw!J609,15,2),MID(Raw!J609,18,2))</f>
        <v>45702</v>
      </c>
      <c r="O609" s="31" t="n">
        <f aca="false">DATE(LEFT(Raw!K609,4),MID(Raw!K609,6,2),MID(Raw!K609,9,2))+TIME(MID(Raw!K609,12,2),MID(Raw!K609,15,2),MID(Raw!K609,18,2))</f>
        <v>45706</v>
      </c>
      <c r="P609" s="32" t="n">
        <f aca="false">L609-K609</f>
        <v>1</v>
      </c>
      <c r="Q609" s="32" t="n">
        <f aca="false">M609-L609</f>
        <v>5</v>
      </c>
      <c r="R609" s="32" t="n">
        <f aca="false">O609-N609</f>
        <v>4</v>
      </c>
      <c r="S609" s="32" t="n">
        <f aca="false">Raw!L609</f>
        <v>-1</v>
      </c>
      <c r="T609" s="32" t="n">
        <f aca="false">O609-M609</f>
        <v>-1</v>
      </c>
      <c r="U609" s="0" t="str">
        <f aca="false">IF(ABS(T609-S609)&lt;0.01,"OK","MISMATCH")</f>
        <v>OK</v>
      </c>
      <c r="V609" s="33" t="n">
        <f aca="false">Raw!M609</f>
        <v>0</v>
      </c>
      <c r="W609" s="0" t="str">
        <f aca="false">IF((S609&gt;0)=(V609=1),"OK","MISMATCH")</f>
        <v>OK</v>
      </c>
      <c r="X609" s="0" t="str">
        <f aca="false">_xlfn.IFS(S609&lt;=0,"Early/On time",S609&lt;=2,"Minor (up to 2 days)",S609&lt;=5,"Moderate (2-5 days)",TRUE(),"Severe (over 5 days)")</f>
        <v>Early/On time</v>
      </c>
      <c r="Y609" s="0" t="str">
        <f aca="false">YEAR(K609)&amp;"-"&amp;TEXT(MONTH(K609),"00")</f>
        <v>2025-02</v>
      </c>
      <c r="Z609" s="0" t="str">
        <f aca="false">C609&amp;" → "&amp;D609</f>
        <v>Punjab → Surat</v>
      </c>
      <c r="AA609" s="0" t="str">
        <f aca="false">Raw!Q609</f>
        <v>VRL Cargo</v>
      </c>
      <c r="AB609" s="0" t="str">
        <f aca="false">Raw!R609</f>
        <v>Yes</v>
      </c>
      <c r="AC609" s="0" t="str">
        <f aca="false">Raw!S609</f>
        <v>Damaged</v>
      </c>
      <c r="AD609" s="29" t="n">
        <f aca="false">Raw!N609</f>
        <v>3933.45</v>
      </c>
      <c r="AE609" s="29" t="n">
        <f aca="false">Raw!O609</f>
        <v>2381.06</v>
      </c>
      <c r="AF609" s="29" t="n">
        <f aca="false">Raw!P609</f>
        <v>672.76</v>
      </c>
      <c r="AG609" s="29" t="n">
        <f aca="false">AD609/J609</f>
        <v>440.475923852184</v>
      </c>
    </row>
    <row r="610" customFormat="false" ht="15" hidden="false" customHeight="false" outlineLevel="0" collapsed="false">
      <c r="A610" s="0" t="str">
        <f aca="false">Raw!A610</f>
        <v>SHP0609</v>
      </c>
      <c r="B610" s="0" t="str">
        <f aca="false">Raw!B610</f>
        <v>Outbound</v>
      </c>
      <c r="C610" s="0" t="str">
        <f aca="false">Raw!C610</f>
        <v>Surat</v>
      </c>
      <c r="D610" s="0" t="str">
        <f aca="false">Raw!D610</f>
        <v>West Bengal</v>
      </c>
      <c r="E610" s="0" t="str">
        <f aca="false">IFERROR(INDEX(Location_Map!$B$2:$B$15,MATCH(C610,Location_Map!$A$2:$A$15,0)),"UNMAPPED")</f>
        <v>Gujarat</v>
      </c>
      <c r="F610" s="0" t="str">
        <f aca="false">IFERROR(INDEX(Location_Map!$C$2:$C$15,MATCH(C610,Location_Map!$A$2:$A$15,0)),"UNMAPPED")</f>
        <v>West</v>
      </c>
      <c r="G610" s="0" t="str">
        <f aca="false">IFERROR(INDEX(Location_Map!$B$2:$B$15,MATCH(D610,Location_Map!$A$2:$A$15,0)),"UNMAPPED")</f>
        <v>West Bengal</v>
      </c>
      <c r="H610" s="0" t="str">
        <f aca="false">IFERROR(INDEX(Location_Map!$C$2:$C$15,MATCH(D610,Location_Map!$A$2:$A$15,0)),"UNMAPPED")</f>
        <v>East</v>
      </c>
      <c r="I610" s="0" t="str">
        <f aca="false">Raw!E610</f>
        <v>Raw Yarn</v>
      </c>
      <c r="J610" s="28" t="n">
        <f aca="false">Raw!F610</f>
        <v>12.82</v>
      </c>
      <c r="K610" s="30" t="n">
        <f aca="false">DATE(LEFT(Raw!G610,4),MID(Raw!G610,6,2),MID(Raw!G610,9,2))</f>
        <v>45922</v>
      </c>
      <c r="L610" s="30" t="n">
        <f aca="false">DATE(LEFT(Raw!H610,4),MID(Raw!H610,6,2),MID(Raw!H610,9,2))</f>
        <v>45926</v>
      </c>
      <c r="M610" s="30" t="n">
        <f aca="false">DATE(LEFT(Raw!I610,4),MID(Raw!I610,6,2),MID(Raw!I610,9,2))</f>
        <v>45930</v>
      </c>
      <c r="N610" s="31" t="n">
        <f aca="false">DATE(LEFT(Raw!J610,4),MID(Raw!J610,6,2),MID(Raw!J610,9,2))+TIME(MID(Raw!J610,12,2),MID(Raw!J610,15,2),MID(Raw!J610,18,2))</f>
        <v>45926.0833333333</v>
      </c>
      <c r="O610" s="31" t="n">
        <f aca="false">DATE(LEFT(Raw!K610,4),MID(Raw!K610,6,2),MID(Raw!K610,9,2))+TIME(MID(Raw!K610,12,2),MID(Raw!K610,15,2),MID(Raw!K610,18,2))</f>
        <v>45936.3</v>
      </c>
      <c r="P610" s="32" t="n">
        <f aca="false">L610-K610</f>
        <v>4</v>
      </c>
      <c r="Q610" s="32" t="n">
        <f aca="false">M610-L610</f>
        <v>4</v>
      </c>
      <c r="R610" s="32" t="n">
        <f aca="false">O610-N610</f>
        <v>10.2166666666667</v>
      </c>
      <c r="S610" s="32" t="n">
        <f aca="false">Raw!L610</f>
        <v>6.3</v>
      </c>
      <c r="T610" s="32" t="n">
        <f aca="false">O610-M610</f>
        <v>6.3</v>
      </c>
      <c r="U610" s="0" t="str">
        <f aca="false">IF(ABS(T610-S610)&lt;0.01,"OK","MISMATCH")</f>
        <v>OK</v>
      </c>
      <c r="V610" s="33" t="n">
        <f aca="false">Raw!M610</f>
        <v>1</v>
      </c>
      <c r="W610" s="0" t="str">
        <f aca="false">IF((S610&gt;0)=(V610=1),"OK","MISMATCH")</f>
        <v>OK</v>
      </c>
      <c r="X610" s="0" t="str">
        <f aca="false">_xlfn.IFS(S610&lt;=0,"Early/On time",S610&lt;=2,"Minor (up to 2 days)",S610&lt;=5,"Moderate (2-5 days)",TRUE(),"Severe (over 5 days)")</f>
        <v>Severe (over 5 days)</v>
      </c>
      <c r="Y610" s="0" t="str">
        <f aca="false">YEAR(K610)&amp;"-"&amp;TEXT(MONTH(K610),"00")</f>
        <v>2025-09</v>
      </c>
      <c r="Z610" s="0" t="str">
        <f aca="false">C610&amp;" → "&amp;D610</f>
        <v>Surat → West Bengal</v>
      </c>
      <c r="AA610" s="0" t="str">
        <f aca="false">Raw!Q610</f>
        <v>BlueDart</v>
      </c>
      <c r="AB610" s="0" t="str">
        <f aca="false">Raw!R610</f>
        <v>No</v>
      </c>
      <c r="AC610" s="0" t="str">
        <f aca="false">Raw!S610</f>
        <v>Held at warehouse</v>
      </c>
      <c r="AD610" s="29" t="n">
        <f aca="false">Raw!N610</f>
        <v>9088.21</v>
      </c>
      <c r="AE610" s="29" t="n">
        <f aca="false">Raw!O610</f>
        <v>3528.48</v>
      </c>
      <c r="AF610" s="29" t="n">
        <f aca="false">Raw!P610</f>
        <v>935.29</v>
      </c>
      <c r="AG610" s="29" t="n">
        <f aca="false">AD610/J610</f>
        <v>708.908736349454</v>
      </c>
    </row>
    <row r="611" customFormat="false" ht="15" hidden="false" customHeight="false" outlineLevel="0" collapsed="false">
      <c r="A611" s="0" t="str">
        <f aca="false">Raw!A611</f>
        <v>SHP0610</v>
      </c>
      <c r="B611" s="0" t="str">
        <f aca="false">Raw!B611</f>
        <v>Inbound</v>
      </c>
      <c r="C611" s="0" t="str">
        <f aca="false">Raw!C611</f>
        <v>Rajasthan</v>
      </c>
      <c r="D611" s="0" t="str">
        <f aca="false">Raw!D611</f>
        <v>Surat</v>
      </c>
      <c r="E611" s="0" t="str">
        <f aca="false">IFERROR(INDEX(Location_Map!$B$2:$B$15,MATCH(C611,Location_Map!$A$2:$A$15,0)),"UNMAPPED")</f>
        <v>Rajasthan</v>
      </c>
      <c r="F611" s="0" t="str">
        <f aca="false">IFERROR(INDEX(Location_Map!$C$2:$C$15,MATCH(C611,Location_Map!$A$2:$A$15,0)),"UNMAPPED")</f>
        <v>North</v>
      </c>
      <c r="G611" s="0" t="str">
        <f aca="false">IFERROR(INDEX(Location_Map!$B$2:$B$15,MATCH(D611,Location_Map!$A$2:$A$15,0)),"UNMAPPED")</f>
        <v>Gujarat</v>
      </c>
      <c r="H611" s="0" t="str">
        <f aca="false">IFERROR(INDEX(Location_Map!$C$2:$C$15,MATCH(D611,Location_Map!$A$2:$A$15,0)),"UNMAPPED")</f>
        <v>West</v>
      </c>
      <c r="I611" s="0" t="str">
        <f aca="false">Raw!E611</f>
        <v>Finished Yarn</v>
      </c>
      <c r="J611" s="28" t="n">
        <f aca="false">Raw!F611</f>
        <v>10.98</v>
      </c>
      <c r="K611" s="30" t="n">
        <f aca="false">DATE(LEFT(Raw!G611,4),MID(Raw!G611,6,2),MID(Raw!G611,9,2))</f>
        <v>45717</v>
      </c>
      <c r="L611" s="30" t="n">
        <f aca="false">DATE(LEFT(Raw!H611,4),MID(Raw!H611,6,2),MID(Raw!H611,9,2))</f>
        <v>45721</v>
      </c>
      <c r="M611" s="30" t="n">
        <f aca="false">DATE(LEFT(Raw!I611,4),MID(Raw!I611,6,2),MID(Raw!I611,9,2))</f>
        <v>45726</v>
      </c>
      <c r="N611" s="31" t="n">
        <f aca="false">DATE(LEFT(Raw!J611,4),MID(Raw!J611,6,2),MID(Raw!J611,9,2))+TIME(MID(Raw!J611,12,2),MID(Raw!J611,15,2),MID(Raw!J611,18,2))</f>
        <v>45721.125</v>
      </c>
      <c r="O611" s="31" t="n">
        <f aca="false">DATE(LEFT(Raw!K611,4),MID(Raw!K611,6,2),MID(Raw!K611,9,2))+TIME(MID(Raw!K611,12,2),MID(Raw!K611,15,2),MID(Raw!K611,18,2))</f>
        <v>45726.5</v>
      </c>
      <c r="P611" s="32" t="n">
        <f aca="false">L611-K611</f>
        <v>4</v>
      </c>
      <c r="Q611" s="32" t="n">
        <f aca="false">M611-L611</f>
        <v>5</v>
      </c>
      <c r="R611" s="32" t="n">
        <f aca="false">O611-N611</f>
        <v>5.375</v>
      </c>
      <c r="S611" s="32" t="n">
        <f aca="false">Raw!L611</f>
        <v>0.5</v>
      </c>
      <c r="T611" s="32" t="n">
        <f aca="false">O611-M611</f>
        <v>0.5</v>
      </c>
      <c r="U611" s="0" t="str">
        <f aca="false">IF(ABS(T611-S611)&lt;0.01,"OK","MISMATCH")</f>
        <v>OK</v>
      </c>
      <c r="V611" s="33" t="n">
        <f aca="false">Raw!M611</f>
        <v>1</v>
      </c>
      <c r="W611" s="0" t="str">
        <f aca="false">IF((S611&gt;0)=(V611=1),"OK","MISMATCH")</f>
        <v>OK</v>
      </c>
      <c r="X611" s="0" t="str">
        <f aca="false">_xlfn.IFS(S611&lt;=0,"Early/On time",S611&lt;=2,"Minor (up to 2 days)",S611&lt;=5,"Moderate (2-5 days)",TRUE(),"Severe (over 5 days)")</f>
        <v>Minor (up to 2 days)</v>
      </c>
      <c r="Y611" s="0" t="str">
        <f aca="false">YEAR(K611)&amp;"-"&amp;TEXT(MONTH(K611),"00")</f>
        <v>2025-03</v>
      </c>
      <c r="Z611" s="0" t="str">
        <f aca="false">C611&amp;" → "&amp;D611</f>
        <v>Rajasthan → Surat</v>
      </c>
      <c r="AA611" s="0" t="str">
        <f aca="false">Raw!Q611</f>
        <v>GATI Logistics</v>
      </c>
      <c r="AB611" s="0" t="str">
        <f aca="false">Raw!R611</f>
        <v>Yes</v>
      </c>
      <c r="AC611" s="0" t="str">
        <f aca="false">Raw!S611</f>
        <v>Expedited</v>
      </c>
      <c r="AD611" s="29" t="n">
        <f aca="false">Raw!N611</f>
        <v>5199.07</v>
      </c>
      <c r="AE611" s="29" t="n">
        <f aca="false">Raw!O611</f>
        <v>2076.76</v>
      </c>
      <c r="AF611" s="29" t="n">
        <f aca="false">Raw!P611</f>
        <v>1482.26</v>
      </c>
      <c r="AG611" s="29" t="n">
        <f aca="false">AD611/J611</f>
        <v>473.50364298725</v>
      </c>
    </row>
    <row r="612" customFormat="false" ht="15" hidden="false" customHeight="false" outlineLevel="0" collapsed="false">
      <c r="A612" s="0" t="str">
        <f aca="false">Raw!A612</f>
        <v>SHP0611</v>
      </c>
      <c r="B612" s="0" t="str">
        <f aca="false">Raw!B612</f>
        <v>Inbound</v>
      </c>
      <c r="C612" s="0" t="str">
        <f aca="false">Raw!C612</f>
        <v>Rajasthan</v>
      </c>
      <c r="D612" s="0" t="str">
        <f aca="false">Raw!D612</f>
        <v>Surat</v>
      </c>
      <c r="E612" s="0" t="str">
        <f aca="false">IFERROR(INDEX(Location_Map!$B$2:$B$15,MATCH(C612,Location_Map!$A$2:$A$15,0)),"UNMAPPED")</f>
        <v>Rajasthan</v>
      </c>
      <c r="F612" s="0" t="str">
        <f aca="false">IFERROR(INDEX(Location_Map!$C$2:$C$15,MATCH(C612,Location_Map!$A$2:$A$15,0)),"UNMAPPED")</f>
        <v>North</v>
      </c>
      <c r="G612" s="0" t="str">
        <f aca="false">IFERROR(INDEX(Location_Map!$B$2:$B$15,MATCH(D612,Location_Map!$A$2:$A$15,0)),"UNMAPPED")</f>
        <v>Gujarat</v>
      </c>
      <c r="H612" s="0" t="str">
        <f aca="false">IFERROR(INDEX(Location_Map!$C$2:$C$15,MATCH(D612,Location_Map!$A$2:$A$15,0)),"UNMAPPED")</f>
        <v>West</v>
      </c>
      <c r="I612" s="0" t="str">
        <f aca="false">Raw!E612</f>
        <v>Semi-Processed Yarn</v>
      </c>
      <c r="J612" s="28" t="n">
        <f aca="false">Raw!F612</f>
        <v>8.28</v>
      </c>
      <c r="K612" s="30" t="n">
        <f aca="false">DATE(LEFT(Raw!G612,4),MID(Raw!G612,6,2),MID(Raw!G612,9,2))</f>
        <v>45711</v>
      </c>
      <c r="L612" s="30" t="n">
        <f aca="false">DATE(LEFT(Raw!H612,4),MID(Raw!H612,6,2),MID(Raw!H612,9,2))</f>
        <v>45713</v>
      </c>
      <c r="M612" s="30" t="n">
        <f aca="false">DATE(LEFT(Raw!I612,4),MID(Raw!I612,6,2),MID(Raw!I612,9,2))</f>
        <v>45716</v>
      </c>
      <c r="N612" s="31" t="n">
        <f aca="false">DATE(LEFT(Raw!J612,4),MID(Raw!J612,6,2),MID(Raw!J612,9,2))+TIME(MID(Raw!J612,12,2),MID(Raw!J612,15,2),MID(Raw!J612,18,2))</f>
        <v>45713.1666666667</v>
      </c>
      <c r="O612" s="31" t="n">
        <f aca="false">DATE(LEFT(Raw!K612,4),MID(Raw!K612,6,2),MID(Raw!K612,9,2))+TIME(MID(Raw!K612,12,2),MID(Raw!K612,15,2),MID(Raw!K612,18,2))</f>
        <v>45721.3</v>
      </c>
      <c r="P612" s="32" t="n">
        <f aca="false">L612-K612</f>
        <v>2</v>
      </c>
      <c r="Q612" s="32" t="n">
        <f aca="false">M612-L612</f>
        <v>3</v>
      </c>
      <c r="R612" s="32" t="n">
        <f aca="false">O612-N612</f>
        <v>8.13333333333333</v>
      </c>
      <c r="S612" s="32" t="n">
        <f aca="false">Raw!L612</f>
        <v>5.3</v>
      </c>
      <c r="T612" s="32" t="n">
        <f aca="false">O612-M612</f>
        <v>5.3</v>
      </c>
      <c r="U612" s="0" t="str">
        <f aca="false">IF(ABS(T612-S612)&lt;0.01,"OK","MISMATCH")</f>
        <v>OK</v>
      </c>
      <c r="V612" s="33" t="n">
        <f aca="false">Raw!M612</f>
        <v>1</v>
      </c>
      <c r="W612" s="0" t="str">
        <f aca="false">IF((S612&gt;0)=(V612=1),"OK","MISMATCH")</f>
        <v>OK</v>
      </c>
      <c r="X612" s="0" t="str">
        <f aca="false">_xlfn.IFS(S612&lt;=0,"Early/On time",S612&lt;=2,"Minor (up to 2 days)",S612&lt;=5,"Moderate (2-5 days)",TRUE(),"Severe (over 5 days)")</f>
        <v>Severe (over 5 days)</v>
      </c>
      <c r="Y612" s="0" t="str">
        <f aca="false">YEAR(K612)&amp;"-"&amp;TEXT(MONTH(K612),"00")</f>
        <v>2025-02</v>
      </c>
      <c r="Z612" s="0" t="str">
        <f aca="false">C612&amp;" → "&amp;D612</f>
        <v>Rajasthan → Surat</v>
      </c>
      <c r="AA612" s="0" t="str">
        <f aca="false">Raw!Q612</f>
        <v>BlueDart</v>
      </c>
      <c r="AB612" s="0" t="str">
        <f aca="false">Raw!R612</f>
        <v>No</v>
      </c>
      <c r="AC612" s="0" t="str">
        <f aca="false">Raw!S612</f>
        <v>Returned</v>
      </c>
      <c r="AD612" s="29" t="n">
        <f aca="false">Raw!N612</f>
        <v>5454.1</v>
      </c>
      <c r="AE612" s="29" t="n">
        <f aca="false">Raw!O612</f>
        <v>1116.68</v>
      </c>
      <c r="AF612" s="29" t="n">
        <f aca="false">Raw!P612</f>
        <v>1041.24</v>
      </c>
      <c r="AG612" s="29" t="n">
        <f aca="false">AD612/J612</f>
        <v>658.707729468599</v>
      </c>
    </row>
    <row r="613" customFormat="false" ht="15" hidden="false" customHeight="false" outlineLevel="0" collapsed="false">
      <c r="A613" s="0" t="str">
        <f aca="false">Raw!A613</f>
        <v>SHP0612</v>
      </c>
      <c r="B613" s="0" t="str">
        <f aca="false">Raw!B613</f>
        <v>Outbound</v>
      </c>
      <c r="C613" s="0" t="str">
        <f aca="false">Raw!C613</f>
        <v>Surat</v>
      </c>
      <c r="D613" s="0" t="str">
        <f aca="false">Raw!D613</f>
        <v>Gujarat</v>
      </c>
      <c r="E613" s="0" t="str">
        <f aca="false">IFERROR(INDEX(Location_Map!$B$2:$B$15,MATCH(C613,Location_Map!$A$2:$A$15,0)),"UNMAPPED")</f>
        <v>Gujarat</v>
      </c>
      <c r="F613" s="0" t="str">
        <f aca="false">IFERROR(INDEX(Location_Map!$C$2:$C$15,MATCH(C613,Location_Map!$A$2:$A$15,0)),"UNMAPPED")</f>
        <v>West</v>
      </c>
      <c r="G613" s="0" t="str">
        <f aca="false">IFERROR(INDEX(Location_Map!$B$2:$B$15,MATCH(D613,Location_Map!$A$2:$A$15,0)),"UNMAPPED")</f>
        <v>Gujarat</v>
      </c>
      <c r="H613" s="0" t="str">
        <f aca="false">IFERROR(INDEX(Location_Map!$C$2:$C$15,MATCH(D613,Location_Map!$A$2:$A$15,0)),"UNMAPPED")</f>
        <v>West</v>
      </c>
      <c r="I613" s="0" t="str">
        <f aca="false">Raw!E613</f>
        <v>Semi-Processed Yarn</v>
      </c>
      <c r="J613" s="28" t="n">
        <f aca="false">Raw!F613</f>
        <v>2.01</v>
      </c>
      <c r="K613" s="30" t="n">
        <f aca="false">DATE(LEFT(Raw!G613,4),MID(Raw!G613,6,2),MID(Raw!G613,9,2))</f>
        <v>45868</v>
      </c>
      <c r="L613" s="30" t="n">
        <f aca="false">DATE(LEFT(Raw!H613,4),MID(Raw!H613,6,2),MID(Raw!H613,9,2))</f>
        <v>45869</v>
      </c>
      <c r="M613" s="30" t="n">
        <f aca="false">DATE(LEFT(Raw!I613,4),MID(Raw!I613,6,2),MID(Raw!I613,9,2))</f>
        <v>45872</v>
      </c>
      <c r="N613" s="31" t="n">
        <f aca="false">DATE(LEFT(Raw!J613,4),MID(Raw!J613,6,2),MID(Raw!J613,9,2))+TIME(MID(Raw!J613,12,2),MID(Raw!J613,15,2),MID(Raw!J613,18,2))</f>
        <v>45869.2916666667</v>
      </c>
      <c r="O613" s="31" t="n">
        <f aca="false">DATE(LEFT(Raw!K613,4),MID(Raw!K613,6,2),MID(Raw!K613,9,2))+TIME(MID(Raw!K613,12,2),MID(Raw!K613,15,2),MID(Raw!K613,18,2))</f>
        <v>45875.3</v>
      </c>
      <c r="P613" s="32" t="n">
        <f aca="false">L613-K613</f>
        <v>1</v>
      </c>
      <c r="Q613" s="32" t="n">
        <f aca="false">M613-L613</f>
        <v>3</v>
      </c>
      <c r="R613" s="32" t="n">
        <f aca="false">O613-N613</f>
        <v>6.00833333333333</v>
      </c>
      <c r="S613" s="32" t="n">
        <f aca="false">Raw!L613</f>
        <v>3.3</v>
      </c>
      <c r="T613" s="32" t="n">
        <f aca="false">O613-M613</f>
        <v>3.3</v>
      </c>
      <c r="U613" s="0" t="str">
        <f aca="false">IF(ABS(T613-S613)&lt;0.01,"OK","MISMATCH")</f>
        <v>OK</v>
      </c>
      <c r="V613" s="33" t="n">
        <f aca="false">Raw!M613</f>
        <v>1</v>
      </c>
      <c r="W613" s="0" t="str">
        <f aca="false">IF((S613&gt;0)=(V613=1),"OK","MISMATCH")</f>
        <v>OK</v>
      </c>
      <c r="X613" s="0" t="str">
        <f aca="false">_xlfn.IFS(S613&lt;=0,"Early/On time",S613&lt;=2,"Minor (up to 2 days)",S613&lt;=5,"Moderate (2-5 days)",TRUE(),"Severe (over 5 days)")</f>
        <v>Moderate (2-5 days)</v>
      </c>
      <c r="Y613" s="0" t="str">
        <f aca="false">YEAR(K613)&amp;"-"&amp;TEXT(MONTH(K613),"00")</f>
        <v>2025-07</v>
      </c>
      <c r="Z613" s="0" t="str">
        <f aca="false">C613&amp;" → "&amp;D613</f>
        <v>Surat → Gujarat</v>
      </c>
      <c r="AA613" s="0" t="str">
        <f aca="false">Raw!Q613</f>
        <v>VRL Cargo</v>
      </c>
      <c r="AB613" s="0" t="str">
        <f aca="false">Raw!R613</f>
        <v>No</v>
      </c>
      <c r="AC613" s="0" t="str">
        <f aca="false">Raw!S613</f>
        <v>Damaged</v>
      </c>
      <c r="AD613" s="29" t="n">
        <f aca="false">Raw!N613</f>
        <v>2274.95</v>
      </c>
      <c r="AE613" s="29" t="n">
        <f aca="false">Raw!O613</f>
        <v>2943.54</v>
      </c>
      <c r="AF613" s="29" t="n">
        <f aca="false">Raw!P613</f>
        <v>1065.85</v>
      </c>
      <c r="AG613" s="29" t="n">
        <f aca="false">AD613/J613</f>
        <v>1131.81592039801</v>
      </c>
    </row>
    <row r="614" customFormat="false" ht="15" hidden="false" customHeight="false" outlineLevel="0" collapsed="false">
      <c r="A614" s="0" t="str">
        <f aca="false">Raw!A614</f>
        <v>SHP0613</v>
      </c>
      <c r="B614" s="0" t="str">
        <f aca="false">Raw!B614</f>
        <v>Outbound</v>
      </c>
      <c r="C614" s="0" t="str">
        <f aca="false">Raw!C614</f>
        <v>Surat</v>
      </c>
      <c r="D614" s="0" t="str">
        <f aca="false">Raw!D614</f>
        <v>West Bengal</v>
      </c>
      <c r="E614" s="0" t="str">
        <f aca="false">IFERROR(INDEX(Location_Map!$B$2:$B$15,MATCH(C614,Location_Map!$A$2:$A$15,0)),"UNMAPPED")</f>
        <v>Gujarat</v>
      </c>
      <c r="F614" s="0" t="str">
        <f aca="false">IFERROR(INDEX(Location_Map!$C$2:$C$15,MATCH(C614,Location_Map!$A$2:$A$15,0)),"UNMAPPED")</f>
        <v>West</v>
      </c>
      <c r="G614" s="0" t="str">
        <f aca="false">IFERROR(INDEX(Location_Map!$B$2:$B$15,MATCH(D614,Location_Map!$A$2:$A$15,0)),"UNMAPPED")</f>
        <v>West Bengal</v>
      </c>
      <c r="H614" s="0" t="str">
        <f aca="false">IFERROR(INDEX(Location_Map!$C$2:$C$15,MATCH(D614,Location_Map!$A$2:$A$15,0)),"UNMAPPED")</f>
        <v>East</v>
      </c>
      <c r="I614" s="0" t="str">
        <f aca="false">Raw!E614</f>
        <v>Raw Yarn</v>
      </c>
      <c r="J614" s="28" t="n">
        <f aca="false">Raw!F614</f>
        <v>18.42</v>
      </c>
      <c r="K614" s="30" t="n">
        <f aca="false">DATE(LEFT(Raw!G614,4),MID(Raw!G614,6,2),MID(Raw!G614,9,2))</f>
        <v>45898</v>
      </c>
      <c r="L614" s="30" t="n">
        <f aca="false">DATE(LEFT(Raw!H614,4),MID(Raw!H614,6,2),MID(Raw!H614,9,2))</f>
        <v>45900</v>
      </c>
      <c r="M614" s="30" t="n">
        <f aca="false">DATE(LEFT(Raw!I614,4),MID(Raw!I614,6,2),MID(Raw!I614,9,2))</f>
        <v>45903</v>
      </c>
      <c r="N614" s="31" t="n">
        <f aca="false">DATE(LEFT(Raw!J614,4),MID(Raw!J614,6,2),MID(Raw!J614,9,2))+TIME(MID(Raw!J614,12,2),MID(Raw!J614,15,2),MID(Raw!J614,18,2))</f>
        <v>45900.1666666667</v>
      </c>
      <c r="O614" s="31" t="n">
        <f aca="false">DATE(LEFT(Raw!K614,4),MID(Raw!K614,6,2),MID(Raw!K614,9,2))+TIME(MID(Raw!K614,12,2),MID(Raw!K614,15,2),MID(Raw!K614,18,2))</f>
        <v>45904.3</v>
      </c>
      <c r="P614" s="32" t="n">
        <f aca="false">L614-K614</f>
        <v>2</v>
      </c>
      <c r="Q614" s="32" t="n">
        <f aca="false">M614-L614</f>
        <v>3</v>
      </c>
      <c r="R614" s="32" t="n">
        <f aca="false">O614-N614</f>
        <v>4.13333333333333</v>
      </c>
      <c r="S614" s="32" t="n">
        <f aca="false">Raw!L614</f>
        <v>1.3</v>
      </c>
      <c r="T614" s="32" t="n">
        <f aca="false">O614-M614</f>
        <v>1.3</v>
      </c>
      <c r="U614" s="0" t="str">
        <f aca="false">IF(ABS(T614-S614)&lt;0.01,"OK","MISMATCH")</f>
        <v>OK</v>
      </c>
      <c r="V614" s="33" t="n">
        <f aca="false">Raw!M614</f>
        <v>1</v>
      </c>
      <c r="W614" s="0" t="str">
        <f aca="false">IF((S614&gt;0)=(V614=1),"OK","MISMATCH")</f>
        <v>OK</v>
      </c>
      <c r="X614" s="0" t="str">
        <f aca="false">_xlfn.IFS(S614&lt;=0,"Early/On time",S614&lt;=2,"Minor (up to 2 days)",S614&lt;=5,"Moderate (2-5 days)",TRUE(),"Severe (over 5 days)")</f>
        <v>Minor (up to 2 days)</v>
      </c>
      <c r="Y614" s="0" t="str">
        <f aca="false">YEAR(K614)&amp;"-"&amp;TEXT(MONTH(K614),"00")</f>
        <v>2025-08</v>
      </c>
      <c r="Z614" s="0" t="str">
        <f aca="false">C614&amp;" → "&amp;D614</f>
        <v>Surat → West Bengal</v>
      </c>
      <c r="AA614" s="0" t="str">
        <f aca="false">Raw!Q614</f>
        <v>Delhivery</v>
      </c>
      <c r="AB614" s="0" t="str">
        <f aca="false">Raw!R614</f>
        <v>Yes</v>
      </c>
      <c r="AC614" s="0" t="str">
        <f aca="false">Raw!S614</f>
        <v>Normal</v>
      </c>
      <c r="AD614" s="29" t="n">
        <f aca="false">Raw!N614</f>
        <v>4890.96</v>
      </c>
      <c r="AE614" s="29" t="n">
        <f aca="false">Raw!O614</f>
        <v>2001.36</v>
      </c>
      <c r="AF614" s="29" t="n">
        <f aca="false">Raw!P614</f>
        <v>1331.72</v>
      </c>
      <c r="AG614" s="29" t="n">
        <f aca="false">AD614/J614</f>
        <v>265.524429967427</v>
      </c>
    </row>
    <row r="615" customFormat="false" ht="15" hidden="false" customHeight="false" outlineLevel="0" collapsed="false">
      <c r="A615" s="0" t="str">
        <f aca="false">Raw!A615</f>
        <v>SHP0614</v>
      </c>
      <c r="B615" s="0" t="str">
        <f aca="false">Raw!B615</f>
        <v>Inbound</v>
      </c>
      <c r="C615" s="0" t="str">
        <f aca="false">Raw!C615</f>
        <v>Uttar Pradesh</v>
      </c>
      <c r="D615" s="0" t="str">
        <f aca="false">Raw!D615</f>
        <v>Surat</v>
      </c>
      <c r="E615" s="0" t="str">
        <f aca="false">IFERROR(INDEX(Location_Map!$B$2:$B$15,MATCH(C615,Location_Map!$A$2:$A$15,0)),"UNMAPPED")</f>
        <v>Uttar Pradesh</v>
      </c>
      <c r="F615" s="0" t="str">
        <f aca="false">IFERROR(INDEX(Location_Map!$C$2:$C$15,MATCH(C615,Location_Map!$A$2:$A$15,0)),"UNMAPPED")</f>
        <v>North</v>
      </c>
      <c r="G615" s="0" t="str">
        <f aca="false">IFERROR(INDEX(Location_Map!$B$2:$B$15,MATCH(D615,Location_Map!$A$2:$A$15,0)),"UNMAPPED")</f>
        <v>Gujarat</v>
      </c>
      <c r="H615" s="0" t="str">
        <f aca="false">IFERROR(INDEX(Location_Map!$C$2:$C$15,MATCH(D615,Location_Map!$A$2:$A$15,0)),"UNMAPPED")</f>
        <v>West</v>
      </c>
      <c r="I615" s="0" t="str">
        <f aca="false">Raw!E615</f>
        <v>Semi-Processed Yarn</v>
      </c>
      <c r="J615" s="28" t="n">
        <f aca="false">Raw!F615</f>
        <v>9.8</v>
      </c>
      <c r="K615" s="30" t="n">
        <f aca="false">DATE(LEFT(Raw!G615,4),MID(Raw!G615,6,2),MID(Raw!G615,9,2))</f>
        <v>45804</v>
      </c>
      <c r="L615" s="30" t="n">
        <f aca="false">DATE(LEFT(Raw!H615,4),MID(Raw!H615,6,2),MID(Raw!H615,9,2))</f>
        <v>45808</v>
      </c>
      <c r="M615" s="30" t="n">
        <f aca="false">DATE(LEFT(Raw!I615,4),MID(Raw!I615,6,2),MID(Raw!I615,9,2))</f>
        <v>45812</v>
      </c>
      <c r="N615" s="31" t="n">
        <f aca="false">DATE(LEFT(Raw!J615,4),MID(Raw!J615,6,2),MID(Raw!J615,9,2))+TIME(MID(Raw!J615,12,2),MID(Raw!J615,15,2),MID(Raw!J615,18,2))</f>
        <v>45808.0416666667</v>
      </c>
      <c r="O615" s="31" t="n">
        <f aca="false">DATE(LEFT(Raw!K615,4),MID(Raw!K615,6,2),MID(Raw!K615,9,2))+TIME(MID(Raw!K615,12,2),MID(Raw!K615,15,2),MID(Raw!K615,18,2))</f>
        <v>45821.9</v>
      </c>
      <c r="P615" s="32" t="n">
        <f aca="false">L615-K615</f>
        <v>4</v>
      </c>
      <c r="Q615" s="32" t="n">
        <f aca="false">M615-L615</f>
        <v>4</v>
      </c>
      <c r="R615" s="32" t="n">
        <f aca="false">O615-N615</f>
        <v>13.8583333333333</v>
      </c>
      <c r="S615" s="32" t="n">
        <f aca="false">Raw!L615</f>
        <v>9.9</v>
      </c>
      <c r="T615" s="32" t="n">
        <f aca="false">O615-M615</f>
        <v>9.9</v>
      </c>
      <c r="U615" s="0" t="str">
        <f aca="false">IF(ABS(T615-S615)&lt;0.01,"OK","MISMATCH")</f>
        <v>OK</v>
      </c>
      <c r="V615" s="33" t="n">
        <f aca="false">Raw!M615</f>
        <v>1</v>
      </c>
      <c r="W615" s="0" t="str">
        <f aca="false">IF((S615&gt;0)=(V615=1),"OK","MISMATCH")</f>
        <v>OK</v>
      </c>
      <c r="X615" s="0" t="str">
        <f aca="false">_xlfn.IFS(S615&lt;=0,"Early/On time",S615&lt;=2,"Minor (up to 2 days)",S615&lt;=5,"Moderate (2-5 days)",TRUE(),"Severe (over 5 days)")</f>
        <v>Severe (over 5 days)</v>
      </c>
      <c r="Y615" s="0" t="str">
        <f aca="false">YEAR(K615)&amp;"-"&amp;TEXT(MONTH(K615),"00")</f>
        <v>2025-05</v>
      </c>
      <c r="Z615" s="0" t="str">
        <f aca="false">C615&amp;" → "&amp;D615</f>
        <v>Uttar Pradesh → Surat</v>
      </c>
      <c r="AA615" s="0" t="str">
        <f aca="false">Raw!Q615</f>
        <v>VRL Cargo</v>
      </c>
      <c r="AB615" s="0" t="str">
        <f aca="false">Raw!R615</f>
        <v>Yes</v>
      </c>
      <c r="AC615" s="0" t="str">
        <f aca="false">Raw!S615</f>
        <v>Expedited</v>
      </c>
      <c r="AD615" s="29" t="n">
        <f aca="false">Raw!N615</f>
        <v>3891.74</v>
      </c>
      <c r="AE615" s="29" t="n">
        <f aca="false">Raw!O615</f>
        <v>4719.74</v>
      </c>
      <c r="AF615" s="29" t="n">
        <f aca="false">Raw!P615</f>
        <v>958.71</v>
      </c>
      <c r="AG615" s="29" t="n">
        <f aca="false">AD615/J615</f>
        <v>397.116326530612</v>
      </c>
    </row>
    <row r="616" customFormat="false" ht="15" hidden="false" customHeight="false" outlineLevel="0" collapsed="false">
      <c r="A616" s="0" t="str">
        <f aca="false">Raw!A616</f>
        <v>SHP0615</v>
      </c>
      <c r="B616" s="0" t="str">
        <f aca="false">Raw!B616</f>
        <v>Inbound</v>
      </c>
      <c r="C616" s="0" t="str">
        <f aca="false">Raw!C616</f>
        <v>Chennai</v>
      </c>
      <c r="D616" s="0" t="str">
        <f aca="false">Raw!D616</f>
        <v>Surat</v>
      </c>
      <c r="E616" s="0" t="str">
        <f aca="false">IFERROR(INDEX(Location_Map!$B$2:$B$15,MATCH(C616,Location_Map!$A$2:$A$15,0)),"UNMAPPED")</f>
        <v>Tamil Nadu</v>
      </c>
      <c r="F616" s="0" t="str">
        <f aca="false">IFERROR(INDEX(Location_Map!$C$2:$C$15,MATCH(C616,Location_Map!$A$2:$A$15,0)),"UNMAPPED")</f>
        <v>South</v>
      </c>
      <c r="G616" s="0" t="str">
        <f aca="false">IFERROR(INDEX(Location_Map!$B$2:$B$15,MATCH(D616,Location_Map!$A$2:$A$15,0)),"UNMAPPED")</f>
        <v>Gujarat</v>
      </c>
      <c r="H616" s="0" t="str">
        <f aca="false">IFERROR(INDEX(Location_Map!$C$2:$C$15,MATCH(D616,Location_Map!$A$2:$A$15,0)),"UNMAPPED")</f>
        <v>West</v>
      </c>
      <c r="I616" s="0" t="str">
        <f aca="false">Raw!E616</f>
        <v>Raw Yarn</v>
      </c>
      <c r="J616" s="28" t="n">
        <f aca="false">Raw!F616</f>
        <v>4.45</v>
      </c>
      <c r="K616" s="30" t="n">
        <f aca="false">DATE(LEFT(Raw!G616,4),MID(Raw!G616,6,2),MID(Raw!G616,9,2))</f>
        <v>45748</v>
      </c>
      <c r="L616" s="30" t="n">
        <f aca="false">DATE(LEFT(Raw!H616,4),MID(Raw!H616,6,2),MID(Raw!H616,9,2))</f>
        <v>45749</v>
      </c>
      <c r="M616" s="30" t="n">
        <f aca="false">DATE(LEFT(Raw!I616,4),MID(Raw!I616,6,2),MID(Raw!I616,9,2))</f>
        <v>45754</v>
      </c>
      <c r="N616" s="31" t="n">
        <f aca="false">DATE(LEFT(Raw!J616,4),MID(Raw!J616,6,2),MID(Raw!J616,9,2))+TIME(MID(Raw!J616,12,2),MID(Raw!J616,15,2),MID(Raw!J616,18,2))</f>
        <v>45748.875</v>
      </c>
      <c r="O616" s="31" t="n">
        <f aca="false">DATE(LEFT(Raw!K616,4),MID(Raw!K616,6,2),MID(Raw!K616,9,2))+TIME(MID(Raw!K616,12,2),MID(Raw!K616,15,2),MID(Raw!K616,18,2))</f>
        <v>45758.2</v>
      </c>
      <c r="P616" s="32" t="n">
        <f aca="false">L616-K616</f>
        <v>1</v>
      </c>
      <c r="Q616" s="32" t="n">
        <f aca="false">M616-L616</f>
        <v>5</v>
      </c>
      <c r="R616" s="32" t="n">
        <f aca="false">O616-N616</f>
        <v>9.325</v>
      </c>
      <c r="S616" s="32" t="n">
        <f aca="false">Raw!L616</f>
        <v>4.2</v>
      </c>
      <c r="T616" s="32" t="n">
        <f aca="false">O616-M616</f>
        <v>4.2</v>
      </c>
      <c r="U616" s="0" t="str">
        <f aca="false">IF(ABS(T616-S616)&lt;0.01,"OK","MISMATCH")</f>
        <v>OK</v>
      </c>
      <c r="V616" s="33" t="n">
        <f aca="false">Raw!M616</f>
        <v>1</v>
      </c>
      <c r="W616" s="0" t="str">
        <f aca="false">IF((S616&gt;0)=(V616=1),"OK","MISMATCH")</f>
        <v>OK</v>
      </c>
      <c r="X616" s="0" t="str">
        <f aca="false">_xlfn.IFS(S616&lt;=0,"Early/On time",S616&lt;=2,"Minor (up to 2 days)",S616&lt;=5,"Moderate (2-5 days)",TRUE(),"Severe (over 5 days)")</f>
        <v>Moderate (2-5 days)</v>
      </c>
      <c r="Y616" s="0" t="str">
        <f aca="false">YEAR(K616)&amp;"-"&amp;TEXT(MONTH(K616),"00")</f>
        <v>2025-04</v>
      </c>
      <c r="Z616" s="0" t="str">
        <f aca="false">C616&amp;" → "&amp;D616</f>
        <v>Chennai → Surat</v>
      </c>
      <c r="AA616" s="0" t="str">
        <f aca="false">Raw!Q616</f>
        <v>VRL Cargo</v>
      </c>
      <c r="AB616" s="0" t="str">
        <f aca="false">Raw!R616</f>
        <v>Yes</v>
      </c>
      <c r="AC616" s="0" t="str">
        <f aca="false">Raw!S616</f>
        <v>Damaged</v>
      </c>
      <c r="AD616" s="29" t="n">
        <f aca="false">Raw!N616</f>
        <v>2782.84</v>
      </c>
      <c r="AE616" s="29" t="n">
        <f aca="false">Raw!O616</f>
        <v>2528.22</v>
      </c>
      <c r="AF616" s="29" t="n">
        <f aca="false">Raw!P616</f>
        <v>528.23</v>
      </c>
      <c r="AG616" s="29" t="n">
        <f aca="false">AD616/J616</f>
        <v>625.357303370787</v>
      </c>
    </row>
    <row r="617" customFormat="false" ht="15" hidden="false" customHeight="false" outlineLevel="0" collapsed="false">
      <c r="A617" s="0" t="str">
        <f aca="false">Raw!A617</f>
        <v>SHP0616</v>
      </c>
      <c r="B617" s="0" t="str">
        <f aca="false">Raw!B617</f>
        <v>Inbound</v>
      </c>
      <c r="C617" s="0" t="str">
        <f aca="false">Raw!C617</f>
        <v>Punjab</v>
      </c>
      <c r="D617" s="0" t="str">
        <f aca="false">Raw!D617</f>
        <v>Surat</v>
      </c>
      <c r="E617" s="0" t="str">
        <f aca="false">IFERROR(INDEX(Location_Map!$B$2:$B$15,MATCH(C617,Location_Map!$A$2:$A$15,0)),"UNMAPPED")</f>
        <v>Punjab</v>
      </c>
      <c r="F617" s="0" t="str">
        <f aca="false">IFERROR(INDEX(Location_Map!$C$2:$C$15,MATCH(C617,Location_Map!$A$2:$A$15,0)),"UNMAPPED")</f>
        <v>North</v>
      </c>
      <c r="G617" s="0" t="str">
        <f aca="false">IFERROR(INDEX(Location_Map!$B$2:$B$15,MATCH(D617,Location_Map!$A$2:$A$15,0)),"UNMAPPED")</f>
        <v>Gujarat</v>
      </c>
      <c r="H617" s="0" t="str">
        <f aca="false">IFERROR(INDEX(Location_Map!$C$2:$C$15,MATCH(D617,Location_Map!$A$2:$A$15,0)),"UNMAPPED")</f>
        <v>West</v>
      </c>
      <c r="I617" s="0" t="str">
        <f aca="false">Raw!E617</f>
        <v>Finished Yarn</v>
      </c>
      <c r="J617" s="28" t="n">
        <f aca="false">Raw!F617</f>
        <v>17.25</v>
      </c>
      <c r="K617" s="30" t="n">
        <f aca="false">DATE(LEFT(Raw!G617,4),MID(Raw!G617,6,2),MID(Raw!G617,9,2))</f>
        <v>45765</v>
      </c>
      <c r="L617" s="30" t="n">
        <f aca="false">DATE(LEFT(Raw!H617,4),MID(Raw!H617,6,2),MID(Raw!H617,9,2))</f>
        <v>45768</v>
      </c>
      <c r="M617" s="30" t="n">
        <f aca="false">DATE(LEFT(Raw!I617,4),MID(Raw!I617,6,2),MID(Raw!I617,9,2))</f>
        <v>45772</v>
      </c>
      <c r="N617" s="31" t="n">
        <f aca="false">DATE(LEFT(Raw!J617,4),MID(Raw!J617,6,2),MID(Raw!J617,9,2))+TIME(MID(Raw!J617,12,2),MID(Raw!J617,15,2),MID(Raw!J617,18,2))</f>
        <v>45767.875</v>
      </c>
      <c r="O617" s="31" t="n">
        <f aca="false">DATE(LEFT(Raw!K617,4),MID(Raw!K617,6,2),MID(Raw!K617,9,2))+TIME(MID(Raw!K617,12,2),MID(Raw!K617,15,2),MID(Raw!K617,18,2))</f>
        <v>45773.5</v>
      </c>
      <c r="P617" s="32" t="n">
        <f aca="false">L617-K617</f>
        <v>3</v>
      </c>
      <c r="Q617" s="32" t="n">
        <f aca="false">M617-L617</f>
        <v>4</v>
      </c>
      <c r="R617" s="32" t="n">
        <f aca="false">O617-N617</f>
        <v>5.625</v>
      </c>
      <c r="S617" s="32" t="n">
        <f aca="false">Raw!L617</f>
        <v>1.5</v>
      </c>
      <c r="T617" s="32" t="n">
        <f aca="false">O617-M617</f>
        <v>1.5</v>
      </c>
      <c r="U617" s="0" t="str">
        <f aca="false">IF(ABS(T617-S617)&lt;0.01,"OK","MISMATCH")</f>
        <v>OK</v>
      </c>
      <c r="V617" s="33" t="n">
        <f aca="false">Raw!M617</f>
        <v>1</v>
      </c>
      <c r="W617" s="0" t="str">
        <f aca="false">IF((S617&gt;0)=(V617=1),"OK","MISMATCH")</f>
        <v>OK</v>
      </c>
      <c r="X617" s="0" t="str">
        <f aca="false">_xlfn.IFS(S617&lt;=0,"Early/On time",S617&lt;=2,"Minor (up to 2 days)",S617&lt;=5,"Moderate (2-5 days)",TRUE(),"Severe (over 5 days)")</f>
        <v>Minor (up to 2 days)</v>
      </c>
      <c r="Y617" s="0" t="str">
        <f aca="false">YEAR(K617)&amp;"-"&amp;TEXT(MONTH(K617),"00")</f>
        <v>2025-04</v>
      </c>
      <c r="Z617" s="0" t="str">
        <f aca="false">C617&amp;" → "&amp;D617</f>
        <v>Punjab → Surat</v>
      </c>
      <c r="AA617" s="0" t="str">
        <f aca="false">Raw!Q617</f>
        <v>VRL Cargo</v>
      </c>
      <c r="AB617" s="0" t="str">
        <f aca="false">Raw!R617</f>
        <v>No</v>
      </c>
      <c r="AC617" s="0" t="str">
        <f aca="false">Raw!S617</f>
        <v>Held at warehouse</v>
      </c>
      <c r="AD617" s="29" t="n">
        <f aca="false">Raw!N617</f>
        <v>6771.29</v>
      </c>
      <c r="AE617" s="29" t="n">
        <f aca="false">Raw!O617</f>
        <v>4848.85</v>
      </c>
      <c r="AF617" s="29" t="n">
        <f aca="false">Raw!P617</f>
        <v>1464.49</v>
      </c>
      <c r="AG617" s="29" t="n">
        <f aca="false">AD617/J617</f>
        <v>392.538550724638</v>
      </c>
    </row>
    <row r="618" customFormat="false" ht="15" hidden="false" customHeight="false" outlineLevel="0" collapsed="false">
      <c r="A618" s="0" t="str">
        <f aca="false">Raw!A618</f>
        <v>SHP0617</v>
      </c>
      <c r="B618" s="0" t="str">
        <f aca="false">Raw!B618</f>
        <v>Outbound</v>
      </c>
      <c r="C618" s="0" t="str">
        <f aca="false">Raw!C618</f>
        <v>Surat</v>
      </c>
      <c r="D618" s="0" t="str">
        <f aca="false">Raw!D618</f>
        <v>Uttarakhand</v>
      </c>
      <c r="E618" s="0" t="str">
        <f aca="false">IFERROR(INDEX(Location_Map!$B$2:$B$15,MATCH(C618,Location_Map!$A$2:$A$15,0)),"UNMAPPED")</f>
        <v>Gujarat</v>
      </c>
      <c r="F618" s="0" t="str">
        <f aca="false">IFERROR(INDEX(Location_Map!$C$2:$C$15,MATCH(C618,Location_Map!$A$2:$A$15,0)),"UNMAPPED")</f>
        <v>West</v>
      </c>
      <c r="G618" s="0" t="str">
        <f aca="false">IFERROR(INDEX(Location_Map!$B$2:$B$15,MATCH(D618,Location_Map!$A$2:$A$15,0)),"UNMAPPED")</f>
        <v>Uttarakhand</v>
      </c>
      <c r="H618" s="0" t="str">
        <f aca="false">IFERROR(INDEX(Location_Map!$C$2:$C$15,MATCH(D618,Location_Map!$A$2:$A$15,0)),"UNMAPPED")</f>
        <v>North</v>
      </c>
      <c r="I618" s="0" t="str">
        <f aca="false">Raw!E618</f>
        <v>Semi-Processed Yarn</v>
      </c>
      <c r="J618" s="28" t="n">
        <f aca="false">Raw!F618</f>
        <v>6.5</v>
      </c>
      <c r="K618" s="30" t="n">
        <f aca="false">DATE(LEFT(Raw!G618,4),MID(Raw!G618,6,2),MID(Raw!G618,9,2))</f>
        <v>45801</v>
      </c>
      <c r="L618" s="30" t="n">
        <f aca="false">DATE(LEFT(Raw!H618,4),MID(Raw!H618,6,2),MID(Raw!H618,9,2))</f>
        <v>45805</v>
      </c>
      <c r="M618" s="30" t="n">
        <f aca="false">DATE(LEFT(Raw!I618,4),MID(Raw!I618,6,2),MID(Raw!I618,9,2))</f>
        <v>45810</v>
      </c>
      <c r="N618" s="31" t="n">
        <f aca="false">DATE(LEFT(Raw!J618,4),MID(Raw!J618,6,2),MID(Raw!J618,9,2))+TIME(MID(Raw!J618,12,2),MID(Raw!J618,15,2),MID(Raw!J618,18,2))</f>
        <v>45805.2916666667</v>
      </c>
      <c r="O618" s="31" t="n">
        <f aca="false">DATE(LEFT(Raw!K618,4),MID(Raw!K618,6,2),MID(Raw!K618,9,2))+TIME(MID(Raw!K618,12,2),MID(Raw!K618,15,2),MID(Raw!K618,18,2))</f>
        <v>45814.6</v>
      </c>
      <c r="P618" s="32" t="n">
        <f aca="false">L618-K618</f>
        <v>4</v>
      </c>
      <c r="Q618" s="32" t="n">
        <f aca="false">M618-L618</f>
        <v>5</v>
      </c>
      <c r="R618" s="32" t="n">
        <f aca="false">O618-N618</f>
        <v>9.30833333333333</v>
      </c>
      <c r="S618" s="32" t="n">
        <f aca="false">Raw!L618</f>
        <v>4.6</v>
      </c>
      <c r="T618" s="32" t="n">
        <f aca="false">O618-M618</f>
        <v>4.6</v>
      </c>
      <c r="U618" s="0" t="str">
        <f aca="false">IF(ABS(T618-S618)&lt;0.01,"OK","MISMATCH")</f>
        <v>OK</v>
      </c>
      <c r="V618" s="33" t="n">
        <f aca="false">Raw!M618</f>
        <v>1</v>
      </c>
      <c r="W618" s="0" t="str">
        <f aca="false">IF((S618&gt;0)=(V618=1),"OK","MISMATCH")</f>
        <v>OK</v>
      </c>
      <c r="X618" s="0" t="str">
        <f aca="false">_xlfn.IFS(S618&lt;=0,"Early/On time",S618&lt;=2,"Minor (up to 2 days)",S618&lt;=5,"Moderate (2-5 days)",TRUE(),"Severe (over 5 days)")</f>
        <v>Moderate (2-5 days)</v>
      </c>
      <c r="Y618" s="0" t="str">
        <f aca="false">YEAR(K618)&amp;"-"&amp;TEXT(MONTH(K618),"00")</f>
        <v>2025-05</v>
      </c>
      <c r="Z618" s="0" t="str">
        <f aca="false">C618&amp;" → "&amp;D618</f>
        <v>Surat → Uttarakhand</v>
      </c>
      <c r="AA618" s="0" t="str">
        <f aca="false">Raw!Q618</f>
        <v>GATI Logistics</v>
      </c>
      <c r="AB618" s="0" t="str">
        <f aca="false">Raw!R618</f>
        <v>Yes</v>
      </c>
      <c r="AC618" s="0" t="str">
        <f aca="false">Raw!S618</f>
        <v>Expedited</v>
      </c>
      <c r="AD618" s="29" t="n">
        <f aca="false">Raw!N618</f>
        <v>2691.15</v>
      </c>
      <c r="AE618" s="29" t="n">
        <f aca="false">Raw!O618</f>
        <v>2627.59</v>
      </c>
      <c r="AF618" s="29" t="n">
        <f aca="false">Raw!P618</f>
        <v>720.7</v>
      </c>
      <c r="AG618" s="29" t="n">
        <f aca="false">AD618/J618</f>
        <v>414.023076923077</v>
      </c>
    </row>
    <row r="619" customFormat="false" ht="15" hidden="false" customHeight="false" outlineLevel="0" collapsed="false">
      <c r="A619" s="0" t="str">
        <f aca="false">Raw!A619</f>
        <v>SHP0618</v>
      </c>
      <c r="B619" s="0" t="str">
        <f aca="false">Raw!B619</f>
        <v>Inbound</v>
      </c>
      <c r="C619" s="0" t="str">
        <f aca="false">Raw!C619</f>
        <v>Uttar Pradesh</v>
      </c>
      <c r="D619" s="0" t="str">
        <f aca="false">Raw!D619</f>
        <v>Surat</v>
      </c>
      <c r="E619" s="0" t="str">
        <f aca="false">IFERROR(INDEX(Location_Map!$B$2:$B$15,MATCH(C619,Location_Map!$A$2:$A$15,0)),"UNMAPPED")</f>
        <v>Uttar Pradesh</v>
      </c>
      <c r="F619" s="0" t="str">
        <f aca="false">IFERROR(INDEX(Location_Map!$C$2:$C$15,MATCH(C619,Location_Map!$A$2:$A$15,0)),"UNMAPPED")</f>
        <v>North</v>
      </c>
      <c r="G619" s="0" t="str">
        <f aca="false">IFERROR(INDEX(Location_Map!$B$2:$B$15,MATCH(D619,Location_Map!$A$2:$A$15,0)),"UNMAPPED")</f>
        <v>Gujarat</v>
      </c>
      <c r="H619" s="0" t="str">
        <f aca="false">IFERROR(INDEX(Location_Map!$C$2:$C$15,MATCH(D619,Location_Map!$A$2:$A$15,0)),"UNMAPPED")</f>
        <v>West</v>
      </c>
      <c r="I619" s="0" t="str">
        <f aca="false">Raw!E619</f>
        <v>Semi-Processed Yarn</v>
      </c>
      <c r="J619" s="28" t="n">
        <f aca="false">Raw!F619</f>
        <v>11.13</v>
      </c>
      <c r="K619" s="30" t="n">
        <f aca="false">DATE(LEFT(Raw!G619,4),MID(Raw!G619,6,2),MID(Raw!G619,9,2))</f>
        <v>45956</v>
      </c>
      <c r="L619" s="30" t="n">
        <f aca="false">DATE(LEFT(Raw!H619,4),MID(Raw!H619,6,2),MID(Raw!H619,9,2))</f>
        <v>45960</v>
      </c>
      <c r="M619" s="30" t="n">
        <f aca="false">DATE(LEFT(Raw!I619,4),MID(Raw!I619,6,2),MID(Raw!I619,9,2))</f>
        <v>45966</v>
      </c>
      <c r="N619" s="31" t="n">
        <f aca="false">DATE(LEFT(Raw!J619,4),MID(Raw!J619,6,2),MID(Raw!J619,9,2))+TIME(MID(Raw!J619,12,2),MID(Raw!J619,15,2),MID(Raw!J619,18,2))</f>
        <v>45959.875</v>
      </c>
      <c r="O619" s="31" t="n">
        <f aca="false">DATE(LEFT(Raw!K619,4),MID(Raw!K619,6,2),MID(Raw!K619,9,2))+TIME(MID(Raw!K619,12,2),MID(Raw!K619,15,2),MID(Raw!K619,18,2))</f>
        <v>45968.8</v>
      </c>
      <c r="P619" s="32" t="n">
        <f aca="false">L619-K619</f>
        <v>4</v>
      </c>
      <c r="Q619" s="32" t="n">
        <f aca="false">M619-L619</f>
        <v>6</v>
      </c>
      <c r="R619" s="32" t="n">
        <f aca="false">O619-N619</f>
        <v>8.925</v>
      </c>
      <c r="S619" s="32" t="n">
        <f aca="false">Raw!L619</f>
        <v>2.8</v>
      </c>
      <c r="T619" s="32" t="n">
        <f aca="false">O619-M619</f>
        <v>2.8</v>
      </c>
      <c r="U619" s="0" t="str">
        <f aca="false">IF(ABS(T619-S619)&lt;0.01,"OK","MISMATCH")</f>
        <v>OK</v>
      </c>
      <c r="V619" s="33" t="n">
        <f aca="false">Raw!M619</f>
        <v>1</v>
      </c>
      <c r="W619" s="0" t="str">
        <f aca="false">IF((S619&gt;0)=(V619=1),"OK","MISMATCH")</f>
        <v>OK</v>
      </c>
      <c r="X619" s="0" t="str">
        <f aca="false">_xlfn.IFS(S619&lt;=0,"Early/On time",S619&lt;=2,"Minor (up to 2 days)",S619&lt;=5,"Moderate (2-5 days)",TRUE(),"Severe (over 5 days)")</f>
        <v>Moderate (2-5 days)</v>
      </c>
      <c r="Y619" s="0" t="str">
        <f aca="false">YEAR(K619)&amp;"-"&amp;TEXT(MONTH(K619),"00")</f>
        <v>2025-10</v>
      </c>
      <c r="Z619" s="0" t="str">
        <f aca="false">C619&amp;" → "&amp;D619</f>
        <v>Uttar Pradesh → Surat</v>
      </c>
      <c r="AA619" s="0" t="str">
        <f aca="false">Raw!Q619</f>
        <v>VRL Cargo</v>
      </c>
      <c r="AB619" s="0" t="str">
        <f aca="false">Raw!R619</f>
        <v>No</v>
      </c>
      <c r="AC619" s="0" t="str">
        <f aca="false">Raw!S619</f>
        <v>Returned</v>
      </c>
      <c r="AD619" s="29" t="n">
        <f aca="false">Raw!N619</f>
        <v>4433.28</v>
      </c>
      <c r="AE619" s="29" t="n">
        <f aca="false">Raw!O619</f>
        <v>1827.19</v>
      </c>
      <c r="AF619" s="29" t="n">
        <f aca="false">Raw!P619</f>
        <v>1425.06</v>
      </c>
      <c r="AG619" s="29" t="n">
        <f aca="false">AD619/J619</f>
        <v>398.318059299191</v>
      </c>
    </row>
    <row r="620" customFormat="false" ht="15" hidden="false" customHeight="false" outlineLevel="0" collapsed="false">
      <c r="A620" s="0" t="str">
        <f aca="false">Raw!A620</f>
        <v>SHP0619</v>
      </c>
      <c r="B620" s="0" t="str">
        <f aca="false">Raw!B620</f>
        <v>Inbound</v>
      </c>
      <c r="C620" s="0" t="str">
        <f aca="false">Raw!C620</f>
        <v>Punjab</v>
      </c>
      <c r="D620" s="0" t="str">
        <f aca="false">Raw!D620</f>
        <v>Surat</v>
      </c>
      <c r="E620" s="0" t="str">
        <f aca="false">IFERROR(INDEX(Location_Map!$B$2:$B$15,MATCH(C620,Location_Map!$A$2:$A$15,0)),"UNMAPPED")</f>
        <v>Punjab</v>
      </c>
      <c r="F620" s="0" t="str">
        <f aca="false">IFERROR(INDEX(Location_Map!$C$2:$C$15,MATCH(C620,Location_Map!$A$2:$A$15,0)),"UNMAPPED")</f>
        <v>North</v>
      </c>
      <c r="G620" s="0" t="str">
        <f aca="false">IFERROR(INDEX(Location_Map!$B$2:$B$15,MATCH(D620,Location_Map!$A$2:$A$15,0)),"UNMAPPED")</f>
        <v>Gujarat</v>
      </c>
      <c r="H620" s="0" t="str">
        <f aca="false">IFERROR(INDEX(Location_Map!$C$2:$C$15,MATCH(D620,Location_Map!$A$2:$A$15,0)),"UNMAPPED")</f>
        <v>West</v>
      </c>
      <c r="I620" s="0" t="str">
        <f aca="false">Raw!E620</f>
        <v>Raw Yarn</v>
      </c>
      <c r="J620" s="28" t="n">
        <f aca="false">Raw!F620</f>
        <v>7.96</v>
      </c>
      <c r="K620" s="30" t="n">
        <f aca="false">DATE(LEFT(Raw!G620,4),MID(Raw!G620,6,2),MID(Raw!G620,9,2))</f>
        <v>45689</v>
      </c>
      <c r="L620" s="30" t="n">
        <f aca="false">DATE(LEFT(Raw!H620,4),MID(Raw!H620,6,2),MID(Raw!H620,9,2))</f>
        <v>45692</v>
      </c>
      <c r="M620" s="30" t="n">
        <f aca="false">DATE(LEFT(Raw!I620,4),MID(Raw!I620,6,2),MID(Raw!I620,9,2))</f>
        <v>45696</v>
      </c>
      <c r="N620" s="31" t="n">
        <f aca="false">DATE(LEFT(Raw!J620,4),MID(Raw!J620,6,2),MID(Raw!J620,9,2))+TIME(MID(Raw!J620,12,2),MID(Raw!J620,15,2),MID(Raw!J620,18,2))</f>
        <v>45692.1666666667</v>
      </c>
      <c r="O620" s="31" t="n">
        <f aca="false">DATE(LEFT(Raw!K620,4),MID(Raw!K620,6,2),MID(Raw!K620,9,2))+TIME(MID(Raw!K620,12,2),MID(Raw!K620,15,2),MID(Raw!K620,18,2))</f>
        <v>45700.9</v>
      </c>
      <c r="P620" s="32" t="n">
        <f aca="false">L620-K620</f>
        <v>3</v>
      </c>
      <c r="Q620" s="32" t="n">
        <f aca="false">M620-L620</f>
        <v>4</v>
      </c>
      <c r="R620" s="32" t="n">
        <f aca="false">O620-N620</f>
        <v>8.73333333333333</v>
      </c>
      <c r="S620" s="32" t="n">
        <f aca="false">Raw!L620</f>
        <v>4.9</v>
      </c>
      <c r="T620" s="32" t="n">
        <f aca="false">O620-M620</f>
        <v>4.9</v>
      </c>
      <c r="U620" s="0" t="str">
        <f aca="false">IF(ABS(T620-S620)&lt;0.01,"OK","MISMATCH")</f>
        <v>OK</v>
      </c>
      <c r="V620" s="33" t="n">
        <f aca="false">Raw!M620</f>
        <v>1</v>
      </c>
      <c r="W620" s="0" t="str">
        <f aca="false">IF((S620&gt;0)=(V620=1),"OK","MISMATCH")</f>
        <v>OK</v>
      </c>
      <c r="X620" s="0" t="str">
        <f aca="false">_xlfn.IFS(S620&lt;=0,"Early/On time",S620&lt;=2,"Minor (up to 2 days)",S620&lt;=5,"Moderate (2-5 days)",TRUE(),"Severe (over 5 days)")</f>
        <v>Moderate (2-5 days)</v>
      </c>
      <c r="Y620" s="0" t="str">
        <f aca="false">YEAR(K620)&amp;"-"&amp;TEXT(MONTH(K620),"00")</f>
        <v>2025-02</v>
      </c>
      <c r="Z620" s="0" t="str">
        <f aca="false">C620&amp;" → "&amp;D620</f>
        <v>Punjab → Surat</v>
      </c>
      <c r="AA620" s="0" t="str">
        <f aca="false">Raw!Q620</f>
        <v>BlueDart</v>
      </c>
      <c r="AB620" s="0" t="str">
        <f aca="false">Raw!R620</f>
        <v>Yes</v>
      </c>
      <c r="AC620" s="0" t="str">
        <f aca="false">Raw!S620</f>
        <v>Held at warehouse</v>
      </c>
      <c r="AD620" s="29" t="n">
        <f aca="false">Raw!N620</f>
        <v>6191.13</v>
      </c>
      <c r="AE620" s="29" t="n">
        <f aca="false">Raw!O620</f>
        <v>3968.09</v>
      </c>
      <c r="AF620" s="29" t="n">
        <f aca="false">Raw!P620</f>
        <v>531.51</v>
      </c>
      <c r="AG620" s="29" t="n">
        <f aca="false">AD620/J620</f>
        <v>777.780150753769</v>
      </c>
    </row>
    <row r="621" customFormat="false" ht="15" hidden="false" customHeight="false" outlineLevel="0" collapsed="false">
      <c r="A621" s="0" t="str">
        <f aca="false">Raw!A621</f>
        <v>SHP0620</v>
      </c>
      <c r="B621" s="0" t="str">
        <f aca="false">Raw!B621</f>
        <v>Inbound</v>
      </c>
      <c r="C621" s="0" t="str">
        <f aca="false">Raw!C621</f>
        <v>Gujarat</v>
      </c>
      <c r="D621" s="0" t="str">
        <f aca="false">Raw!D621</f>
        <v>Surat</v>
      </c>
      <c r="E621" s="0" t="str">
        <f aca="false">IFERROR(INDEX(Location_Map!$B$2:$B$15,MATCH(C621,Location_Map!$A$2:$A$15,0)),"UNMAPPED")</f>
        <v>Gujarat</v>
      </c>
      <c r="F621" s="0" t="str">
        <f aca="false">IFERROR(INDEX(Location_Map!$C$2:$C$15,MATCH(C621,Location_Map!$A$2:$A$15,0)),"UNMAPPED")</f>
        <v>West</v>
      </c>
      <c r="G621" s="0" t="str">
        <f aca="false">IFERROR(INDEX(Location_Map!$B$2:$B$15,MATCH(D621,Location_Map!$A$2:$A$15,0)),"UNMAPPED")</f>
        <v>Gujarat</v>
      </c>
      <c r="H621" s="0" t="str">
        <f aca="false">IFERROR(INDEX(Location_Map!$C$2:$C$15,MATCH(D621,Location_Map!$A$2:$A$15,0)),"UNMAPPED")</f>
        <v>West</v>
      </c>
      <c r="I621" s="0" t="str">
        <f aca="false">Raw!E621</f>
        <v>Raw Yarn</v>
      </c>
      <c r="J621" s="28" t="n">
        <f aca="false">Raw!F621</f>
        <v>3.31</v>
      </c>
      <c r="K621" s="30" t="n">
        <f aca="false">DATE(LEFT(Raw!G621,4),MID(Raw!G621,6,2),MID(Raw!G621,9,2))</f>
        <v>45847</v>
      </c>
      <c r="L621" s="30" t="n">
        <f aca="false">DATE(LEFT(Raw!H621,4),MID(Raw!H621,6,2),MID(Raw!H621,9,2))</f>
        <v>45851</v>
      </c>
      <c r="M621" s="30" t="n">
        <f aca="false">DATE(LEFT(Raw!I621,4),MID(Raw!I621,6,2),MID(Raw!I621,9,2))</f>
        <v>45857</v>
      </c>
      <c r="N621" s="31" t="n">
        <f aca="false">DATE(LEFT(Raw!J621,4),MID(Raw!J621,6,2),MID(Raw!J621,9,2))+TIME(MID(Raw!J621,12,2),MID(Raw!J621,15,2),MID(Raw!J621,18,2))</f>
        <v>45851.125</v>
      </c>
      <c r="O621" s="31" t="n">
        <f aca="false">DATE(LEFT(Raw!K621,4),MID(Raw!K621,6,2),MID(Raw!K621,9,2))+TIME(MID(Raw!K621,12,2),MID(Raw!K621,15,2),MID(Raw!K621,18,2))</f>
        <v>45860.6</v>
      </c>
      <c r="P621" s="32" t="n">
        <f aca="false">L621-K621</f>
        <v>4</v>
      </c>
      <c r="Q621" s="32" t="n">
        <f aca="false">M621-L621</f>
        <v>6</v>
      </c>
      <c r="R621" s="32" t="n">
        <f aca="false">O621-N621</f>
        <v>9.475</v>
      </c>
      <c r="S621" s="32" t="n">
        <f aca="false">Raw!L621</f>
        <v>3.6</v>
      </c>
      <c r="T621" s="32" t="n">
        <f aca="false">O621-M621</f>
        <v>3.6</v>
      </c>
      <c r="U621" s="0" t="str">
        <f aca="false">IF(ABS(T621-S621)&lt;0.01,"OK","MISMATCH")</f>
        <v>OK</v>
      </c>
      <c r="V621" s="33" t="n">
        <f aca="false">Raw!M621</f>
        <v>1</v>
      </c>
      <c r="W621" s="0" t="str">
        <f aca="false">IF((S621&gt;0)=(V621=1),"OK","MISMATCH")</f>
        <v>OK</v>
      </c>
      <c r="X621" s="0" t="str">
        <f aca="false">_xlfn.IFS(S621&lt;=0,"Early/On time",S621&lt;=2,"Minor (up to 2 days)",S621&lt;=5,"Moderate (2-5 days)",TRUE(),"Severe (over 5 days)")</f>
        <v>Moderate (2-5 days)</v>
      </c>
      <c r="Y621" s="0" t="str">
        <f aca="false">YEAR(K621)&amp;"-"&amp;TEXT(MONTH(K621),"00")</f>
        <v>2025-07</v>
      </c>
      <c r="Z621" s="0" t="str">
        <f aca="false">C621&amp;" → "&amp;D621</f>
        <v>Gujarat → Surat</v>
      </c>
      <c r="AA621" s="0" t="str">
        <f aca="false">Raw!Q621</f>
        <v>Delhivery</v>
      </c>
      <c r="AB621" s="0" t="str">
        <f aca="false">Raw!R621</f>
        <v>Yes</v>
      </c>
      <c r="AC621" s="0" t="str">
        <f aca="false">Raw!S621</f>
        <v>Expedited</v>
      </c>
      <c r="AD621" s="29" t="n">
        <f aca="false">Raw!N621</f>
        <v>2471.61</v>
      </c>
      <c r="AE621" s="29" t="n">
        <f aca="false">Raw!O621</f>
        <v>1557.21</v>
      </c>
      <c r="AF621" s="29" t="n">
        <f aca="false">Raw!P621</f>
        <v>1020.23</v>
      </c>
      <c r="AG621" s="29" t="n">
        <f aca="false">AD621/J621</f>
        <v>746.70996978852</v>
      </c>
    </row>
    <row r="622" customFormat="false" ht="15" hidden="false" customHeight="false" outlineLevel="0" collapsed="false">
      <c r="A622" s="0" t="str">
        <f aca="false">Raw!A622</f>
        <v>SHP0621</v>
      </c>
      <c r="B622" s="0" t="str">
        <f aca="false">Raw!B622</f>
        <v>Outbound</v>
      </c>
      <c r="C622" s="0" t="str">
        <f aca="false">Raw!C622</f>
        <v>Surat</v>
      </c>
      <c r="D622" s="0" t="str">
        <f aca="false">Raw!D622</f>
        <v>Gujarat</v>
      </c>
      <c r="E622" s="0" t="str">
        <f aca="false">IFERROR(INDEX(Location_Map!$B$2:$B$15,MATCH(C622,Location_Map!$A$2:$A$15,0)),"UNMAPPED")</f>
        <v>Gujarat</v>
      </c>
      <c r="F622" s="0" t="str">
        <f aca="false">IFERROR(INDEX(Location_Map!$C$2:$C$15,MATCH(C622,Location_Map!$A$2:$A$15,0)),"UNMAPPED")</f>
        <v>West</v>
      </c>
      <c r="G622" s="0" t="str">
        <f aca="false">IFERROR(INDEX(Location_Map!$B$2:$B$15,MATCH(D622,Location_Map!$A$2:$A$15,0)),"UNMAPPED")</f>
        <v>Gujarat</v>
      </c>
      <c r="H622" s="0" t="str">
        <f aca="false">IFERROR(INDEX(Location_Map!$C$2:$C$15,MATCH(D622,Location_Map!$A$2:$A$15,0)),"UNMAPPED")</f>
        <v>West</v>
      </c>
      <c r="I622" s="0" t="str">
        <f aca="false">Raw!E622</f>
        <v>Semi-Processed Yarn</v>
      </c>
      <c r="J622" s="28" t="n">
        <f aca="false">Raw!F622</f>
        <v>1.71</v>
      </c>
      <c r="K622" s="30" t="n">
        <f aca="false">DATE(LEFT(Raw!G622,4),MID(Raw!G622,6,2),MID(Raw!G622,9,2))</f>
        <v>45682</v>
      </c>
      <c r="L622" s="30" t="n">
        <f aca="false">DATE(LEFT(Raw!H622,4),MID(Raw!H622,6,2),MID(Raw!H622,9,2))</f>
        <v>45685</v>
      </c>
      <c r="M622" s="30" t="n">
        <f aca="false">DATE(LEFT(Raw!I622,4),MID(Raw!I622,6,2),MID(Raw!I622,9,2))</f>
        <v>45689</v>
      </c>
      <c r="N622" s="31" t="n">
        <f aca="false">DATE(LEFT(Raw!J622,4),MID(Raw!J622,6,2),MID(Raw!J622,9,2))+TIME(MID(Raw!J622,12,2),MID(Raw!J622,15,2),MID(Raw!J622,18,2))</f>
        <v>45685.0833333333</v>
      </c>
      <c r="O622" s="31" t="n">
        <f aca="false">DATE(LEFT(Raw!K622,4),MID(Raw!K622,6,2),MID(Raw!K622,9,2))+TIME(MID(Raw!K622,12,2),MID(Raw!K622,15,2),MID(Raw!K622,18,2))</f>
        <v>45692.5</v>
      </c>
      <c r="P622" s="32" t="n">
        <f aca="false">L622-K622</f>
        <v>3</v>
      </c>
      <c r="Q622" s="32" t="n">
        <f aca="false">M622-L622</f>
        <v>4</v>
      </c>
      <c r="R622" s="32" t="n">
        <f aca="false">O622-N622</f>
        <v>7.41666666666667</v>
      </c>
      <c r="S622" s="32" t="n">
        <f aca="false">Raw!L622</f>
        <v>3.5</v>
      </c>
      <c r="T622" s="32" t="n">
        <f aca="false">O622-M622</f>
        <v>3.5</v>
      </c>
      <c r="U622" s="0" t="str">
        <f aca="false">IF(ABS(T622-S622)&lt;0.01,"OK","MISMATCH")</f>
        <v>OK</v>
      </c>
      <c r="V622" s="33" t="n">
        <f aca="false">Raw!M622</f>
        <v>1</v>
      </c>
      <c r="W622" s="0" t="str">
        <f aca="false">IF((S622&gt;0)=(V622=1),"OK","MISMATCH")</f>
        <v>OK</v>
      </c>
      <c r="X622" s="0" t="str">
        <f aca="false">_xlfn.IFS(S622&lt;=0,"Early/On time",S622&lt;=2,"Minor (up to 2 days)",S622&lt;=5,"Moderate (2-5 days)",TRUE(),"Severe (over 5 days)")</f>
        <v>Moderate (2-5 days)</v>
      </c>
      <c r="Y622" s="0" t="str">
        <f aca="false">YEAR(K622)&amp;"-"&amp;TEXT(MONTH(K622),"00")</f>
        <v>2025-01</v>
      </c>
      <c r="Z622" s="0" t="str">
        <f aca="false">C622&amp;" → "&amp;D622</f>
        <v>Surat → Gujarat</v>
      </c>
      <c r="AA622" s="0" t="str">
        <f aca="false">Raw!Q622</f>
        <v>TCI Express</v>
      </c>
      <c r="AB622" s="0" t="str">
        <f aca="false">Raw!R622</f>
        <v>Yes</v>
      </c>
      <c r="AC622" s="0" t="str">
        <f aca="false">Raw!S622</f>
        <v>Normal</v>
      </c>
      <c r="AD622" s="29" t="n">
        <f aca="false">Raw!N622</f>
        <v>2394.04</v>
      </c>
      <c r="AE622" s="29" t="n">
        <f aca="false">Raw!O622</f>
        <v>1591.41</v>
      </c>
      <c r="AF622" s="29" t="n">
        <f aca="false">Raw!P622</f>
        <v>1440.88</v>
      </c>
      <c r="AG622" s="29" t="n">
        <f aca="false">AD622/J622</f>
        <v>1400.02339181287</v>
      </c>
    </row>
    <row r="623" customFormat="false" ht="15" hidden="false" customHeight="false" outlineLevel="0" collapsed="false">
      <c r="A623" s="0" t="str">
        <f aca="false">Raw!A623</f>
        <v>SHP0622</v>
      </c>
      <c r="B623" s="0" t="str">
        <f aca="false">Raw!B623</f>
        <v>Inbound</v>
      </c>
      <c r="C623" s="0" t="str">
        <f aca="false">Raw!C623</f>
        <v>Chennai</v>
      </c>
      <c r="D623" s="0" t="str">
        <f aca="false">Raw!D623</f>
        <v>Surat</v>
      </c>
      <c r="E623" s="0" t="str">
        <f aca="false">IFERROR(INDEX(Location_Map!$B$2:$B$15,MATCH(C623,Location_Map!$A$2:$A$15,0)),"UNMAPPED")</f>
        <v>Tamil Nadu</v>
      </c>
      <c r="F623" s="0" t="str">
        <f aca="false">IFERROR(INDEX(Location_Map!$C$2:$C$15,MATCH(C623,Location_Map!$A$2:$A$15,0)),"UNMAPPED")</f>
        <v>South</v>
      </c>
      <c r="G623" s="0" t="str">
        <f aca="false">IFERROR(INDEX(Location_Map!$B$2:$B$15,MATCH(D623,Location_Map!$A$2:$A$15,0)),"UNMAPPED")</f>
        <v>Gujarat</v>
      </c>
      <c r="H623" s="0" t="str">
        <f aca="false">IFERROR(INDEX(Location_Map!$C$2:$C$15,MATCH(D623,Location_Map!$A$2:$A$15,0)),"UNMAPPED")</f>
        <v>West</v>
      </c>
      <c r="I623" s="0" t="str">
        <f aca="false">Raw!E623</f>
        <v>Finished Yarn</v>
      </c>
      <c r="J623" s="28" t="n">
        <f aca="false">Raw!F623</f>
        <v>4.47</v>
      </c>
      <c r="K623" s="30" t="n">
        <f aca="false">DATE(LEFT(Raw!G623,4),MID(Raw!G623,6,2),MID(Raw!G623,9,2))</f>
        <v>45828</v>
      </c>
      <c r="L623" s="30" t="n">
        <f aca="false">DATE(LEFT(Raw!H623,4),MID(Raw!H623,6,2),MID(Raw!H623,9,2))</f>
        <v>45830</v>
      </c>
      <c r="M623" s="30" t="n">
        <f aca="false">DATE(LEFT(Raw!I623,4),MID(Raw!I623,6,2),MID(Raw!I623,9,2))</f>
        <v>45832</v>
      </c>
      <c r="N623" s="31" t="n">
        <f aca="false">DATE(LEFT(Raw!J623,4),MID(Raw!J623,6,2),MID(Raw!J623,9,2))+TIME(MID(Raw!J623,12,2),MID(Raw!J623,15,2),MID(Raw!J623,18,2))</f>
        <v>45830.0416666667</v>
      </c>
      <c r="O623" s="31" t="n">
        <f aca="false">DATE(LEFT(Raw!K623,4),MID(Raw!K623,6,2),MID(Raw!K623,9,2))+TIME(MID(Raw!K623,12,2),MID(Raw!K623,15,2),MID(Raw!K623,18,2))</f>
        <v>45835.6</v>
      </c>
      <c r="P623" s="32" t="n">
        <f aca="false">L623-K623</f>
        <v>2</v>
      </c>
      <c r="Q623" s="32" t="n">
        <f aca="false">M623-L623</f>
        <v>2</v>
      </c>
      <c r="R623" s="32" t="n">
        <f aca="false">O623-N623</f>
        <v>5.55833333333333</v>
      </c>
      <c r="S623" s="32" t="n">
        <f aca="false">Raw!L623</f>
        <v>3.6</v>
      </c>
      <c r="T623" s="32" t="n">
        <f aca="false">O623-M623</f>
        <v>3.6</v>
      </c>
      <c r="U623" s="0" t="str">
        <f aca="false">IF(ABS(T623-S623)&lt;0.01,"OK","MISMATCH")</f>
        <v>OK</v>
      </c>
      <c r="V623" s="33" t="n">
        <f aca="false">Raw!M623</f>
        <v>1</v>
      </c>
      <c r="W623" s="0" t="str">
        <f aca="false">IF((S623&gt;0)=(V623=1),"OK","MISMATCH")</f>
        <v>OK</v>
      </c>
      <c r="X623" s="0" t="str">
        <f aca="false">_xlfn.IFS(S623&lt;=0,"Early/On time",S623&lt;=2,"Minor (up to 2 days)",S623&lt;=5,"Moderate (2-5 days)",TRUE(),"Severe (over 5 days)")</f>
        <v>Moderate (2-5 days)</v>
      </c>
      <c r="Y623" s="0" t="str">
        <f aca="false">YEAR(K623)&amp;"-"&amp;TEXT(MONTH(K623),"00")</f>
        <v>2025-06</v>
      </c>
      <c r="Z623" s="0" t="str">
        <f aca="false">C623&amp;" → "&amp;D623</f>
        <v>Chennai → Surat</v>
      </c>
      <c r="AA623" s="0" t="str">
        <f aca="false">Raw!Q623</f>
        <v>VRL Cargo</v>
      </c>
      <c r="AB623" s="0" t="str">
        <f aca="false">Raw!R623</f>
        <v>Yes</v>
      </c>
      <c r="AC623" s="0" t="str">
        <f aca="false">Raw!S623</f>
        <v>Expedited</v>
      </c>
      <c r="AD623" s="29" t="n">
        <f aca="false">Raw!N623</f>
        <v>2240.09</v>
      </c>
      <c r="AE623" s="29" t="n">
        <f aca="false">Raw!O623</f>
        <v>4841.47</v>
      </c>
      <c r="AF623" s="29" t="n">
        <f aca="false">Raw!P623</f>
        <v>544.59</v>
      </c>
      <c r="AG623" s="29" t="n">
        <f aca="false">AD623/J623</f>
        <v>501.13870246085</v>
      </c>
    </row>
    <row r="624" customFormat="false" ht="15" hidden="false" customHeight="false" outlineLevel="0" collapsed="false">
      <c r="A624" s="0" t="str">
        <f aca="false">Raw!A624</f>
        <v>SHP0623</v>
      </c>
      <c r="B624" s="0" t="str">
        <f aca="false">Raw!B624</f>
        <v>Inbound</v>
      </c>
      <c r="C624" s="0" t="str">
        <f aca="false">Raw!C624</f>
        <v>Punjab</v>
      </c>
      <c r="D624" s="0" t="str">
        <f aca="false">Raw!D624</f>
        <v>Surat</v>
      </c>
      <c r="E624" s="0" t="str">
        <f aca="false">IFERROR(INDEX(Location_Map!$B$2:$B$15,MATCH(C624,Location_Map!$A$2:$A$15,0)),"UNMAPPED")</f>
        <v>Punjab</v>
      </c>
      <c r="F624" s="0" t="str">
        <f aca="false">IFERROR(INDEX(Location_Map!$C$2:$C$15,MATCH(C624,Location_Map!$A$2:$A$15,0)),"UNMAPPED")</f>
        <v>North</v>
      </c>
      <c r="G624" s="0" t="str">
        <f aca="false">IFERROR(INDEX(Location_Map!$B$2:$B$15,MATCH(D624,Location_Map!$A$2:$A$15,0)),"UNMAPPED")</f>
        <v>Gujarat</v>
      </c>
      <c r="H624" s="0" t="str">
        <f aca="false">IFERROR(INDEX(Location_Map!$C$2:$C$15,MATCH(D624,Location_Map!$A$2:$A$15,0)),"UNMAPPED")</f>
        <v>West</v>
      </c>
      <c r="I624" s="0" t="str">
        <f aca="false">Raw!E624</f>
        <v>Finished Yarn</v>
      </c>
      <c r="J624" s="28" t="n">
        <f aca="false">Raw!F624</f>
        <v>3.72</v>
      </c>
      <c r="K624" s="30" t="n">
        <f aca="false">DATE(LEFT(Raw!G624,4),MID(Raw!G624,6,2),MID(Raw!G624,9,2))</f>
        <v>45662</v>
      </c>
      <c r="L624" s="30" t="n">
        <f aca="false">DATE(LEFT(Raw!H624,4),MID(Raw!H624,6,2),MID(Raw!H624,9,2))</f>
        <v>45665</v>
      </c>
      <c r="M624" s="30" t="n">
        <f aca="false">DATE(LEFT(Raw!I624,4),MID(Raw!I624,6,2),MID(Raw!I624,9,2))</f>
        <v>45669</v>
      </c>
      <c r="N624" s="31" t="n">
        <f aca="false">DATE(LEFT(Raw!J624,4),MID(Raw!J624,6,2),MID(Raw!J624,9,2))+TIME(MID(Raw!J624,12,2),MID(Raw!J624,15,2),MID(Raw!J624,18,2))</f>
        <v>45665.1666666667</v>
      </c>
      <c r="O624" s="31" t="n">
        <f aca="false">DATE(LEFT(Raw!K624,4),MID(Raw!K624,6,2),MID(Raw!K624,9,2))+TIME(MID(Raw!K624,12,2),MID(Raw!K624,15,2),MID(Raw!K624,18,2))</f>
        <v>45671.4</v>
      </c>
      <c r="P624" s="32" t="n">
        <f aca="false">L624-K624</f>
        <v>3</v>
      </c>
      <c r="Q624" s="32" t="n">
        <f aca="false">M624-L624</f>
        <v>4</v>
      </c>
      <c r="R624" s="32" t="n">
        <f aca="false">O624-N624</f>
        <v>6.23333333333333</v>
      </c>
      <c r="S624" s="32" t="n">
        <f aca="false">Raw!L624</f>
        <v>2.4</v>
      </c>
      <c r="T624" s="32" t="n">
        <f aca="false">O624-M624</f>
        <v>2.4</v>
      </c>
      <c r="U624" s="0" t="str">
        <f aca="false">IF(ABS(T624-S624)&lt;0.01,"OK","MISMATCH")</f>
        <v>OK</v>
      </c>
      <c r="V624" s="33" t="n">
        <f aca="false">Raw!M624</f>
        <v>1</v>
      </c>
      <c r="W624" s="0" t="str">
        <f aca="false">IF((S624&gt;0)=(V624=1),"OK","MISMATCH")</f>
        <v>OK</v>
      </c>
      <c r="X624" s="0" t="str">
        <f aca="false">_xlfn.IFS(S624&lt;=0,"Early/On time",S624&lt;=2,"Minor (up to 2 days)",S624&lt;=5,"Moderate (2-5 days)",TRUE(),"Severe (over 5 days)")</f>
        <v>Moderate (2-5 days)</v>
      </c>
      <c r="Y624" s="0" t="str">
        <f aca="false">YEAR(K624)&amp;"-"&amp;TEXT(MONTH(K624),"00")</f>
        <v>2025-01</v>
      </c>
      <c r="Z624" s="0" t="str">
        <f aca="false">C624&amp;" → "&amp;D624</f>
        <v>Punjab → Surat</v>
      </c>
      <c r="AA624" s="0" t="str">
        <f aca="false">Raw!Q624</f>
        <v>BlueDart</v>
      </c>
      <c r="AB624" s="0" t="str">
        <f aca="false">Raw!R624</f>
        <v>No</v>
      </c>
      <c r="AC624" s="0" t="str">
        <f aca="false">Raw!S624</f>
        <v>Damaged</v>
      </c>
      <c r="AD624" s="29" t="n">
        <f aca="false">Raw!N624</f>
        <v>2074.37</v>
      </c>
      <c r="AE624" s="29" t="n">
        <f aca="false">Raw!O624</f>
        <v>2838.25</v>
      </c>
      <c r="AF624" s="29" t="n">
        <f aca="false">Raw!P624</f>
        <v>998.97</v>
      </c>
      <c r="AG624" s="29" t="n">
        <f aca="false">AD624/J624</f>
        <v>557.626344086021</v>
      </c>
    </row>
    <row r="625" customFormat="false" ht="15" hidden="false" customHeight="false" outlineLevel="0" collapsed="false">
      <c r="A625" s="0" t="str">
        <f aca="false">Raw!A625</f>
        <v>SHP0624</v>
      </c>
      <c r="B625" s="0" t="str">
        <f aca="false">Raw!B625</f>
        <v>Outbound</v>
      </c>
      <c r="C625" s="0" t="str">
        <f aca="false">Raw!C625</f>
        <v>Surat</v>
      </c>
      <c r="D625" s="0" t="str">
        <f aca="false">Raw!D625</f>
        <v>Jaipur</v>
      </c>
      <c r="E625" s="0" t="str">
        <f aca="false">IFERROR(INDEX(Location_Map!$B$2:$B$15,MATCH(C625,Location_Map!$A$2:$A$15,0)),"UNMAPPED")</f>
        <v>Gujarat</v>
      </c>
      <c r="F625" s="0" t="str">
        <f aca="false">IFERROR(INDEX(Location_Map!$C$2:$C$15,MATCH(C625,Location_Map!$A$2:$A$15,0)),"UNMAPPED")</f>
        <v>West</v>
      </c>
      <c r="G625" s="0" t="str">
        <f aca="false">IFERROR(INDEX(Location_Map!$B$2:$B$15,MATCH(D625,Location_Map!$A$2:$A$15,0)),"UNMAPPED")</f>
        <v>Rajasthan</v>
      </c>
      <c r="H625" s="0" t="str">
        <f aca="false">IFERROR(INDEX(Location_Map!$C$2:$C$15,MATCH(D625,Location_Map!$A$2:$A$15,0)),"UNMAPPED")</f>
        <v>North</v>
      </c>
      <c r="I625" s="0" t="str">
        <f aca="false">Raw!E625</f>
        <v>Semi-Processed Yarn</v>
      </c>
      <c r="J625" s="28" t="n">
        <f aca="false">Raw!F625</f>
        <v>2.37</v>
      </c>
      <c r="K625" s="30" t="n">
        <f aca="false">DATE(LEFT(Raw!G625,4),MID(Raw!G625,6,2),MID(Raw!G625,9,2))</f>
        <v>45863</v>
      </c>
      <c r="L625" s="30" t="n">
        <f aca="false">DATE(LEFT(Raw!H625,4),MID(Raw!H625,6,2),MID(Raw!H625,9,2))</f>
        <v>45866</v>
      </c>
      <c r="M625" s="30" t="n">
        <f aca="false">DATE(LEFT(Raw!I625,4),MID(Raw!I625,6,2),MID(Raw!I625,9,2))</f>
        <v>45869</v>
      </c>
      <c r="N625" s="31" t="n">
        <f aca="false">DATE(LEFT(Raw!J625,4),MID(Raw!J625,6,2),MID(Raw!J625,9,2))+TIME(MID(Raw!J625,12,2),MID(Raw!J625,15,2),MID(Raw!J625,18,2))</f>
        <v>45866</v>
      </c>
      <c r="O625" s="31" t="n">
        <f aca="false">DATE(LEFT(Raw!K625,4),MID(Raw!K625,6,2),MID(Raw!K625,9,2))+TIME(MID(Raw!K625,12,2),MID(Raw!K625,15,2),MID(Raw!K625,18,2))</f>
        <v>45869.3</v>
      </c>
      <c r="P625" s="32" t="n">
        <f aca="false">L625-K625</f>
        <v>3</v>
      </c>
      <c r="Q625" s="32" t="n">
        <f aca="false">M625-L625</f>
        <v>3</v>
      </c>
      <c r="R625" s="32" t="n">
        <f aca="false">O625-N625</f>
        <v>3.3</v>
      </c>
      <c r="S625" s="32" t="n">
        <f aca="false">Raw!L625</f>
        <v>0.3</v>
      </c>
      <c r="T625" s="32" t="n">
        <f aca="false">O625-M625</f>
        <v>0.3</v>
      </c>
      <c r="U625" s="0" t="str">
        <f aca="false">IF(ABS(T625-S625)&lt;0.01,"OK","MISMATCH")</f>
        <v>OK</v>
      </c>
      <c r="V625" s="33" t="n">
        <f aca="false">Raw!M625</f>
        <v>1</v>
      </c>
      <c r="W625" s="0" t="str">
        <f aca="false">IF((S625&gt;0)=(V625=1),"OK","MISMATCH")</f>
        <v>OK</v>
      </c>
      <c r="X625" s="0" t="str">
        <f aca="false">_xlfn.IFS(S625&lt;=0,"Early/On time",S625&lt;=2,"Minor (up to 2 days)",S625&lt;=5,"Moderate (2-5 days)",TRUE(),"Severe (over 5 days)")</f>
        <v>Minor (up to 2 days)</v>
      </c>
      <c r="Y625" s="0" t="str">
        <f aca="false">YEAR(K625)&amp;"-"&amp;TEXT(MONTH(K625),"00")</f>
        <v>2025-07</v>
      </c>
      <c r="Z625" s="0" t="str">
        <f aca="false">C625&amp;" → "&amp;D625</f>
        <v>Surat → Jaipur</v>
      </c>
      <c r="AA625" s="0" t="str">
        <f aca="false">Raw!Q625</f>
        <v>VRL Cargo</v>
      </c>
      <c r="AB625" s="0" t="str">
        <f aca="false">Raw!R625</f>
        <v>No</v>
      </c>
      <c r="AC625" s="0" t="str">
        <f aca="false">Raw!S625</f>
        <v>Held at warehouse</v>
      </c>
      <c r="AD625" s="29" t="n">
        <f aca="false">Raw!N625</f>
        <v>2340.34</v>
      </c>
      <c r="AE625" s="29" t="n">
        <f aca="false">Raw!O625</f>
        <v>3146.1</v>
      </c>
      <c r="AF625" s="29" t="n">
        <f aca="false">Raw!P625</f>
        <v>1359.94</v>
      </c>
      <c r="AG625" s="29" t="n">
        <f aca="false">AD625/J625</f>
        <v>987.485232067511</v>
      </c>
    </row>
    <row r="626" customFormat="false" ht="15" hidden="false" customHeight="false" outlineLevel="0" collapsed="false">
      <c r="A626" s="0" t="str">
        <f aca="false">Raw!A626</f>
        <v>SHP0625</v>
      </c>
      <c r="B626" s="0" t="str">
        <f aca="false">Raw!B626</f>
        <v>Outbound</v>
      </c>
      <c r="C626" s="0" t="str">
        <f aca="false">Raw!C626</f>
        <v>Surat</v>
      </c>
      <c r="D626" s="0" t="str">
        <f aca="false">Raw!D626</f>
        <v>Karnataka</v>
      </c>
      <c r="E626" s="0" t="str">
        <f aca="false">IFERROR(INDEX(Location_Map!$B$2:$B$15,MATCH(C626,Location_Map!$A$2:$A$15,0)),"UNMAPPED")</f>
        <v>Gujarat</v>
      </c>
      <c r="F626" s="0" t="str">
        <f aca="false">IFERROR(INDEX(Location_Map!$C$2:$C$15,MATCH(C626,Location_Map!$A$2:$A$15,0)),"UNMAPPED")</f>
        <v>West</v>
      </c>
      <c r="G626" s="0" t="str">
        <f aca="false">IFERROR(INDEX(Location_Map!$B$2:$B$15,MATCH(D626,Location_Map!$A$2:$A$15,0)),"UNMAPPED")</f>
        <v>Karnataka</v>
      </c>
      <c r="H626" s="0" t="str">
        <f aca="false">IFERROR(INDEX(Location_Map!$C$2:$C$15,MATCH(D626,Location_Map!$A$2:$A$15,0)),"UNMAPPED")</f>
        <v>South</v>
      </c>
      <c r="I626" s="0" t="str">
        <f aca="false">Raw!E626</f>
        <v>Finished Yarn</v>
      </c>
      <c r="J626" s="28" t="n">
        <f aca="false">Raw!F626</f>
        <v>5.05</v>
      </c>
      <c r="K626" s="30" t="n">
        <f aca="false">DATE(LEFT(Raw!G626,4),MID(Raw!G626,6,2),MID(Raw!G626,9,2))</f>
        <v>45840</v>
      </c>
      <c r="L626" s="30" t="n">
        <f aca="false">DATE(LEFT(Raw!H626,4),MID(Raw!H626,6,2),MID(Raw!H626,9,2))</f>
        <v>45841</v>
      </c>
      <c r="M626" s="30" t="n">
        <f aca="false">DATE(LEFT(Raw!I626,4),MID(Raw!I626,6,2),MID(Raw!I626,9,2))</f>
        <v>45845</v>
      </c>
      <c r="N626" s="31" t="n">
        <f aca="false">DATE(LEFT(Raw!J626,4),MID(Raw!J626,6,2),MID(Raw!J626,9,2))+TIME(MID(Raw!J626,12,2),MID(Raw!J626,15,2),MID(Raw!J626,18,2))</f>
        <v>45841</v>
      </c>
      <c r="O626" s="31" t="n">
        <f aca="false">DATE(LEFT(Raw!K626,4),MID(Raw!K626,6,2),MID(Raw!K626,9,2))+TIME(MID(Raw!K626,12,2),MID(Raw!K626,15,2),MID(Raw!K626,18,2))</f>
        <v>45844.6</v>
      </c>
      <c r="P626" s="32" t="n">
        <f aca="false">L626-K626</f>
        <v>1</v>
      </c>
      <c r="Q626" s="32" t="n">
        <f aca="false">M626-L626</f>
        <v>4</v>
      </c>
      <c r="R626" s="32" t="n">
        <f aca="false">O626-N626</f>
        <v>3.6</v>
      </c>
      <c r="S626" s="32" t="n">
        <f aca="false">Raw!L626</f>
        <v>-0.4</v>
      </c>
      <c r="T626" s="32" t="n">
        <f aca="false">O626-M626</f>
        <v>-0.400000000002917</v>
      </c>
      <c r="U626" s="0" t="str">
        <f aca="false">IF(ABS(T626-S626)&lt;0.01,"OK","MISMATCH")</f>
        <v>OK</v>
      </c>
      <c r="V626" s="33" t="n">
        <f aca="false">Raw!M626</f>
        <v>0</v>
      </c>
      <c r="W626" s="0" t="str">
        <f aca="false">IF((S626&gt;0)=(V626=1),"OK","MISMATCH")</f>
        <v>OK</v>
      </c>
      <c r="X626" s="0" t="str">
        <f aca="false">_xlfn.IFS(S626&lt;=0,"Early/On time",S626&lt;=2,"Minor (up to 2 days)",S626&lt;=5,"Moderate (2-5 days)",TRUE(),"Severe (over 5 days)")</f>
        <v>Early/On time</v>
      </c>
      <c r="Y626" s="0" t="str">
        <f aca="false">YEAR(K626)&amp;"-"&amp;TEXT(MONTH(K626),"00")</f>
        <v>2025-07</v>
      </c>
      <c r="Z626" s="0" t="str">
        <f aca="false">C626&amp;" → "&amp;D626</f>
        <v>Surat → Karnataka</v>
      </c>
      <c r="AA626" s="0" t="str">
        <f aca="false">Raw!Q626</f>
        <v>GATI Logistics</v>
      </c>
      <c r="AB626" s="0" t="str">
        <f aca="false">Raw!R626</f>
        <v>Yes</v>
      </c>
      <c r="AC626" s="0" t="str">
        <f aca="false">Raw!S626</f>
        <v>Returned</v>
      </c>
      <c r="AD626" s="29" t="n">
        <f aca="false">Raw!N626</f>
        <v>1983.62</v>
      </c>
      <c r="AE626" s="29" t="n">
        <f aca="false">Raw!O626</f>
        <v>1477.8</v>
      </c>
      <c r="AF626" s="29" t="n">
        <f aca="false">Raw!P626</f>
        <v>1122.3</v>
      </c>
      <c r="AG626" s="29" t="n">
        <f aca="false">AD626/J626</f>
        <v>392.79603960396</v>
      </c>
    </row>
    <row r="627" customFormat="false" ht="15" hidden="false" customHeight="false" outlineLevel="0" collapsed="false">
      <c r="A627" s="0" t="str">
        <f aca="false">Raw!A627</f>
        <v>SHP0626</v>
      </c>
      <c r="B627" s="0" t="str">
        <f aca="false">Raw!B627</f>
        <v>Outbound</v>
      </c>
      <c r="C627" s="0" t="str">
        <f aca="false">Raw!C627</f>
        <v>Surat</v>
      </c>
      <c r="D627" s="0" t="str">
        <f aca="false">Raw!D627</f>
        <v>West Bengal</v>
      </c>
      <c r="E627" s="0" t="str">
        <f aca="false">IFERROR(INDEX(Location_Map!$B$2:$B$15,MATCH(C627,Location_Map!$A$2:$A$15,0)),"UNMAPPED")</f>
        <v>Gujarat</v>
      </c>
      <c r="F627" s="0" t="str">
        <f aca="false">IFERROR(INDEX(Location_Map!$C$2:$C$15,MATCH(C627,Location_Map!$A$2:$A$15,0)),"UNMAPPED")</f>
        <v>West</v>
      </c>
      <c r="G627" s="0" t="str">
        <f aca="false">IFERROR(INDEX(Location_Map!$B$2:$B$15,MATCH(D627,Location_Map!$A$2:$A$15,0)),"UNMAPPED")</f>
        <v>West Bengal</v>
      </c>
      <c r="H627" s="0" t="str">
        <f aca="false">IFERROR(INDEX(Location_Map!$C$2:$C$15,MATCH(D627,Location_Map!$A$2:$A$15,0)),"UNMAPPED")</f>
        <v>East</v>
      </c>
      <c r="I627" s="0" t="str">
        <f aca="false">Raw!E627</f>
        <v>Finished Yarn</v>
      </c>
      <c r="J627" s="28" t="n">
        <f aca="false">Raw!F627</f>
        <v>18.75</v>
      </c>
      <c r="K627" s="30" t="n">
        <f aca="false">DATE(LEFT(Raw!G627,4),MID(Raw!G627,6,2),MID(Raw!G627,9,2))</f>
        <v>45719</v>
      </c>
      <c r="L627" s="30" t="n">
        <f aca="false">DATE(LEFT(Raw!H627,4),MID(Raw!H627,6,2),MID(Raw!H627,9,2))</f>
        <v>45722</v>
      </c>
      <c r="M627" s="30" t="n">
        <f aca="false">DATE(LEFT(Raw!I627,4),MID(Raw!I627,6,2),MID(Raw!I627,9,2))</f>
        <v>45724</v>
      </c>
      <c r="N627" s="31" t="n">
        <f aca="false">DATE(LEFT(Raw!J627,4),MID(Raw!J627,6,2),MID(Raw!J627,9,2))+TIME(MID(Raw!J627,12,2),MID(Raw!J627,15,2),MID(Raw!J627,18,2))</f>
        <v>45722.0833333333</v>
      </c>
      <c r="O627" s="31" t="n">
        <f aca="false">DATE(LEFT(Raw!K627,4),MID(Raw!K627,6,2),MID(Raw!K627,9,2))+TIME(MID(Raw!K627,12,2),MID(Raw!K627,15,2),MID(Raw!K627,18,2))</f>
        <v>45726.1</v>
      </c>
      <c r="P627" s="32" t="n">
        <f aca="false">L627-K627</f>
        <v>3</v>
      </c>
      <c r="Q627" s="32" t="n">
        <f aca="false">M627-L627</f>
        <v>2</v>
      </c>
      <c r="R627" s="32" t="n">
        <f aca="false">O627-N627</f>
        <v>4.01666666666667</v>
      </c>
      <c r="S627" s="32" t="n">
        <f aca="false">Raw!L627</f>
        <v>2.1</v>
      </c>
      <c r="T627" s="32" t="n">
        <f aca="false">O627-M627</f>
        <v>2.1</v>
      </c>
      <c r="U627" s="0" t="str">
        <f aca="false">IF(ABS(T627-S627)&lt;0.01,"OK","MISMATCH")</f>
        <v>OK</v>
      </c>
      <c r="V627" s="33" t="n">
        <f aca="false">Raw!M627</f>
        <v>1</v>
      </c>
      <c r="W627" s="0" t="str">
        <f aca="false">IF((S627&gt;0)=(V627=1),"OK","MISMATCH")</f>
        <v>OK</v>
      </c>
      <c r="X627" s="0" t="str">
        <f aca="false">_xlfn.IFS(S627&lt;=0,"Early/On time",S627&lt;=2,"Minor (up to 2 days)",S627&lt;=5,"Moderate (2-5 days)",TRUE(),"Severe (over 5 days)")</f>
        <v>Moderate (2-5 days)</v>
      </c>
      <c r="Y627" s="0" t="str">
        <f aca="false">YEAR(K627)&amp;"-"&amp;TEXT(MONTH(K627),"00")</f>
        <v>2025-03</v>
      </c>
      <c r="Z627" s="0" t="str">
        <f aca="false">C627&amp;" → "&amp;D627</f>
        <v>Surat → West Bengal</v>
      </c>
      <c r="AA627" s="0" t="str">
        <f aca="false">Raw!Q627</f>
        <v>Delhivery</v>
      </c>
      <c r="AB627" s="0" t="str">
        <f aca="false">Raw!R627</f>
        <v>No</v>
      </c>
      <c r="AC627" s="0" t="str">
        <f aca="false">Raw!S627</f>
        <v>Held at warehouse</v>
      </c>
      <c r="AD627" s="29" t="n">
        <f aca="false">Raw!N627</f>
        <v>9741.93</v>
      </c>
      <c r="AE627" s="29" t="n">
        <f aca="false">Raw!O627</f>
        <v>4260.06</v>
      </c>
      <c r="AF627" s="29" t="n">
        <f aca="false">Raw!P627</f>
        <v>760.68</v>
      </c>
      <c r="AG627" s="29" t="n">
        <f aca="false">AD627/J627</f>
        <v>519.5696</v>
      </c>
    </row>
    <row r="628" customFormat="false" ht="15" hidden="false" customHeight="false" outlineLevel="0" collapsed="false">
      <c r="A628" s="0" t="str">
        <f aca="false">Raw!A628</f>
        <v>SHP0627</v>
      </c>
      <c r="B628" s="0" t="str">
        <f aca="false">Raw!B628</f>
        <v>Outbound</v>
      </c>
      <c r="C628" s="0" t="str">
        <f aca="false">Raw!C628</f>
        <v>Surat</v>
      </c>
      <c r="D628" s="0" t="str">
        <f aca="false">Raw!D628</f>
        <v>Jaipur</v>
      </c>
      <c r="E628" s="0" t="str">
        <f aca="false">IFERROR(INDEX(Location_Map!$B$2:$B$15,MATCH(C628,Location_Map!$A$2:$A$15,0)),"UNMAPPED")</f>
        <v>Gujarat</v>
      </c>
      <c r="F628" s="0" t="str">
        <f aca="false">IFERROR(INDEX(Location_Map!$C$2:$C$15,MATCH(C628,Location_Map!$A$2:$A$15,0)),"UNMAPPED")</f>
        <v>West</v>
      </c>
      <c r="G628" s="0" t="str">
        <f aca="false">IFERROR(INDEX(Location_Map!$B$2:$B$15,MATCH(D628,Location_Map!$A$2:$A$15,0)),"UNMAPPED")</f>
        <v>Rajasthan</v>
      </c>
      <c r="H628" s="0" t="str">
        <f aca="false">IFERROR(INDEX(Location_Map!$C$2:$C$15,MATCH(D628,Location_Map!$A$2:$A$15,0)),"UNMAPPED")</f>
        <v>North</v>
      </c>
      <c r="I628" s="0" t="str">
        <f aca="false">Raw!E628</f>
        <v>Raw Yarn</v>
      </c>
      <c r="J628" s="28" t="n">
        <f aca="false">Raw!F628</f>
        <v>6.64</v>
      </c>
      <c r="K628" s="30" t="n">
        <f aca="false">DATE(LEFT(Raw!G628,4),MID(Raw!G628,6,2),MID(Raw!G628,9,2))</f>
        <v>45658</v>
      </c>
      <c r="L628" s="30" t="n">
        <f aca="false">DATE(LEFT(Raw!H628,4),MID(Raw!H628,6,2),MID(Raw!H628,9,2))</f>
        <v>45662</v>
      </c>
      <c r="M628" s="30" t="n">
        <f aca="false">DATE(LEFT(Raw!I628,4),MID(Raw!I628,6,2),MID(Raw!I628,9,2))</f>
        <v>45667</v>
      </c>
      <c r="N628" s="31" t="n">
        <f aca="false">DATE(LEFT(Raw!J628,4),MID(Raw!J628,6,2),MID(Raw!J628,9,2))+TIME(MID(Raw!J628,12,2),MID(Raw!J628,15,2),MID(Raw!J628,18,2))</f>
        <v>45661.8333333333</v>
      </c>
      <c r="O628" s="31" t="n">
        <f aca="false">DATE(LEFT(Raw!K628,4),MID(Raw!K628,6,2),MID(Raw!K628,9,2))+TIME(MID(Raw!K628,12,2),MID(Raw!K628,15,2),MID(Raw!K628,18,2))</f>
        <v>45670.2</v>
      </c>
      <c r="P628" s="32" t="n">
        <f aca="false">L628-K628</f>
        <v>4</v>
      </c>
      <c r="Q628" s="32" t="n">
        <f aca="false">M628-L628</f>
        <v>5</v>
      </c>
      <c r="R628" s="32" t="n">
        <f aca="false">O628-N628</f>
        <v>8.36666666666667</v>
      </c>
      <c r="S628" s="32" t="n">
        <f aca="false">Raw!L628</f>
        <v>3.2</v>
      </c>
      <c r="T628" s="32" t="n">
        <f aca="false">O628-M628</f>
        <v>3.2</v>
      </c>
      <c r="U628" s="0" t="str">
        <f aca="false">IF(ABS(T628-S628)&lt;0.01,"OK","MISMATCH")</f>
        <v>OK</v>
      </c>
      <c r="V628" s="33" t="n">
        <f aca="false">Raw!M628</f>
        <v>1</v>
      </c>
      <c r="W628" s="0" t="str">
        <f aca="false">IF((S628&gt;0)=(V628=1),"OK","MISMATCH")</f>
        <v>OK</v>
      </c>
      <c r="X628" s="0" t="str">
        <f aca="false">_xlfn.IFS(S628&lt;=0,"Early/On time",S628&lt;=2,"Minor (up to 2 days)",S628&lt;=5,"Moderate (2-5 days)",TRUE(),"Severe (over 5 days)")</f>
        <v>Moderate (2-5 days)</v>
      </c>
      <c r="Y628" s="0" t="str">
        <f aca="false">YEAR(K628)&amp;"-"&amp;TEXT(MONTH(K628),"00")</f>
        <v>2025-01</v>
      </c>
      <c r="Z628" s="0" t="str">
        <f aca="false">C628&amp;" → "&amp;D628</f>
        <v>Surat → Jaipur</v>
      </c>
      <c r="AA628" s="0" t="str">
        <f aca="false">Raw!Q628</f>
        <v>BlueDart</v>
      </c>
      <c r="AB628" s="0" t="str">
        <f aca="false">Raw!R628</f>
        <v>No</v>
      </c>
      <c r="AC628" s="0" t="str">
        <f aca="false">Raw!S628</f>
        <v>Held at warehouse</v>
      </c>
      <c r="AD628" s="29" t="n">
        <f aca="false">Raw!N628</f>
        <v>3745.07</v>
      </c>
      <c r="AE628" s="29" t="n">
        <f aca="false">Raw!O628</f>
        <v>4155.66</v>
      </c>
      <c r="AF628" s="29" t="n">
        <f aca="false">Raw!P628</f>
        <v>733.69</v>
      </c>
      <c r="AG628" s="29" t="n">
        <f aca="false">AD628/J628</f>
        <v>564.01656626506</v>
      </c>
    </row>
    <row r="629" customFormat="false" ht="15" hidden="false" customHeight="false" outlineLevel="0" collapsed="false">
      <c r="A629" s="0" t="str">
        <f aca="false">Raw!A629</f>
        <v>SHP0628</v>
      </c>
      <c r="B629" s="0" t="str">
        <f aca="false">Raw!B629</f>
        <v>Outbound</v>
      </c>
      <c r="C629" s="0" t="str">
        <f aca="false">Raw!C629</f>
        <v>Surat</v>
      </c>
      <c r="D629" s="0" t="str">
        <f aca="false">Raw!D629</f>
        <v>Kerala</v>
      </c>
      <c r="E629" s="0" t="str">
        <f aca="false">IFERROR(INDEX(Location_Map!$B$2:$B$15,MATCH(C629,Location_Map!$A$2:$A$15,0)),"UNMAPPED")</f>
        <v>Gujarat</v>
      </c>
      <c r="F629" s="0" t="str">
        <f aca="false">IFERROR(INDEX(Location_Map!$C$2:$C$15,MATCH(C629,Location_Map!$A$2:$A$15,0)),"UNMAPPED")</f>
        <v>West</v>
      </c>
      <c r="G629" s="0" t="str">
        <f aca="false">IFERROR(INDEX(Location_Map!$B$2:$B$15,MATCH(D629,Location_Map!$A$2:$A$15,0)),"UNMAPPED")</f>
        <v>Kerala</v>
      </c>
      <c r="H629" s="0" t="str">
        <f aca="false">IFERROR(INDEX(Location_Map!$C$2:$C$15,MATCH(D629,Location_Map!$A$2:$A$15,0)),"UNMAPPED")</f>
        <v>South</v>
      </c>
      <c r="I629" s="0" t="str">
        <f aca="false">Raw!E629</f>
        <v>Finished Yarn</v>
      </c>
      <c r="J629" s="28" t="n">
        <f aca="false">Raw!F629</f>
        <v>13.14</v>
      </c>
      <c r="K629" s="30" t="n">
        <f aca="false">DATE(LEFT(Raw!G629,4),MID(Raw!G629,6,2),MID(Raw!G629,9,2))</f>
        <v>45728</v>
      </c>
      <c r="L629" s="30" t="n">
        <f aca="false">DATE(LEFT(Raw!H629,4),MID(Raw!H629,6,2),MID(Raw!H629,9,2))</f>
        <v>45731</v>
      </c>
      <c r="M629" s="30" t="n">
        <f aca="false">DATE(LEFT(Raw!I629,4),MID(Raw!I629,6,2),MID(Raw!I629,9,2))</f>
        <v>45734</v>
      </c>
      <c r="N629" s="31" t="n">
        <f aca="false">DATE(LEFT(Raw!J629,4),MID(Raw!J629,6,2),MID(Raw!J629,9,2))+TIME(MID(Raw!J629,12,2),MID(Raw!J629,15,2),MID(Raw!J629,18,2))</f>
        <v>45730.7916666667</v>
      </c>
      <c r="O629" s="31" t="n">
        <f aca="false">DATE(LEFT(Raw!K629,4),MID(Raw!K629,6,2),MID(Raw!K629,9,2))+TIME(MID(Raw!K629,12,2),MID(Raw!K629,15,2),MID(Raw!K629,18,2))</f>
        <v>45734</v>
      </c>
      <c r="P629" s="32" t="n">
        <f aca="false">L629-K629</f>
        <v>3</v>
      </c>
      <c r="Q629" s="32" t="n">
        <f aca="false">M629-L629</f>
        <v>3</v>
      </c>
      <c r="R629" s="32" t="n">
        <f aca="false">O629-N629</f>
        <v>3.20833333333333</v>
      </c>
      <c r="S629" s="32" t="n">
        <f aca="false">Raw!L629</f>
        <v>0</v>
      </c>
      <c r="T629" s="32" t="n">
        <f aca="false">O629-M629</f>
        <v>0</v>
      </c>
      <c r="U629" s="0" t="str">
        <f aca="false">IF(ABS(T629-S629)&lt;0.01,"OK","MISMATCH")</f>
        <v>OK</v>
      </c>
      <c r="V629" s="33" t="n">
        <f aca="false">Raw!M629</f>
        <v>0</v>
      </c>
      <c r="W629" s="0" t="str">
        <f aca="false">IF((S629&gt;0)=(V629=1),"OK","MISMATCH")</f>
        <v>OK</v>
      </c>
      <c r="X629" s="0" t="str">
        <f aca="false">_xlfn.IFS(S629&lt;=0,"Early/On time",S629&lt;=2,"Minor (up to 2 days)",S629&lt;=5,"Moderate (2-5 days)",TRUE(),"Severe (over 5 days)")</f>
        <v>Early/On time</v>
      </c>
      <c r="Y629" s="0" t="str">
        <f aca="false">YEAR(K629)&amp;"-"&amp;TEXT(MONTH(K629),"00")</f>
        <v>2025-03</v>
      </c>
      <c r="Z629" s="0" t="str">
        <f aca="false">C629&amp;" → "&amp;D629</f>
        <v>Surat → Kerala</v>
      </c>
      <c r="AA629" s="0" t="str">
        <f aca="false">Raw!Q629</f>
        <v>BlueDart</v>
      </c>
      <c r="AB629" s="0" t="str">
        <f aca="false">Raw!R629</f>
        <v>Yes</v>
      </c>
      <c r="AC629" s="0" t="str">
        <f aca="false">Raw!S629</f>
        <v>Expedited</v>
      </c>
      <c r="AD629" s="29" t="n">
        <f aca="false">Raw!N629</f>
        <v>5622.2</v>
      </c>
      <c r="AE629" s="29" t="n">
        <f aca="false">Raw!O629</f>
        <v>1178.04</v>
      </c>
      <c r="AF629" s="29" t="n">
        <f aca="false">Raw!P629</f>
        <v>789.14</v>
      </c>
      <c r="AG629" s="29" t="n">
        <f aca="false">AD629/J629</f>
        <v>427.869101978691</v>
      </c>
    </row>
    <row r="630" customFormat="false" ht="15" hidden="false" customHeight="false" outlineLevel="0" collapsed="false">
      <c r="A630" s="0" t="str">
        <f aca="false">Raw!A630</f>
        <v>SHP0629</v>
      </c>
      <c r="B630" s="0" t="str">
        <f aca="false">Raw!B630</f>
        <v>Inbound</v>
      </c>
      <c r="C630" s="0" t="str">
        <f aca="false">Raw!C630</f>
        <v>Chennai</v>
      </c>
      <c r="D630" s="0" t="str">
        <f aca="false">Raw!D630</f>
        <v>Surat</v>
      </c>
      <c r="E630" s="0" t="str">
        <f aca="false">IFERROR(INDEX(Location_Map!$B$2:$B$15,MATCH(C630,Location_Map!$A$2:$A$15,0)),"UNMAPPED")</f>
        <v>Tamil Nadu</v>
      </c>
      <c r="F630" s="0" t="str">
        <f aca="false">IFERROR(INDEX(Location_Map!$C$2:$C$15,MATCH(C630,Location_Map!$A$2:$A$15,0)),"UNMAPPED")</f>
        <v>South</v>
      </c>
      <c r="G630" s="0" t="str">
        <f aca="false">IFERROR(INDEX(Location_Map!$B$2:$B$15,MATCH(D630,Location_Map!$A$2:$A$15,0)),"UNMAPPED")</f>
        <v>Gujarat</v>
      </c>
      <c r="H630" s="0" t="str">
        <f aca="false">IFERROR(INDEX(Location_Map!$C$2:$C$15,MATCH(D630,Location_Map!$A$2:$A$15,0)),"UNMAPPED")</f>
        <v>West</v>
      </c>
      <c r="I630" s="0" t="str">
        <f aca="false">Raw!E630</f>
        <v>Raw Yarn</v>
      </c>
      <c r="J630" s="28" t="n">
        <f aca="false">Raw!F630</f>
        <v>9.57</v>
      </c>
      <c r="K630" s="30" t="n">
        <f aca="false">DATE(LEFT(Raw!G630,4),MID(Raw!G630,6,2),MID(Raw!G630,9,2))</f>
        <v>45693</v>
      </c>
      <c r="L630" s="30" t="n">
        <f aca="false">DATE(LEFT(Raw!H630,4),MID(Raw!H630,6,2),MID(Raw!H630,9,2))</f>
        <v>45695</v>
      </c>
      <c r="M630" s="30" t="n">
        <f aca="false">DATE(LEFT(Raw!I630,4),MID(Raw!I630,6,2),MID(Raw!I630,9,2))</f>
        <v>45701</v>
      </c>
      <c r="N630" s="31" t="n">
        <f aca="false">DATE(LEFT(Raw!J630,4),MID(Raw!J630,6,2),MID(Raw!J630,9,2))+TIME(MID(Raw!J630,12,2),MID(Raw!J630,15,2),MID(Raw!J630,18,2))</f>
        <v>45695.125</v>
      </c>
      <c r="O630" s="31" t="n">
        <f aca="false">DATE(LEFT(Raw!K630,4),MID(Raw!K630,6,2),MID(Raw!K630,9,2))+TIME(MID(Raw!K630,12,2),MID(Raw!K630,15,2),MID(Raw!K630,18,2))</f>
        <v>45703</v>
      </c>
      <c r="P630" s="32" t="n">
        <f aca="false">L630-K630</f>
        <v>2</v>
      </c>
      <c r="Q630" s="32" t="n">
        <f aca="false">M630-L630</f>
        <v>6</v>
      </c>
      <c r="R630" s="32" t="n">
        <f aca="false">O630-N630</f>
        <v>7.875</v>
      </c>
      <c r="S630" s="32" t="n">
        <f aca="false">Raw!L630</f>
        <v>2</v>
      </c>
      <c r="T630" s="32" t="n">
        <f aca="false">O630-M630</f>
        <v>2</v>
      </c>
      <c r="U630" s="0" t="str">
        <f aca="false">IF(ABS(T630-S630)&lt;0.01,"OK","MISMATCH")</f>
        <v>OK</v>
      </c>
      <c r="V630" s="33" t="n">
        <f aca="false">Raw!M630</f>
        <v>1</v>
      </c>
      <c r="W630" s="0" t="str">
        <f aca="false">IF((S630&gt;0)=(V630=1),"OK","MISMATCH")</f>
        <v>OK</v>
      </c>
      <c r="X630" s="0" t="str">
        <f aca="false">_xlfn.IFS(S630&lt;=0,"Early/On time",S630&lt;=2,"Minor (up to 2 days)",S630&lt;=5,"Moderate (2-5 days)",TRUE(),"Severe (over 5 days)")</f>
        <v>Minor (up to 2 days)</v>
      </c>
      <c r="Y630" s="0" t="str">
        <f aca="false">YEAR(K630)&amp;"-"&amp;TEXT(MONTH(K630),"00")</f>
        <v>2025-02</v>
      </c>
      <c r="Z630" s="0" t="str">
        <f aca="false">C630&amp;" → "&amp;D630</f>
        <v>Chennai → Surat</v>
      </c>
      <c r="AA630" s="0" t="str">
        <f aca="false">Raw!Q630</f>
        <v>Delhivery</v>
      </c>
      <c r="AB630" s="0" t="str">
        <f aca="false">Raw!R630</f>
        <v>No</v>
      </c>
      <c r="AC630" s="0" t="str">
        <f aca="false">Raw!S630</f>
        <v>Held at warehouse</v>
      </c>
      <c r="AD630" s="29" t="n">
        <f aca="false">Raw!N630</f>
        <v>3922.2</v>
      </c>
      <c r="AE630" s="29" t="n">
        <f aca="false">Raw!O630</f>
        <v>2445.95</v>
      </c>
      <c r="AF630" s="29" t="n">
        <f aca="false">Raw!P630</f>
        <v>858.73</v>
      </c>
      <c r="AG630" s="29" t="n">
        <f aca="false">AD630/J630</f>
        <v>409.843260188088</v>
      </c>
    </row>
    <row r="631" customFormat="false" ht="15" hidden="false" customHeight="false" outlineLevel="0" collapsed="false">
      <c r="A631" s="0" t="str">
        <f aca="false">Raw!A631</f>
        <v>SHP0630</v>
      </c>
      <c r="B631" s="0" t="str">
        <f aca="false">Raw!B631</f>
        <v>Outbound</v>
      </c>
      <c r="C631" s="0" t="str">
        <f aca="false">Raw!C631</f>
        <v>Surat</v>
      </c>
      <c r="D631" s="0" t="str">
        <f aca="false">Raw!D631</f>
        <v>Mumbai</v>
      </c>
      <c r="E631" s="0" t="str">
        <f aca="false">IFERROR(INDEX(Location_Map!$B$2:$B$15,MATCH(C631,Location_Map!$A$2:$A$15,0)),"UNMAPPED")</f>
        <v>Gujarat</v>
      </c>
      <c r="F631" s="0" t="str">
        <f aca="false">IFERROR(INDEX(Location_Map!$C$2:$C$15,MATCH(C631,Location_Map!$A$2:$A$15,0)),"UNMAPPED")</f>
        <v>West</v>
      </c>
      <c r="G631" s="0" t="str">
        <f aca="false">IFERROR(INDEX(Location_Map!$B$2:$B$15,MATCH(D631,Location_Map!$A$2:$A$15,0)),"UNMAPPED")</f>
        <v>Maharashtra</v>
      </c>
      <c r="H631" s="0" t="str">
        <f aca="false">IFERROR(INDEX(Location_Map!$C$2:$C$15,MATCH(D631,Location_Map!$A$2:$A$15,0)),"UNMAPPED")</f>
        <v>West</v>
      </c>
      <c r="I631" s="0" t="str">
        <f aca="false">Raw!E631</f>
        <v>Finished Yarn</v>
      </c>
      <c r="J631" s="28" t="n">
        <f aca="false">Raw!F631</f>
        <v>11.06</v>
      </c>
      <c r="K631" s="30" t="n">
        <f aca="false">DATE(LEFT(Raw!G631,4),MID(Raw!G631,6,2),MID(Raw!G631,9,2))</f>
        <v>45833</v>
      </c>
      <c r="L631" s="30" t="n">
        <f aca="false">DATE(LEFT(Raw!H631,4),MID(Raw!H631,6,2),MID(Raw!H631,9,2))</f>
        <v>45837</v>
      </c>
      <c r="M631" s="30" t="n">
        <f aca="false">DATE(LEFT(Raw!I631,4),MID(Raw!I631,6,2),MID(Raw!I631,9,2))</f>
        <v>45843</v>
      </c>
      <c r="N631" s="31" t="n">
        <f aca="false">DATE(LEFT(Raw!J631,4),MID(Raw!J631,6,2),MID(Raw!J631,9,2))+TIME(MID(Raw!J631,12,2),MID(Raw!J631,15,2),MID(Raw!J631,18,2))</f>
        <v>45836.8333333333</v>
      </c>
      <c r="O631" s="31" t="n">
        <f aca="false">DATE(LEFT(Raw!K631,4),MID(Raw!K631,6,2),MID(Raw!K631,9,2))+TIME(MID(Raw!K631,12,2),MID(Raw!K631,15,2),MID(Raw!K631,18,2))</f>
        <v>45842.1</v>
      </c>
      <c r="P631" s="32" t="n">
        <f aca="false">L631-K631</f>
        <v>4</v>
      </c>
      <c r="Q631" s="32" t="n">
        <f aca="false">M631-L631</f>
        <v>6</v>
      </c>
      <c r="R631" s="32" t="n">
        <f aca="false">O631-N631</f>
        <v>5.26666666666667</v>
      </c>
      <c r="S631" s="32" t="n">
        <f aca="false">Raw!L631</f>
        <v>-0.9</v>
      </c>
      <c r="T631" s="32" t="n">
        <f aca="false">O631-M631</f>
        <v>-0.900000000002917</v>
      </c>
      <c r="U631" s="0" t="str">
        <f aca="false">IF(ABS(T631-S631)&lt;0.01,"OK","MISMATCH")</f>
        <v>OK</v>
      </c>
      <c r="V631" s="33" t="n">
        <f aca="false">Raw!M631</f>
        <v>0</v>
      </c>
      <c r="W631" s="0" t="str">
        <f aca="false">IF((S631&gt;0)=(V631=1),"OK","MISMATCH")</f>
        <v>OK</v>
      </c>
      <c r="X631" s="0" t="str">
        <f aca="false">_xlfn.IFS(S631&lt;=0,"Early/On time",S631&lt;=2,"Minor (up to 2 days)",S631&lt;=5,"Moderate (2-5 days)",TRUE(),"Severe (over 5 days)")</f>
        <v>Early/On time</v>
      </c>
      <c r="Y631" s="0" t="str">
        <f aca="false">YEAR(K631)&amp;"-"&amp;TEXT(MONTH(K631),"00")</f>
        <v>2025-06</v>
      </c>
      <c r="Z631" s="0" t="str">
        <f aca="false">C631&amp;" → "&amp;D631</f>
        <v>Surat → Mumbai</v>
      </c>
      <c r="AA631" s="0" t="str">
        <f aca="false">Raw!Q631</f>
        <v>TCI Express</v>
      </c>
      <c r="AB631" s="0" t="str">
        <f aca="false">Raw!R631</f>
        <v>No</v>
      </c>
      <c r="AC631" s="0" t="str">
        <f aca="false">Raw!S631</f>
        <v>Held at warehouse</v>
      </c>
      <c r="AD631" s="29" t="n">
        <f aca="false">Raw!N631</f>
        <v>6739.32</v>
      </c>
      <c r="AE631" s="29" t="n">
        <f aca="false">Raw!O631</f>
        <v>4327.77</v>
      </c>
      <c r="AF631" s="29" t="n">
        <f aca="false">Raw!P631</f>
        <v>903.52</v>
      </c>
      <c r="AG631" s="29" t="n">
        <f aca="false">AD631/J631</f>
        <v>609.341772151899</v>
      </c>
    </row>
    <row r="632" customFormat="false" ht="15" hidden="false" customHeight="false" outlineLevel="0" collapsed="false">
      <c r="A632" s="0" t="str">
        <f aca="false">Raw!A632</f>
        <v>SHP0631</v>
      </c>
      <c r="B632" s="0" t="str">
        <f aca="false">Raw!B632</f>
        <v>Outbound</v>
      </c>
      <c r="C632" s="0" t="str">
        <f aca="false">Raw!C632</f>
        <v>Surat</v>
      </c>
      <c r="D632" s="0" t="str">
        <f aca="false">Raw!D632</f>
        <v>Karnataka</v>
      </c>
      <c r="E632" s="0" t="str">
        <f aca="false">IFERROR(INDEX(Location_Map!$B$2:$B$15,MATCH(C632,Location_Map!$A$2:$A$15,0)),"UNMAPPED")</f>
        <v>Gujarat</v>
      </c>
      <c r="F632" s="0" t="str">
        <f aca="false">IFERROR(INDEX(Location_Map!$C$2:$C$15,MATCH(C632,Location_Map!$A$2:$A$15,0)),"UNMAPPED")</f>
        <v>West</v>
      </c>
      <c r="G632" s="0" t="str">
        <f aca="false">IFERROR(INDEX(Location_Map!$B$2:$B$15,MATCH(D632,Location_Map!$A$2:$A$15,0)),"UNMAPPED")</f>
        <v>Karnataka</v>
      </c>
      <c r="H632" s="0" t="str">
        <f aca="false">IFERROR(INDEX(Location_Map!$C$2:$C$15,MATCH(D632,Location_Map!$A$2:$A$15,0)),"UNMAPPED")</f>
        <v>South</v>
      </c>
      <c r="I632" s="0" t="str">
        <f aca="false">Raw!E632</f>
        <v>Semi-Processed Yarn</v>
      </c>
      <c r="J632" s="28" t="n">
        <f aca="false">Raw!F632</f>
        <v>7.33</v>
      </c>
      <c r="K632" s="30" t="n">
        <f aca="false">DATE(LEFT(Raw!G632,4),MID(Raw!G632,6,2),MID(Raw!G632,9,2))</f>
        <v>45805</v>
      </c>
      <c r="L632" s="30" t="n">
        <f aca="false">DATE(LEFT(Raw!H632,4),MID(Raw!H632,6,2),MID(Raw!H632,9,2))</f>
        <v>45808</v>
      </c>
      <c r="M632" s="30" t="n">
        <f aca="false">DATE(LEFT(Raw!I632,4),MID(Raw!I632,6,2),MID(Raw!I632,9,2))</f>
        <v>45812</v>
      </c>
      <c r="N632" s="31" t="n">
        <f aca="false">DATE(LEFT(Raw!J632,4),MID(Raw!J632,6,2),MID(Raw!J632,9,2))+TIME(MID(Raw!J632,12,2),MID(Raw!J632,15,2),MID(Raw!J632,18,2))</f>
        <v>45807.8333333333</v>
      </c>
      <c r="O632" s="31" t="n">
        <f aca="false">DATE(LEFT(Raw!K632,4),MID(Raw!K632,6,2),MID(Raw!K632,9,2))+TIME(MID(Raw!K632,12,2),MID(Raw!K632,15,2),MID(Raw!K632,18,2))</f>
        <v>45814.6</v>
      </c>
      <c r="P632" s="32" t="n">
        <f aca="false">L632-K632</f>
        <v>3</v>
      </c>
      <c r="Q632" s="32" t="n">
        <f aca="false">M632-L632</f>
        <v>4</v>
      </c>
      <c r="R632" s="32" t="n">
        <f aca="false">O632-N632</f>
        <v>6.76666666666667</v>
      </c>
      <c r="S632" s="32" t="n">
        <f aca="false">Raw!L632</f>
        <v>2.6</v>
      </c>
      <c r="T632" s="32" t="n">
        <f aca="false">O632-M632</f>
        <v>2.6</v>
      </c>
      <c r="U632" s="0" t="str">
        <f aca="false">IF(ABS(T632-S632)&lt;0.01,"OK","MISMATCH")</f>
        <v>OK</v>
      </c>
      <c r="V632" s="33" t="n">
        <f aca="false">Raw!M632</f>
        <v>1</v>
      </c>
      <c r="W632" s="0" t="str">
        <f aca="false">IF((S632&gt;0)=(V632=1),"OK","MISMATCH")</f>
        <v>OK</v>
      </c>
      <c r="X632" s="0" t="str">
        <f aca="false">_xlfn.IFS(S632&lt;=0,"Early/On time",S632&lt;=2,"Minor (up to 2 days)",S632&lt;=5,"Moderate (2-5 days)",TRUE(),"Severe (over 5 days)")</f>
        <v>Moderate (2-5 days)</v>
      </c>
      <c r="Y632" s="0" t="str">
        <f aca="false">YEAR(K632)&amp;"-"&amp;TEXT(MONTH(K632),"00")</f>
        <v>2025-05</v>
      </c>
      <c r="Z632" s="0" t="str">
        <f aca="false">C632&amp;" → "&amp;D632</f>
        <v>Surat → Karnataka</v>
      </c>
      <c r="AA632" s="0" t="str">
        <f aca="false">Raw!Q632</f>
        <v>GATI Logistics</v>
      </c>
      <c r="AB632" s="0" t="str">
        <f aca="false">Raw!R632</f>
        <v>Yes</v>
      </c>
      <c r="AC632" s="0" t="str">
        <f aca="false">Raw!S632</f>
        <v>Held at warehouse</v>
      </c>
      <c r="AD632" s="29" t="n">
        <f aca="false">Raw!N632</f>
        <v>2799.77</v>
      </c>
      <c r="AE632" s="29" t="n">
        <f aca="false">Raw!O632</f>
        <v>1955.38</v>
      </c>
      <c r="AF632" s="29" t="n">
        <f aca="false">Raw!P632</f>
        <v>1449.28</v>
      </c>
      <c r="AG632" s="29" t="n">
        <f aca="false">AD632/J632</f>
        <v>381.960436562074</v>
      </c>
    </row>
    <row r="633" customFormat="false" ht="15" hidden="false" customHeight="false" outlineLevel="0" collapsed="false">
      <c r="A633" s="0" t="str">
        <f aca="false">Raw!A633</f>
        <v>SHP0632</v>
      </c>
      <c r="B633" s="0" t="str">
        <f aca="false">Raw!B633</f>
        <v>Outbound</v>
      </c>
      <c r="C633" s="0" t="str">
        <f aca="false">Raw!C633</f>
        <v>Surat</v>
      </c>
      <c r="D633" s="0" t="str">
        <f aca="false">Raw!D633</f>
        <v>Gujarat</v>
      </c>
      <c r="E633" s="0" t="str">
        <f aca="false">IFERROR(INDEX(Location_Map!$B$2:$B$15,MATCH(C633,Location_Map!$A$2:$A$15,0)),"UNMAPPED")</f>
        <v>Gujarat</v>
      </c>
      <c r="F633" s="0" t="str">
        <f aca="false">IFERROR(INDEX(Location_Map!$C$2:$C$15,MATCH(C633,Location_Map!$A$2:$A$15,0)),"UNMAPPED")</f>
        <v>West</v>
      </c>
      <c r="G633" s="0" t="str">
        <f aca="false">IFERROR(INDEX(Location_Map!$B$2:$B$15,MATCH(D633,Location_Map!$A$2:$A$15,0)),"UNMAPPED")</f>
        <v>Gujarat</v>
      </c>
      <c r="H633" s="0" t="str">
        <f aca="false">IFERROR(INDEX(Location_Map!$C$2:$C$15,MATCH(D633,Location_Map!$A$2:$A$15,0)),"UNMAPPED")</f>
        <v>West</v>
      </c>
      <c r="I633" s="0" t="str">
        <f aca="false">Raw!E633</f>
        <v>Finished Yarn</v>
      </c>
      <c r="J633" s="28" t="n">
        <f aca="false">Raw!F633</f>
        <v>6.8</v>
      </c>
      <c r="K633" s="30" t="n">
        <f aca="false">DATE(LEFT(Raw!G633,4),MID(Raw!G633,6,2),MID(Raw!G633,9,2))</f>
        <v>45708</v>
      </c>
      <c r="L633" s="30" t="n">
        <f aca="false">DATE(LEFT(Raw!H633,4),MID(Raw!H633,6,2),MID(Raw!H633,9,2))</f>
        <v>45710</v>
      </c>
      <c r="M633" s="30" t="n">
        <f aca="false">DATE(LEFT(Raw!I633,4),MID(Raw!I633,6,2),MID(Raw!I633,9,2))</f>
        <v>45712</v>
      </c>
      <c r="N633" s="31" t="n">
        <f aca="false">DATE(LEFT(Raw!J633,4),MID(Raw!J633,6,2),MID(Raw!J633,9,2))+TIME(MID(Raw!J633,12,2),MID(Raw!J633,15,2),MID(Raw!J633,18,2))</f>
        <v>45710.0416666667</v>
      </c>
      <c r="O633" s="31" t="n">
        <f aca="false">DATE(LEFT(Raw!K633,4),MID(Raw!K633,6,2),MID(Raw!K633,9,2))+TIME(MID(Raw!K633,12,2),MID(Raw!K633,15,2),MID(Raw!K633,18,2))</f>
        <v>45716.4</v>
      </c>
      <c r="P633" s="32" t="n">
        <f aca="false">L633-K633</f>
        <v>2</v>
      </c>
      <c r="Q633" s="32" t="n">
        <f aca="false">M633-L633</f>
        <v>2</v>
      </c>
      <c r="R633" s="32" t="n">
        <f aca="false">O633-N633</f>
        <v>6.35833333333333</v>
      </c>
      <c r="S633" s="32" t="n">
        <f aca="false">Raw!L633</f>
        <v>4.4</v>
      </c>
      <c r="T633" s="32" t="n">
        <f aca="false">O633-M633</f>
        <v>4.4</v>
      </c>
      <c r="U633" s="0" t="str">
        <f aca="false">IF(ABS(T633-S633)&lt;0.01,"OK","MISMATCH")</f>
        <v>OK</v>
      </c>
      <c r="V633" s="33" t="n">
        <f aca="false">Raw!M633</f>
        <v>1</v>
      </c>
      <c r="W633" s="0" t="str">
        <f aca="false">IF((S633&gt;0)=(V633=1),"OK","MISMATCH")</f>
        <v>OK</v>
      </c>
      <c r="X633" s="0" t="str">
        <f aca="false">_xlfn.IFS(S633&lt;=0,"Early/On time",S633&lt;=2,"Minor (up to 2 days)",S633&lt;=5,"Moderate (2-5 days)",TRUE(),"Severe (over 5 days)")</f>
        <v>Moderate (2-5 days)</v>
      </c>
      <c r="Y633" s="0" t="str">
        <f aca="false">YEAR(K633)&amp;"-"&amp;TEXT(MONTH(K633),"00")</f>
        <v>2025-02</v>
      </c>
      <c r="Z633" s="0" t="str">
        <f aca="false">C633&amp;" → "&amp;D633</f>
        <v>Surat → Gujarat</v>
      </c>
      <c r="AA633" s="0" t="str">
        <f aca="false">Raw!Q633</f>
        <v>Delhivery</v>
      </c>
      <c r="AB633" s="0" t="str">
        <f aca="false">Raw!R633</f>
        <v>No</v>
      </c>
      <c r="AC633" s="0" t="str">
        <f aca="false">Raw!S633</f>
        <v>Held at warehouse</v>
      </c>
      <c r="AD633" s="29" t="n">
        <f aca="false">Raw!N633</f>
        <v>3565.32</v>
      </c>
      <c r="AE633" s="29" t="n">
        <f aca="false">Raw!O633</f>
        <v>3206.85</v>
      </c>
      <c r="AF633" s="29" t="n">
        <f aca="false">Raw!P633</f>
        <v>856.56</v>
      </c>
      <c r="AG633" s="29" t="n">
        <f aca="false">AD633/J633</f>
        <v>524.311764705882</v>
      </c>
    </row>
    <row r="634" customFormat="false" ht="15" hidden="false" customHeight="false" outlineLevel="0" collapsed="false">
      <c r="A634" s="0" t="str">
        <f aca="false">Raw!A634</f>
        <v>SHP0633</v>
      </c>
      <c r="B634" s="0" t="str">
        <f aca="false">Raw!B634</f>
        <v>Inbound</v>
      </c>
      <c r="C634" s="0" t="str">
        <f aca="false">Raw!C634</f>
        <v>Chennai</v>
      </c>
      <c r="D634" s="0" t="str">
        <f aca="false">Raw!D634</f>
        <v>Surat</v>
      </c>
      <c r="E634" s="0" t="str">
        <f aca="false">IFERROR(INDEX(Location_Map!$B$2:$B$15,MATCH(C634,Location_Map!$A$2:$A$15,0)),"UNMAPPED")</f>
        <v>Tamil Nadu</v>
      </c>
      <c r="F634" s="0" t="str">
        <f aca="false">IFERROR(INDEX(Location_Map!$C$2:$C$15,MATCH(C634,Location_Map!$A$2:$A$15,0)),"UNMAPPED")</f>
        <v>South</v>
      </c>
      <c r="G634" s="0" t="str">
        <f aca="false">IFERROR(INDEX(Location_Map!$B$2:$B$15,MATCH(D634,Location_Map!$A$2:$A$15,0)),"UNMAPPED")</f>
        <v>Gujarat</v>
      </c>
      <c r="H634" s="0" t="str">
        <f aca="false">IFERROR(INDEX(Location_Map!$C$2:$C$15,MATCH(D634,Location_Map!$A$2:$A$15,0)),"UNMAPPED")</f>
        <v>West</v>
      </c>
      <c r="I634" s="0" t="str">
        <f aca="false">Raw!E634</f>
        <v>Finished Yarn</v>
      </c>
      <c r="J634" s="28" t="n">
        <f aca="false">Raw!F634</f>
        <v>9.5</v>
      </c>
      <c r="K634" s="30" t="n">
        <f aca="false">DATE(LEFT(Raw!G634,4),MID(Raw!G634,6,2),MID(Raw!G634,9,2))</f>
        <v>45947</v>
      </c>
      <c r="L634" s="30" t="n">
        <f aca="false">DATE(LEFT(Raw!H634,4),MID(Raw!H634,6,2),MID(Raw!H634,9,2))</f>
        <v>45949</v>
      </c>
      <c r="M634" s="30" t="n">
        <f aca="false">DATE(LEFT(Raw!I634,4),MID(Raw!I634,6,2),MID(Raw!I634,9,2))</f>
        <v>45951</v>
      </c>
      <c r="N634" s="31" t="n">
        <f aca="false">DATE(LEFT(Raw!J634,4),MID(Raw!J634,6,2),MID(Raw!J634,9,2))+TIME(MID(Raw!J634,12,2),MID(Raw!J634,15,2),MID(Raw!J634,18,2))</f>
        <v>45949.2083333333</v>
      </c>
      <c r="O634" s="31" t="n">
        <f aca="false">DATE(LEFT(Raw!K634,4),MID(Raw!K634,6,2),MID(Raw!K634,9,2))+TIME(MID(Raw!K634,12,2),MID(Raw!K634,15,2),MID(Raw!K634,18,2))</f>
        <v>45953</v>
      </c>
      <c r="P634" s="32" t="n">
        <f aca="false">L634-K634</f>
        <v>2</v>
      </c>
      <c r="Q634" s="32" t="n">
        <f aca="false">M634-L634</f>
        <v>2</v>
      </c>
      <c r="R634" s="32" t="n">
        <f aca="false">O634-N634</f>
        <v>3.79166666666667</v>
      </c>
      <c r="S634" s="32" t="n">
        <f aca="false">Raw!L634</f>
        <v>2</v>
      </c>
      <c r="T634" s="32" t="n">
        <f aca="false">O634-M634</f>
        <v>2</v>
      </c>
      <c r="U634" s="0" t="str">
        <f aca="false">IF(ABS(T634-S634)&lt;0.01,"OK","MISMATCH")</f>
        <v>OK</v>
      </c>
      <c r="V634" s="33" t="n">
        <f aca="false">Raw!M634</f>
        <v>1</v>
      </c>
      <c r="W634" s="0" t="str">
        <f aca="false">IF((S634&gt;0)=(V634=1),"OK","MISMATCH")</f>
        <v>OK</v>
      </c>
      <c r="X634" s="0" t="str">
        <f aca="false">_xlfn.IFS(S634&lt;=0,"Early/On time",S634&lt;=2,"Minor (up to 2 days)",S634&lt;=5,"Moderate (2-5 days)",TRUE(),"Severe (over 5 days)")</f>
        <v>Minor (up to 2 days)</v>
      </c>
      <c r="Y634" s="0" t="str">
        <f aca="false">YEAR(K634)&amp;"-"&amp;TEXT(MONTH(K634),"00")</f>
        <v>2025-10</v>
      </c>
      <c r="Z634" s="0" t="str">
        <f aca="false">C634&amp;" → "&amp;D634</f>
        <v>Chennai → Surat</v>
      </c>
      <c r="AA634" s="0" t="str">
        <f aca="false">Raw!Q634</f>
        <v>Delhivery</v>
      </c>
      <c r="AB634" s="0" t="str">
        <f aca="false">Raw!R634</f>
        <v>Yes</v>
      </c>
      <c r="AC634" s="0" t="str">
        <f aca="false">Raw!S634</f>
        <v>Held at warehouse</v>
      </c>
      <c r="AD634" s="29" t="n">
        <f aca="false">Raw!N634</f>
        <v>4781.98</v>
      </c>
      <c r="AE634" s="29" t="n">
        <f aca="false">Raw!O634</f>
        <v>3837.18</v>
      </c>
      <c r="AF634" s="29" t="n">
        <f aca="false">Raw!P634</f>
        <v>521.15</v>
      </c>
      <c r="AG634" s="29" t="n">
        <f aca="false">AD634/J634</f>
        <v>503.366315789474</v>
      </c>
    </row>
    <row r="635" customFormat="false" ht="15" hidden="false" customHeight="false" outlineLevel="0" collapsed="false">
      <c r="A635" s="0" t="str">
        <f aca="false">Raw!A635</f>
        <v>SHP0634</v>
      </c>
      <c r="B635" s="0" t="str">
        <f aca="false">Raw!B635</f>
        <v>Inbound</v>
      </c>
      <c r="C635" s="0" t="str">
        <f aca="false">Raw!C635</f>
        <v>Chennai</v>
      </c>
      <c r="D635" s="0" t="str">
        <f aca="false">Raw!D635</f>
        <v>Surat</v>
      </c>
      <c r="E635" s="0" t="str">
        <f aca="false">IFERROR(INDEX(Location_Map!$B$2:$B$15,MATCH(C635,Location_Map!$A$2:$A$15,0)),"UNMAPPED")</f>
        <v>Tamil Nadu</v>
      </c>
      <c r="F635" s="0" t="str">
        <f aca="false">IFERROR(INDEX(Location_Map!$C$2:$C$15,MATCH(C635,Location_Map!$A$2:$A$15,0)),"UNMAPPED")</f>
        <v>South</v>
      </c>
      <c r="G635" s="0" t="str">
        <f aca="false">IFERROR(INDEX(Location_Map!$B$2:$B$15,MATCH(D635,Location_Map!$A$2:$A$15,0)),"UNMAPPED")</f>
        <v>Gujarat</v>
      </c>
      <c r="H635" s="0" t="str">
        <f aca="false">IFERROR(INDEX(Location_Map!$C$2:$C$15,MATCH(D635,Location_Map!$A$2:$A$15,0)),"UNMAPPED")</f>
        <v>West</v>
      </c>
      <c r="I635" s="0" t="str">
        <f aca="false">Raw!E635</f>
        <v>Finished Yarn</v>
      </c>
      <c r="J635" s="28" t="n">
        <f aca="false">Raw!F635</f>
        <v>8.96</v>
      </c>
      <c r="K635" s="30" t="n">
        <f aca="false">DATE(LEFT(Raw!G635,4),MID(Raw!G635,6,2),MID(Raw!G635,9,2))</f>
        <v>45890</v>
      </c>
      <c r="L635" s="30" t="n">
        <f aca="false">DATE(LEFT(Raw!H635,4),MID(Raw!H635,6,2),MID(Raw!H635,9,2))</f>
        <v>45892</v>
      </c>
      <c r="M635" s="30" t="n">
        <f aca="false">DATE(LEFT(Raw!I635,4),MID(Raw!I635,6,2),MID(Raw!I635,9,2))</f>
        <v>45894</v>
      </c>
      <c r="N635" s="31" t="n">
        <f aca="false">DATE(LEFT(Raw!J635,4),MID(Raw!J635,6,2),MID(Raw!J635,9,2))+TIME(MID(Raw!J635,12,2),MID(Raw!J635,15,2),MID(Raw!J635,18,2))</f>
        <v>45891.9583333333</v>
      </c>
      <c r="O635" s="31" t="n">
        <f aca="false">DATE(LEFT(Raw!K635,4),MID(Raw!K635,6,2),MID(Raw!K635,9,2))+TIME(MID(Raw!K635,12,2),MID(Raw!K635,15,2),MID(Raw!K635,18,2))</f>
        <v>45893</v>
      </c>
      <c r="P635" s="32" t="n">
        <f aca="false">L635-K635</f>
        <v>2</v>
      </c>
      <c r="Q635" s="32" t="n">
        <f aca="false">M635-L635</f>
        <v>2</v>
      </c>
      <c r="R635" s="32" t="n">
        <f aca="false">O635-N635</f>
        <v>1.04166666666667</v>
      </c>
      <c r="S635" s="32" t="n">
        <f aca="false">Raw!L635</f>
        <v>-1</v>
      </c>
      <c r="T635" s="32" t="n">
        <f aca="false">O635-M635</f>
        <v>-1</v>
      </c>
      <c r="U635" s="0" t="str">
        <f aca="false">IF(ABS(T635-S635)&lt;0.01,"OK","MISMATCH")</f>
        <v>OK</v>
      </c>
      <c r="V635" s="33" t="n">
        <f aca="false">Raw!M635</f>
        <v>0</v>
      </c>
      <c r="W635" s="0" t="str">
        <f aca="false">IF((S635&gt;0)=(V635=1),"OK","MISMATCH")</f>
        <v>OK</v>
      </c>
      <c r="X635" s="0" t="str">
        <f aca="false">_xlfn.IFS(S635&lt;=0,"Early/On time",S635&lt;=2,"Minor (up to 2 days)",S635&lt;=5,"Moderate (2-5 days)",TRUE(),"Severe (over 5 days)")</f>
        <v>Early/On time</v>
      </c>
      <c r="Y635" s="0" t="str">
        <f aca="false">YEAR(K635)&amp;"-"&amp;TEXT(MONTH(K635),"00")</f>
        <v>2025-08</v>
      </c>
      <c r="Z635" s="0" t="str">
        <f aca="false">C635&amp;" → "&amp;D635</f>
        <v>Chennai → Surat</v>
      </c>
      <c r="AA635" s="0" t="str">
        <f aca="false">Raw!Q635</f>
        <v>BlueDart</v>
      </c>
      <c r="AB635" s="0" t="str">
        <f aca="false">Raw!R635</f>
        <v>Yes</v>
      </c>
      <c r="AC635" s="0" t="str">
        <f aca="false">Raw!S635</f>
        <v>Held at warehouse</v>
      </c>
      <c r="AD635" s="29" t="n">
        <f aca="false">Raw!N635</f>
        <v>4410.72</v>
      </c>
      <c r="AE635" s="29" t="n">
        <f aca="false">Raw!O635</f>
        <v>1209.12</v>
      </c>
      <c r="AF635" s="29" t="n">
        <f aca="false">Raw!P635</f>
        <v>1352.54</v>
      </c>
      <c r="AG635" s="29" t="n">
        <f aca="false">AD635/J635</f>
        <v>492.267857142857</v>
      </c>
    </row>
    <row r="636" customFormat="false" ht="15" hidden="false" customHeight="false" outlineLevel="0" collapsed="false">
      <c r="A636" s="0" t="str">
        <f aca="false">Raw!A636</f>
        <v>SHP0635</v>
      </c>
      <c r="B636" s="0" t="str">
        <f aca="false">Raw!B636</f>
        <v>Outbound</v>
      </c>
      <c r="C636" s="0" t="str">
        <f aca="false">Raw!C636</f>
        <v>Surat</v>
      </c>
      <c r="D636" s="0" t="str">
        <f aca="false">Raw!D636</f>
        <v>Gujarat</v>
      </c>
      <c r="E636" s="0" t="str">
        <f aca="false">IFERROR(INDEX(Location_Map!$B$2:$B$15,MATCH(C636,Location_Map!$A$2:$A$15,0)),"UNMAPPED")</f>
        <v>Gujarat</v>
      </c>
      <c r="F636" s="0" t="str">
        <f aca="false">IFERROR(INDEX(Location_Map!$C$2:$C$15,MATCH(C636,Location_Map!$A$2:$A$15,0)),"UNMAPPED")</f>
        <v>West</v>
      </c>
      <c r="G636" s="0" t="str">
        <f aca="false">IFERROR(INDEX(Location_Map!$B$2:$B$15,MATCH(D636,Location_Map!$A$2:$A$15,0)),"UNMAPPED")</f>
        <v>Gujarat</v>
      </c>
      <c r="H636" s="0" t="str">
        <f aca="false">IFERROR(INDEX(Location_Map!$C$2:$C$15,MATCH(D636,Location_Map!$A$2:$A$15,0)),"UNMAPPED")</f>
        <v>West</v>
      </c>
      <c r="I636" s="0" t="str">
        <f aca="false">Raw!E636</f>
        <v>Semi-Processed Yarn</v>
      </c>
      <c r="J636" s="28" t="n">
        <f aca="false">Raw!F636</f>
        <v>4.77</v>
      </c>
      <c r="K636" s="30" t="n">
        <f aca="false">DATE(LEFT(Raw!G636,4),MID(Raw!G636,6,2),MID(Raw!G636,9,2))</f>
        <v>45920</v>
      </c>
      <c r="L636" s="30" t="n">
        <f aca="false">DATE(LEFT(Raw!H636,4),MID(Raw!H636,6,2),MID(Raw!H636,9,2))</f>
        <v>45922</v>
      </c>
      <c r="M636" s="30" t="n">
        <f aca="false">DATE(LEFT(Raw!I636,4),MID(Raw!I636,6,2),MID(Raw!I636,9,2))</f>
        <v>45925</v>
      </c>
      <c r="N636" s="31" t="n">
        <f aca="false">DATE(LEFT(Raw!J636,4),MID(Raw!J636,6,2),MID(Raw!J636,9,2))+TIME(MID(Raw!J636,12,2),MID(Raw!J636,15,2),MID(Raw!J636,18,2))</f>
        <v>45922.2916666667</v>
      </c>
      <c r="O636" s="31" t="n">
        <f aca="false">DATE(LEFT(Raw!K636,4),MID(Raw!K636,6,2),MID(Raw!K636,9,2))+TIME(MID(Raw!K636,12,2),MID(Raw!K636,15,2),MID(Raw!K636,18,2))</f>
        <v>45924</v>
      </c>
      <c r="P636" s="32" t="n">
        <f aca="false">L636-K636</f>
        <v>2</v>
      </c>
      <c r="Q636" s="32" t="n">
        <f aca="false">M636-L636</f>
        <v>3</v>
      </c>
      <c r="R636" s="32" t="n">
        <f aca="false">O636-N636</f>
        <v>1.70833333333333</v>
      </c>
      <c r="S636" s="32" t="n">
        <f aca="false">Raw!L636</f>
        <v>-1</v>
      </c>
      <c r="T636" s="32" t="n">
        <f aca="false">O636-M636</f>
        <v>-1</v>
      </c>
      <c r="U636" s="0" t="str">
        <f aca="false">IF(ABS(T636-S636)&lt;0.01,"OK","MISMATCH")</f>
        <v>OK</v>
      </c>
      <c r="V636" s="33" t="n">
        <f aca="false">Raw!M636</f>
        <v>0</v>
      </c>
      <c r="W636" s="0" t="str">
        <f aca="false">IF((S636&gt;0)=(V636=1),"OK","MISMATCH")</f>
        <v>OK</v>
      </c>
      <c r="X636" s="0" t="str">
        <f aca="false">_xlfn.IFS(S636&lt;=0,"Early/On time",S636&lt;=2,"Minor (up to 2 days)",S636&lt;=5,"Moderate (2-5 days)",TRUE(),"Severe (over 5 days)")</f>
        <v>Early/On time</v>
      </c>
      <c r="Y636" s="0" t="str">
        <f aca="false">YEAR(K636)&amp;"-"&amp;TEXT(MONTH(K636),"00")</f>
        <v>2025-09</v>
      </c>
      <c r="Z636" s="0" t="str">
        <f aca="false">C636&amp;" → "&amp;D636</f>
        <v>Surat → Gujarat</v>
      </c>
      <c r="AA636" s="0" t="str">
        <f aca="false">Raw!Q636</f>
        <v>VRL Cargo</v>
      </c>
      <c r="AB636" s="0" t="str">
        <f aca="false">Raw!R636</f>
        <v>No</v>
      </c>
      <c r="AC636" s="0" t="str">
        <f aca="false">Raw!S636</f>
        <v>Damaged</v>
      </c>
      <c r="AD636" s="29" t="n">
        <f aca="false">Raw!N636</f>
        <v>1975</v>
      </c>
      <c r="AE636" s="29" t="n">
        <f aca="false">Raw!O636</f>
        <v>2972.12</v>
      </c>
      <c r="AF636" s="29" t="n">
        <f aca="false">Raw!P636</f>
        <v>581.94</v>
      </c>
      <c r="AG636" s="29" t="n">
        <f aca="false">AD636/J636</f>
        <v>414.046121593291</v>
      </c>
    </row>
    <row r="637" customFormat="false" ht="15" hidden="false" customHeight="false" outlineLevel="0" collapsed="false">
      <c r="A637" s="0" t="str">
        <f aca="false">Raw!A637</f>
        <v>SHP0636</v>
      </c>
      <c r="B637" s="0" t="str">
        <f aca="false">Raw!B637</f>
        <v>Outbound</v>
      </c>
      <c r="C637" s="0" t="str">
        <f aca="false">Raw!C637</f>
        <v>Surat</v>
      </c>
      <c r="D637" s="0" t="str">
        <f aca="false">Raw!D637</f>
        <v>West Bengal</v>
      </c>
      <c r="E637" s="0" t="str">
        <f aca="false">IFERROR(INDEX(Location_Map!$B$2:$B$15,MATCH(C637,Location_Map!$A$2:$A$15,0)),"UNMAPPED")</f>
        <v>Gujarat</v>
      </c>
      <c r="F637" s="0" t="str">
        <f aca="false">IFERROR(INDEX(Location_Map!$C$2:$C$15,MATCH(C637,Location_Map!$A$2:$A$15,0)),"UNMAPPED")</f>
        <v>West</v>
      </c>
      <c r="G637" s="0" t="str">
        <f aca="false">IFERROR(INDEX(Location_Map!$B$2:$B$15,MATCH(D637,Location_Map!$A$2:$A$15,0)),"UNMAPPED")</f>
        <v>West Bengal</v>
      </c>
      <c r="H637" s="0" t="str">
        <f aca="false">IFERROR(INDEX(Location_Map!$C$2:$C$15,MATCH(D637,Location_Map!$A$2:$A$15,0)),"UNMAPPED")</f>
        <v>East</v>
      </c>
      <c r="I637" s="0" t="str">
        <f aca="false">Raw!E637</f>
        <v>Semi-Processed Yarn</v>
      </c>
      <c r="J637" s="28" t="n">
        <f aca="false">Raw!F637</f>
        <v>4.72</v>
      </c>
      <c r="K637" s="30" t="n">
        <f aca="false">DATE(LEFT(Raw!G637,4),MID(Raw!G637,6,2),MID(Raw!G637,9,2))</f>
        <v>45941</v>
      </c>
      <c r="L637" s="30" t="n">
        <f aca="false">DATE(LEFT(Raw!H637,4),MID(Raw!H637,6,2),MID(Raw!H637,9,2))</f>
        <v>45945</v>
      </c>
      <c r="M637" s="30" t="n">
        <f aca="false">DATE(LEFT(Raw!I637,4),MID(Raw!I637,6,2),MID(Raw!I637,9,2))</f>
        <v>45947</v>
      </c>
      <c r="N637" s="31" t="n">
        <f aca="false">DATE(LEFT(Raw!J637,4),MID(Raw!J637,6,2),MID(Raw!J637,9,2))+TIME(MID(Raw!J637,12,2),MID(Raw!J637,15,2),MID(Raw!J637,18,2))</f>
        <v>45945.2083333333</v>
      </c>
      <c r="O637" s="31" t="n">
        <f aca="false">DATE(LEFT(Raw!K637,4),MID(Raw!K637,6,2),MID(Raw!K637,9,2))+TIME(MID(Raw!K637,12,2),MID(Raw!K637,15,2),MID(Raw!K637,18,2))</f>
        <v>45948.1</v>
      </c>
      <c r="P637" s="32" t="n">
        <f aca="false">L637-K637</f>
        <v>4</v>
      </c>
      <c r="Q637" s="32" t="n">
        <f aca="false">M637-L637</f>
        <v>2</v>
      </c>
      <c r="R637" s="32" t="n">
        <f aca="false">O637-N637</f>
        <v>2.89166666666667</v>
      </c>
      <c r="S637" s="32" t="n">
        <f aca="false">Raw!L637</f>
        <v>1.1</v>
      </c>
      <c r="T637" s="32" t="n">
        <f aca="false">O637-M637</f>
        <v>1.1</v>
      </c>
      <c r="U637" s="0" t="str">
        <f aca="false">IF(ABS(T637-S637)&lt;0.01,"OK","MISMATCH")</f>
        <v>OK</v>
      </c>
      <c r="V637" s="33" t="n">
        <f aca="false">Raw!M637</f>
        <v>1</v>
      </c>
      <c r="W637" s="0" t="str">
        <f aca="false">IF((S637&gt;0)=(V637=1),"OK","MISMATCH")</f>
        <v>OK</v>
      </c>
      <c r="X637" s="0" t="str">
        <f aca="false">_xlfn.IFS(S637&lt;=0,"Early/On time",S637&lt;=2,"Minor (up to 2 days)",S637&lt;=5,"Moderate (2-5 days)",TRUE(),"Severe (over 5 days)")</f>
        <v>Minor (up to 2 days)</v>
      </c>
      <c r="Y637" s="0" t="str">
        <f aca="false">YEAR(K637)&amp;"-"&amp;TEXT(MONTH(K637),"00")</f>
        <v>2025-10</v>
      </c>
      <c r="Z637" s="0" t="str">
        <f aca="false">C637&amp;" → "&amp;D637</f>
        <v>Surat → West Bengal</v>
      </c>
      <c r="AA637" s="0" t="str">
        <f aca="false">Raw!Q637</f>
        <v>BlueDart</v>
      </c>
      <c r="AB637" s="0" t="str">
        <f aca="false">Raw!R637</f>
        <v>No</v>
      </c>
      <c r="AC637" s="0" t="str">
        <f aca="false">Raw!S637</f>
        <v>Damaged</v>
      </c>
      <c r="AD637" s="29" t="n">
        <f aca="false">Raw!N637</f>
        <v>3841.1</v>
      </c>
      <c r="AE637" s="29" t="n">
        <f aca="false">Raw!O637</f>
        <v>2078.97</v>
      </c>
      <c r="AF637" s="29" t="n">
        <f aca="false">Raw!P637</f>
        <v>1202.4</v>
      </c>
      <c r="AG637" s="29" t="n">
        <f aca="false">AD637/J637</f>
        <v>813.792372881356</v>
      </c>
    </row>
    <row r="638" customFormat="false" ht="15" hidden="false" customHeight="false" outlineLevel="0" collapsed="false">
      <c r="A638" s="0" t="str">
        <f aca="false">Raw!A638</f>
        <v>SHP0637</v>
      </c>
      <c r="B638" s="0" t="str">
        <f aca="false">Raw!B638</f>
        <v>Outbound</v>
      </c>
      <c r="C638" s="0" t="str">
        <f aca="false">Raw!C638</f>
        <v>Surat</v>
      </c>
      <c r="D638" s="0" t="str">
        <f aca="false">Raw!D638</f>
        <v>Jaipur</v>
      </c>
      <c r="E638" s="0" t="str">
        <f aca="false">IFERROR(INDEX(Location_Map!$B$2:$B$15,MATCH(C638,Location_Map!$A$2:$A$15,0)),"UNMAPPED")</f>
        <v>Gujarat</v>
      </c>
      <c r="F638" s="0" t="str">
        <f aca="false">IFERROR(INDEX(Location_Map!$C$2:$C$15,MATCH(C638,Location_Map!$A$2:$A$15,0)),"UNMAPPED")</f>
        <v>West</v>
      </c>
      <c r="G638" s="0" t="str">
        <f aca="false">IFERROR(INDEX(Location_Map!$B$2:$B$15,MATCH(D638,Location_Map!$A$2:$A$15,0)),"UNMAPPED")</f>
        <v>Rajasthan</v>
      </c>
      <c r="H638" s="0" t="str">
        <f aca="false">IFERROR(INDEX(Location_Map!$C$2:$C$15,MATCH(D638,Location_Map!$A$2:$A$15,0)),"UNMAPPED")</f>
        <v>North</v>
      </c>
      <c r="I638" s="0" t="str">
        <f aca="false">Raw!E638</f>
        <v>Raw Yarn</v>
      </c>
      <c r="J638" s="28" t="n">
        <f aca="false">Raw!F638</f>
        <v>13.52</v>
      </c>
      <c r="K638" s="30" t="n">
        <f aca="false">DATE(LEFT(Raw!G638,4),MID(Raw!G638,6,2),MID(Raw!G638,9,2))</f>
        <v>45954</v>
      </c>
      <c r="L638" s="30" t="n">
        <f aca="false">DATE(LEFT(Raw!H638,4),MID(Raw!H638,6,2),MID(Raw!H638,9,2))</f>
        <v>45956</v>
      </c>
      <c r="M638" s="30" t="n">
        <f aca="false">DATE(LEFT(Raw!I638,4),MID(Raw!I638,6,2),MID(Raw!I638,9,2))</f>
        <v>45959</v>
      </c>
      <c r="N638" s="31" t="n">
        <f aca="false">DATE(LEFT(Raw!J638,4),MID(Raw!J638,6,2),MID(Raw!J638,9,2))+TIME(MID(Raw!J638,12,2),MID(Raw!J638,15,2),MID(Raw!J638,18,2))</f>
        <v>45956.25</v>
      </c>
      <c r="O638" s="31" t="n">
        <f aca="false">DATE(LEFT(Raw!K638,4),MID(Raw!K638,6,2),MID(Raw!K638,9,2))+TIME(MID(Raw!K638,12,2),MID(Raw!K638,15,2),MID(Raw!K638,18,2))</f>
        <v>45958</v>
      </c>
      <c r="P638" s="32" t="n">
        <f aca="false">L638-K638</f>
        <v>2</v>
      </c>
      <c r="Q638" s="32" t="n">
        <f aca="false">M638-L638</f>
        <v>3</v>
      </c>
      <c r="R638" s="32" t="n">
        <f aca="false">O638-N638</f>
        <v>1.75</v>
      </c>
      <c r="S638" s="32" t="n">
        <f aca="false">Raw!L638</f>
        <v>-1</v>
      </c>
      <c r="T638" s="32" t="n">
        <f aca="false">O638-M638</f>
        <v>-1</v>
      </c>
      <c r="U638" s="0" t="str">
        <f aca="false">IF(ABS(T638-S638)&lt;0.01,"OK","MISMATCH")</f>
        <v>OK</v>
      </c>
      <c r="V638" s="33" t="n">
        <f aca="false">Raw!M638</f>
        <v>0</v>
      </c>
      <c r="W638" s="0" t="str">
        <f aca="false">IF((S638&gt;0)=(V638=1),"OK","MISMATCH")</f>
        <v>OK</v>
      </c>
      <c r="X638" s="0" t="str">
        <f aca="false">_xlfn.IFS(S638&lt;=0,"Early/On time",S638&lt;=2,"Minor (up to 2 days)",S638&lt;=5,"Moderate (2-5 days)",TRUE(),"Severe (over 5 days)")</f>
        <v>Early/On time</v>
      </c>
      <c r="Y638" s="0" t="str">
        <f aca="false">YEAR(K638)&amp;"-"&amp;TEXT(MONTH(K638),"00")</f>
        <v>2025-10</v>
      </c>
      <c r="Z638" s="0" t="str">
        <f aca="false">C638&amp;" → "&amp;D638</f>
        <v>Surat → Jaipur</v>
      </c>
      <c r="AA638" s="0" t="str">
        <f aca="false">Raw!Q638</f>
        <v>Delhivery</v>
      </c>
      <c r="AB638" s="0" t="str">
        <f aca="false">Raw!R638</f>
        <v>Yes</v>
      </c>
      <c r="AC638" s="0" t="str">
        <f aca="false">Raw!S638</f>
        <v>Damaged</v>
      </c>
      <c r="AD638" s="29" t="n">
        <f aca="false">Raw!N638</f>
        <v>5578.44</v>
      </c>
      <c r="AE638" s="29" t="n">
        <f aca="false">Raw!O638</f>
        <v>4209.09</v>
      </c>
      <c r="AF638" s="29" t="n">
        <f aca="false">Raw!P638</f>
        <v>1286.72</v>
      </c>
      <c r="AG638" s="29" t="n">
        <f aca="false">AD638/J638</f>
        <v>412.60650887574</v>
      </c>
    </row>
    <row r="639" customFormat="false" ht="15" hidden="false" customHeight="false" outlineLevel="0" collapsed="false">
      <c r="A639" s="0" t="str">
        <f aca="false">Raw!A639</f>
        <v>SHP0638</v>
      </c>
      <c r="B639" s="0" t="str">
        <f aca="false">Raw!B639</f>
        <v>Outbound</v>
      </c>
      <c r="C639" s="0" t="str">
        <f aca="false">Raw!C639</f>
        <v>Surat</v>
      </c>
      <c r="D639" s="0" t="str">
        <f aca="false">Raw!D639</f>
        <v>Uttarakhand</v>
      </c>
      <c r="E639" s="0" t="str">
        <f aca="false">IFERROR(INDEX(Location_Map!$B$2:$B$15,MATCH(C639,Location_Map!$A$2:$A$15,0)),"UNMAPPED")</f>
        <v>Gujarat</v>
      </c>
      <c r="F639" s="0" t="str">
        <f aca="false">IFERROR(INDEX(Location_Map!$C$2:$C$15,MATCH(C639,Location_Map!$A$2:$A$15,0)),"UNMAPPED")</f>
        <v>West</v>
      </c>
      <c r="G639" s="0" t="str">
        <f aca="false">IFERROR(INDEX(Location_Map!$B$2:$B$15,MATCH(D639,Location_Map!$A$2:$A$15,0)),"UNMAPPED")</f>
        <v>Uttarakhand</v>
      </c>
      <c r="H639" s="0" t="str">
        <f aca="false">IFERROR(INDEX(Location_Map!$C$2:$C$15,MATCH(D639,Location_Map!$A$2:$A$15,0)),"UNMAPPED")</f>
        <v>North</v>
      </c>
      <c r="I639" s="0" t="str">
        <f aca="false">Raw!E639</f>
        <v>Raw Yarn</v>
      </c>
      <c r="J639" s="28" t="n">
        <f aca="false">Raw!F639</f>
        <v>10.68</v>
      </c>
      <c r="K639" s="30" t="n">
        <f aca="false">DATE(LEFT(Raw!G639,4),MID(Raw!G639,6,2),MID(Raw!G639,9,2))</f>
        <v>45748</v>
      </c>
      <c r="L639" s="30" t="n">
        <f aca="false">DATE(LEFT(Raw!H639,4),MID(Raw!H639,6,2),MID(Raw!H639,9,2))</f>
        <v>45749</v>
      </c>
      <c r="M639" s="30" t="n">
        <f aca="false">DATE(LEFT(Raw!I639,4),MID(Raw!I639,6,2),MID(Raw!I639,9,2))</f>
        <v>45753</v>
      </c>
      <c r="N639" s="31" t="n">
        <f aca="false">DATE(LEFT(Raw!J639,4),MID(Raw!J639,6,2),MID(Raw!J639,9,2))+TIME(MID(Raw!J639,12,2),MID(Raw!J639,15,2),MID(Raw!J639,18,2))</f>
        <v>45748.9583333333</v>
      </c>
      <c r="O639" s="31" t="n">
        <f aca="false">DATE(LEFT(Raw!K639,4),MID(Raw!K639,6,2),MID(Raw!K639,9,2))+TIME(MID(Raw!K639,12,2),MID(Raw!K639,15,2),MID(Raw!K639,18,2))</f>
        <v>45755.4</v>
      </c>
      <c r="P639" s="32" t="n">
        <f aca="false">L639-K639</f>
        <v>1</v>
      </c>
      <c r="Q639" s="32" t="n">
        <f aca="false">M639-L639</f>
        <v>4</v>
      </c>
      <c r="R639" s="32" t="n">
        <f aca="false">O639-N639</f>
        <v>6.44166666666667</v>
      </c>
      <c r="S639" s="32" t="n">
        <f aca="false">Raw!L639</f>
        <v>2.4</v>
      </c>
      <c r="T639" s="32" t="n">
        <f aca="false">O639-M639</f>
        <v>2.4</v>
      </c>
      <c r="U639" s="0" t="str">
        <f aca="false">IF(ABS(T639-S639)&lt;0.01,"OK","MISMATCH")</f>
        <v>OK</v>
      </c>
      <c r="V639" s="33" t="n">
        <f aca="false">Raw!M639</f>
        <v>1</v>
      </c>
      <c r="W639" s="0" t="str">
        <f aca="false">IF((S639&gt;0)=(V639=1),"OK","MISMATCH")</f>
        <v>OK</v>
      </c>
      <c r="X639" s="0" t="str">
        <f aca="false">_xlfn.IFS(S639&lt;=0,"Early/On time",S639&lt;=2,"Minor (up to 2 days)",S639&lt;=5,"Moderate (2-5 days)",TRUE(),"Severe (over 5 days)")</f>
        <v>Moderate (2-5 days)</v>
      </c>
      <c r="Y639" s="0" t="str">
        <f aca="false">YEAR(K639)&amp;"-"&amp;TEXT(MONTH(K639),"00")</f>
        <v>2025-04</v>
      </c>
      <c r="Z639" s="0" t="str">
        <f aca="false">C639&amp;" → "&amp;D639</f>
        <v>Surat → Uttarakhand</v>
      </c>
      <c r="AA639" s="0" t="str">
        <f aca="false">Raw!Q639</f>
        <v>TCI Express</v>
      </c>
      <c r="AB639" s="0" t="str">
        <f aca="false">Raw!R639</f>
        <v>No</v>
      </c>
      <c r="AC639" s="0" t="str">
        <f aca="false">Raw!S639</f>
        <v>Damaged</v>
      </c>
      <c r="AD639" s="29" t="n">
        <f aca="false">Raw!N639</f>
        <v>5351.59</v>
      </c>
      <c r="AE639" s="29" t="n">
        <f aca="false">Raw!O639</f>
        <v>1779.99</v>
      </c>
      <c r="AF639" s="29" t="n">
        <f aca="false">Raw!P639</f>
        <v>813.48</v>
      </c>
      <c r="AG639" s="29" t="n">
        <f aca="false">AD639/J639</f>
        <v>501.085205992509</v>
      </c>
    </row>
    <row r="640" customFormat="false" ht="15" hidden="false" customHeight="false" outlineLevel="0" collapsed="false">
      <c r="A640" s="0" t="str">
        <f aca="false">Raw!A640</f>
        <v>SHP0639</v>
      </c>
      <c r="B640" s="0" t="str">
        <f aca="false">Raw!B640</f>
        <v>Inbound</v>
      </c>
      <c r="C640" s="0" t="str">
        <f aca="false">Raw!C640</f>
        <v>Chennai</v>
      </c>
      <c r="D640" s="0" t="str">
        <f aca="false">Raw!D640</f>
        <v>Surat</v>
      </c>
      <c r="E640" s="0" t="str">
        <f aca="false">IFERROR(INDEX(Location_Map!$B$2:$B$15,MATCH(C640,Location_Map!$A$2:$A$15,0)),"UNMAPPED")</f>
        <v>Tamil Nadu</v>
      </c>
      <c r="F640" s="0" t="str">
        <f aca="false">IFERROR(INDEX(Location_Map!$C$2:$C$15,MATCH(C640,Location_Map!$A$2:$A$15,0)),"UNMAPPED")</f>
        <v>South</v>
      </c>
      <c r="G640" s="0" t="str">
        <f aca="false">IFERROR(INDEX(Location_Map!$B$2:$B$15,MATCH(D640,Location_Map!$A$2:$A$15,0)),"UNMAPPED")</f>
        <v>Gujarat</v>
      </c>
      <c r="H640" s="0" t="str">
        <f aca="false">IFERROR(INDEX(Location_Map!$C$2:$C$15,MATCH(D640,Location_Map!$A$2:$A$15,0)),"UNMAPPED")</f>
        <v>West</v>
      </c>
      <c r="I640" s="0" t="str">
        <f aca="false">Raw!E640</f>
        <v>Raw Yarn</v>
      </c>
      <c r="J640" s="28" t="n">
        <f aca="false">Raw!F640</f>
        <v>12.79</v>
      </c>
      <c r="K640" s="30" t="n">
        <f aca="false">DATE(LEFT(Raw!G640,4),MID(Raw!G640,6,2),MID(Raw!G640,9,2))</f>
        <v>45849</v>
      </c>
      <c r="L640" s="30" t="n">
        <f aca="false">DATE(LEFT(Raw!H640,4),MID(Raw!H640,6,2),MID(Raw!H640,9,2))</f>
        <v>45852</v>
      </c>
      <c r="M640" s="30" t="n">
        <f aca="false">DATE(LEFT(Raw!I640,4),MID(Raw!I640,6,2),MID(Raw!I640,9,2))</f>
        <v>45856</v>
      </c>
      <c r="N640" s="31" t="n">
        <f aca="false">DATE(LEFT(Raw!J640,4),MID(Raw!J640,6,2),MID(Raw!J640,9,2))+TIME(MID(Raw!J640,12,2),MID(Raw!J640,15,2),MID(Raw!J640,18,2))</f>
        <v>45852.0833333333</v>
      </c>
      <c r="O640" s="31" t="n">
        <f aca="false">DATE(LEFT(Raw!K640,4),MID(Raw!K640,6,2),MID(Raw!K640,9,2))+TIME(MID(Raw!K640,12,2),MID(Raw!K640,15,2),MID(Raw!K640,18,2))</f>
        <v>45857.5</v>
      </c>
      <c r="P640" s="32" t="n">
        <f aca="false">L640-K640</f>
        <v>3</v>
      </c>
      <c r="Q640" s="32" t="n">
        <f aca="false">M640-L640</f>
        <v>4</v>
      </c>
      <c r="R640" s="32" t="n">
        <f aca="false">O640-N640</f>
        <v>5.41666666666667</v>
      </c>
      <c r="S640" s="32" t="n">
        <f aca="false">Raw!L640</f>
        <v>1.5</v>
      </c>
      <c r="T640" s="32" t="n">
        <f aca="false">O640-M640</f>
        <v>1.5</v>
      </c>
      <c r="U640" s="0" t="str">
        <f aca="false">IF(ABS(T640-S640)&lt;0.01,"OK","MISMATCH")</f>
        <v>OK</v>
      </c>
      <c r="V640" s="33" t="n">
        <f aca="false">Raw!M640</f>
        <v>1</v>
      </c>
      <c r="W640" s="0" t="str">
        <f aca="false">IF((S640&gt;0)=(V640=1),"OK","MISMATCH")</f>
        <v>OK</v>
      </c>
      <c r="X640" s="0" t="str">
        <f aca="false">_xlfn.IFS(S640&lt;=0,"Early/On time",S640&lt;=2,"Minor (up to 2 days)",S640&lt;=5,"Moderate (2-5 days)",TRUE(),"Severe (over 5 days)")</f>
        <v>Minor (up to 2 days)</v>
      </c>
      <c r="Y640" s="0" t="str">
        <f aca="false">YEAR(K640)&amp;"-"&amp;TEXT(MONTH(K640),"00")</f>
        <v>2025-07</v>
      </c>
      <c r="Z640" s="0" t="str">
        <f aca="false">C640&amp;" → "&amp;D640</f>
        <v>Chennai → Surat</v>
      </c>
      <c r="AA640" s="0" t="str">
        <f aca="false">Raw!Q640</f>
        <v>VRL Cargo</v>
      </c>
      <c r="AB640" s="0" t="str">
        <f aca="false">Raw!R640</f>
        <v>No</v>
      </c>
      <c r="AC640" s="0" t="str">
        <f aca="false">Raw!S640</f>
        <v>Damaged</v>
      </c>
      <c r="AD640" s="29" t="n">
        <f aca="false">Raw!N640</f>
        <v>9652.96</v>
      </c>
      <c r="AE640" s="29" t="n">
        <f aca="false">Raw!O640</f>
        <v>1472.02</v>
      </c>
      <c r="AF640" s="29" t="n">
        <f aca="false">Raw!P640</f>
        <v>1256.54</v>
      </c>
      <c r="AG640" s="29" t="n">
        <f aca="false">AD640/J640</f>
        <v>754.727130570758</v>
      </c>
    </row>
    <row r="641" customFormat="false" ht="15" hidden="false" customHeight="false" outlineLevel="0" collapsed="false">
      <c r="A641" s="0" t="str">
        <f aca="false">Raw!A641</f>
        <v>SHP0640</v>
      </c>
      <c r="B641" s="0" t="str">
        <f aca="false">Raw!B641</f>
        <v>Outbound</v>
      </c>
      <c r="C641" s="0" t="str">
        <f aca="false">Raw!C641</f>
        <v>Surat</v>
      </c>
      <c r="D641" s="0" t="str">
        <f aca="false">Raw!D641</f>
        <v>Jaipur</v>
      </c>
      <c r="E641" s="0" t="str">
        <f aca="false">IFERROR(INDEX(Location_Map!$B$2:$B$15,MATCH(C641,Location_Map!$A$2:$A$15,0)),"UNMAPPED")</f>
        <v>Gujarat</v>
      </c>
      <c r="F641" s="0" t="str">
        <f aca="false">IFERROR(INDEX(Location_Map!$C$2:$C$15,MATCH(C641,Location_Map!$A$2:$A$15,0)),"UNMAPPED")</f>
        <v>West</v>
      </c>
      <c r="G641" s="0" t="str">
        <f aca="false">IFERROR(INDEX(Location_Map!$B$2:$B$15,MATCH(D641,Location_Map!$A$2:$A$15,0)),"UNMAPPED")</f>
        <v>Rajasthan</v>
      </c>
      <c r="H641" s="0" t="str">
        <f aca="false">IFERROR(INDEX(Location_Map!$C$2:$C$15,MATCH(D641,Location_Map!$A$2:$A$15,0)),"UNMAPPED")</f>
        <v>North</v>
      </c>
      <c r="I641" s="0" t="str">
        <f aca="false">Raw!E641</f>
        <v>Raw Yarn</v>
      </c>
      <c r="J641" s="28" t="n">
        <f aca="false">Raw!F641</f>
        <v>2.81</v>
      </c>
      <c r="K641" s="30" t="n">
        <f aca="false">DATE(LEFT(Raw!G641,4),MID(Raw!G641,6,2),MID(Raw!G641,9,2))</f>
        <v>45666</v>
      </c>
      <c r="L641" s="30" t="n">
        <f aca="false">DATE(LEFT(Raw!H641,4),MID(Raw!H641,6,2),MID(Raw!H641,9,2))</f>
        <v>45668</v>
      </c>
      <c r="M641" s="30" t="n">
        <f aca="false">DATE(LEFT(Raw!I641,4),MID(Raw!I641,6,2),MID(Raw!I641,9,2))</f>
        <v>45670</v>
      </c>
      <c r="N641" s="31" t="n">
        <f aca="false">DATE(LEFT(Raw!J641,4),MID(Raw!J641,6,2),MID(Raw!J641,9,2))+TIME(MID(Raw!J641,12,2),MID(Raw!J641,15,2),MID(Raw!J641,18,2))</f>
        <v>45667.875</v>
      </c>
      <c r="O641" s="31" t="n">
        <f aca="false">DATE(LEFT(Raw!K641,4),MID(Raw!K641,6,2),MID(Raw!K641,9,2))+TIME(MID(Raw!K641,12,2),MID(Raw!K641,15,2),MID(Raw!K641,18,2))</f>
        <v>45676.2</v>
      </c>
      <c r="P641" s="32" t="n">
        <f aca="false">L641-K641</f>
        <v>2</v>
      </c>
      <c r="Q641" s="32" t="n">
        <f aca="false">M641-L641</f>
        <v>2</v>
      </c>
      <c r="R641" s="32" t="n">
        <f aca="false">O641-N641</f>
        <v>8.325</v>
      </c>
      <c r="S641" s="32" t="n">
        <f aca="false">Raw!L641</f>
        <v>6.2</v>
      </c>
      <c r="T641" s="32" t="n">
        <f aca="false">O641-M641</f>
        <v>6.2</v>
      </c>
      <c r="U641" s="0" t="str">
        <f aca="false">IF(ABS(T641-S641)&lt;0.01,"OK","MISMATCH")</f>
        <v>OK</v>
      </c>
      <c r="V641" s="33" t="n">
        <f aca="false">Raw!M641</f>
        <v>1</v>
      </c>
      <c r="W641" s="0" t="str">
        <f aca="false">IF((S641&gt;0)=(V641=1),"OK","MISMATCH")</f>
        <v>OK</v>
      </c>
      <c r="X641" s="0" t="str">
        <f aca="false">_xlfn.IFS(S641&lt;=0,"Early/On time",S641&lt;=2,"Minor (up to 2 days)",S641&lt;=5,"Moderate (2-5 days)",TRUE(),"Severe (over 5 days)")</f>
        <v>Severe (over 5 days)</v>
      </c>
      <c r="Y641" s="0" t="str">
        <f aca="false">YEAR(K641)&amp;"-"&amp;TEXT(MONTH(K641),"00")</f>
        <v>2025-01</v>
      </c>
      <c r="Z641" s="0" t="str">
        <f aca="false">C641&amp;" → "&amp;D641</f>
        <v>Surat → Jaipur</v>
      </c>
      <c r="AA641" s="0" t="str">
        <f aca="false">Raw!Q641</f>
        <v>BlueDart</v>
      </c>
      <c r="AB641" s="0" t="str">
        <f aca="false">Raw!R641</f>
        <v>Yes</v>
      </c>
      <c r="AC641" s="0" t="str">
        <f aca="false">Raw!S641</f>
        <v>Normal</v>
      </c>
      <c r="AD641" s="29" t="n">
        <f aca="false">Raw!N641</f>
        <v>2172.43</v>
      </c>
      <c r="AE641" s="29" t="n">
        <f aca="false">Raw!O641</f>
        <v>1693.58</v>
      </c>
      <c r="AF641" s="29" t="n">
        <f aca="false">Raw!P641</f>
        <v>1224.79</v>
      </c>
      <c r="AG641" s="29" t="n">
        <f aca="false">AD641/J641</f>
        <v>773.106761565836</v>
      </c>
    </row>
    <row r="642" customFormat="false" ht="15" hidden="false" customHeight="false" outlineLevel="0" collapsed="false">
      <c r="A642" s="0" t="str">
        <f aca="false">Raw!A642</f>
        <v>SHP0641</v>
      </c>
      <c r="B642" s="0" t="str">
        <f aca="false">Raw!B642</f>
        <v>Inbound</v>
      </c>
      <c r="C642" s="0" t="str">
        <f aca="false">Raw!C642</f>
        <v>Chennai</v>
      </c>
      <c r="D642" s="0" t="str">
        <f aca="false">Raw!D642</f>
        <v>Surat</v>
      </c>
      <c r="E642" s="0" t="str">
        <f aca="false">IFERROR(INDEX(Location_Map!$B$2:$B$15,MATCH(C642,Location_Map!$A$2:$A$15,0)),"UNMAPPED")</f>
        <v>Tamil Nadu</v>
      </c>
      <c r="F642" s="0" t="str">
        <f aca="false">IFERROR(INDEX(Location_Map!$C$2:$C$15,MATCH(C642,Location_Map!$A$2:$A$15,0)),"UNMAPPED")</f>
        <v>South</v>
      </c>
      <c r="G642" s="0" t="str">
        <f aca="false">IFERROR(INDEX(Location_Map!$B$2:$B$15,MATCH(D642,Location_Map!$A$2:$A$15,0)),"UNMAPPED")</f>
        <v>Gujarat</v>
      </c>
      <c r="H642" s="0" t="str">
        <f aca="false">IFERROR(INDEX(Location_Map!$C$2:$C$15,MATCH(D642,Location_Map!$A$2:$A$15,0)),"UNMAPPED")</f>
        <v>West</v>
      </c>
      <c r="I642" s="0" t="str">
        <f aca="false">Raw!E642</f>
        <v>Semi-Processed Yarn</v>
      </c>
      <c r="J642" s="28" t="n">
        <f aca="false">Raw!F642</f>
        <v>10.6</v>
      </c>
      <c r="K642" s="30" t="n">
        <f aca="false">DATE(LEFT(Raw!G642,4),MID(Raw!G642,6,2),MID(Raw!G642,9,2))</f>
        <v>45861</v>
      </c>
      <c r="L642" s="30" t="n">
        <f aca="false">DATE(LEFT(Raw!H642,4),MID(Raw!H642,6,2),MID(Raw!H642,9,2))</f>
        <v>45862</v>
      </c>
      <c r="M642" s="30" t="n">
        <f aca="false">DATE(LEFT(Raw!I642,4),MID(Raw!I642,6,2),MID(Raw!I642,9,2))</f>
        <v>45865</v>
      </c>
      <c r="N642" s="31" t="n">
        <f aca="false">DATE(LEFT(Raw!J642,4),MID(Raw!J642,6,2),MID(Raw!J642,9,2))+TIME(MID(Raw!J642,12,2),MID(Raw!J642,15,2),MID(Raw!J642,18,2))</f>
        <v>45862</v>
      </c>
      <c r="O642" s="31" t="n">
        <f aca="false">DATE(LEFT(Raw!K642,4),MID(Raw!K642,6,2),MID(Raw!K642,9,2))+TIME(MID(Raw!K642,12,2),MID(Raw!K642,15,2),MID(Raw!K642,18,2))</f>
        <v>45865</v>
      </c>
      <c r="P642" s="32" t="n">
        <f aca="false">L642-K642</f>
        <v>1</v>
      </c>
      <c r="Q642" s="32" t="n">
        <f aca="false">M642-L642</f>
        <v>3</v>
      </c>
      <c r="R642" s="32" t="n">
        <f aca="false">O642-N642</f>
        <v>3</v>
      </c>
      <c r="S642" s="32" t="n">
        <f aca="false">Raw!L642</f>
        <v>-0</v>
      </c>
      <c r="T642" s="32" t="n">
        <f aca="false">O642-M642</f>
        <v>0</v>
      </c>
      <c r="U642" s="0" t="str">
        <f aca="false">IF(ABS(T642-S642)&lt;0.01,"OK","MISMATCH")</f>
        <v>OK</v>
      </c>
      <c r="V642" s="33" t="n">
        <f aca="false">Raw!M642</f>
        <v>0</v>
      </c>
      <c r="W642" s="0" t="str">
        <f aca="false">IF((S642&gt;0)=(V642=1),"OK","MISMATCH")</f>
        <v>OK</v>
      </c>
      <c r="X642" s="0" t="str">
        <f aca="false">_xlfn.IFS(S642&lt;=0,"Early/On time",S642&lt;=2,"Minor (up to 2 days)",S642&lt;=5,"Moderate (2-5 days)",TRUE(),"Severe (over 5 days)")</f>
        <v>Early/On time</v>
      </c>
      <c r="Y642" s="0" t="str">
        <f aca="false">YEAR(K642)&amp;"-"&amp;TEXT(MONTH(K642),"00")</f>
        <v>2025-07</v>
      </c>
      <c r="Z642" s="0" t="str">
        <f aca="false">C642&amp;" → "&amp;D642</f>
        <v>Chennai → Surat</v>
      </c>
      <c r="AA642" s="0" t="str">
        <f aca="false">Raw!Q642</f>
        <v>GATI Logistics</v>
      </c>
      <c r="AB642" s="0" t="str">
        <f aca="false">Raw!R642</f>
        <v>Yes</v>
      </c>
      <c r="AC642" s="0" t="str">
        <f aca="false">Raw!S642</f>
        <v>Damaged</v>
      </c>
      <c r="AD642" s="29" t="n">
        <f aca="false">Raw!N642</f>
        <v>6781.72</v>
      </c>
      <c r="AE642" s="29" t="n">
        <f aca="false">Raw!O642</f>
        <v>1063.41</v>
      </c>
      <c r="AF642" s="29" t="n">
        <f aca="false">Raw!P642</f>
        <v>1229.92</v>
      </c>
      <c r="AG642" s="29" t="n">
        <f aca="false">AD642/J642</f>
        <v>639.784905660377</v>
      </c>
    </row>
    <row r="643" customFormat="false" ht="15" hidden="false" customHeight="false" outlineLevel="0" collapsed="false">
      <c r="A643" s="0" t="str">
        <f aca="false">Raw!A643</f>
        <v>SHP0642</v>
      </c>
      <c r="B643" s="0" t="str">
        <f aca="false">Raw!B643</f>
        <v>Inbound</v>
      </c>
      <c r="C643" s="0" t="str">
        <f aca="false">Raw!C643</f>
        <v>Chennai</v>
      </c>
      <c r="D643" s="0" t="str">
        <f aca="false">Raw!D643</f>
        <v>Surat</v>
      </c>
      <c r="E643" s="0" t="str">
        <f aca="false">IFERROR(INDEX(Location_Map!$B$2:$B$15,MATCH(C643,Location_Map!$A$2:$A$15,0)),"UNMAPPED")</f>
        <v>Tamil Nadu</v>
      </c>
      <c r="F643" s="0" t="str">
        <f aca="false">IFERROR(INDEX(Location_Map!$C$2:$C$15,MATCH(C643,Location_Map!$A$2:$A$15,0)),"UNMAPPED")</f>
        <v>South</v>
      </c>
      <c r="G643" s="0" t="str">
        <f aca="false">IFERROR(INDEX(Location_Map!$B$2:$B$15,MATCH(D643,Location_Map!$A$2:$A$15,0)),"UNMAPPED")</f>
        <v>Gujarat</v>
      </c>
      <c r="H643" s="0" t="str">
        <f aca="false">IFERROR(INDEX(Location_Map!$C$2:$C$15,MATCH(D643,Location_Map!$A$2:$A$15,0)),"UNMAPPED")</f>
        <v>West</v>
      </c>
      <c r="I643" s="0" t="str">
        <f aca="false">Raw!E643</f>
        <v>Finished Yarn</v>
      </c>
      <c r="J643" s="28" t="n">
        <f aca="false">Raw!F643</f>
        <v>17.89</v>
      </c>
      <c r="K643" s="30" t="n">
        <f aca="false">DATE(LEFT(Raw!G643,4),MID(Raw!G643,6,2),MID(Raw!G643,9,2))</f>
        <v>45676</v>
      </c>
      <c r="L643" s="30" t="n">
        <f aca="false">DATE(LEFT(Raw!H643,4),MID(Raw!H643,6,2),MID(Raw!H643,9,2))</f>
        <v>45678</v>
      </c>
      <c r="M643" s="30" t="n">
        <f aca="false">DATE(LEFT(Raw!I643,4),MID(Raw!I643,6,2),MID(Raw!I643,9,2))</f>
        <v>45680</v>
      </c>
      <c r="N643" s="31" t="n">
        <f aca="false">DATE(LEFT(Raw!J643,4),MID(Raw!J643,6,2),MID(Raw!J643,9,2))+TIME(MID(Raw!J643,12,2),MID(Raw!J643,15,2),MID(Raw!J643,18,2))</f>
        <v>45677.875</v>
      </c>
      <c r="O643" s="31" t="n">
        <f aca="false">DATE(LEFT(Raw!K643,4),MID(Raw!K643,6,2),MID(Raw!K643,9,2))+TIME(MID(Raw!K643,12,2),MID(Raw!K643,15,2),MID(Raw!K643,18,2))</f>
        <v>45683.2</v>
      </c>
      <c r="P643" s="32" t="n">
        <f aca="false">L643-K643</f>
        <v>2</v>
      </c>
      <c r="Q643" s="32" t="n">
        <f aca="false">M643-L643</f>
        <v>2</v>
      </c>
      <c r="R643" s="32" t="n">
        <f aca="false">O643-N643</f>
        <v>5.325</v>
      </c>
      <c r="S643" s="32" t="n">
        <f aca="false">Raw!L643</f>
        <v>3.2</v>
      </c>
      <c r="T643" s="32" t="n">
        <f aca="false">O643-M643</f>
        <v>3.2</v>
      </c>
      <c r="U643" s="0" t="str">
        <f aca="false">IF(ABS(T643-S643)&lt;0.01,"OK","MISMATCH")</f>
        <v>OK</v>
      </c>
      <c r="V643" s="33" t="n">
        <f aca="false">Raw!M643</f>
        <v>1</v>
      </c>
      <c r="W643" s="0" t="str">
        <f aca="false">IF((S643&gt;0)=(V643=1),"OK","MISMATCH")</f>
        <v>OK</v>
      </c>
      <c r="X643" s="0" t="str">
        <f aca="false">_xlfn.IFS(S643&lt;=0,"Early/On time",S643&lt;=2,"Minor (up to 2 days)",S643&lt;=5,"Moderate (2-5 days)",TRUE(),"Severe (over 5 days)")</f>
        <v>Moderate (2-5 days)</v>
      </c>
      <c r="Y643" s="0" t="str">
        <f aca="false">YEAR(K643)&amp;"-"&amp;TEXT(MONTH(K643),"00")</f>
        <v>2025-01</v>
      </c>
      <c r="Z643" s="0" t="str">
        <f aca="false">C643&amp;" → "&amp;D643</f>
        <v>Chennai → Surat</v>
      </c>
      <c r="AA643" s="0" t="str">
        <f aca="false">Raw!Q643</f>
        <v>VRL Cargo</v>
      </c>
      <c r="AB643" s="0" t="str">
        <f aca="false">Raw!R643</f>
        <v>No</v>
      </c>
      <c r="AC643" s="0" t="str">
        <f aca="false">Raw!S643</f>
        <v>Normal</v>
      </c>
      <c r="AD643" s="29" t="n">
        <f aca="false">Raw!N643</f>
        <v>9558.78</v>
      </c>
      <c r="AE643" s="29" t="n">
        <f aca="false">Raw!O643</f>
        <v>2210.49</v>
      </c>
      <c r="AF643" s="29" t="n">
        <f aca="false">Raw!P643</f>
        <v>959.98</v>
      </c>
      <c r="AG643" s="29" t="n">
        <f aca="false">AD643/J643</f>
        <v>534.308552263835</v>
      </c>
    </row>
    <row r="644" customFormat="false" ht="15" hidden="false" customHeight="false" outlineLevel="0" collapsed="false">
      <c r="A644" s="0" t="str">
        <f aca="false">Raw!A644</f>
        <v>SHP0643</v>
      </c>
      <c r="B644" s="0" t="str">
        <f aca="false">Raw!B644</f>
        <v>Inbound</v>
      </c>
      <c r="C644" s="0" t="str">
        <f aca="false">Raw!C644</f>
        <v>Rajasthan</v>
      </c>
      <c r="D644" s="0" t="str">
        <f aca="false">Raw!D644</f>
        <v>Surat</v>
      </c>
      <c r="E644" s="0" t="str">
        <f aca="false">IFERROR(INDEX(Location_Map!$B$2:$B$15,MATCH(C644,Location_Map!$A$2:$A$15,0)),"UNMAPPED")</f>
        <v>Rajasthan</v>
      </c>
      <c r="F644" s="0" t="str">
        <f aca="false">IFERROR(INDEX(Location_Map!$C$2:$C$15,MATCH(C644,Location_Map!$A$2:$A$15,0)),"UNMAPPED")</f>
        <v>North</v>
      </c>
      <c r="G644" s="0" t="str">
        <f aca="false">IFERROR(INDEX(Location_Map!$B$2:$B$15,MATCH(D644,Location_Map!$A$2:$A$15,0)),"UNMAPPED")</f>
        <v>Gujarat</v>
      </c>
      <c r="H644" s="0" t="str">
        <f aca="false">IFERROR(INDEX(Location_Map!$C$2:$C$15,MATCH(D644,Location_Map!$A$2:$A$15,0)),"UNMAPPED")</f>
        <v>West</v>
      </c>
      <c r="I644" s="0" t="str">
        <f aca="false">Raw!E644</f>
        <v>Finished Yarn</v>
      </c>
      <c r="J644" s="28" t="n">
        <f aca="false">Raw!F644</f>
        <v>6.31</v>
      </c>
      <c r="K644" s="30" t="n">
        <f aca="false">DATE(LEFT(Raw!G644,4),MID(Raw!G644,6,2),MID(Raw!G644,9,2))</f>
        <v>45768</v>
      </c>
      <c r="L644" s="30" t="n">
        <f aca="false">DATE(LEFT(Raw!H644,4),MID(Raw!H644,6,2),MID(Raw!H644,9,2))</f>
        <v>45769</v>
      </c>
      <c r="M644" s="30" t="n">
        <f aca="false">DATE(LEFT(Raw!I644,4),MID(Raw!I644,6,2),MID(Raw!I644,9,2))</f>
        <v>45773</v>
      </c>
      <c r="N644" s="31" t="n">
        <f aca="false">DATE(LEFT(Raw!J644,4),MID(Raw!J644,6,2),MID(Raw!J644,9,2))+TIME(MID(Raw!J644,12,2),MID(Raw!J644,15,2),MID(Raw!J644,18,2))</f>
        <v>45768.8333333333</v>
      </c>
      <c r="O644" s="31" t="n">
        <f aca="false">DATE(LEFT(Raw!K644,4),MID(Raw!K644,6,2),MID(Raw!K644,9,2))+TIME(MID(Raw!K644,12,2),MID(Raw!K644,15,2),MID(Raw!K644,18,2))</f>
        <v>45775.6</v>
      </c>
      <c r="P644" s="32" t="n">
        <f aca="false">L644-K644</f>
        <v>1</v>
      </c>
      <c r="Q644" s="32" t="n">
        <f aca="false">M644-L644</f>
        <v>4</v>
      </c>
      <c r="R644" s="32" t="n">
        <f aca="false">O644-N644</f>
        <v>6.76666666666667</v>
      </c>
      <c r="S644" s="32" t="n">
        <f aca="false">Raw!L644</f>
        <v>2.6</v>
      </c>
      <c r="T644" s="32" t="n">
        <f aca="false">O644-M644</f>
        <v>2.6</v>
      </c>
      <c r="U644" s="0" t="str">
        <f aca="false">IF(ABS(T644-S644)&lt;0.01,"OK","MISMATCH")</f>
        <v>OK</v>
      </c>
      <c r="V644" s="33" t="n">
        <f aca="false">Raw!M644</f>
        <v>1</v>
      </c>
      <c r="W644" s="0" t="str">
        <f aca="false">IF((S644&gt;0)=(V644=1),"OK","MISMATCH")</f>
        <v>OK</v>
      </c>
      <c r="X644" s="0" t="str">
        <f aca="false">_xlfn.IFS(S644&lt;=0,"Early/On time",S644&lt;=2,"Minor (up to 2 days)",S644&lt;=5,"Moderate (2-5 days)",TRUE(),"Severe (over 5 days)")</f>
        <v>Moderate (2-5 days)</v>
      </c>
      <c r="Y644" s="0" t="str">
        <f aca="false">YEAR(K644)&amp;"-"&amp;TEXT(MONTH(K644),"00")</f>
        <v>2025-04</v>
      </c>
      <c r="Z644" s="0" t="str">
        <f aca="false">C644&amp;" → "&amp;D644</f>
        <v>Rajasthan → Surat</v>
      </c>
      <c r="AA644" s="0" t="str">
        <f aca="false">Raw!Q644</f>
        <v>TCI Express</v>
      </c>
      <c r="AB644" s="0" t="str">
        <f aca="false">Raw!R644</f>
        <v>No</v>
      </c>
      <c r="AC644" s="0" t="str">
        <f aca="false">Raw!S644</f>
        <v>Damaged</v>
      </c>
      <c r="AD644" s="29" t="n">
        <f aca="false">Raw!N644</f>
        <v>3482.89</v>
      </c>
      <c r="AE644" s="29" t="n">
        <f aca="false">Raw!O644</f>
        <v>1840.47</v>
      </c>
      <c r="AF644" s="29" t="n">
        <f aca="false">Raw!P644</f>
        <v>616.33</v>
      </c>
      <c r="AG644" s="29" t="n">
        <f aca="false">AD644/J644</f>
        <v>551.963549920761</v>
      </c>
    </row>
    <row r="645" customFormat="false" ht="15" hidden="false" customHeight="false" outlineLevel="0" collapsed="false">
      <c r="A645" s="0" t="str">
        <f aca="false">Raw!A645</f>
        <v>SHP0644</v>
      </c>
      <c r="B645" s="0" t="str">
        <f aca="false">Raw!B645</f>
        <v>Outbound</v>
      </c>
      <c r="C645" s="0" t="str">
        <f aca="false">Raw!C645</f>
        <v>Surat</v>
      </c>
      <c r="D645" s="0" t="str">
        <f aca="false">Raw!D645</f>
        <v>Karnataka</v>
      </c>
      <c r="E645" s="0" t="str">
        <f aca="false">IFERROR(INDEX(Location_Map!$B$2:$B$15,MATCH(C645,Location_Map!$A$2:$A$15,0)),"UNMAPPED")</f>
        <v>Gujarat</v>
      </c>
      <c r="F645" s="0" t="str">
        <f aca="false">IFERROR(INDEX(Location_Map!$C$2:$C$15,MATCH(C645,Location_Map!$A$2:$A$15,0)),"UNMAPPED")</f>
        <v>West</v>
      </c>
      <c r="G645" s="0" t="str">
        <f aca="false">IFERROR(INDEX(Location_Map!$B$2:$B$15,MATCH(D645,Location_Map!$A$2:$A$15,0)),"UNMAPPED")</f>
        <v>Karnataka</v>
      </c>
      <c r="H645" s="0" t="str">
        <f aca="false">IFERROR(INDEX(Location_Map!$C$2:$C$15,MATCH(D645,Location_Map!$A$2:$A$15,0)),"UNMAPPED")</f>
        <v>South</v>
      </c>
      <c r="I645" s="0" t="str">
        <f aca="false">Raw!E645</f>
        <v>Raw Yarn</v>
      </c>
      <c r="J645" s="28" t="n">
        <f aca="false">Raw!F645</f>
        <v>19.43</v>
      </c>
      <c r="K645" s="30" t="n">
        <f aca="false">DATE(LEFT(Raw!G645,4),MID(Raw!G645,6,2),MID(Raw!G645,9,2))</f>
        <v>45664</v>
      </c>
      <c r="L645" s="30" t="n">
        <f aca="false">DATE(LEFT(Raw!H645,4),MID(Raw!H645,6,2),MID(Raw!H645,9,2))</f>
        <v>45668</v>
      </c>
      <c r="M645" s="30" t="n">
        <f aca="false">DATE(LEFT(Raw!I645,4),MID(Raw!I645,6,2),MID(Raw!I645,9,2))</f>
        <v>45672</v>
      </c>
      <c r="N645" s="31" t="n">
        <f aca="false">DATE(LEFT(Raw!J645,4),MID(Raw!J645,6,2),MID(Raw!J645,9,2))+TIME(MID(Raw!J645,12,2),MID(Raw!J645,15,2),MID(Raw!J645,18,2))</f>
        <v>45668.0833333333</v>
      </c>
      <c r="O645" s="31" t="n">
        <f aca="false">DATE(LEFT(Raw!K645,4),MID(Raw!K645,6,2),MID(Raw!K645,9,2))+TIME(MID(Raw!K645,12,2),MID(Raw!K645,15,2),MID(Raw!K645,18,2))</f>
        <v>45677</v>
      </c>
      <c r="P645" s="32" t="n">
        <f aca="false">L645-K645</f>
        <v>4</v>
      </c>
      <c r="Q645" s="32" t="n">
        <f aca="false">M645-L645</f>
        <v>4</v>
      </c>
      <c r="R645" s="32" t="n">
        <f aca="false">O645-N645</f>
        <v>8.91666666666667</v>
      </c>
      <c r="S645" s="32" t="n">
        <f aca="false">Raw!L645</f>
        <v>5</v>
      </c>
      <c r="T645" s="32" t="n">
        <f aca="false">O645-M645</f>
        <v>5</v>
      </c>
      <c r="U645" s="0" t="str">
        <f aca="false">IF(ABS(T645-S645)&lt;0.01,"OK","MISMATCH")</f>
        <v>OK</v>
      </c>
      <c r="V645" s="33" t="n">
        <f aca="false">Raw!M645</f>
        <v>1</v>
      </c>
      <c r="W645" s="0" t="str">
        <f aca="false">IF((S645&gt;0)=(V645=1),"OK","MISMATCH")</f>
        <v>OK</v>
      </c>
      <c r="X645" s="0" t="str">
        <f aca="false">_xlfn.IFS(S645&lt;=0,"Early/On time",S645&lt;=2,"Minor (up to 2 days)",S645&lt;=5,"Moderate (2-5 days)",TRUE(),"Severe (over 5 days)")</f>
        <v>Moderate (2-5 days)</v>
      </c>
      <c r="Y645" s="0" t="str">
        <f aca="false">YEAR(K645)&amp;"-"&amp;TEXT(MONTH(K645),"00")</f>
        <v>2025-01</v>
      </c>
      <c r="Z645" s="0" t="str">
        <f aca="false">C645&amp;" → "&amp;D645</f>
        <v>Surat → Karnataka</v>
      </c>
      <c r="AA645" s="0" t="str">
        <f aca="false">Raw!Q645</f>
        <v>GATI Logistics</v>
      </c>
      <c r="AB645" s="0" t="str">
        <f aca="false">Raw!R645</f>
        <v>Yes</v>
      </c>
      <c r="AC645" s="0" t="str">
        <f aca="false">Raw!S645</f>
        <v>Held at warehouse</v>
      </c>
      <c r="AD645" s="29" t="n">
        <f aca="false">Raw!N645</f>
        <v>5119.92</v>
      </c>
      <c r="AE645" s="29" t="n">
        <f aca="false">Raw!O645</f>
        <v>3789.73</v>
      </c>
      <c r="AF645" s="29" t="n">
        <f aca="false">Raw!P645</f>
        <v>1142.81</v>
      </c>
      <c r="AG645" s="29" t="n">
        <f aca="false">AD645/J645</f>
        <v>263.50591868245</v>
      </c>
    </row>
    <row r="646" customFormat="false" ht="15" hidden="false" customHeight="false" outlineLevel="0" collapsed="false">
      <c r="A646" s="0" t="str">
        <f aca="false">Raw!A646</f>
        <v>SHP0645</v>
      </c>
      <c r="B646" s="0" t="str">
        <f aca="false">Raw!B646</f>
        <v>Outbound</v>
      </c>
      <c r="C646" s="0" t="str">
        <f aca="false">Raw!C646</f>
        <v>Surat</v>
      </c>
      <c r="D646" s="0" t="str">
        <f aca="false">Raw!D646</f>
        <v>West Bengal</v>
      </c>
      <c r="E646" s="0" t="str">
        <f aca="false">IFERROR(INDEX(Location_Map!$B$2:$B$15,MATCH(C646,Location_Map!$A$2:$A$15,0)),"UNMAPPED")</f>
        <v>Gujarat</v>
      </c>
      <c r="F646" s="0" t="str">
        <f aca="false">IFERROR(INDEX(Location_Map!$C$2:$C$15,MATCH(C646,Location_Map!$A$2:$A$15,0)),"UNMAPPED")</f>
        <v>West</v>
      </c>
      <c r="G646" s="0" t="str">
        <f aca="false">IFERROR(INDEX(Location_Map!$B$2:$B$15,MATCH(D646,Location_Map!$A$2:$A$15,0)),"UNMAPPED")</f>
        <v>West Bengal</v>
      </c>
      <c r="H646" s="0" t="str">
        <f aca="false">IFERROR(INDEX(Location_Map!$C$2:$C$15,MATCH(D646,Location_Map!$A$2:$A$15,0)),"UNMAPPED")</f>
        <v>East</v>
      </c>
      <c r="I646" s="0" t="str">
        <f aca="false">Raw!E646</f>
        <v>Finished Yarn</v>
      </c>
      <c r="J646" s="28" t="n">
        <f aca="false">Raw!F646</f>
        <v>15.87</v>
      </c>
      <c r="K646" s="30" t="n">
        <f aca="false">DATE(LEFT(Raw!G646,4),MID(Raw!G646,6,2),MID(Raw!G646,9,2))</f>
        <v>45939</v>
      </c>
      <c r="L646" s="30" t="n">
        <f aca="false">DATE(LEFT(Raw!H646,4),MID(Raw!H646,6,2),MID(Raw!H646,9,2))</f>
        <v>45942</v>
      </c>
      <c r="M646" s="30" t="n">
        <f aca="false">DATE(LEFT(Raw!I646,4),MID(Raw!I646,6,2),MID(Raw!I646,9,2))</f>
        <v>45944</v>
      </c>
      <c r="N646" s="31" t="n">
        <f aca="false">DATE(LEFT(Raw!J646,4),MID(Raw!J646,6,2),MID(Raw!J646,9,2))+TIME(MID(Raw!J646,12,2),MID(Raw!J646,15,2),MID(Raw!J646,18,2))</f>
        <v>45942.0416666667</v>
      </c>
      <c r="O646" s="31" t="n">
        <f aca="false">DATE(LEFT(Raw!K646,4),MID(Raw!K646,6,2),MID(Raw!K646,9,2))+TIME(MID(Raw!K646,12,2),MID(Raw!K646,15,2),MID(Raw!K646,18,2))</f>
        <v>45946.4</v>
      </c>
      <c r="P646" s="32" t="n">
        <f aca="false">L646-K646</f>
        <v>3</v>
      </c>
      <c r="Q646" s="32" t="n">
        <f aca="false">M646-L646</f>
        <v>2</v>
      </c>
      <c r="R646" s="32" t="n">
        <f aca="false">O646-N646</f>
        <v>4.35833333333333</v>
      </c>
      <c r="S646" s="32" t="n">
        <f aca="false">Raw!L646</f>
        <v>2.4</v>
      </c>
      <c r="T646" s="32" t="n">
        <f aca="false">O646-M646</f>
        <v>2.4</v>
      </c>
      <c r="U646" s="0" t="str">
        <f aca="false">IF(ABS(T646-S646)&lt;0.01,"OK","MISMATCH")</f>
        <v>OK</v>
      </c>
      <c r="V646" s="33" t="n">
        <f aca="false">Raw!M646</f>
        <v>1</v>
      </c>
      <c r="W646" s="0" t="str">
        <f aca="false">IF((S646&gt;0)=(V646=1),"OK","MISMATCH")</f>
        <v>OK</v>
      </c>
      <c r="X646" s="0" t="str">
        <f aca="false">_xlfn.IFS(S646&lt;=0,"Early/On time",S646&lt;=2,"Minor (up to 2 days)",S646&lt;=5,"Moderate (2-5 days)",TRUE(),"Severe (over 5 days)")</f>
        <v>Moderate (2-5 days)</v>
      </c>
      <c r="Y646" s="0" t="str">
        <f aca="false">YEAR(K646)&amp;"-"&amp;TEXT(MONTH(K646),"00")</f>
        <v>2025-10</v>
      </c>
      <c r="Z646" s="0" t="str">
        <f aca="false">C646&amp;" → "&amp;D646</f>
        <v>Surat → West Bengal</v>
      </c>
      <c r="AA646" s="0" t="str">
        <f aca="false">Raw!Q646</f>
        <v>VRL Cargo</v>
      </c>
      <c r="AB646" s="0" t="str">
        <f aca="false">Raw!R646</f>
        <v>Yes</v>
      </c>
      <c r="AC646" s="0" t="str">
        <f aca="false">Raw!S646</f>
        <v>Normal</v>
      </c>
      <c r="AD646" s="29" t="n">
        <f aca="false">Raw!N646</f>
        <v>8794.75</v>
      </c>
      <c r="AE646" s="29" t="n">
        <f aca="false">Raw!O646</f>
        <v>3601.02</v>
      </c>
      <c r="AF646" s="29" t="n">
        <f aca="false">Raw!P646</f>
        <v>590.42</v>
      </c>
      <c r="AG646" s="29" t="n">
        <f aca="false">AD646/J646</f>
        <v>554.174543163201</v>
      </c>
    </row>
    <row r="647" customFormat="false" ht="15" hidden="false" customHeight="false" outlineLevel="0" collapsed="false">
      <c r="A647" s="0" t="str">
        <f aca="false">Raw!A647</f>
        <v>SHP0646</v>
      </c>
      <c r="B647" s="0" t="str">
        <f aca="false">Raw!B647</f>
        <v>Outbound</v>
      </c>
      <c r="C647" s="0" t="str">
        <f aca="false">Raw!C647</f>
        <v>Surat</v>
      </c>
      <c r="D647" s="0" t="str">
        <f aca="false">Raw!D647</f>
        <v>Gujarat</v>
      </c>
      <c r="E647" s="0" t="str">
        <f aca="false">IFERROR(INDEX(Location_Map!$B$2:$B$15,MATCH(C647,Location_Map!$A$2:$A$15,0)),"UNMAPPED")</f>
        <v>Gujarat</v>
      </c>
      <c r="F647" s="0" t="str">
        <f aca="false">IFERROR(INDEX(Location_Map!$C$2:$C$15,MATCH(C647,Location_Map!$A$2:$A$15,0)),"UNMAPPED")</f>
        <v>West</v>
      </c>
      <c r="G647" s="0" t="str">
        <f aca="false">IFERROR(INDEX(Location_Map!$B$2:$B$15,MATCH(D647,Location_Map!$A$2:$A$15,0)),"UNMAPPED")</f>
        <v>Gujarat</v>
      </c>
      <c r="H647" s="0" t="str">
        <f aca="false">IFERROR(INDEX(Location_Map!$C$2:$C$15,MATCH(D647,Location_Map!$A$2:$A$15,0)),"UNMAPPED")</f>
        <v>West</v>
      </c>
      <c r="I647" s="0" t="str">
        <f aca="false">Raw!E647</f>
        <v>Raw Yarn</v>
      </c>
      <c r="J647" s="28" t="n">
        <f aca="false">Raw!F647</f>
        <v>19.01</v>
      </c>
      <c r="K647" s="30" t="n">
        <f aca="false">DATE(LEFT(Raw!G647,4),MID(Raw!G647,6,2),MID(Raw!G647,9,2))</f>
        <v>45735</v>
      </c>
      <c r="L647" s="30" t="n">
        <f aca="false">DATE(LEFT(Raw!H647,4),MID(Raw!H647,6,2),MID(Raw!H647,9,2))</f>
        <v>45737</v>
      </c>
      <c r="M647" s="30" t="n">
        <f aca="false">DATE(LEFT(Raw!I647,4),MID(Raw!I647,6,2),MID(Raw!I647,9,2))</f>
        <v>45740</v>
      </c>
      <c r="N647" s="31" t="n">
        <f aca="false">DATE(LEFT(Raw!J647,4),MID(Raw!J647,6,2),MID(Raw!J647,9,2))+TIME(MID(Raw!J647,12,2),MID(Raw!J647,15,2),MID(Raw!J647,18,2))</f>
        <v>45737.25</v>
      </c>
      <c r="O647" s="31" t="n">
        <f aca="false">DATE(LEFT(Raw!K647,4),MID(Raw!K647,6,2),MID(Raw!K647,9,2))+TIME(MID(Raw!K647,12,2),MID(Raw!K647,15,2),MID(Raw!K647,18,2))</f>
        <v>45743.5</v>
      </c>
      <c r="P647" s="32" t="n">
        <f aca="false">L647-K647</f>
        <v>2</v>
      </c>
      <c r="Q647" s="32" t="n">
        <f aca="false">M647-L647</f>
        <v>3</v>
      </c>
      <c r="R647" s="32" t="n">
        <f aca="false">O647-N647</f>
        <v>6.25</v>
      </c>
      <c r="S647" s="32" t="n">
        <f aca="false">Raw!L647</f>
        <v>3.5</v>
      </c>
      <c r="T647" s="32" t="n">
        <f aca="false">O647-M647</f>
        <v>3.5</v>
      </c>
      <c r="U647" s="0" t="str">
        <f aca="false">IF(ABS(T647-S647)&lt;0.01,"OK","MISMATCH")</f>
        <v>OK</v>
      </c>
      <c r="V647" s="33" t="n">
        <f aca="false">Raw!M647</f>
        <v>1</v>
      </c>
      <c r="W647" s="0" t="str">
        <f aca="false">IF((S647&gt;0)=(V647=1),"OK","MISMATCH")</f>
        <v>OK</v>
      </c>
      <c r="X647" s="0" t="str">
        <f aca="false">_xlfn.IFS(S647&lt;=0,"Early/On time",S647&lt;=2,"Minor (up to 2 days)",S647&lt;=5,"Moderate (2-5 days)",TRUE(),"Severe (over 5 days)")</f>
        <v>Moderate (2-5 days)</v>
      </c>
      <c r="Y647" s="0" t="str">
        <f aca="false">YEAR(K647)&amp;"-"&amp;TEXT(MONTH(K647),"00")</f>
        <v>2025-03</v>
      </c>
      <c r="Z647" s="0" t="str">
        <f aca="false">C647&amp;" → "&amp;D647</f>
        <v>Surat → Gujarat</v>
      </c>
      <c r="AA647" s="0" t="str">
        <f aca="false">Raw!Q647</f>
        <v>BlueDart</v>
      </c>
      <c r="AB647" s="0" t="str">
        <f aca="false">Raw!R647</f>
        <v>No</v>
      </c>
      <c r="AC647" s="0" t="str">
        <f aca="false">Raw!S647</f>
        <v>Expedited</v>
      </c>
      <c r="AD647" s="29" t="n">
        <f aca="false">Raw!N647</f>
        <v>5845.83</v>
      </c>
      <c r="AE647" s="29" t="n">
        <f aca="false">Raw!O647</f>
        <v>1493.27</v>
      </c>
      <c r="AF647" s="29" t="n">
        <f aca="false">Raw!P647</f>
        <v>900.97</v>
      </c>
      <c r="AG647" s="29" t="n">
        <f aca="false">AD647/J647</f>
        <v>307.513413992635</v>
      </c>
    </row>
    <row r="648" customFormat="false" ht="15" hidden="false" customHeight="false" outlineLevel="0" collapsed="false">
      <c r="A648" s="0" t="str">
        <f aca="false">Raw!A648</f>
        <v>SHP0647</v>
      </c>
      <c r="B648" s="0" t="str">
        <f aca="false">Raw!B648</f>
        <v>Inbound</v>
      </c>
      <c r="C648" s="0" t="str">
        <f aca="false">Raw!C648</f>
        <v>Uttar Pradesh</v>
      </c>
      <c r="D648" s="0" t="str">
        <f aca="false">Raw!D648</f>
        <v>Surat</v>
      </c>
      <c r="E648" s="0" t="str">
        <f aca="false">IFERROR(INDEX(Location_Map!$B$2:$B$15,MATCH(C648,Location_Map!$A$2:$A$15,0)),"UNMAPPED")</f>
        <v>Uttar Pradesh</v>
      </c>
      <c r="F648" s="0" t="str">
        <f aca="false">IFERROR(INDEX(Location_Map!$C$2:$C$15,MATCH(C648,Location_Map!$A$2:$A$15,0)),"UNMAPPED")</f>
        <v>North</v>
      </c>
      <c r="G648" s="0" t="str">
        <f aca="false">IFERROR(INDEX(Location_Map!$B$2:$B$15,MATCH(D648,Location_Map!$A$2:$A$15,0)),"UNMAPPED")</f>
        <v>Gujarat</v>
      </c>
      <c r="H648" s="0" t="str">
        <f aca="false">IFERROR(INDEX(Location_Map!$C$2:$C$15,MATCH(D648,Location_Map!$A$2:$A$15,0)),"UNMAPPED")</f>
        <v>West</v>
      </c>
      <c r="I648" s="0" t="str">
        <f aca="false">Raw!E648</f>
        <v>Finished Yarn</v>
      </c>
      <c r="J648" s="28" t="n">
        <f aca="false">Raw!F648</f>
        <v>7.66</v>
      </c>
      <c r="K648" s="30" t="n">
        <f aca="false">DATE(LEFT(Raw!G648,4),MID(Raw!G648,6,2),MID(Raw!G648,9,2))</f>
        <v>45889</v>
      </c>
      <c r="L648" s="30" t="n">
        <f aca="false">DATE(LEFT(Raw!H648,4),MID(Raw!H648,6,2),MID(Raw!H648,9,2))</f>
        <v>45893</v>
      </c>
      <c r="M648" s="30" t="n">
        <f aca="false">DATE(LEFT(Raw!I648,4),MID(Raw!I648,6,2),MID(Raw!I648,9,2))</f>
        <v>45896</v>
      </c>
      <c r="N648" s="31" t="n">
        <f aca="false">DATE(LEFT(Raw!J648,4),MID(Raw!J648,6,2),MID(Raw!J648,9,2))+TIME(MID(Raw!J648,12,2),MID(Raw!J648,15,2),MID(Raw!J648,18,2))</f>
        <v>45893.375</v>
      </c>
      <c r="O648" s="31" t="n">
        <f aca="false">DATE(LEFT(Raw!K648,4),MID(Raw!K648,6,2),MID(Raw!K648,9,2))+TIME(MID(Raw!K648,12,2),MID(Raw!K648,15,2),MID(Raw!K648,18,2))</f>
        <v>45899.1</v>
      </c>
      <c r="P648" s="32" t="n">
        <f aca="false">L648-K648</f>
        <v>4</v>
      </c>
      <c r="Q648" s="32" t="n">
        <f aca="false">M648-L648</f>
        <v>3</v>
      </c>
      <c r="R648" s="32" t="n">
        <f aca="false">O648-N648</f>
        <v>5.725</v>
      </c>
      <c r="S648" s="32" t="n">
        <f aca="false">Raw!L648</f>
        <v>3.1</v>
      </c>
      <c r="T648" s="32" t="n">
        <f aca="false">O648-M648</f>
        <v>3.1</v>
      </c>
      <c r="U648" s="0" t="str">
        <f aca="false">IF(ABS(T648-S648)&lt;0.01,"OK","MISMATCH")</f>
        <v>OK</v>
      </c>
      <c r="V648" s="33" t="n">
        <f aca="false">Raw!M648</f>
        <v>1</v>
      </c>
      <c r="W648" s="0" t="str">
        <f aca="false">IF((S648&gt;0)=(V648=1),"OK","MISMATCH")</f>
        <v>OK</v>
      </c>
      <c r="X648" s="0" t="str">
        <f aca="false">_xlfn.IFS(S648&lt;=0,"Early/On time",S648&lt;=2,"Minor (up to 2 days)",S648&lt;=5,"Moderate (2-5 days)",TRUE(),"Severe (over 5 days)")</f>
        <v>Moderate (2-5 days)</v>
      </c>
      <c r="Y648" s="0" t="str">
        <f aca="false">YEAR(K648)&amp;"-"&amp;TEXT(MONTH(K648),"00")</f>
        <v>2025-08</v>
      </c>
      <c r="Z648" s="0" t="str">
        <f aca="false">C648&amp;" → "&amp;D648</f>
        <v>Uttar Pradesh → Surat</v>
      </c>
      <c r="AA648" s="0" t="str">
        <f aca="false">Raw!Q648</f>
        <v>BlueDart</v>
      </c>
      <c r="AB648" s="0" t="str">
        <f aca="false">Raw!R648</f>
        <v>Yes</v>
      </c>
      <c r="AC648" s="0" t="str">
        <f aca="false">Raw!S648</f>
        <v>Normal</v>
      </c>
      <c r="AD648" s="29" t="n">
        <f aca="false">Raw!N648</f>
        <v>4736.42</v>
      </c>
      <c r="AE648" s="29" t="n">
        <f aca="false">Raw!O648</f>
        <v>2517.13</v>
      </c>
      <c r="AF648" s="29" t="n">
        <f aca="false">Raw!P648</f>
        <v>547.22</v>
      </c>
      <c r="AG648" s="29" t="n">
        <f aca="false">AD648/J648</f>
        <v>618.331592689295</v>
      </c>
    </row>
    <row r="649" customFormat="false" ht="15" hidden="false" customHeight="false" outlineLevel="0" collapsed="false">
      <c r="A649" s="0" t="str">
        <f aca="false">Raw!A649</f>
        <v>SHP0648</v>
      </c>
      <c r="B649" s="0" t="str">
        <f aca="false">Raw!B649</f>
        <v>Outbound</v>
      </c>
      <c r="C649" s="0" t="str">
        <f aca="false">Raw!C649</f>
        <v>Surat</v>
      </c>
      <c r="D649" s="0" t="str">
        <f aca="false">Raw!D649</f>
        <v>Kerala</v>
      </c>
      <c r="E649" s="0" t="str">
        <f aca="false">IFERROR(INDEX(Location_Map!$B$2:$B$15,MATCH(C649,Location_Map!$A$2:$A$15,0)),"UNMAPPED")</f>
        <v>Gujarat</v>
      </c>
      <c r="F649" s="0" t="str">
        <f aca="false">IFERROR(INDEX(Location_Map!$C$2:$C$15,MATCH(C649,Location_Map!$A$2:$A$15,0)),"UNMAPPED")</f>
        <v>West</v>
      </c>
      <c r="G649" s="0" t="str">
        <f aca="false">IFERROR(INDEX(Location_Map!$B$2:$B$15,MATCH(D649,Location_Map!$A$2:$A$15,0)),"UNMAPPED")</f>
        <v>Kerala</v>
      </c>
      <c r="H649" s="0" t="str">
        <f aca="false">IFERROR(INDEX(Location_Map!$C$2:$C$15,MATCH(D649,Location_Map!$A$2:$A$15,0)),"UNMAPPED")</f>
        <v>South</v>
      </c>
      <c r="I649" s="0" t="str">
        <f aca="false">Raw!E649</f>
        <v>Semi-Processed Yarn</v>
      </c>
      <c r="J649" s="28" t="n">
        <f aca="false">Raw!F649</f>
        <v>4.35</v>
      </c>
      <c r="K649" s="30" t="n">
        <f aca="false">DATE(LEFT(Raw!G649,4),MID(Raw!G649,6,2),MID(Raw!G649,9,2))</f>
        <v>45944</v>
      </c>
      <c r="L649" s="30" t="n">
        <f aca="false">DATE(LEFT(Raw!H649,4),MID(Raw!H649,6,2),MID(Raw!H649,9,2))</f>
        <v>45945</v>
      </c>
      <c r="M649" s="30" t="n">
        <f aca="false">DATE(LEFT(Raw!I649,4),MID(Raw!I649,6,2),MID(Raw!I649,9,2))</f>
        <v>45950</v>
      </c>
      <c r="N649" s="31" t="n">
        <f aca="false">DATE(LEFT(Raw!J649,4),MID(Raw!J649,6,2),MID(Raw!J649,9,2))+TIME(MID(Raw!J649,12,2),MID(Raw!J649,15,2),MID(Raw!J649,18,2))</f>
        <v>45945.125</v>
      </c>
      <c r="O649" s="31" t="n">
        <f aca="false">DATE(LEFT(Raw!K649,4),MID(Raw!K649,6,2),MID(Raw!K649,9,2))+TIME(MID(Raw!K649,12,2),MID(Raw!K649,15,2),MID(Raw!K649,18,2))</f>
        <v>45950.7</v>
      </c>
      <c r="P649" s="32" t="n">
        <f aca="false">L649-K649</f>
        <v>1</v>
      </c>
      <c r="Q649" s="32" t="n">
        <f aca="false">M649-L649</f>
        <v>5</v>
      </c>
      <c r="R649" s="32" t="n">
        <f aca="false">O649-N649</f>
        <v>5.575</v>
      </c>
      <c r="S649" s="32" t="n">
        <f aca="false">Raw!L649</f>
        <v>0.7</v>
      </c>
      <c r="T649" s="32" t="n">
        <f aca="false">O649-M649</f>
        <v>0.7</v>
      </c>
      <c r="U649" s="0" t="str">
        <f aca="false">IF(ABS(T649-S649)&lt;0.01,"OK","MISMATCH")</f>
        <v>OK</v>
      </c>
      <c r="V649" s="33" t="n">
        <f aca="false">Raw!M649</f>
        <v>1</v>
      </c>
      <c r="W649" s="0" t="str">
        <f aca="false">IF((S649&gt;0)=(V649=1),"OK","MISMATCH")</f>
        <v>OK</v>
      </c>
      <c r="X649" s="0" t="str">
        <f aca="false">_xlfn.IFS(S649&lt;=0,"Early/On time",S649&lt;=2,"Minor (up to 2 days)",S649&lt;=5,"Moderate (2-5 days)",TRUE(),"Severe (over 5 days)")</f>
        <v>Minor (up to 2 days)</v>
      </c>
      <c r="Y649" s="0" t="str">
        <f aca="false">YEAR(K649)&amp;"-"&amp;TEXT(MONTH(K649),"00")</f>
        <v>2025-10</v>
      </c>
      <c r="Z649" s="0" t="str">
        <f aca="false">C649&amp;" → "&amp;D649</f>
        <v>Surat → Kerala</v>
      </c>
      <c r="AA649" s="0" t="str">
        <f aca="false">Raw!Q649</f>
        <v>TCI Express</v>
      </c>
      <c r="AB649" s="0" t="str">
        <f aca="false">Raw!R649</f>
        <v>No</v>
      </c>
      <c r="AC649" s="0" t="str">
        <f aca="false">Raw!S649</f>
        <v>Damaged</v>
      </c>
      <c r="AD649" s="29" t="n">
        <f aca="false">Raw!N649</f>
        <v>3774.63</v>
      </c>
      <c r="AE649" s="29" t="n">
        <f aca="false">Raw!O649</f>
        <v>3216.4</v>
      </c>
      <c r="AF649" s="29" t="n">
        <f aca="false">Raw!P649</f>
        <v>674.5</v>
      </c>
      <c r="AG649" s="29" t="n">
        <f aca="false">AD649/J649</f>
        <v>867.731034482759</v>
      </c>
    </row>
    <row r="650" customFormat="false" ht="15" hidden="false" customHeight="false" outlineLevel="0" collapsed="false">
      <c r="A650" s="0" t="str">
        <f aca="false">Raw!A650</f>
        <v>SHP0649</v>
      </c>
      <c r="B650" s="0" t="str">
        <f aca="false">Raw!B650</f>
        <v>Outbound</v>
      </c>
      <c r="C650" s="0" t="str">
        <f aca="false">Raw!C650</f>
        <v>Surat</v>
      </c>
      <c r="D650" s="0" t="str">
        <f aca="false">Raw!D650</f>
        <v>Assam</v>
      </c>
      <c r="E650" s="0" t="str">
        <f aca="false">IFERROR(INDEX(Location_Map!$B$2:$B$15,MATCH(C650,Location_Map!$A$2:$A$15,0)),"UNMAPPED")</f>
        <v>Gujarat</v>
      </c>
      <c r="F650" s="0" t="str">
        <f aca="false">IFERROR(INDEX(Location_Map!$C$2:$C$15,MATCH(C650,Location_Map!$A$2:$A$15,0)),"UNMAPPED")</f>
        <v>West</v>
      </c>
      <c r="G650" s="0" t="str">
        <f aca="false">IFERROR(INDEX(Location_Map!$B$2:$B$15,MATCH(D650,Location_Map!$A$2:$A$15,0)),"UNMAPPED")</f>
        <v>Assam</v>
      </c>
      <c r="H650" s="0" t="str">
        <f aca="false">IFERROR(INDEX(Location_Map!$C$2:$C$15,MATCH(D650,Location_Map!$A$2:$A$15,0)),"UNMAPPED")</f>
        <v>North-East</v>
      </c>
      <c r="I650" s="0" t="str">
        <f aca="false">Raw!E650</f>
        <v>Semi-Processed Yarn</v>
      </c>
      <c r="J650" s="28" t="n">
        <f aca="false">Raw!F650</f>
        <v>8.2</v>
      </c>
      <c r="K650" s="30" t="n">
        <f aca="false">DATE(LEFT(Raw!G650,4),MID(Raw!G650,6,2),MID(Raw!G650,9,2))</f>
        <v>45910</v>
      </c>
      <c r="L650" s="30" t="n">
        <f aca="false">DATE(LEFT(Raw!H650,4),MID(Raw!H650,6,2),MID(Raw!H650,9,2))</f>
        <v>45913</v>
      </c>
      <c r="M650" s="30" t="n">
        <f aca="false">DATE(LEFT(Raw!I650,4),MID(Raw!I650,6,2),MID(Raw!I650,9,2))</f>
        <v>45917</v>
      </c>
      <c r="N650" s="31" t="n">
        <f aca="false">DATE(LEFT(Raw!J650,4),MID(Raw!J650,6,2),MID(Raw!J650,9,2))+TIME(MID(Raw!J650,12,2),MID(Raw!J650,15,2),MID(Raw!J650,18,2))</f>
        <v>45913.0416666667</v>
      </c>
      <c r="O650" s="31" t="n">
        <f aca="false">DATE(LEFT(Raw!K650,4),MID(Raw!K650,6,2),MID(Raw!K650,9,2))+TIME(MID(Raw!K650,12,2),MID(Raw!K650,15,2),MID(Raw!K650,18,2))</f>
        <v>45916</v>
      </c>
      <c r="P650" s="32" t="n">
        <f aca="false">L650-K650</f>
        <v>3</v>
      </c>
      <c r="Q650" s="32" t="n">
        <f aca="false">M650-L650</f>
        <v>4</v>
      </c>
      <c r="R650" s="32" t="n">
        <f aca="false">O650-N650</f>
        <v>2.95833333333333</v>
      </c>
      <c r="S650" s="32" t="n">
        <f aca="false">Raw!L650</f>
        <v>-1</v>
      </c>
      <c r="T650" s="32" t="n">
        <f aca="false">O650-M650</f>
        <v>-1</v>
      </c>
      <c r="U650" s="0" t="str">
        <f aca="false">IF(ABS(T650-S650)&lt;0.01,"OK","MISMATCH")</f>
        <v>OK</v>
      </c>
      <c r="V650" s="33" t="n">
        <f aca="false">Raw!M650</f>
        <v>0</v>
      </c>
      <c r="W650" s="0" t="str">
        <f aca="false">IF((S650&gt;0)=(V650=1),"OK","MISMATCH")</f>
        <v>OK</v>
      </c>
      <c r="X650" s="0" t="str">
        <f aca="false">_xlfn.IFS(S650&lt;=0,"Early/On time",S650&lt;=2,"Minor (up to 2 days)",S650&lt;=5,"Moderate (2-5 days)",TRUE(),"Severe (over 5 days)")</f>
        <v>Early/On time</v>
      </c>
      <c r="Y650" s="0" t="str">
        <f aca="false">YEAR(K650)&amp;"-"&amp;TEXT(MONTH(K650),"00")</f>
        <v>2025-09</v>
      </c>
      <c r="Z650" s="0" t="str">
        <f aca="false">C650&amp;" → "&amp;D650</f>
        <v>Surat → Assam</v>
      </c>
      <c r="AA650" s="0" t="str">
        <f aca="false">Raw!Q650</f>
        <v>TCI Express</v>
      </c>
      <c r="AB650" s="0" t="str">
        <f aca="false">Raw!R650</f>
        <v>No</v>
      </c>
      <c r="AC650" s="0" t="str">
        <f aca="false">Raw!S650</f>
        <v>Expedited</v>
      </c>
      <c r="AD650" s="29" t="n">
        <f aca="false">Raw!N650</f>
        <v>4247.66</v>
      </c>
      <c r="AE650" s="29" t="n">
        <f aca="false">Raw!O650</f>
        <v>3176.5</v>
      </c>
      <c r="AF650" s="29" t="n">
        <f aca="false">Raw!P650</f>
        <v>1240.51</v>
      </c>
      <c r="AG650" s="29" t="n">
        <f aca="false">AD650/J650</f>
        <v>518.007317073171</v>
      </c>
    </row>
    <row r="651" customFormat="false" ht="15" hidden="false" customHeight="false" outlineLevel="0" collapsed="false">
      <c r="A651" s="0" t="str">
        <f aca="false">Raw!A651</f>
        <v>SHP0650</v>
      </c>
      <c r="B651" s="0" t="str">
        <f aca="false">Raw!B651</f>
        <v>Inbound</v>
      </c>
      <c r="C651" s="0" t="str">
        <f aca="false">Raw!C651</f>
        <v>Rajasthan</v>
      </c>
      <c r="D651" s="0" t="str">
        <f aca="false">Raw!D651</f>
        <v>Surat</v>
      </c>
      <c r="E651" s="0" t="str">
        <f aca="false">IFERROR(INDEX(Location_Map!$B$2:$B$15,MATCH(C651,Location_Map!$A$2:$A$15,0)),"UNMAPPED")</f>
        <v>Rajasthan</v>
      </c>
      <c r="F651" s="0" t="str">
        <f aca="false">IFERROR(INDEX(Location_Map!$C$2:$C$15,MATCH(C651,Location_Map!$A$2:$A$15,0)),"UNMAPPED")</f>
        <v>North</v>
      </c>
      <c r="G651" s="0" t="str">
        <f aca="false">IFERROR(INDEX(Location_Map!$B$2:$B$15,MATCH(D651,Location_Map!$A$2:$A$15,0)),"UNMAPPED")</f>
        <v>Gujarat</v>
      </c>
      <c r="H651" s="0" t="str">
        <f aca="false">IFERROR(INDEX(Location_Map!$C$2:$C$15,MATCH(D651,Location_Map!$A$2:$A$15,0)),"UNMAPPED")</f>
        <v>West</v>
      </c>
      <c r="I651" s="0" t="str">
        <f aca="false">Raw!E651</f>
        <v>Raw Yarn</v>
      </c>
      <c r="J651" s="28" t="n">
        <f aca="false">Raw!F651</f>
        <v>15.38</v>
      </c>
      <c r="K651" s="30" t="n">
        <f aca="false">DATE(LEFT(Raw!G651,4),MID(Raw!G651,6,2),MID(Raw!G651,9,2))</f>
        <v>45840</v>
      </c>
      <c r="L651" s="30" t="n">
        <f aca="false">DATE(LEFT(Raw!H651,4),MID(Raw!H651,6,2),MID(Raw!H651,9,2))</f>
        <v>45841</v>
      </c>
      <c r="M651" s="30" t="n">
        <f aca="false">DATE(LEFT(Raw!I651,4),MID(Raw!I651,6,2),MID(Raw!I651,9,2))</f>
        <v>45844</v>
      </c>
      <c r="N651" s="31" t="n">
        <f aca="false">DATE(LEFT(Raw!J651,4),MID(Raw!J651,6,2),MID(Raw!J651,9,2))+TIME(MID(Raw!J651,12,2),MID(Raw!J651,15,2),MID(Raw!J651,18,2))</f>
        <v>45841.125</v>
      </c>
      <c r="O651" s="31" t="n">
        <f aca="false">DATE(LEFT(Raw!K651,4),MID(Raw!K651,6,2),MID(Raw!K651,9,2))+TIME(MID(Raw!K651,12,2),MID(Raw!K651,15,2),MID(Raw!K651,18,2))</f>
        <v>45843</v>
      </c>
      <c r="P651" s="32" t="n">
        <f aca="false">L651-K651</f>
        <v>1</v>
      </c>
      <c r="Q651" s="32" t="n">
        <f aca="false">M651-L651</f>
        <v>3</v>
      </c>
      <c r="R651" s="32" t="n">
        <f aca="false">O651-N651</f>
        <v>1.875</v>
      </c>
      <c r="S651" s="32" t="n">
        <f aca="false">Raw!L651</f>
        <v>-1</v>
      </c>
      <c r="T651" s="32" t="n">
        <f aca="false">O651-M651</f>
        <v>-1</v>
      </c>
      <c r="U651" s="0" t="str">
        <f aca="false">IF(ABS(T651-S651)&lt;0.01,"OK","MISMATCH")</f>
        <v>OK</v>
      </c>
      <c r="V651" s="33" t="n">
        <f aca="false">Raw!M651</f>
        <v>0</v>
      </c>
      <c r="W651" s="0" t="str">
        <f aca="false">IF((S651&gt;0)=(V651=1),"OK","MISMATCH")</f>
        <v>OK</v>
      </c>
      <c r="X651" s="0" t="str">
        <f aca="false">_xlfn.IFS(S651&lt;=0,"Early/On time",S651&lt;=2,"Minor (up to 2 days)",S651&lt;=5,"Moderate (2-5 days)",TRUE(),"Severe (over 5 days)")</f>
        <v>Early/On time</v>
      </c>
      <c r="Y651" s="0" t="str">
        <f aca="false">YEAR(K651)&amp;"-"&amp;TEXT(MONTH(K651),"00")</f>
        <v>2025-07</v>
      </c>
      <c r="Z651" s="0" t="str">
        <f aca="false">C651&amp;" → "&amp;D651</f>
        <v>Rajasthan → Surat</v>
      </c>
      <c r="AA651" s="0" t="str">
        <f aca="false">Raw!Q651</f>
        <v>VRL Cargo</v>
      </c>
      <c r="AB651" s="0" t="str">
        <f aca="false">Raw!R651</f>
        <v>Yes</v>
      </c>
      <c r="AC651" s="0" t="str">
        <f aca="false">Raw!S651</f>
        <v>Expedited</v>
      </c>
      <c r="AD651" s="29" t="n">
        <f aca="false">Raw!N651</f>
        <v>6364.97</v>
      </c>
      <c r="AE651" s="29" t="n">
        <f aca="false">Raw!O651</f>
        <v>2855.24</v>
      </c>
      <c r="AF651" s="29" t="n">
        <f aca="false">Raw!P651</f>
        <v>673.98</v>
      </c>
      <c r="AG651" s="29" t="n">
        <f aca="false">AD651/J651</f>
        <v>413.847204161248</v>
      </c>
    </row>
    <row r="652" customFormat="false" ht="15" hidden="false" customHeight="false" outlineLevel="0" collapsed="false">
      <c r="A652" s="0" t="str">
        <f aca="false">Raw!A652</f>
        <v>SHP0651</v>
      </c>
      <c r="B652" s="0" t="str">
        <f aca="false">Raw!B652</f>
        <v>Inbound</v>
      </c>
      <c r="C652" s="0" t="str">
        <f aca="false">Raw!C652</f>
        <v>Gujarat</v>
      </c>
      <c r="D652" s="0" t="str">
        <f aca="false">Raw!D652</f>
        <v>Surat</v>
      </c>
      <c r="E652" s="0" t="str">
        <f aca="false">IFERROR(INDEX(Location_Map!$B$2:$B$15,MATCH(C652,Location_Map!$A$2:$A$15,0)),"UNMAPPED")</f>
        <v>Gujarat</v>
      </c>
      <c r="F652" s="0" t="str">
        <f aca="false">IFERROR(INDEX(Location_Map!$C$2:$C$15,MATCH(C652,Location_Map!$A$2:$A$15,0)),"UNMAPPED")</f>
        <v>West</v>
      </c>
      <c r="G652" s="0" t="str">
        <f aca="false">IFERROR(INDEX(Location_Map!$B$2:$B$15,MATCH(D652,Location_Map!$A$2:$A$15,0)),"UNMAPPED")</f>
        <v>Gujarat</v>
      </c>
      <c r="H652" s="0" t="str">
        <f aca="false">IFERROR(INDEX(Location_Map!$C$2:$C$15,MATCH(D652,Location_Map!$A$2:$A$15,0)),"UNMAPPED")</f>
        <v>West</v>
      </c>
      <c r="I652" s="0" t="str">
        <f aca="false">Raw!E652</f>
        <v>Finished Yarn</v>
      </c>
      <c r="J652" s="28" t="n">
        <f aca="false">Raw!F652</f>
        <v>7.41</v>
      </c>
      <c r="K652" s="30" t="n">
        <f aca="false">DATE(LEFT(Raw!G652,4),MID(Raw!G652,6,2),MID(Raw!G652,9,2))</f>
        <v>45663</v>
      </c>
      <c r="L652" s="30" t="n">
        <f aca="false">DATE(LEFT(Raw!H652,4),MID(Raw!H652,6,2),MID(Raw!H652,9,2))</f>
        <v>45665</v>
      </c>
      <c r="M652" s="30" t="n">
        <f aca="false">DATE(LEFT(Raw!I652,4),MID(Raw!I652,6,2),MID(Raw!I652,9,2))</f>
        <v>45669</v>
      </c>
      <c r="N652" s="31" t="n">
        <f aca="false">DATE(LEFT(Raw!J652,4),MID(Raw!J652,6,2),MID(Raw!J652,9,2))+TIME(MID(Raw!J652,12,2),MID(Raw!J652,15,2),MID(Raw!J652,18,2))</f>
        <v>45665</v>
      </c>
      <c r="O652" s="31" t="n">
        <f aca="false">DATE(LEFT(Raw!K652,4),MID(Raw!K652,6,2),MID(Raw!K652,9,2))+TIME(MID(Raw!K652,12,2),MID(Raw!K652,15,2),MID(Raw!K652,18,2))</f>
        <v>45670.8</v>
      </c>
      <c r="P652" s="32" t="n">
        <f aca="false">L652-K652</f>
        <v>2</v>
      </c>
      <c r="Q652" s="32" t="n">
        <f aca="false">M652-L652</f>
        <v>4</v>
      </c>
      <c r="R652" s="32" t="n">
        <f aca="false">O652-N652</f>
        <v>5.8</v>
      </c>
      <c r="S652" s="32" t="n">
        <f aca="false">Raw!L652</f>
        <v>1.8</v>
      </c>
      <c r="T652" s="32" t="n">
        <f aca="false">O652-M652</f>
        <v>1.8</v>
      </c>
      <c r="U652" s="0" t="str">
        <f aca="false">IF(ABS(T652-S652)&lt;0.01,"OK","MISMATCH")</f>
        <v>OK</v>
      </c>
      <c r="V652" s="33" t="n">
        <f aca="false">Raw!M652</f>
        <v>1</v>
      </c>
      <c r="W652" s="0" t="str">
        <f aca="false">IF((S652&gt;0)=(V652=1),"OK","MISMATCH")</f>
        <v>OK</v>
      </c>
      <c r="X652" s="0" t="str">
        <f aca="false">_xlfn.IFS(S652&lt;=0,"Early/On time",S652&lt;=2,"Minor (up to 2 days)",S652&lt;=5,"Moderate (2-5 days)",TRUE(),"Severe (over 5 days)")</f>
        <v>Minor (up to 2 days)</v>
      </c>
      <c r="Y652" s="0" t="str">
        <f aca="false">YEAR(K652)&amp;"-"&amp;TEXT(MONTH(K652),"00")</f>
        <v>2025-01</v>
      </c>
      <c r="Z652" s="0" t="str">
        <f aca="false">C652&amp;" → "&amp;D652</f>
        <v>Gujarat → Surat</v>
      </c>
      <c r="AA652" s="0" t="str">
        <f aca="false">Raw!Q652</f>
        <v>Delhivery</v>
      </c>
      <c r="AB652" s="0" t="str">
        <f aca="false">Raw!R652</f>
        <v>Yes</v>
      </c>
      <c r="AC652" s="0" t="str">
        <f aca="false">Raw!S652</f>
        <v>Normal</v>
      </c>
      <c r="AD652" s="29" t="n">
        <f aca="false">Raw!N652</f>
        <v>4195.22</v>
      </c>
      <c r="AE652" s="29" t="n">
        <f aca="false">Raw!O652</f>
        <v>4370.15</v>
      </c>
      <c r="AF652" s="29" t="n">
        <f aca="false">Raw!P652</f>
        <v>1000.88</v>
      </c>
      <c r="AG652" s="29" t="n">
        <f aca="false">AD652/J652</f>
        <v>566.156545209177</v>
      </c>
    </row>
    <row r="653" customFormat="false" ht="15" hidden="false" customHeight="false" outlineLevel="0" collapsed="false">
      <c r="A653" s="0" t="str">
        <f aca="false">Raw!A653</f>
        <v>SHP0652</v>
      </c>
      <c r="B653" s="0" t="str">
        <f aca="false">Raw!B653</f>
        <v>Inbound</v>
      </c>
      <c r="C653" s="0" t="str">
        <f aca="false">Raw!C653</f>
        <v>Gujarat</v>
      </c>
      <c r="D653" s="0" t="str">
        <f aca="false">Raw!D653</f>
        <v>Surat</v>
      </c>
      <c r="E653" s="0" t="str">
        <f aca="false">IFERROR(INDEX(Location_Map!$B$2:$B$15,MATCH(C653,Location_Map!$A$2:$A$15,0)),"UNMAPPED")</f>
        <v>Gujarat</v>
      </c>
      <c r="F653" s="0" t="str">
        <f aca="false">IFERROR(INDEX(Location_Map!$C$2:$C$15,MATCH(C653,Location_Map!$A$2:$A$15,0)),"UNMAPPED")</f>
        <v>West</v>
      </c>
      <c r="G653" s="0" t="str">
        <f aca="false">IFERROR(INDEX(Location_Map!$B$2:$B$15,MATCH(D653,Location_Map!$A$2:$A$15,0)),"UNMAPPED")</f>
        <v>Gujarat</v>
      </c>
      <c r="H653" s="0" t="str">
        <f aca="false">IFERROR(INDEX(Location_Map!$C$2:$C$15,MATCH(D653,Location_Map!$A$2:$A$15,0)),"UNMAPPED")</f>
        <v>West</v>
      </c>
      <c r="I653" s="0" t="str">
        <f aca="false">Raw!E653</f>
        <v>Semi-Processed Yarn</v>
      </c>
      <c r="J653" s="28" t="n">
        <f aca="false">Raw!F653</f>
        <v>19.65</v>
      </c>
      <c r="K653" s="30" t="n">
        <f aca="false">DATE(LEFT(Raw!G653,4),MID(Raw!G653,6,2),MID(Raw!G653,9,2))</f>
        <v>45687</v>
      </c>
      <c r="L653" s="30" t="n">
        <f aca="false">DATE(LEFT(Raw!H653,4),MID(Raw!H653,6,2),MID(Raw!H653,9,2))</f>
        <v>45689</v>
      </c>
      <c r="M653" s="30" t="n">
        <f aca="false">DATE(LEFT(Raw!I653,4),MID(Raw!I653,6,2),MID(Raw!I653,9,2))</f>
        <v>45695</v>
      </c>
      <c r="N653" s="31" t="n">
        <f aca="false">DATE(LEFT(Raw!J653,4),MID(Raw!J653,6,2),MID(Raw!J653,9,2))+TIME(MID(Raw!J653,12,2),MID(Raw!J653,15,2),MID(Raw!J653,18,2))</f>
        <v>45689.2083333333</v>
      </c>
      <c r="O653" s="31" t="n">
        <f aca="false">DATE(LEFT(Raw!K653,4),MID(Raw!K653,6,2),MID(Raw!K653,9,2))+TIME(MID(Raw!K653,12,2),MID(Raw!K653,15,2),MID(Raw!K653,18,2))</f>
        <v>45700.1</v>
      </c>
      <c r="P653" s="32" t="n">
        <f aca="false">L653-K653</f>
        <v>2</v>
      </c>
      <c r="Q653" s="32" t="n">
        <f aca="false">M653-L653</f>
        <v>6</v>
      </c>
      <c r="R653" s="32" t="n">
        <f aca="false">O653-N653</f>
        <v>10.8916666666667</v>
      </c>
      <c r="S653" s="32" t="n">
        <f aca="false">Raw!L653</f>
        <v>5.1</v>
      </c>
      <c r="T653" s="32" t="n">
        <f aca="false">O653-M653</f>
        <v>5.1</v>
      </c>
      <c r="U653" s="0" t="str">
        <f aca="false">IF(ABS(T653-S653)&lt;0.01,"OK","MISMATCH")</f>
        <v>OK</v>
      </c>
      <c r="V653" s="33" t="n">
        <f aca="false">Raw!M653</f>
        <v>1</v>
      </c>
      <c r="W653" s="0" t="str">
        <f aca="false">IF((S653&gt;0)=(V653=1),"OK","MISMATCH")</f>
        <v>OK</v>
      </c>
      <c r="X653" s="0" t="str">
        <f aca="false">_xlfn.IFS(S653&lt;=0,"Early/On time",S653&lt;=2,"Minor (up to 2 days)",S653&lt;=5,"Moderate (2-5 days)",TRUE(),"Severe (over 5 days)")</f>
        <v>Severe (over 5 days)</v>
      </c>
      <c r="Y653" s="0" t="str">
        <f aca="false">YEAR(K653)&amp;"-"&amp;TEXT(MONTH(K653),"00")</f>
        <v>2025-01</v>
      </c>
      <c r="Z653" s="0" t="str">
        <f aca="false">C653&amp;" → "&amp;D653</f>
        <v>Gujarat → Surat</v>
      </c>
      <c r="AA653" s="0" t="str">
        <f aca="false">Raw!Q653</f>
        <v>BlueDart</v>
      </c>
      <c r="AB653" s="0" t="str">
        <f aca="false">Raw!R653</f>
        <v>Yes</v>
      </c>
      <c r="AC653" s="0" t="str">
        <f aca="false">Raw!S653</f>
        <v>Returned</v>
      </c>
      <c r="AD653" s="29" t="n">
        <f aca="false">Raw!N653</f>
        <v>10139.3</v>
      </c>
      <c r="AE653" s="29" t="n">
        <f aca="false">Raw!O653</f>
        <v>1262.5</v>
      </c>
      <c r="AF653" s="29" t="n">
        <f aca="false">Raw!P653</f>
        <v>1049.41</v>
      </c>
      <c r="AG653" s="29" t="n">
        <f aca="false">AD653/J653</f>
        <v>515.994910941476</v>
      </c>
    </row>
    <row r="654" customFormat="false" ht="15" hidden="false" customHeight="false" outlineLevel="0" collapsed="false">
      <c r="A654" s="0" t="str">
        <f aca="false">Raw!A654</f>
        <v>SHP0653</v>
      </c>
      <c r="B654" s="0" t="str">
        <f aca="false">Raw!B654</f>
        <v>Outbound</v>
      </c>
      <c r="C654" s="0" t="str">
        <f aca="false">Raw!C654</f>
        <v>Surat</v>
      </c>
      <c r="D654" s="0" t="str">
        <f aca="false">Raw!D654</f>
        <v>Madhya Pradesh</v>
      </c>
      <c r="E654" s="0" t="str">
        <f aca="false">IFERROR(INDEX(Location_Map!$B$2:$B$15,MATCH(C654,Location_Map!$A$2:$A$15,0)),"UNMAPPED")</f>
        <v>Gujarat</v>
      </c>
      <c r="F654" s="0" t="str">
        <f aca="false">IFERROR(INDEX(Location_Map!$C$2:$C$15,MATCH(C654,Location_Map!$A$2:$A$15,0)),"UNMAPPED")</f>
        <v>West</v>
      </c>
      <c r="G654" s="0" t="str">
        <f aca="false">IFERROR(INDEX(Location_Map!$B$2:$B$15,MATCH(D654,Location_Map!$A$2:$A$15,0)),"UNMAPPED")</f>
        <v>Madhya Pradesh</v>
      </c>
      <c r="H654" s="0" t="str">
        <f aca="false">IFERROR(INDEX(Location_Map!$C$2:$C$15,MATCH(D654,Location_Map!$A$2:$A$15,0)),"UNMAPPED")</f>
        <v>Central</v>
      </c>
      <c r="I654" s="0" t="str">
        <f aca="false">Raw!E654</f>
        <v>Finished Yarn</v>
      </c>
      <c r="J654" s="28" t="n">
        <f aca="false">Raw!F654</f>
        <v>12.23</v>
      </c>
      <c r="K654" s="30" t="n">
        <f aca="false">DATE(LEFT(Raw!G654,4),MID(Raw!G654,6,2),MID(Raw!G654,9,2))</f>
        <v>45853</v>
      </c>
      <c r="L654" s="30" t="n">
        <f aca="false">DATE(LEFT(Raw!H654,4),MID(Raw!H654,6,2),MID(Raw!H654,9,2))</f>
        <v>45855</v>
      </c>
      <c r="M654" s="30" t="n">
        <f aca="false">DATE(LEFT(Raw!I654,4),MID(Raw!I654,6,2),MID(Raw!I654,9,2))</f>
        <v>45860</v>
      </c>
      <c r="N654" s="31" t="n">
        <f aca="false">DATE(LEFT(Raw!J654,4),MID(Raw!J654,6,2),MID(Raw!J654,9,2))+TIME(MID(Raw!J654,12,2),MID(Raw!J654,15,2),MID(Raw!J654,18,2))</f>
        <v>45855.375</v>
      </c>
      <c r="O654" s="31" t="n">
        <f aca="false">DATE(LEFT(Raw!K654,4),MID(Raw!K654,6,2),MID(Raw!K654,9,2))+TIME(MID(Raw!K654,12,2),MID(Raw!K654,15,2),MID(Raw!K654,18,2))</f>
        <v>45865.2</v>
      </c>
      <c r="P654" s="32" t="n">
        <f aca="false">L654-K654</f>
        <v>2</v>
      </c>
      <c r="Q654" s="32" t="n">
        <f aca="false">M654-L654</f>
        <v>5</v>
      </c>
      <c r="R654" s="32" t="n">
        <f aca="false">O654-N654</f>
        <v>9.825</v>
      </c>
      <c r="S654" s="32" t="n">
        <f aca="false">Raw!L654</f>
        <v>5.2</v>
      </c>
      <c r="T654" s="32" t="n">
        <f aca="false">O654-M654</f>
        <v>5.2</v>
      </c>
      <c r="U654" s="0" t="str">
        <f aca="false">IF(ABS(T654-S654)&lt;0.01,"OK","MISMATCH")</f>
        <v>OK</v>
      </c>
      <c r="V654" s="33" t="n">
        <f aca="false">Raw!M654</f>
        <v>1</v>
      </c>
      <c r="W654" s="0" t="str">
        <f aca="false">IF((S654&gt;0)=(V654=1),"OK","MISMATCH")</f>
        <v>OK</v>
      </c>
      <c r="X654" s="0" t="str">
        <f aca="false">_xlfn.IFS(S654&lt;=0,"Early/On time",S654&lt;=2,"Minor (up to 2 days)",S654&lt;=5,"Moderate (2-5 days)",TRUE(),"Severe (over 5 days)")</f>
        <v>Severe (over 5 days)</v>
      </c>
      <c r="Y654" s="0" t="str">
        <f aca="false">YEAR(K654)&amp;"-"&amp;TEXT(MONTH(K654),"00")</f>
        <v>2025-07</v>
      </c>
      <c r="Z654" s="0" t="str">
        <f aca="false">C654&amp;" → "&amp;D654</f>
        <v>Surat → Madhya Pradesh</v>
      </c>
      <c r="AA654" s="0" t="str">
        <f aca="false">Raw!Q654</f>
        <v>GATI Logistics</v>
      </c>
      <c r="AB654" s="0" t="str">
        <f aca="false">Raw!R654</f>
        <v>Yes</v>
      </c>
      <c r="AC654" s="0" t="str">
        <f aca="false">Raw!S654</f>
        <v>Normal</v>
      </c>
      <c r="AD654" s="29" t="n">
        <f aca="false">Raw!N654</f>
        <v>7735.94</v>
      </c>
      <c r="AE654" s="29" t="n">
        <f aca="false">Raw!O654</f>
        <v>4048.75</v>
      </c>
      <c r="AF654" s="29" t="n">
        <f aca="false">Raw!P654</f>
        <v>1213.61</v>
      </c>
      <c r="AG654" s="29" t="n">
        <f aca="false">AD654/J654</f>
        <v>632.538021259199</v>
      </c>
    </row>
    <row r="655" customFormat="false" ht="15" hidden="false" customHeight="false" outlineLevel="0" collapsed="false">
      <c r="A655" s="0" t="str">
        <f aca="false">Raw!A655</f>
        <v>SHP0654</v>
      </c>
      <c r="B655" s="0" t="str">
        <f aca="false">Raw!B655</f>
        <v>Inbound</v>
      </c>
      <c r="C655" s="0" t="str">
        <f aca="false">Raw!C655</f>
        <v>Rajasthan</v>
      </c>
      <c r="D655" s="0" t="str">
        <f aca="false">Raw!D655</f>
        <v>Surat</v>
      </c>
      <c r="E655" s="0" t="str">
        <f aca="false">IFERROR(INDEX(Location_Map!$B$2:$B$15,MATCH(C655,Location_Map!$A$2:$A$15,0)),"UNMAPPED")</f>
        <v>Rajasthan</v>
      </c>
      <c r="F655" s="0" t="str">
        <f aca="false">IFERROR(INDEX(Location_Map!$C$2:$C$15,MATCH(C655,Location_Map!$A$2:$A$15,0)),"UNMAPPED")</f>
        <v>North</v>
      </c>
      <c r="G655" s="0" t="str">
        <f aca="false">IFERROR(INDEX(Location_Map!$B$2:$B$15,MATCH(D655,Location_Map!$A$2:$A$15,0)),"UNMAPPED")</f>
        <v>Gujarat</v>
      </c>
      <c r="H655" s="0" t="str">
        <f aca="false">IFERROR(INDEX(Location_Map!$C$2:$C$15,MATCH(D655,Location_Map!$A$2:$A$15,0)),"UNMAPPED")</f>
        <v>West</v>
      </c>
      <c r="I655" s="0" t="str">
        <f aca="false">Raw!E655</f>
        <v>Raw Yarn</v>
      </c>
      <c r="J655" s="28" t="n">
        <f aca="false">Raw!F655</f>
        <v>4.94</v>
      </c>
      <c r="K655" s="30" t="n">
        <f aca="false">DATE(LEFT(Raw!G655,4),MID(Raw!G655,6,2),MID(Raw!G655,9,2))</f>
        <v>45828</v>
      </c>
      <c r="L655" s="30" t="n">
        <f aca="false">DATE(LEFT(Raw!H655,4),MID(Raw!H655,6,2),MID(Raw!H655,9,2))</f>
        <v>45832</v>
      </c>
      <c r="M655" s="30" t="n">
        <f aca="false">DATE(LEFT(Raw!I655,4),MID(Raw!I655,6,2),MID(Raw!I655,9,2))</f>
        <v>45834</v>
      </c>
      <c r="N655" s="31" t="n">
        <f aca="false">DATE(LEFT(Raw!J655,4),MID(Raw!J655,6,2),MID(Raw!J655,9,2))+TIME(MID(Raw!J655,12,2),MID(Raw!J655,15,2),MID(Raw!J655,18,2))</f>
        <v>45832.1666666667</v>
      </c>
      <c r="O655" s="31" t="n">
        <f aca="false">DATE(LEFT(Raw!K655,4),MID(Raw!K655,6,2),MID(Raw!K655,9,2))+TIME(MID(Raw!K655,12,2),MID(Raw!K655,15,2),MID(Raw!K655,18,2))</f>
        <v>45837</v>
      </c>
      <c r="P655" s="32" t="n">
        <f aca="false">L655-K655</f>
        <v>4</v>
      </c>
      <c r="Q655" s="32" t="n">
        <f aca="false">M655-L655</f>
        <v>2</v>
      </c>
      <c r="R655" s="32" t="n">
        <f aca="false">O655-N655</f>
        <v>4.83333333333333</v>
      </c>
      <c r="S655" s="32" t="n">
        <f aca="false">Raw!L655</f>
        <v>3</v>
      </c>
      <c r="T655" s="32" t="n">
        <f aca="false">O655-M655</f>
        <v>3</v>
      </c>
      <c r="U655" s="0" t="str">
        <f aca="false">IF(ABS(T655-S655)&lt;0.01,"OK","MISMATCH")</f>
        <v>OK</v>
      </c>
      <c r="V655" s="33" t="n">
        <f aca="false">Raw!M655</f>
        <v>1</v>
      </c>
      <c r="W655" s="0" t="str">
        <f aca="false">IF((S655&gt;0)=(V655=1),"OK","MISMATCH")</f>
        <v>OK</v>
      </c>
      <c r="X655" s="0" t="str">
        <f aca="false">_xlfn.IFS(S655&lt;=0,"Early/On time",S655&lt;=2,"Minor (up to 2 days)",S655&lt;=5,"Moderate (2-5 days)",TRUE(),"Severe (over 5 days)")</f>
        <v>Moderate (2-5 days)</v>
      </c>
      <c r="Y655" s="0" t="str">
        <f aca="false">YEAR(K655)&amp;"-"&amp;TEXT(MONTH(K655),"00")</f>
        <v>2025-06</v>
      </c>
      <c r="Z655" s="0" t="str">
        <f aca="false">C655&amp;" → "&amp;D655</f>
        <v>Rajasthan → Surat</v>
      </c>
      <c r="AA655" s="0" t="str">
        <f aca="false">Raw!Q655</f>
        <v>Delhivery</v>
      </c>
      <c r="AB655" s="0" t="str">
        <f aca="false">Raw!R655</f>
        <v>No</v>
      </c>
      <c r="AC655" s="0" t="str">
        <f aca="false">Raw!S655</f>
        <v>Damaged</v>
      </c>
      <c r="AD655" s="29" t="n">
        <f aca="false">Raw!N655</f>
        <v>2392.23</v>
      </c>
      <c r="AE655" s="29" t="n">
        <f aca="false">Raw!O655</f>
        <v>2557.74</v>
      </c>
      <c r="AF655" s="29" t="n">
        <f aca="false">Raw!P655</f>
        <v>1451.7</v>
      </c>
      <c r="AG655" s="29" t="n">
        <f aca="false">AD655/J655</f>
        <v>484.257085020243</v>
      </c>
    </row>
    <row r="656" customFormat="false" ht="15" hidden="false" customHeight="false" outlineLevel="0" collapsed="false">
      <c r="A656" s="0" t="str">
        <f aca="false">Raw!A656</f>
        <v>SHP0655</v>
      </c>
      <c r="B656" s="0" t="str">
        <f aca="false">Raw!B656</f>
        <v>Outbound</v>
      </c>
      <c r="C656" s="0" t="str">
        <f aca="false">Raw!C656</f>
        <v>Surat</v>
      </c>
      <c r="D656" s="0" t="str">
        <f aca="false">Raw!D656</f>
        <v>Gujarat</v>
      </c>
      <c r="E656" s="0" t="str">
        <f aca="false">IFERROR(INDEX(Location_Map!$B$2:$B$15,MATCH(C656,Location_Map!$A$2:$A$15,0)),"UNMAPPED")</f>
        <v>Gujarat</v>
      </c>
      <c r="F656" s="0" t="str">
        <f aca="false">IFERROR(INDEX(Location_Map!$C$2:$C$15,MATCH(C656,Location_Map!$A$2:$A$15,0)),"UNMAPPED")</f>
        <v>West</v>
      </c>
      <c r="G656" s="0" t="str">
        <f aca="false">IFERROR(INDEX(Location_Map!$B$2:$B$15,MATCH(D656,Location_Map!$A$2:$A$15,0)),"UNMAPPED")</f>
        <v>Gujarat</v>
      </c>
      <c r="H656" s="0" t="str">
        <f aca="false">IFERROR(INDEX(Location_Map!$C$2:$C$15,MATCH(D656,Location_Map!$A$2:$A$15,0)),"UNMAPPED")</f>
        <v>West</v>
      </c>
      <c r="I656" s="0" t="str">
        <f aca="false">Raw!E656</f>
        <v>Finished Yarn</v>
      </c>
      <c r="J656" s="28" t="n">
        <f aca="false">Raw!F656</f>
        <v>7.07</v>
      </c>
      <c r="K656" s="30" t="n">
        <f aca="false">DATE(LEFT(Raw!G656,4),MID(Raw!G656,6,2),MID(Raw!G656,9,2))</f>
        <v>45918</v>
      </c>
      <c r="L656" s="30" t="n">
        <f aca="false">DATE(LEFT(Raw!H656,4),MID(Raw!H656,6,2),MID(Raw!H656,9,2))</f>
        <v>45922</v>
      </c>
      <c r="M656" s="30" t="n">
        <f aca="false">DATE(LEFT(Raw!I656,4),MID(Raw!I656,6,2),MID(Raw!I656,9,2))</f>
        <v>45927</v>
      </c>
      <c r="N656" s="31" t="n">
        <f aca="false">DATE(LEFT(Raw!J656,4),MID(Raw!J656,6,2),MID(Raw!J656,9,2))+TIME(MID(Raw!J656,12,2),MID(Raw!J656,15,2),MID(Raw!J656,18,2))</f>
        <v>45921.8333333333</v>
      </c>
      <c r="O656" s="31" t="n">
        <f aca="false">DATE(LEFT(Raw!K656,4),MID(Raw!K656,6,2),MID(Raw!K656,9,2))+TIME(MID(Raw!K656,12,2),MID(Raw!K656,15,2),MID(Raw!K656,18,2))</f>
        <v>45932.6</v>
      </c>
      <c r="P656" s="32" t="n">
        <f aca="false">L656-K656</f>
        <v>4</v>
      </c>
      <c r="Q656" s="32" t="n">
        <f aca="false">M656-L656</f>
        <v>5</v>
      </c>
      <c r="R656" s="32" t="n">
        <f aca="false">O656-N656</f>
        <v>10.7666666666667</v>
      </c>
      <c r="S656" s="32" t="n">
        <f aca="false">Raw!L656</f>
        <v>5.6</v>
      </c>
      <c r="T656" s="32" t="n">
        <f aca="false">O656-M656</f>
        <v>5.6</v>
      </c>
      <c r="U656" s="0" t="str">
        <f aca="false">IF(ABS(T656-S656)&lt;0.01,"OK","MISMATCH")</f>
        <v>OK</v>
      </c>
      <c r="V656" s="33" t="n">
        <f aca="false">Raw!M656</f>
        <v>1</v>
      </c>
      <c r="W656" s="0" t="str">
        <f aca="false">IF((S656&gt;0)=(V656=1),"OK","MISMATCH")</f>
        <v>OK</v>
      </c>
      <c r="X656" s="0" t="str">
        <f aca="false">_xlfn.IFS(S656&lt;=0,"Early/On time",S656&lt;=2,"Minor (up to 2 days)",S656&lt;=5,"Moderate (2-5 days)",TRUE(),"Severe (over 5 days)")</f>
        <v>Severe (over 5 days)</v>
      </c>
      <c r="Y656" s="0" t="str">
        <f aca="false">YEAR(K656)&amp;"-"&amp;TEXT(MONTH(K656),"00")</f>
        <v>2025-09</v>
      </c>
      <c r="Z656" s="0" t="str">
        <f aca="false">C656&amp;" → "&amp;D656</f>
        <v>Surat → Gujarat</v>
      </c>
      <c r="AA656" s="0" t="str">
        <f aca="false">Raw!Q656</f>
        <v>GATI Logistics</v>
      </c>
      <c r="AB656" s="0" t="str">
        <f aca="false">Raw!R656</f>
        <v>No</v>
      </c>
      <c r="AC656" s="0" t="str">
        <f aca="false">Raw!S656</f>
        <v>Damaged</v>
      </c>
      <c r="AD656" s="29" t="n">
        <f aca="false">Raw!N656</f>
        <v>4144.86</v>
      </c>
      <c r="AE656" s="29" t="n">
        <f aca="false">Raw!O656</f>
        <v>2770.62</v>
      </c>
      <c r="AF656" s="29" t="n">
        <f aca="false">Raw!P656</f>
        <v>985.27</v>
      </c>
      <c r="AG656" s="29" t="n">
        <f aca="false">AD656/J656</f>
        <v>586.260254596888</v>
      </c>
    </row>
    <row r="657" customFormat="false" ht="15" hidden="false" customHeight="false" outlineLevel="0" collapsed="false">
      <c r="A657" s="0" t="str">
        <f aca="false">Raw!A657</f>
        <v>SHP0656</v>
      </c>
      <c r="B657" s="0" t="str">
        <f aca="false">Raw!B657</f>
        <v>Outbound</v>
      </c>
      <c r="C657" s="0" t="str">
        <f aca="false">Raw!C657</f>
        <v>Surat</v>
      </c>
      <c r="D657" s="0" t="str">
        <f aca="false">Raw!D657</f>
        <v>Uttarakhand</v>
      </c>
      <c r="E657" s="0" t="str">
        <f aca="false">IFERROR(INDEX(Location_Map!$B$2:$B$15,MATCH(C657,Location_Map!$A$2:$A$15,0)),"UNMAPPED")</f>
        <v>Gujarat</v>
      </c>
      <c r="F657" s="0" t="str">
        <f aca="false">IFERROR(INDEX(Location_Map!$C$2:$C$15,MATCH(C657,Location_Map!$A$2:$A$15,0)),"UNMAPPED")</f>
        <v>West</v>
      </c>
      <c r="G657" s="0" t="str">
        <f aca="false">IFERROR(INDEX(Location_Map!$B$2:$B$15,MATCH(D657,Location_Map!$A$2:$A$15,0)),"UNMAPPED")</f>
        <v>Uttarakhand</v>
      </c>
      <c r="H657" s="0" t="str">
        <f aca="false">IFERROR(INDEX(Location_Map!$C$2:$C$15,MATCH(D657,Location_Map!$A$2:$A$15,0)),"UNMAPPED")</f>
        <v>North</v>
      </c>
      <c r="I657" s="0" t="str">
        <f aca="false">Raw!E657</f>
        <v>Semi-Processed Yarn</v>
      </c>
      <c r="J657" s="28" t="n">
        <f aca="false">Raw!F657</f>
        <v>15.78</v>
      </c>
      <c r="K657" s="30" t="n">
        <f aca="false">DATE(LEFT(Raw!G657,4),MID(Raw!G657,6,2),MID(Raw!G657,9,2))</f>
        <v>45772</v>
      </c>
      <c r="L657" s="30" t="n">
        <f aca="false">DATE(LEFT(Raw!H657,4),MID(Raw!H657,6,2),MID(Raw!H657,9,2))</f>
        <v>45774</v>
      </c>
      <c r="M657" s="30" t="n">
        <f aca="false">DATE(LEFT(Raw!I657,4),MID(Raw!I657,6,2),MID(Raw!I657,9,2))</f>
        <v>45778</v>
      </c>
      <c r="N657" s="31" t="n">
        <f aca="false">DATE(LEFT(Raw!J657,4),MID(Raw!J657,6,2),MID(Raw!J657,9,2))+TIME(MID(Raw!J657,12,2),MID(Raw!J657,15,2),MID(Raw!J657,18,2))</f>
        <v>45774.25</v>
      </c>
      <c r="O657" s="31" t="n">
        <f aca="false">DATE(LEFT(Raw!K657,4),MID(Raw!K657,6,2),MID(Raw!K657,9,2))+TIME(MID(Raw!K657,12,2),MID(Raw!K657,15,2),MID(Raw!K657,18,2))</f>
        <v>45783.1</v>
      </c>
      <c r="P657" s="32" t="n">
        <f aca="false">L657-K657</f>
        <v>2</v>
      </c>
      <c r="Q657" s="32" t="n">
        <f aca="false">M657-L657</f>
        <v>4</v>
      </c>
      <c r="R657" s="32" t="n">
        <f aca="false">O657-N657</f>
        <v>8.85</v>
      </c>
      <c r="S657" s="32" t="n">
        <f aca="false">Raw!L657</f>
        <v>5.1</v>
      </c>
      <c r="T657" s="32" t="n">
        <f aca="false">O657-M657</f>
        <v>5.1</v>
      </c>
      <c r="U657" s="0" t="str">
        <f aca="false">IF(ABS(T657-S657)&lt;0.01,"OK","MISMATCH")</f>
        <v>OK</v>
      </c>
      <c r="V657" s="33" t="n">
        <f aca="false">Raw!M657</f>
        <v>1</v>
      </c>
      <c r="W657" s="0" t="str">
        <f aca="false">IF((S657&gt;0)=(V657=1),"OK","MISMATCH")</f>
        <v>OK</v>
      </c>
      <c r="X657" s="0" t="str">
        <f aca="false">_xlfn.IFS(S657&lt;=0,"Early/On time",S657&lt;=2,"Minor (up to 2 days)",S657&lt;=5,"Moderate (2-5 days)",TRUE(),"Severe (over 5 days)")</f>
        <v>Severe (over 5 days)</v>
      </c>
      <c r="Y657" s="0" t="str">
        <f aca="false">YEAR(K657)&amp;"-"&amp;TEXT(MONTH(K657),"00")</f>
        <v>2025-04</v>
      </c>
      <c r="Z657" s="0" t="str">
        <f aca="false">C657&amp;" → "&amp;D657</f>
        <v>Surat → Uttarakhand</v>
      </c>
      <c r="AA657" s="0" t="str">
        <f aca="false">Raw!Q657</f>
        <v>Delhivery</v>
      </c>
      <c r="AB657" s="0" t="str">
        <f aca="false">Raw!R657</f>
        <v>Yes</v>
      </c>
      <c r="AC657" s="0" t="str">
        <f aca="false">Raw!S657</f>
        <v>Damaged</v>
      </c>
      <c r="AD657" s="29" t="n">
        <f aca="false">Raw!N657</f>
        <v>6886.31</v>
      </c>
      <c r="AE657" s="29" t="n">
        <f aca="false">Raw!O657</f>
        <v>4235.2</v>
      </c>
      <c r="AF657" s="29" t="n">
        <f aca="false">Raw!P657</f>
        <v>861.77</v>
      </c>
      <c r="AG657" s="29" t="n">
        <f aca="false">AD657/J657</f>
        <v>436.394803548796</v>
      </c>
    </row>
    <row r="658" customFormat="false" ht="15" hidden="false" customHeight="false" outlineLevel="0" collapsed="false">
      <c r="A658" s="0" t="str">
        <f aca="false">Raw!A658</f>
        <v>SHP0657</v>
      </c>
      <c r="B658" s="0" t="str">
        <f aca="false">Raw!B658</f>
        <v>Outbound</v>
      </c>
      <c r="C658" s="0" t="str">
        <f aca="false">Raw!C658</f>
        <v>Surat</v>
      </c>
      <c r="D658" s="0" t="str">
        <f aca="false">Raw!D658</f>
        <v>Madhya Pradesh</v>
      </c>
      <c r="E658" s="0" t="str">
        <f aca="false">IFERROR(INDEX(Location_Map!$B$2:$B$15,MATCH(C658,Location_Map!$A$2:$A$15,0)),"UNMAPPED")</f>
        <v>Gujarat</v>
      </c>
      <c r="F658" s="0" t="str">
        <f aca="false">IFERROR(INDEX(Location_Map!$C$2:$C$15,MATCH(C658,Location_Map!$A$2:$A$15,0)),"UNMAPPED")</f>
        <v>West</v>
      </c>
      <c r="G658" s="0" t="str">
        <f aca="false">IFERROR(INDEX(Location_Map!$B$2:$B$15,MATCH(D658,Location_Map!$A$2:$A$15,0)),"UNMAPPED")</f>
        <v>Madhya Pradesh</v>
      </c>
      <c r="H658" s="0" t="str">
        <f aca="false">IFERROR(INDEX(Location_Map!$C$2:$C$15,MATCH(D658,Location_Map!$A$2:$A$15,0)),"UNMAPPED")</f>
        <v>Central</v>
      </c>
      <c r="I658" s="0" t="str">
        <f aca="false">Raw!E658</f>
        <v>Finished Yarn</v>
      </c>
      <c r="J658" s="28" t="n">
        <f aca="false">Raw!F658</f>
        <v>10.96</v>
      </c>
      <c r="K658" s="30" t="n">
        <f aca="false">DATE(LEFT(Raw!G658,4),MID(Raw!G658,6,2),MID(Raw!G658,9,2))</f>
        <v>45859</v>
      </c>
      <c r="L658" s="30" t="n">
        <f aca="false">DATE(LEFT(Raw!H658,4),MID(Raw!H658,6,2),MID(Raw!H658,9,2))</f>
        <v>45861</v>
      </c>
      <c r="M658" s="30" t="n">
        <f aca="false">DATE(LEFT(Raw!I658,4),MID(Raw!I658,6,2),MID(Raw!I658,9,2))</f>
        <v>45863</v>
      </c>
      <c r="N658" s="31" t="n">
        <f aca="false">DATE(LEFT(Raw!J658,4),MID(Raw!J658,6,2),MID(Raw!J658,9,2))+TIME(MID(Raw!J658,12,2),MID(Raw!J658,15,2),MID(Raw!J658,18,2))</f>
        <v>45861.2916666667</v>
      </c>
      <c r="O658" s="31" t="n">
        <f aca="false">DATE(LEFT(Raw!K658,4),MID(Raw!K658,6,2),MID(Raw!K658,9,2))+TIME(MID(Raw!K658,12,2),MID(Raw!K658,15,2),MID(Raw!K658,18,2))</f>
        <v>45862</v>
      </c>
      <c r="P658" s="32" t="n">
        <f aca="false">L658-K658</f>
        <v>2</v>
      </c>
      <c r="Q658" s="32" t="n">
        <f aca="false">M658-L658</f>
        <v>2</v>
      </c>
      <c r="R658" s="32" t="n">
        <f aca="false">O658-N658</f>
        <v>0.708333333333333</v>
      </c>
      <c r="S658" s="32" t="n">
        <f aca="false">Raw!L658</f>
        <v>-1</v>
      </c>
      <c r="T658" s="32" t="n">
        <f aca="false">O658-M658</f>
        <v>-1</v>
      </c>
      <c r="U658" s="0" t="str">
        <f aca="false">IF(ABS(T658-S658)&lt;0.01,"OK","MISMATCH")</f>
        <v>OK</v>
      </c>
      <c r="V658" s="33" t="n">
        <f aca="false">Raw!M658</f>
        <v>0</v>
      </c>
      <c r="W658" s="0" t="str">
        <f aca="false">IF((S658&gt;0)=(V658=1),"OK","MISMATCH")</f>
        <v>OK</v>
      </c>
      <c r="X658" s="0" t="str">
        <f aca="false">_xlfn.IFS(S658&lt;=0,"Early/On time",S658&lt;=2,"Minor (up to 2 days)",S658&lt;=5,"Moderate (2-5 days)",TRUE(),"Severe (over 5 days)")</f>
        <v>Early/On time</v>
      </c>
      <c r="Y658" s="0" t="str">
        <f aca="false">YEAR(K658)&amp;"-"&amp;TEXT(MONTH(K658),"00")</f>
        <v>2025-07</v>
      </c>
      <c r="Z658" s="0" t="str">
        <f aca="false">C658&amp;" → "&amp;D658</f>
        <v>Surat → Madhya Pradesh</v>
      </c>
      <c r="AA658" s="0" t="str">
        <f aca="false">Raw!Q658</f>
        <v>Delhivery</v>
      </c>
      <c r="AB658" s="0" t="str">
        <f aca="false">Raw!R658</f>
        <v>Yes</v>
      </c>
      <c r="AC658" s="0" t="str">
        <f aca="false">Raw!S658</f>
        <v>Held at warehouse</v>
      </c>
      <c r="AD658" s="29" t="n">
        <f aca="false">Raw!N658</f>
        <v>6379.56</v>
      </c>
      <c r="AE658" s="29" t="n">
        <f aca="false">Raw!O658</f>
        <v>1117.2</v>
      </c>
      <c r="AF658" s="29" t="n">
        <f aca="false">Raw!P658</f>
        <v>1118.1</v>
      </c>
      <c r="AG658" s="29" t="n">
        <f aca="false">AD658/J658</f>
        <v>582.076642335767</v>
      </c>
    </row>
    <row r="659" customFormat="false" ht="15" hidden="false" customHeight="false" outlineLevel="0" collapsed="false">
      <c r="A659" s="0" t="str">
        <f aca="false">Raw!A659</f>
        <v>SHP0658</v>
      </c>
      <c r="B659" s="0" t="str">
        <f aca="false">Raw!B659</f>
        <v>Inbound</v>
      </c>
      <c r="C659" s="0" t="str">
        <f aca="false">Raw!C659</f>
        <v>Gujarat</v>
      </c>
      <c r="D659" s="0" t="str">
        <f aca="false">Raw!D659</f>
        <v>Surat</v>
      </c>
      <c r="E659" s="0" t="str">
        <f aca="false">IFERROR(INDEX(Location_Map!$B$2:$B$15,MATCH(C659,Location_Map!$A$2:$A$15,0)),"UNMAPPED")</f>
        <v>Gujarat</v>
      </c>
      <c r="F659" s="0" t="str">
        <f aca="false">IFERROR(INDEX(Location_Map!$C$2:$C$15,MATCH(C659,Location_Map!$A$2:$A$15,0)),"UNMAPPED")</f>
        <v>West</v>
      </c>
      <c r="G659" s="0" t="str">
        <f aca="false">IFERROR(INDEX(Location_Map!$B$2:$B$15,MATCH(D659,Location_Map!$A$2:$A$15,0)),"UNMAPPED")</f>
        <v>Gujarat</v>
      </c>
      <c r="H659" s="0" t="str">
        <f aca="false">IFERROR(INDEX(Location_Map!$C$2:$C$15,MATCH(D659,Location_Map!$A$2:$A$15,0)),"UNMAPPED")</f>
        <v>West</v>
      </c>
      <c r="I659" s="0" t="str">
        <f aca="false">Raw!E659</f>
        <v>Semi-Processed Yarn</v>
      </c>
      <c r="J659" s="28" t="n">
        <f aca="false">Raw!F659</f>
        <v>10.68</v>
      </c>
      <c r="K659" s="30" t="n">
        <f aca="false">DATE(LEFT(Raw!G659,4),MID(Raw!G659,6,2),MID(Raw!G659,9,2))</f>
        <v>45821</v>
      </c>
      <c r="L659" s="30" t="n">
        <f aca="false">DATE(LEFT(Raw!H659,4),MID(Raw!H659,6,2),MID(Raw!H659,9,2))</f>
        <v>45823</v>
      </c>
      <c r="M659" s="30" t="n">
        <f aca="false">DATE(LEFT(Raw!I659,4),MID(Raw!I659,6,2),MID(Raw!I659,9,2))</f>
        <v>45826</v>
      </c>
      <c r="N659" s="31" t="n">
        <f aca="false">DATE(LEFT(Raw!J659,4),MID(Raw!J659,6,2),MID(Raw!J659,9,2))+TIME(MID(Raw!J659,12,2),MID(Raw!J659,15,2),MID(Raw!J659,18,2))</f>
        <v>45823.125</v>
      </c>
      <c r="O659" s="31" t="n">
        <f aca="false">DATE(LEFT(Raw!K659,4),MID(Raw!K659,6,2),MID(Raw!K659,9,2))+TIME(MID(Raw!K659,12,2),MID(Raw!K659,15,2),MID(Raw!K659,18,2))</f>
        <v>45826.3</v>
      </c>
      <c r="P659" s="32" t="n">
        <f aca="false">L659-K659</f>
        <v>2</v>
      </c>
      <c r="Q659" s="32" t="n">
        <f aca="false">M659-L659</f>
        <v>3</v>
      </c>
      <c r="R659" s="32" t="n">
        <f aca="false">O659-N659</f>
        <v>3.175</v>
      </c>
      <c r="S659" s="32" t="n">
        <f aca="false">Raw!L659</f>
        <v>0.3</v>
      </c>
      <c r="T659" s="32" t="n">
        <f aca="false">O659-M659</f>
        <v>0.3</v>
      </c>
      <c r="U659" s="0" t="str">
        <f aca="false">IF(ABS(T659-S659)&lt;0.01,"OK","MISMATCH")</f>
        <v>OK</v>
      </c>
      <c r="V659" s="33" t="n">
        <f aca="false">Raw!M659</f>
        <v>1</v>
      </c>
      <c r="W659" s="0" t="str">
        <f aca="false">IF((S659&gt;0)=(V659=1),"OK","MISMATCH")</f>
        <v>OK</v>
      </c>
      <c r="X659" s="0" t="str">
        <f aca="false">_xlfn.IFS(S659&lt;=0,"Early/On time",S659&lt;=2,"Minor (up to 2 days)",S659&lt;=5,"Moderate (2-5 days)",TRUE(),"Severe (over 5 days)")</f>
        <v>Minor (up to 2 days)</v>
      </c>
      <c r="Y659" s="0" t="str">
        <f aca="false">YEAR(K659)&amp;"-"&amp;TEXT(MONTH(K659),"00")</f>
        <v>2025-06</v>
      </c>
      <c r="Z659" s="0" t="str">
        <f aca="false">C659&amp;" → "&amp;D659</f>
        <v>Gujarat → Surat</v>
      </c>
      <c r="AA659" s="0" t="str">
        <f aca="false">Raw!Q659</f>
        <v>VRL Cargo</v>
      </c>
      <c r="AB659" s="0" t="str">
        <f aca="false">Raw!R659</f>
        <v>Yes</v>
      </c>
      <c r="AC659" s="0" t="str">
        <f aca="false">Raw!S659</f>
        <v>Held at warehouse</v>
      </c>
      <c r="AD659" s="29" t="n">
        <f aca="false">Raw!N659</f>
        <v>6714.41</v>
      </c>
      <c r="AE659" s="29" t="n">
        <f aca="false">Raw!O659</f>
        <v>2866.73</v>
      </c>
      <c r="AF659" s="29" t="n">
        <f aca="false">Raw!P659</f>
        <v>552.71</v>
      </c>
      <c r="AG659" s="29" t="n">
        <f aca="false">AD659/J659</f>
        <v>628.690074906367</v>
      </c>
    </row>
    <row r="660" customFormat="false" ht="15" hidden="false" customHeight="false" outlineLevel="0" collapsed="false">
      <c r="A660" s="0" t="str">
        <f aca="false">Raw!A660</f>
        <v>SHP0659</v>
      </c>
      <c r="B660" s="0" t="str">
        <f aca="false">Raw!B660</f>
        <v>Outbound</v>
      </c>
      <c r="C660" s="0" t="str">
        <f aca="false">Raw!C660</f>
        <v>Surat</v>
      </c>
      <c r="D660" s="0" t="str">
        <f aca="false">Raw!D660</f>
        <v>Gujarat</v>
      </c>
      <c r="E660" s="0" t="str">
        <f aca="false">IFERROR(INDEX(Location_Map!$B$2:$B$15,MATCH(C660,Location_Map!$A$2:$A$15,0)),"UNMAPPED")</f>
        <v>Gujarat</v>
      </c>
      <c r="F660" s="0" t="str">
        <f aca="false">IFERROR(INDEX(Location_Map!$C$2:$C$15,MATCH(C660,Location_Map!$A$2:$A$15,0)),"UNMAPPED")</f>
        <v>West</v>
      </c>
      <c r="G660" s="0" t="str">
        <f aca="false">IFERROR(INDEX(Location_Map!$B$2:$B$15,MATCH(D660,Location_Map!$A$2:$A$15,0)),"UNMAPPED")</f>
        <v>Gujarat</v>
      </c>
      <c r="H660" s="0" t="str">
        <f aca="false">IFERROR(INDEX(Location_Map!$C$2:$C$15,MATCH(D660,Location_Map!$A$2:$A$15,0)),"UNMAPPED")</f>
        <v>West</v>
      </c>
      <c r="I660" s="0" t="str">
        <f aca="false">Raw!E660</f>
        <v>Semi-Processed Yarn</v>
      </c>
      <c r="J660" s="28" t="n">
        <f aca="false">Raw!F660</f>
        <v>1.71</v>
      </c>
      <c r="K660" s="30" t="n">
        <f aca="false">DATE(LEFT(Raw!G660,4),MID(Raw!G660,6,2),MID(Raw!G660,9,2))</f>
        <v>45873</v>
      </c>
      <c r="L660" s="30" t="n">
        <f aca="false">DATE(LEFT(Raw!H660,4),MID(Raw!H660,6,2),MID(Raw!H660,9,2))</f>
        <v>45876</v>
      </c>
      <c r="M660" s="30" t="n">
        <f aca="false">DATE(LEFT(Raw!I660,4),MID(Raw!I660,6,2),MID(Raw!I660,9,2))</f>
        <v>45882</v>
      </c>
      <c r="N660" s="31" t="n">
        <f aca="false">DATE(LEFT(Raw!J660,4),MID(Raw!J660,6,2),MID(Raw!J660,9,2))+TIME(MID(Raw!J660,12,2),MID(Raw!J660,15,2),MID(Raw!J660,18,2))</f>
        <v>45876.0833333333</v>
      </c>
      <c r="O660" s="31" t="n">
        <f aca="false">DATE(LEFT(Raw!K660,4),MID(Raw!K660,6,2),MID(Raw!K660,9,2))+TIME(MID(Raw!K660,12,2),MID(Raw!K660,15,2),MID(Raw!K660,18,2))</f>
        <v>45886.4</v>
      </c>
      <c r="P660" s="32" t="n">
        <f aca="false">L660-K660</f>
        <v>3</v>
      </c>
      <c r="Q660" s="32" t="n">
        <f aca="false">M660-L660</f>
        <v>6</v>
      </c>
      <c r="R660" s="32" t="n">
        <f aca="false">O660-N660</f>
        <v>10.3166666666667</v>
      </c>
      <c r="S660" s="32" t="n">
        <f aca="false">Raw!L660</f>
        <v>4.4</v>
      </c>
      <c r="T660" s="32" t="n">
        <f aca="false">O660-M660</f>
        <v>4.4</v>
      </c>
      <c r="U660" s="0" t="str">
        <f aca="false">IF(ABS(T660-S660)&lt;0.01,"OK","MISMATCH")</f>
        <v>OK</v>
      </c>
      <c r="V660" s="33" t="n">
        <f aca="false">Raw!M660</f>
        <v>1</v>
      </c>
      <c r="W660" s="0" t="str">
        <f aca="false">IF((S660&gt;0)=(V660=1),"OK","MISMATCH")</f>
        <v>OK</v>
      </c>
      <c r="X660" s="0" t="str">
        <f aca="false">_xlfn.IFS(S660&lt;=0,"Early/On time",S660&lt;=2,"Minor (up to 2 days)",S660&lt;=5,"Moderate (2-5 days)",TRUE(),"Severe (over 5 days)")</f>
        <v>Moderate (2-5 days)</v>
      </c>
      <c r="Y660" s="0" t="str">
        <f aca="false">YEAR(K660)&amp;"-"&amp;TEXT(MONTH(K660),"00")</f>
        <v>2025-08</v>
      </c>
      <c r="Z660" s="0" t="str">
        <f aca="false">C660&amp;" → "&amp;D660</f>
        <v>Surat → Gujarat</v>
      </c>
      <c r="AA660" s="0" t="str">
        <f aca="false">Raw!Q660</f>
        <v>TCI Express</v>
      </c>
      <c r="AB660" s="0" t="str">
        <f aca="false">Raw!R660</f>
        <v>No</v>
      </c>
      <c r="AC660" s="0" t="str">
        <f aca="false">Raw!S660</f>
        <v>Expedited</v>
      </c>
      <c r="AD660" s="29" t="n">
        <f aca="false">Raw!N660</f>
        <v>2073.39</v>
      </c>
      <c r="AE660" s="29" t="n">
        <f aca="false">Raw!O660</f>
        <v>4601.25</v>
      </c>
      <c r="AF660" s="29" t="n">
        <f aca="false">Raw!P660</f>
        <v>1164.82</v>
      </c>
      <c r="AG660" s="29" t="n">
        <f aca="false">AD660/J660</f>
        <v>1212.50877192982</v>
      </c>
    </row>
    <row r="661" customFormat="false" ht="15" hidden="false" customHeight="false" outlineLevel="0" collapsed="false">
      <c r="A661" s="0" t="str">
        <f aca="false">Raw!A661</f>
        <v>SHP0660</v>
      </c>
      <c r="B661" s="0" t="str">
        <f aca="false">Raw!B661</f>
        <v>Inbound</v>
      </c>
      <c r="C661" s="0" t="str">
        <f aca="false">Raw!C661</f>
        <v>Rajasthan</v>
      </c>
      <c r="D661" s="0" t="str">
        <f aca="false">Raw!D661</f>
        <v>Surat</v>
      </c>
      <c r="E661" s="0" t="str">
        <f aca="false">IFERROR(INDEX(Location_Map!$B$2:$B$15,MATCH(C661,Location_Map!$A$2:$A$15,0)),"UNMAPPED")</f>
        <v>Rajasthan</v>
      </c>
      <c r="F661" s="0" t="str">
        <f aca="false">IFERROR(INDEX(Location_Map!$C$2:$C$15,MATCH(C661,Location_Map!$A$2:$A$15,0)),"UNMAPPED")</f>
        <v>North</v>
      </c>
      <c r="G661" s="0" t="str">
        <f aca="false">IFERROR(INDEX(Location_Map!$B$2:$B$15,MATCH(D661,Location_Map!$A$2:$A$15,0)),"UNMAPPED")</f>
        <v>Gujarat</v>
      </c>
      <c r="H661" s="0" t="str">
        <f aca="false">IFERROR(INDEX(Location_Map!$C$2:$C$15,MATCH(D661,Location_Map!$A$2:$A$15,0)),"UNMAPPED")</f>
        <v>West</v>
      </c>
      <c r="I661" s="0" t="str">
        <f aca="false">Raw!E661</f>
        <v>Raw Yarn</v>
      </c>
      <c r="J661" s="28" t="n">
        <f aca="false">Raw!F661</f>
        <v>3</v>
      </c>
      <c r="K661" s="30" t="n">
        <f aca="false">DATE(LEFT(Raw!G661,4),MID(Raw!G661,6,2),MID(Raw!G661,9,2))</f>
        <v>45859</v>
      </c>
      <c r="L661" s="30" t="n">
        <f aca="false">DATE(LEFT(Raw!H661,4),MID(Raw!H661,6,2),MID(Raw!H661,9,2))</f>
        <v>45862</v>
      </c>
      <c r="M661" s="30" t="n">
        <f aca="false">DATE(LEFT(Raw!I661,4),MID(Raw!I661,6,2),MID(Raw!I661,9,2))</f>
        <v>45867</v>
      </c>
      <c r="N661" s="31" t="n">
        <f aca="false">DATE(LEFT(Raw!J661,4),MID(Raw!J661,6,2),MID(Raw!J661,9,2))+TIME(MID(Raw!J661,12,2),MID(Raw!J661,15,2),MID(Raw!J661,18,2))</f>
        <v>45861.9166666667</v>
      </c>
      <c r="O661" s="31" t="n">
        <f aca="false">DATE(LEFT(Raw!K661,4),MID(Raw!K661,6,2),MID(Raw!K661,9,2))+TIME(MID(Raw!K661,12,2),MID(Raw!K661,15,2),MID(Raw!K661,18,2))</f>
        <v>45866.5</v>
      </c>
      <c r="P661" s="32" t="n">
        <f aca="false">L661-K661</f>
        <v>3</v>
      </c>
      <c r="Q661" s="32" t="n">
        <f aca="false">M661-L661</f>
        <v>5</v>
      </c>
      <c r="R661" s="32" t="n">
        <f aca="false">O661-N661</f>
        <v>4.58333333333333</v>
      </c>
      <c r="S661" s="32" t="n">
        <f aca="false">Raw!L661</f>
        <v>-0.5</v>
      </c>
      <c r="T661" s="32" t="n">
        <f aca="false">O661-M661</f>
        <v>-0.5</v>
      </c>
      <c r="U661" s="0" t="str">
        <f aca="false">IF(ABS(T661-S661)&lt;0.01,"OK","MISMATCH")</f>
        <v>OK</v>
      </c>
      <c r="V661" s="33" t="n">
        <f aca="false">Raw!M661</f>
        <v>0</v>
      </c>
      <c r="W661" s="0" t="str">
        <f aca="false">IF((S661&gt;0)=(V661=1),"OK","MISMATCH")</f>
        <v>OK</v>
      </c>
      <c r="X661" s="0" t="str">
        <f aca="false">_xlfn.IFS(S661&lt;=0,"Early/On time",S661&lt;=2,"Minor (up to 2 days)",S661&lt;=5,"Moderate (2-5 days)",TRUE(),"Severe (over 5 days)")</f>
        <v>Early/On time</v>
      </c>
      <c r="Y661" s="0" t="str">
        <f aca="false">YEAR(K661)&amp;"-"&amp;TEXT(MONTH(K661),"00")</f>
        <v>2025-07</v>
      </c>
      <c r="Z661" s="0" t="str">
        <f aca="false">C661&amp;" → "&amp;D661</f>
        <v>Rajasthan → Surat</v>
      </c>
      <c r="AA661" s="0" t="str">
        <f aca="false">Raw!Q661</f>
        <v>TCI Express</v>
      </c>
      <c r="AB661" s="0" t="str">
        <f aca="false">Raw!R661</f>
        <v>No</v>
      </c>
      <c r="AC661" s="0" t="str">
        <f aca="false">Raw!S661</f>
        <v>Expedited</v>
      </c>
      <c r="AD661" s="29" t="n">
        <f aca="false">Raw!N661</f>
        <v>1651.73</v>
      </c>
      <c r="AE661" s="29" t="n">
        <f aca="false">Raw!O661</f>
        <v>4920.02</v>
      </c>
      <c r="AF661" s="29" t="n">
        <f aca="false">Raw!P661</f>
        <v>1096.26</v>
      </c>
      <c r="AG661" s="29" t="n">
        <f aca="false">AD661/J661</f>
        <v>550.576666666667</v>
      </c>
    </row>
    <row r="662" customFormat="false" ht="15" hidden="false" customHeight="false" outlineLevel="0" collapsed="false">
      <c r="A662" s="0" t="str">
        <f aca="false">Raw!A662</f>
        <v>SHP0661</v>
      </c>
      <c r="B662" s="0" t="str">
        <f aca="false">Raw!B662</f>
        <v>Inbound</v>
      </c>
      <c r="C662" s="0" t="str">
        <f aca="false">Raw!C662</f>
        <v>Gujarat</v>
      </c>
      <c r="D662" s="0" t="str">
        <f aca="false">Raw!D662</f>
        <v>Surat</v>
      </c>
      <c r="E662" s="0" t="str">
        <f aca="false">IFERROR(INDEX(Location_Map!$B$2:$B$15,MATCH(C662,Location_Map!$A$2:$A$15,0)),"UNMAPPED")</f>
        <v>Gujarat</v>
      </c>
      <c r="F662" s="0" t="str">
        <f aca="false">IFERROR(INDEX(Location_Map!$C$2:$C$15,MATCH(C662,Location_Map!$A$2:$A$15,0)),"UNMAPPED")</f>
        <v>West</v>
      </c>
      <c r="G662" s="0" t="str">
        <f aca="false">IFERROR(INDEX(Location_Map!$B$2:$B$15,MATCH(D662,Location_Map!$A$2:$A$15,0)),"UNMAPPED")</f>
        <v>Gujarat</v>
      </c>
      <c r="H662" s="0" t="str">
        <f aca="false">IFERROR(INDEX(Location_Map!$C$2:$C$15,MATCH(D662,Location_Map!$A$2:$A$15,0)),"UNMAPPED")</f>
        <v>West</v>
      </c>
      <c r="I662" s="0" t="str">
        <f aca="false">Raw!E662</f>
        <v>Raw Yarn</v>
      </c>
      <c r="J662" s="28" t="n">
        <f aca="false">Raw!F662</f>
        <v>14.49</v>
      </c>
      <c r="K662" s="30" t="n">
        <f aca="false">DATE(LEFT(Raw!G662,4),MID(Raw!G662,6,2),MID(Raw!G662,9,2))</f>
        <v>45660</v>
      </c>
      <c r="L662" s="30" t="n">
        <f aca="false">DATE(LEFT(Raw!H662,4),MID(Raw!H662,6,2),MID(Raw!H662,9,2))</f>
        <v>45663</v>
      </c>
      <c r="M662" s="30" t="n">
        <f aca="false">DATE(LEFT(Raw!I662,4),MID(Raw!I662,6,2),MID(Raw!I662,9,2))</f>
        <v>45667</v>
      </c>
      <c r="N662" s="31" t="n">
        <f aca="false">DATE(LEFT(Raw!J662,4),MID(Raw!J662,6,2),MID(Raw!J662,9,2))+TIME(MID(Raw!J662,12,2),MID(Raw!J662,15,2),MID(Raw!J662,18,2))</f>
        <v>45663.1666666667</v>
      </c>
      <c r="O662" s="31" t="n">
        <f aca="false">DATE(LEFT(Raw!K662,4),MID(Raw!K662,6,2),MID(Raw!K662,9,2))+TIME(MID(Raw!K662,12,2),MID(Raw!K662,15,2),MID(Raw!K662,18,2))</f>
        <v>45671.4</v>
      </c>
      <c r="P662" s="32" t="n">
        <f aca="false">L662-K662</f>
        <v>3</v>
      </c>
      <c r="Q662" s="32" t="n">
        <f aca="false">M662-L662</f>
        <v>4</v>
      </c>
      <c r="R662" s="32" t="n">
        <f aca="false">O662-N662</f>
        <v>8.23333333333333</v>
      </c>
      <c r="S662" s="32" t="n">
        <f aca="false">Raw!L662</f>
        <v>4.4</v>
      </c>
      <c r="T662" s="32" t="n">
        <f aca="false">O662-M662</f>
        <v>4.4</v>
      </c>
      <c r="U662" s="0" t="str">
        <f aca="false">IF(ABS(T662-S662)&lt;0.01,"OK","MISMATCH")</f>
        <v>OK</v>
      </c>
      <c r="V662" s="33" t="n">
        <f aca="false">Raw!M662</f>
        <v>1</v>
      </c>
      <c r="W662" s="0" t="str">
        <f aca="false">IF((S662&gt;0)=(V662=1),"OK","MISMATCH")</f>
        <v>OK</v>
      </c>
      <c r="X662" s="0" t="str">
        <f aca="false">_xlfn.IFS(S662&lt;=0,"Early/On time",S662&lt;=2,"Minor (up to 2 days)",S662&lt;=5,"Moderate (2-5 days)",TRUE(),"Severe (over 5 days)")</f>
        <v>Moderate (2-5 days)</v>
      </c>
      <c r="Y662" s="0" t="str">
        <f aca="false">YEAR(K662)&amp;"-"&amp;TEXT(MONTH(K662),"00")</f>
        <v>2025-01</v>
      </c>
      <c r="Z662" s="0" t="str">
        <f aca="false">C662&amp;" → "&amp;D662</f>
        <v>Gujarat → Surat</v>
      </c>
      <c r="AA662" s="0" t="str">
        <f aca="false">Raw!Q662</f>
        <v>Delhivery</v>
      </c>
      <c r="AB662" s="0" t="str">
        <f aca="false">Raw!R662</f>
        <v>No</v>
      </c>
      <c r="AC662" s="0" t="str">
        <f aca="false">Raw!S662</f>
        <v>Expedited</v>
      </c>
      <c r="AD662" s="29" t="n">
        <f aca="false">Raw!N662</f>
        <v>7002.16</v>
      </c>
      <c r="AE662" s="29" t="n">
        <f aca="false">Raw!O662</f>
        <v>4780.07</v>
      </c>
      <c r="AF662" s="29" t="n">
        <f aca="false">Raw!P662</f>
        <v>1173.61</v>
      </c>
      <c r="AG662" s="29" t="n">
        <f aca="false">AD662/J662</f>
        <v>483.240855762595</v>
      </c>
    </row>
    <row r="663" customFormat="false" ht="15" hidden="false" customHeight="false" outlineLevel="0" collapsed="false">
      <c r="A663" s="0" t="str">
        <f aca="false">Raw!A663</f>
        <v>SHP0662</v>
      </c>
      <c r="B663" s="0" t="str">
        <f aca="false">Raw!B663</f>
        <v>Outbound</v>
      </c>
      <c r="C663" s="0" t="str">
        <f aca="false">Raw!C663</f>
        <v>Surat</v>
      </c>
      <c r="D663" s="0" t="str">
        <f aca="false">Raw!D663</f>
        <v>Uttarakhand</v>
      </c>
      <c r="E663" s="0" t="str">
        <f aca="false">IFERROR(INDEX(Location_Map!$B$2:$B$15,MATCH(C663,Location_Map!$A$2:$A$15,0)),"UNMAPPED")</f>
        <v>Gujarat</v>
      </c>
      <c r="F663" s="0" t="str">
        <f aca="false">IFERROR(INDEX(Location_Map!$C$2:$C$15,MATCH(C663,Location_Map!$A$2:$A$15,0)),"UNMAPPED")</f>
        <v>West</v>
      </c>
      <c r="G663" s="0" t="str">
        <f aca="false">IFERROR(INDEX(Location_Map!$B$2:$B$15,MATCH(D663,Location_Map!$A$2:$A$15,0)),"UNMAPPED")</f>
        <v>Uttarakhand</v>
      </c>
      <c r="H663" s="0" t="str">
        <f aca="false">IFERROR(INDEX(Location_Map!$C$2:$C$15,MATCH(D663,Location_Map!$A$2:$A$15,0)),"UNMAPPED")</f>
        <v>North</v>
      </c>
      <c r="I663" s="0" t="str">
        <f aca="false">Raw!E663</f>
        <v>Raw Yarn</v>
      </c>
      <c r="J663" s="28" t="n">
        <f aca="false">Raw!F663</f>
        <v>2.23</v>
      </c>
      <c r="K663" s="30" t="n">
        <f aca="false">DATE(LEFT(Raw!G663,4),MID(Raw!G663,6,2),MID(Raw!G663,9,2))</f>
        <v>45797</v>
      </c>
      <c r="L663" s="30" t="n">
        <f aca="false">DATE(LEFT(Raw!H663,4),MID(Raw!H663,6,2),MID(Raw!H663,9,2))</f>
        <v>45798</v>
      </c>
      <c r="M663" s="30" t="n">
        <f aca="false">DATE(LEFT(Raw!I663,4),MID(Raw!I663,6,2),MID(Raw!I663,9,2))</f>
        <v>45804</v>
      </c>
      <c r="N663" s="31" t="n">
        <f aca="false">DATE(LEFT(Raw!J663,4),MID(Raw!J663,6,2),MID(Raw!J663,9,2))+TIME(MID(Raw!J663,12,2),MID(Raw!J663,15,2),MID(Raw!J663,18,2))</f>
        <v>45798.375</v>
      </c>
      <c r="O663" s="31" t="n">
        <f aca="false">DATE(LEFT(Raw!K663,4),MID(Raw!K663,6,2),MID(Raw!K663,9,2))+TIME(MID(Raw!K663,12,2),MID(Raw!K663,15,2),MID(Raw!K663,18,2))</f>
        <v>45806.4</v>
      </c>
      <c r="P663" s="32" t="n">
        <f aca="false">L663-K663</f>
        <v>1</v>
      </c>
      <c r="Q663" s="32" t="n">
        <f aca="false">M663-L663</f>
        <v>6</v>
      </c>
      <c r="R663" s="32" t="n">
        <f aca="false">O663-N663</f>
        <v>8.025</v>
      </c>
      <c r="S663" s="32" t="n">
        <f aca="false">Raw!L663</f>
        <v>2.4</v>
      </c>
      <c r="T663" s="32" t="n">
        <f aca="false">O663-M663</f>
        <v>2.4</v>
      </c>
      <c r="U663" s="0" t="str">
        <f aca="false">IF(ABS(T663-S663)&lt;0.01,"OK","MISMATCH")</f>
        <v>OK</v>
      </c>
      <c r="V663" s="33" t="n">
        <f aca="false">Raw!M663</f>
        <v>1</v>
      </c>
      <c r="W663" s="0" t="str">
        <f aca="false">IF((S663&gt;0)=(V663=1),"OK","MISMATCH")</f>
        <v>OK</v>
      </c>
      <c r="X663" s="0" t="str">
        <f aca="false">_xlfn.IFS(S663&lt;=0,"Early/On time",S663&lt;=2,"Minor (up to 2 days)",S663&lt;=5,"Moderate (2-5 days)",TRUE(),"Severe (over 5 days)")</f>
        <v>Moderate (2-5 days)</v>
      </c>
      <c r="Y663" s="0" t="str">
        <f aca="false">YEAR(K663)&amp;"-"&amp;TEXT(MONTH(K663),"00")</f>
        <v>2025-05</v>
      </c>
      <c r="Z663" s="0" t="str">
        <f aca="false">C663&amp;" → "&amp;D663</f>
        <v>Surat → Uttarakhand</v>
      </c>
      <c r="AA663" s="0" t="str">
        <f aca="false">Raw!Q663</f>
        <v>GATI Logistics</v>
      </c>
      <c r="AB663" s="0" t="str">
        <f aca="false">Raw!R663</f>
        <v>No</v>
      </c>
      <c r="AC663" s="0" t="str">
        <f aca="false">Raw!S663</f>
        <v>Expedited</v>
      </c>
      <c r="AD663" s="29" t="n">
        <f aca="false">Raw!N663</f>
        <v>2113.98</v>
      </c>
      <c r="AE663" s="29" t="n">
        <f aca="false">Raw!O663</f>
        <v>2427.08</v>
      </c>
      <c r="AF663" s="29" t="n">
        <f aca="false">Raw!P663</f>
        <v>664.27</v>
      </c>
      <c r="AG663" s="29" t="n">
        <f aca="false">AD663/J663</f>
        <v>947.973094170404</v>
      </c>
    </row>
    <row r="664" customFormat="false" ht="15" hidden="false" customHeight="false" outlineLevel="0" collapsed="false">
      <c r="A664" s="0" t="str">
        <f aca="false">Raw!A664</f>
        <v>SHP0663</v>
      </c>
      <c r="B664" s="0" t="str">
        <f aca="false">Raw!B664</f>
        <v>Inbound</v>
      </c>
      <c r="C664" s="0" t="str">
        <f aca="false">Raw!C664</f>
        <v>Punjab</v>
      </c>
      <c r="D664" s="0" t="str">
        <f aca="false">Raw!D664</f>
        <v>Surat</v>
      </c>
      <c r="E664" s="0" t="str">
        <f aca="false">IFERROR(INDEX(Location_Map!$B$2:$B$15,MATCH(C664,Location_Map!$A$2:$A$15,0)),"UNMAPPED")</f>
        <v>Punjab</v>
      </c>
      <c r="F664" s="0" t="str">
        <f aca="false">IFERROR(INDEX(Location_Map!$C$2:$C$15,MATCH(C664,Location_Map!$A$2:$A$15,0)),"UNMAPPED")</f>
        <v>North</v>
      </c>
      <c r="G664" s="0" t="str">
        <f aca="false">IFERROR(INDEX(Location_Map!$B$2:$B$15,MATCH(D664,Location_Map!$A$2:$A$15,0)),"UNMAPPED")</f>
        <v>Gujarat</v>
      </c>
      <c r="H664" s="0" t="str">
        <f aca="false">IFERROR(INDEX(Location_Map!$C$2:$C$15,MATCH(D664,Location_Map!$A$2:$A$15,0)),"UNMAPPED")</f>
        <v>West</v>
      </c>
      <c r="I664" s="0" t="str">
        <f aca="false">Raw!E664</f>
        <v>Semi-Processed Yarn</v>
      </c>
      <c r="J664" s="28" t="n">
        <f aca="false">Raw!F664</f>
        <v>10.57</v>
      </c>
      <c r="K664" s="30" t="n">
        <f aca="false">DATE(LEFT(Raw!G664,4),MID(Raw!G664,6,2),MID(Raw!G664,9,2))</f>
        <v>45907</v>
      </c>
      <c r="L664" s="30" t="n">
        <f aca="false">DATE(LEFT(Raw!H664,4),MID(Raw!H664,6,2),MID(Raw!H664,9,2))</f>
        <v>45910</v>
      </c>
      <c r="M664" s="30" t="n">
        <f aca="false">DATE(LEFT(Raw!I664,4),MID(Raw!I664,6,2),MID(Raw!I664,9,2))</f>
        <v>45912</v>
      </c>
      <c r="N664" s="31" t="n">
        <f aca="false">DATE(LEFT(Raw!J664,4),MID(Raw!J664,6,2),MID(Raw!J664,9,2))+TIME(MID(Raw!J664,12,2),MID(Raw!J664,15,2),MID(Raw!J664,18,2))</f>
        <v>45910.3333333333</v>
      </c>
      <c r="O664" s="31" t="n">
        <f aca="false">DATE(LEFT(Raw!K664,4),MID(Raw!K664,6,2),MID(Raw!K664,9,2))+TIME(MID(Raw!K664,12,2),MID(Raw!K664,15,2),MID(Raw!K664,18,2))</f>
        <v>45915.3</v>
      </c>
      <c r="P664" s="32" t="n">
        <f aca="false">L664-K664</f>
        <v>3</v>
      </c>
      <c r="Q664" s="32" t="n">
        <f aca="false">M664-L664</f>
        <v>2</v>
      </c>
      <c r="R664" s="32" t="n">
        <f aca="false">O664-N664</f>
        <v>4.96666666666667</v>
      </c>
      <c r="S664" s="32" t="n">
        <f aca="false">Raw!L664</f>
        <v>3.3</v>
      </c>
      <c r="T664" s="32" t="n">
        <f aca="false">O664-M664</f>
        <v>3.3</v>
      </c>
      <c r="U664" s="0" t="str">
        <f aca="false">IF(ABS(T664-S664)&lt;0.01,"OK","MISMATCH")</f>
        <v>OK</v>
      </c>
      <c r="V664" s="33" t="n">
        <f aca="false">Raw!M664</f>
        <v>1</v>
      </c>
      <c r="W664" s="0" t="str">
        <f aca="false">IF((S664&gt;0)=(V664=1),"OK","MISMATCH")</f>
        <v>OK</v>
      </c>
      <c r="X664" s="0" t="str">
        <f aca="false">_xlfn.IFS(S664&lt;=0,"Early/On time",S664&lt;=2,"Minor (up to 2 days)",S664&lt;=5,"Moderate (2-5 days)",TRUE(),"Severe (over 5 days)")</f>
        <v>Moderate (2-5 days)</v>
      </c>
      <c r="Y664" s="0" t="str">
        <f aca="false">YEAR(K664)&amp;"-"&amp;TEXT(MONTH(K664),"00")</f>
        <v>2025-09</v>
      </c>
      <c r="Z664" s="0" t="str">
        <f aca="false">C664&amp;" → "&amp;D664</f>
        <v>Punjab → Surat</v>
      </c>
      <c r="AA664" s="0" t="str">
        <f aca="false">Raw!Q664</f>
        <v>TCI Express</v>
      </c>
      <c r="AB664" s="0" t="str">
        <f aca="false">Raw!R664</f>
        <v>Yes</v>
      </c>
      <c r="AC664" s="0" t="str">
        <f aca="false">Raw!S664</f>
        <v>Normal</v>
      </c>
      <c r="AD664" s="29" t="n">
        <f aca="false">Raw!N664</f>
        <v>3126.51</v>
      </c>
      <c r="AE664" s="29" t="n">
        <f aca="false">Raw!O664</f>
        <v>3965.23</v>
      </c>
      <c r="AF664" s="29" t="n">
        <f aca="false">Raw!P664</f>
        <v>1327.61</v>
      </c>
      <c r="AG664" s="29" t="n">
        <f aca="false">AD664/J664</f>
        <v>295.79091769158</v>
      </c>
    </row>
    <row r="665" customFormat="false" ht="15" hidden="false" customHeight="false" outlineLevel="0" collapsed="false">
      <c r="A665" s="0" t="str">
        <f aca="false">Raw!A665</f>
        <v>SHP0664</v>
      </c>
      <c r="B665" s="0" t="str">
        <f aca="false">Raw!B665</f>
        <v>Outbound</v>
      </c>
      <c r="C665" s="0" t="str">
        <f aca="false">Raw!C665</f>
        <v>Surat</v>
      </c>
      <c r="D665" s="0" t="str">
        <f aca="false">Raw!D665</f>
        <v>Mumbai</v>
      </c>
      <c r="E665" s="0" t="str">
        <f aca="false">IFERROR(INDEX(Location_Map!$B$2:$B$15,MATCH(C665,Location_Map!$A$2:$A$15,0)),"UNMAPPED")</f>
        <v>Gujarat</v>
      </c>
      <c r="F665" s="0" t="str">
        <f aca="false">IFERROR(INDEX(Location_Map!$C$2:$C$15,MATCH(C665,Location_Map!$A$2:$A$15,0)),"UNMAPPED")</f>
        <v>West</v>
      </c>
      <c r="G665" s="0" t="str">
        <f aca="false">IFERROR(INDEX(Location_Map!$B$2:$B$15,MATCH(D665,Location_Map!$A$2:$A$15,0)),"UNMAPPED")</f>
        <v>Maharashtra</v>
      </c>
      <c r="H665" s="0" t="str">
        <f aca="false">IFERROR(INDEX(Location_Map!$C$2:$C$15,MATCH(D665,Location_Map!$A$2:$A$15,0)),"UNMAPPED")</f>
        <v>West</v>
      </c>
      <c r="I665" s="0" t="str">
        <f aca="false">Raw!E665</f>
        <v>Semi-Processed Yarn</v>
      </c>
      <c r="J665" s="28" t="n">
        <f aca="false">Raw!F665</f>
        <v>19.39</v>
      </c>
      <c r="K665" s="30" t="n">
        <f aca="false">DATE(LEFT(Raw!G665,4),MID(Raw!G665,6,2),MID(Raw!G665,9,2))</f>
        <v>45924</v>
      </c>
      <c r="L665" s="30" t="n">
        <f aca="false">DATE(LEFT(Raw!H665,4),MID(Raw!H665,6,2),MID(Raw!H665,9,2))</f>
        <v>45927</v>
      </c>
      <c r="M665" s="30" t="n">
        <f aca="false">DATE(LEFT(Raw!I665,4),MID(Raw!I665,6,2),MID(Raw!I665,9,2))</f>
        <v>45932</v>
      </c>
      <c r="N665" s="31" t="n">
        <f aca="false">DATE(LEFT(Raw!J665,4),MID(Raw!J665,6,2),MID(Raw!J665,9,2))+TIME(MID(Raw!J665,12,2),MID(Raw!J665,15,2),MID(Raw!J665,18,2))</f>
        <v>45927.2083333333</v>
      </c>
      <c r="O665" s="31" t="n">
        <f aca="false">DATE(LEFT(Raw!K665,4),MID(Raw!K665,6,2),MID(Raw!K665,9,2))+TIME(MID(Raw!K665,12,2),MID(Raw!K665,15,2),MID(Raw!K665,18,2))</f>
        <v>45931</v>
      </c>
      <c r="P665" s="32" t="n">
        <f aca="false">L665-K665</f>
        <v>3</v>
      </c>
      <c r="Q665" s="32" t="n">
        <f aca="false">M665-L665</f>
        <v>5</v>
      </c>
      <c r="R665" s="32" t="n">
        <f aca="false">O665-N665</f>
        <v>3.79166666666667</v>
      </c>
      <c r="S665" s="32" t="n">
        <f aca="false">Raw!L665</f>
        <v>-1</v>
      </c>
      <c r="T665" s="32" t="n">
        <f aca="false">O665-M665</f>
        <v>-1</v>
      </c>
      <c r="U665" s="0" t="str">
        <f aca="false">IF(ABS(T665-S665)&lt;0.01,"OK","MISMATCH")</f>
        <v>OK</v>
      </c>
      <c r="V665" s="33" t="n">
        <f aca="false">Raw!M665</f>
        <v>0</v>
      </c>
      <c r="W665" s="0" t="str">
        <f aca="false">IF((S665&gt;0)=(V665=1),"OK","MISMATCH")</f>
        <v>OK</v>
      </c>
      <c r="X665" s="0" t="str">
        <f aca="false">_xlfn.IFS(S665&lt;=0,"Early/On time",S665&lt;=2,"Minor (up to 2 days)",S665&lt;=5,"Moderate (2-5 days)",TRUE(),"Severe (over 5 days)")</f>
        <v>Early/On time</v>
      </c>
      <c r="Y665" s="0" t="str">
        <f aca="false">YEAR(K665)&amp;"-"&amp;TEXT(MONTH(K665),"00")</f>
        <v>2025-09</v>
      </c>
      <c r="Z665" s="0" t="str">
        <f aca="false">C665&amp;" → "&amp;D665</f>
        <v>Surat → Mumbai</v>
      </c>
      <c r="AA665" s="0" t="str">
        <f aca="false">Raw!Q665</f>
        <v>BlueDart</v>
      </c>
      <c r="AB665" s="0" t="str">
        <f aca="false">Raw!R665</f>
        <v>No</v>
      </c>
      <c r="AC665" s="0" t="str">
        <f aca="false">Raw!S665</f>
        <v>Damaged</v>
      </c>
      <c r="AD665" s="29" t="n">
        <f aca="false">Raw!N665</f>
        <v>4902.16</v>
      </c>
      <c r="AE665" s="29" t="n">
        <f aca="false">Raw!O665</f>
        <v>2838.46</v>
      </c>
      <c r="AF665" s="29" t="n">
        <f aca="false">Raw!P665</f>
        <v>1128.5</v>
      </c>
      <c r="AG665" s="29" t="n">
        <f aca="false">AD665/J665</f>
        <v>252.81897885508</v>
      </c>
    </row>
    <row r="666" customFormat="false" ht="15" hidden="false" customHeight="false" outlineLevel="0" collapsed="false">
      <c r="A666" s="0" t="str">
        <f aca="false">Raw!A666</f>
        <v>SHP0665</v>
      </c>
      <c r="B666" s="0" t="str">
        <f aca="false">Raw!B666</f>
        <v>Outbound</v>
      </c>
      <c r="C666" s="0" t="str">
        <f aca="false">Raw!C666</f>
        <v>Surat</v>
      </c>
      <c r="D666" s="0" t="str">
        <f aca="false">Raw!D666</f>
        <v>Madhya Pradesh</v>
      </c>
      <c r="E666" s="0" t="str">
        <f aca="false">IFERROR(INDEX(Location_Map!$B$2:$B$15,MATCH(C666,Location_Map!$A$2:$A$15,0)),"UNMAPPED")</f>
        <v>Gujarat</v>
      </c>
      <c r="F666" s="0" t="str">
        <f aca="false">IFERROR(INDEX(Location_Map!$C$2:$C$15,MATCH(C666,Location_Map!$A$2:$A$15,0)),"UNMAPPED")</f>
        <v>West</v>
      </c>
      <c r="G666" s="0" t="str">
        <f aca="false">IFERROR(INDEX(Location_Map!$B$2:$B$15,MATCH(D666,Location_Map!$A$2:$A$15,0)),"UNMAPPED")</f>
        <v>Madhya Pradesh</v>
      </c>
      <c r="H666" s="0" t="str">
        <f aca="false">IFERROR(INDEX(Location_Map!$C$2:$C$15,MATCH(D666,Location_Map!$A$2:$A$15,0)),"UNMAPPED")</f>
        <v>Central</v>
      </c>
      <c r="I666" s="0" t="str">
        <f aca="false">Raw!E666</f>
        <v>Raw Yarn</v>
      </c>
      <c r="J666" s="28" t="n">
        <f aca="false">Raw!F666</f>
        <v>11.59</v>
      </c>
      <c r="K666" s="30" t="n">
        <f aca="false">DATE(LEFT(Raw!G666,4),MID(Raw!G666,6,2),MID(Raw!G666,9,2))</f>
        <v>45880</v>
      </c>
      <c r="L666" s="30" t="n">
        <f aca="false">DATE(LEFT(Raw!H666,4),MID(Raw!H666,6,2),MID(Raw!H666,9,2))</f>
        <v>45882</v>
      </c>
      <c r="M666" s="30" t="n">
        <f aca="false">DATE(LEFT(Raw!I666,4),MID(Raw!I666,6,2),MID(Raw!I666,9,2))</f>
        <v>45885</v>
      </c>
      <c r="N666" s="31" t="n">
        <f aca="false">DATE(LEFT(Raw!J666,4),MID(Raw!J666,6,2),MID(Raw!J666,9,2))+TIME(MID(Raw!J666,12,2),MID(Raw!J666,15,2),MID(Raw!J666,18,2))</f>
        <v>45881.9166666667</v>
      </c>
      <c r="O666" s="31" t="n">
        <f aca="false">DATE(LEFT(Raw!K666,4),MID(Raw!K666,6,2),MID(Raw!K666,9,2))+TIME(MID(Raw!K666,12,2),MID(Raw!K666,15,2),MID(Raw!K666,18,2))</f>
        <v>45892.7</v>
      </c>
      <c r="P666" s="32" t="n">
        <f aca="false">L666-K666</f>
        <v>2</v>
      </c>
      <c r="Q666" s="32" t="n">
        <f aca="false">M666-L666</f>
        <v>3</v>
      </c>
      <c r="R666" s="32" t="n">
        <f aca="false">O666-N666</f>
        <v>10.7833333333333</v>
      </c>
      <c r="S666" s="32" t="n">
        <f aca="false">Raw!L666</f>
        <v>7.7</v>
      </c>
      <c r="T666" s="32" t="n">
        <f aca="false">O666-M666</f>
        <v>7.7</v>
      </c>
      <c r="U666" s="0" t="str">
        <f aca="false">IF(ABS(T666-S666)&lt;0.01,"OK","MISMATCH")</f>
        <v>OK</v>
      </c>
      <c r="V666" s="33" t="n">
        <f aca="false">Raw!M666</f>
        <v>1</v>
      </c>
      <c r="W666" s="0" t="str">
        <f aca="false">IF((S666&gt;0)=(V666=1),"OK","MISMATCH")</f>
        <v>OK</v>
      </c>
      <c r="X666" s="0" t="str">
        <f aca="false">_xlfn.IFS(S666&lt;=0,"Early/On time",S666&lt;=2,"Minor (up to 2 days)",S666&lt;=5,"Moderate (2-5 days)",TRUE(),"Severe (over 5 days)")</f>
        <v>Severe (over 5 days)</v>
      </c>
      <c r="Y666" s="0" t="str">
        <f aca="false">YEAR(K666)&amp;"-"&amp;TEXT(MONTH(K666),"00")</f>
        <v>2025-08</v>
      </c>
      <c r="Z666" s="0" t="str">
        <f aca="false">C666&amp;" → "&amp;D666</f>
        <v>Surat → Madhya Pradesh</v>
      </c>
      <c r="AA666" s="0" t="str">
        <f aca="false">Raw!Q666</f>
        <v>GATI Logistics</v>
      </c>
      <c r="AB666" s="0" t="str">
        <f aca="false">Raw!R666</f>
        <v>Yes</v>
      </c>
      <c r="AC666" s="0" t="str">
        <f aca="false">Raw!S666</f>
        <v>Expedited</v>
      </c>
      <c r="AD666" s="29" t="n">
        <f aca="false">Raw!N666</f>
        <v>7617.56</v>
      </c>
      <c r="AE666" s="29" t="n">
        <f aca="false">Raw!O666</f>
        <v>4962.57</v>
      </c>
      <c r="AF666" s="29" t="n">
        <f aca="false">Raw!P666</f>
        <v>777.89</v>
      </c>
      <c r="AG666" s="29" t="n">
        <f aca="false">AD666/J666</f>
        <v>657.252804141501</v>
      </c>
    </row>
    <row r="667" customFormat="false" ht="15" hidden="false" customHeight="false" outlineLevel="0" collapsed="false">
      <c r="A667" s="0" t="str">
        <f aca="false">Raw!A667</f>
        <v>SHP0666</v>
      </c>
      <c r="B667" s="0" t="str">
        <f aca="false">Raw!B667</f>
        <v>Inbound</v>
      </c>
      <c r="C667" s="0" t="str">
        <f aca="false">Raw!C667</f>
        <v>Rajasthan</v>
      </c>
      <c r="D667" s="0" t="str">
        <f aca="false">Raw!D667</f>
        <v>Surat</v>
      </c>
      <c r="E667" s="0" t="str">
        <f aca="false">IFERROR(INDEX(Location_Map!$B$2:$B$15,MATCH(C667,Location_Map!$A$2:$A$15,0)),"UNMAPPED")</f>
        <v>Rajasthan</v>
      </c>
      <c r="F667" s="0" t="str">
        <f aca="false">IFERROR(INDEX(Location_Map!$C$2:$C$15,MATCH(C667,Location_Map!$A$2:$A$15,0)),"UNMAPPED")</f>
        <v>North</v>
      </c>
      <c r="G667" s="0" t="str">
        <f aca="false">IFERROR(INDEX(Location_Map!$B$2:$B$15,MATCH(D667,Location_Map!$A$2:$A$15,0)),"UNMAPPED")</f>
        <v>Gujarat</v>
      </c>
      <c r="H667" s="0" t="str">
        <f aca="false">IFERROR(INDEX(Location_Map!$C$2:$C$15,MATCH(D667,Location_Map!$A$2:$A$15,0)),"UNMAPPED")</f>
        <v>West</v>
      </c>
      <c r="I667" s="0" t="str">
        <f aca="false">Raw!E667</f>
        <v>Finished Yarn</v>
      </c>
      <c r="J667" s="28" t="n">
        <f aca="false">Raw!F667</f>
        <v>10.47</v>
      </c>
      <c r="K667" s="30" t="n">
        <f aca="false">DATE(LEFT(Raw!G667,4),MID(Raw!G667,6,2),MID(Raw!G667,9,2))</f>
        <v>45756</v>
      </c>
      <c r="L667" s="30" t="n">
        <f aca="false">DATE(LEFT(Raw!H667,4),MID(Raw!H667,6,2),MID(Raw!H667,9,2))</f>
        <v>45758</v>
      </c>
      <c r="M667" s="30" t="n">
        <f aca="false">DATE(LEFT(Raw!I667,4),MID(Raw!I667,6,2),MID(Raw!I667,9,2))</f>
        <v>45761</v>
      </c>
      <c r="N667" s="31" t="n">
        <f aca="false">DATE(LEFT(Raw!J667,4),MID(Raw!J667,6,2),MID(Raw!J667,9,2))+TIME(MID(Raw!J667,12,2),MID(Raw!J667,15,2),MID(Raw!J667,18,2))</f>
        <v>45758.2916666667</v>
      </c>
      <c r="O667" s="31" t="n">
        <f aca="false">DATE(LEFT(Raw!K667,4),MID(Raw!K667,6,2),MID(Raw!K667,9,2))+TIME(MID(Raw!K667,12,2),MID(Raw!K667,15,2),MID(Raw!K667,18,2))</f>
        <v>45760.2</v>
      </c>
      <c r="P667" s="32" t="n">
        <f aca="false">L667-K667</f>
        <v>2</v>
      </c>
      <c r="Q667" s="32" t="n">
        <f aca="false">M667-L667</f>
        <v>3</v>
      </c>
      <c r="R667" s="32" t="n">
        <f aca="false">O667-N667</f>
        <v>1.90833333333333</v>
      </c>
      <c r="S667" s="32" t="n">
        <f aca="false">Raw!L667</f>
        <v>-0.8</v>
      </c>
      <c r="T667" s="32" t="n">
        <f aca="false">O667-M667</f>
        <v>-0.800000000005833</v>
      </c>
      <c r="U667" s="0" t="str">
        <f aca="false">IF(ABS(T667-S667)&lt;0.01,"OK","MISMATCH")</f>
        <v>OK</v>
      </c>
      <c r="V667" s="33" t="n">
        <f aca="false">Raw!M667</f>
        <v>0</v>
      </c>
      <c r="W667" s="0" t="str">
        <f aca="false">IF((S667&gt;0)=(V667=1),"OK","MISMATCH")</f>
        <v>OK</v>
      </c>
      <c r="X667" s="0" t="str">
        <f aca="false">_xlfn.IFS(S667&lt;=0,"Early/On time",S667&lt;=2,"Minor (up to 2 days)",S667&lt;=5,"Moderate (2-5 days)",TRUE(),"Severe (over 5 days)")</f>
        <v>Early/On time</v>
      </c>
      <c r="Y667" s="0" t="str">
        <f aca="false">YEAR(K667)&amp;"-"&amp;TEXT(MONTH(K667),"00")</f>
        <v>2025-04</v>
      </c>
      <c r="Z667" s="0" t="str">
        <f aca="false">C667&amp;" → "&amp;D667</f>
        <v>Rajasthan → Surat</v>
      </c>
      <c r="AA667" s="0" t="str">
        <f aca="false">Raw!Q667</f>
        <v>BlueDart</v>
      </c>
      <c r="AB667" s="0" t="str">
        <f aca="false">Raw!R667</f>
        <v>Yes</v>
      </c>
      <c r="AC667" s="0" t="str">
        <f aca="false">Raw!S667</f>
        <v>Held at warehouse</v>
      </c>
      <c r="AD667" s="29" t="n">
        <f aca="false">Raw!N667</f>
        <v>7433.19</v>
      </c>
      <c r="AE667" s="29" t="n">
        <f aca="false">Raw!O667</f>
        <v>1814.04</v>
      </c>
      <c r="AF667" s="29" t="n">
        <f aca="false">Raw!P667</f>
        <v>1373.36</v>
      </c>
      <c r="AG667" s="29" t="n">
        <f aca="false">AD667/J667</f>
        <v>709.951289398281</v>
      </c>
    </row>
    <row r="668" customFormat="false" ht="15" hidden="false" customHeight="false" outlineLevel="0" collapsed="false">
      <c r="A668" s="0" t="str">
        <f aca="false">Raw!A668</f>
        <v>SHP0667</v>
      </c>
      <c r="B668" s="0" t="str">
        <f aca="false">Raw!B668</f>
        <v>Outbound</v>
      </c>
      <c r="C668" s="0" t="str">
        <f aca="false">Raw!C668</f>
        <v>Surat</v>
      </c>
      <c r="D668" s="0" t="str">
        <f aca="false">Raw!D668</f>
        <v>Assam</v>
      </c>
      <c r="E668" s="0" t="str">
        <f aca="false">IFERROR(INDEX(Location_Map!$B$2:$B$15,MATCH(C668,Location_Map!$A$2:$A$15,0)),"UNMAPPED")</f>
        <v>Gujarat</v>
      </c>
      <c r="F668" s="0" t="str">
        <f aca="false">IFERROR(INDEX(Location_Map!$C$2:$C$15,MATCH(C668,Location_Map!$A$2:$A$15,0)),"UNMAPPED")</f>
        <v>West</v>
      </c>
      <c r="G668" s="0" t="str">
        <f aca="false">IFERROR(INDEX(Location_Map!$B$2:$B$15,MATCH(D668,Location_Map!$A$2:$A$15,0)),"UNMAPPED")</f>
        <v>Assam</v>
      </c>
      <c r="H668" s="0" t="str">
        <f aca="false">IFERROR(INDEX(Location_Map!$C$2:$C$15,MATCH(D668,Location_Map!$A$2:$A$15,0)),"UNMAPPED")</f>
        <v>North-East</v>
      </c>
      <c r="I668" s="0" t="str">
        <f aca="false">Raw!E668</f>
        <v>Raw Yarn</v>
      </c>
      <c r="J668" s="28" t="n">
        <f aca="false">Raw!F668</f>
        <v>2.14</v>
      </c>
      <c r="K668" s="30" t="n">
        <f aca="false">DATE(LEFT(Raw!G668,4),MID(Raw!G668,6,2),MID(Raw!G668,9,2))</f>
        <v>45924</v>
      </c>
      <c r="L668" s="30" t="n">
        <f aca="false">DATE(LEFT(Raw!H668,4),MID(Raw!H668,6,2),MID(Raw!H668,9,2))</f>
        <v>45926</v>
      </c>
      <c r="M668" s="30" t="n">
        <f aca="false">DATE(LEFT(Raw!I668,4),MID(Raw!I668,6,2),MID(Raw!I668,9,2))</f>
        <v>45932</v>
      </c>
      <c r="N668" s="31" t="n">
        <f aca="false">DATE(LEFT(Raw!J668,4),MID(Raw!J668,6,2),MID(Raw!J668,9,2))+TIME(MID(Raw!J668,12,2),MID(Raw!J668,15,2),MID(Raw!J668,18,2))</f>
        <v>45926.375</v>
      </c>
      <c r="O668" s="31" t="n">
        <f aca="false">DATE(LEFT(Raw!K668,4),MID(Raw!K668,6,2),MID(Raw!K668,9,2))+TIME(MID(Raw!K668,12,2),MID(Raw!K668,15,2),MID(Raw!K668,18,2))</f>
        <v>45937.1</v>
      </c>
      <c r="P668" s="32" t="n">
        <f aca="false">L668-K668</f>
        <v>2</v>
      </c>
      <c r="Q668" s="32" t="n">
        <f aca="false">M668-L668</f>
        <v>6</v>
      </c>
      <c r="R668" s="32" t="n">
        <f aca="false">O668-N668</f>
        <v>10.725</v>
      </c>
      <c r="S668" s="32" t="n">
        <f aca="false">Raw!L668</f>
        <v>5.1</v>
      </c>
      <c r="T668" s="32" t="n">
        <f aca="false">O668-M668</f>
        <v>5.1</v>
      </c>
      <c r="U668" s="0" t="str">
        <f aca="false">IF(ABS(T668-S668)&lt;0.01,"OK","MISMATCH")</f>
        <v>OK</v>
      </c>
      <c r="V668" s="33" t="n">
        <f aca="false">Raw!M668</f>
        <v>1</v>
      </c>
      <c r="W668" s="0" t="str">
        <f aca="false">IF((S668&gt;0)=(V668=1),"OK","MISMATCH")</f>
        <v>OK</v>
      </c>
      <c r="X668" s="0" t="str">
        <f aca="false">_xlfn.IFS(S668&lt;=0,"Early/On time",S668&lt;=2,"Minor (up to 2 days)",S668&lt;=5,"Moderate (2-5 days)",TRUE(),"Severe (over 5 days)")</f>
        <v>Severe (over 5 days)</v>
      </c>
      <c r="Y668" s="0" t="str">
        <f aca="false">YEAR(K668)&amp;"-"&amp;TEXT(MONTH(K668),"00")</f>
        <v>2025-09</v>
      </c>
      <c r="Z668" s="0" t="str">
        <f aca="false">C668&amp;" → "&amp;D668</f>
        <v>Surat → Assam</v>
      </c>
      <c r="AA668" s="0" t="str">
        <f aca="false">Raw!Q668</f>
        <v>TCI Express</v>
      </c>
      <c r="AB668" s="0" t="str">
        <f aca="false">Raw!R668</f>
        <v>No</v>
      </c>
      <c r="AC668" s="0" t="str">
        <f aca="false">Raw!S668</f>
        <v>Damaged</v>
      </c>
      <c r="AD668" s="29" t="n">
        <f aca="false">Raw!N668</f>
        <v>2315.12</v>
      </c>
      <c r="AE668" s="29" t="n">
        <f aca="false">Raw!O668</f>
        <v>2584.22</v>
      </c>
      <c r="AF668" s="29" t="n">
        <f aca="false">Raw!P668</f>
        <v>699.16</v>
      </c>
      <c r="AG668" s="29" t="n">
        <f aca="false">AD668/J668</f>
        <v>1081.83177570093</v>
      </c>
    </row>
    <row r="669" customFormat="false" ht="15" hidden="false" customHeight="false" outlineLevel="0" collapsed="false">
      <c r="A669" s="0" t="str">
        <f aca="false">Raw!A669</f>
        <v>SHP0668</v>
      </c>
      <c r="B669" s="0" t="str">
        <f aca="false">Raw!B669</f>
        <v>Inbound</v>
      </c>
      <c r="C669" s="0" t="str">
        <f aca="false">Raw!C669</f>
        <v>Rajasthan</v>
      </c>
      <c r="D669" s="0" t="str">
        <f aca="false">Raw!D669</f>
        <v>Surat</v>
      </c>
      <c r="E669" s="0" t="str">
        <f aca="false">IFERROR(INDEX(Location_Map!$B$2:$B$15,MATCH(C669,Location_Map!$A$2:$A$15,0)),"UNMAPPED")</f>
        <v>Rajasthan</v>
      </c>
      <c r="F669" s="0" t="str">
        <f aca="false">IFERROR(INDEX(Location_Map!$C$2:$C$15,MATCH(C669,Location_Map!$A$2:$A$15,0)),"UNMAPPED")</f>
        <v>North</v>
      </c>
      <c r="G669" s="0" t="str">
        <f aca="false">IFERROR(INDEX(Location_Map!$B$2:$B$15,MATCH(D669,Location_Map!$A$2:$A$15,0)),"UNMAPPED")</f>
        <v>Gujarat</v>
      </c>
      <c r="H669" s="0" t="str">
        <f aca="false">IFERROR(INDEX(Location_Map!$C$2:$C$15,MATCH(D669,Location_Map!$A$2:$A$15,0)),"UNMAPPED")</f>
        <v>West</v>
      </c>
      <c r="I669" s="0" t="str">
        <f aca="false">Raw!E669</f>
        <v>Finished Yarn</v>
      </c>
      <c r="J669" s="28" t="n">
        <f aca="false">Raw!F669</f>
        <v>9.07</v>
      </c>
      <c r="K669" s="30" t="n">
        <f aca="false">DATE(LEFT(Raw!G669,4),MID(Raw!G669,6,2),MID(Raw!G669,9,2))</f>
        <v>45773</v>
      </c>
      <c r="L669" s="30" t="n">
        <f aca="false">DATE(LEFT(Raw!H669,4),MID(Raw!H669,6,2),MID(Raw!H669,9,2))</f>
        <v>45777</v>
      </c>
      <c r="M669" s="30" t="n">
        <f aca="false">DATE(LEFT(Raw!I669,4),MID(Raw!I669,6,2),MID(Raw!I669,9,2))</f>
        <v>45780</v>
      </c>
      <c r="N669" s="31" t="n">
        <f aca="false">DATE(LEFT(Raw!J669,4),MID(Raw!J669,6,2),MID(Raw!J669,9,2))+TIME(MID(Raw!J669,12,2),MID(Raw!J669,15,2),MID(Raw!J669,18,2))</f>
        <v>45777.375</v>
      </c>
      <c r="O669" s="31" t="n">
        <f aca="false">DATE(LEFT(Raw!K669,4),MID(Raw!K669,6,2),MID(Raw!K669,9,2))+TIME(MID(Raw!K669,12,2),MID(Raw!K669,15,2),MID(Raw!K669,18,2))</f>
        <v>45779.5</v>
      </c>
      <c r="P669" s="32" t="n">
        <f aca="false">L669-K669</f>
        <v>4</v>
      </c>
      <c r="Q669" s="32" t="n">
        <f aca="false">M669-L669</f>
        <v>3</v>
      </c>
      <c r="R669" s="32" t="n">
        <f aca="false">O669-N669</f>
        <v>2.125</v>
      </c>
      <c r="S669" s="32" t="n">
        <f aca="false">Raw!L669</f>
        <v>-0.5</v>
      </c>
      <c r="T669" s="32" t="n">
        <f aca="false">O669-M669</f>
        <v>-0.5</v>
      </c>
      <c r="U669" s="0" t="str">
        <f aca="false">IF(ABS(T669-S669)&lt;0.01,"OK","MISMATCH")</f>
        <v>OK</v>
      </c>
      <c r="V669" s="33" t="n">
        <f aca="false">Raw!M669</f>
        <v>0</v>
      </c>
      <c r="W669" s="0" t="str">
        <f aca="false">IF((S669&gt;0)=(V669=1),"OK","MISMATCH")</f>
        <v>OK</v>
      </c>
      <c r="X669" s="0" t="str">
        <f aca="false">_xlfn.IFS(S669&lt;=0,"Early/On time",S669&lt;=2,"Minor (up to 2 days)",S669&lt;=5,"Moderate (2-5 days)",TRUE(),"Severe (over 5 days)")</f>
        <v>Early/On time</v>
      </c>
      <c r="Y669" s="0" t="str">
        <f aca="false">YEAR(K669)&amp;"-"&amp;TEXT(MONTH(K669),"00")</f>
        <v>2025-04</v>
      </c>
      <c r="Z669" s="0" t="str">
        <f aca="false">C669&amp;" → "&amp;D669</f>
        <v>Rajasthan → Surat</v>
      </c>
      <c r="AA669" s="0" t="str">
        <f aca="false">Raw!Q669</f>
        <v>TCI Express</v>
      </c>
      <c r="AB669" s="0" t="str">
        <f aca="false">Raw!R669</f>
        <v>No</v>
      </c>
      <c r="AC669" s="0" t="str">
        <f aca="false">Raw!S669</f>
        <v>Expedited</v>
      </c>
      <c r="AD669" s="29" t="n">
        <f aca="false">Raw!N669</f>
        <v>6248.53</v>
      </c>
      <c r="AE669" s="29" t="n">
        <f aca="false">Raw!O669</f>
        <v>2861.11</v>
      </c>
      <c r="AF669" s="29" t="n">
        <f aca="false">Raw!P669</f>
        <v>558.24</v>
      </c>
      <c r="AG669" s="29" t="n">
        <f aca="false">AD669/J669</f>
        <v>688.922822491731</v>
      </c>
    </row>
    <row r="670" customFormat="false" ht="15" hidden="false" customHeight="false" outlineLevel="0" collapsed="false">
      <c r="A670" s="0" t="str">
        <f aca="false">Raw!A670</f>
        <v>SHP0669</v>
      </c>
      <c r="B670" s="0" t="str">
        <f aca="false">Raw!B670</f>
        <v>Inbound</v>
      </c>
      <c r="C670" s="0" t="str">
        <f aca="false">Raw!C670</f>
        <v>Gujarat</v>
      </c>
      <c r="D670" s="0" t="str">
        <f aca="false">Raw!D670</f>
        <v>Surat</v>
      </c>
      <c r="E670" s="0" t="str">
        <f aca="false">IFERROR(INDEX(Location_Map!$B$2:$B$15,MATCH(C670,Location_Map!$A$2:$A$15,0)),"UNMAPPED")</f>
        <v>Gujarat</v>
      </c>
      <c r="F670" s="0" t="str">
        <f aca="false">IFERROR(INDEX(Location_Map!$C$2:$C$15,MATCH(C670,Location_Map!$A$2:$A$15,0)),"UNMAPPED")</f>
        <v>West</v>
      </c>
      <c r="G670" s="0" t="str">
        <f aca="false">IFERROR(INDEX(Location_Map!$B$2:$B$15,MATCH(D670,Location_Map!$A$2:$A$15,0)),"UNMAPPED")</f>
        <v>Gujarat</v>
      </c>
      <c r="H670" s="0" t="str">
        <f aca="false">IFERROR(INDEX(Location_Map!$C$2:$C$15,MATCH(D670,Location_Map!$A$2:$A$15,0)),"UNMAPPED")</f>
        <v>West</v>
      </c>
      <c r="I670" s="0" t="str">
        <f aca="false">Raw!E670</f>
        <v>Raw Yarn</v>
      </c>
      <c r="J670" s="28" t="n">
        <f aca="false">Raw!F670</f>
        <v>5.98</v>
      </c>
      <c r="K670" s="30" t="n">
        <f aca="false">DATE(LEFT(Raw!G670,4),MID(Raw!G670,6,2),MID(Raw!G670,9,2))</f>
        <v>45788</v>
      </c>
      <c r="L670" s="30" t="n">
        <f aca="false">DATE(LEFT(Raw!H670,4),MID(Raw!H670,6,2),MID(Raw!H670,9,2))</f>
        <v>45789</v>
      </c>
      <c r="M670" s="30" t="n">
        <f aca="false">DATE(LEFT(Raw!I670,4),MID(Raw!I670,6,2),MID(Raw!I670,9,2))</f>
        <v>45792</v>
      </c>
      <c r="N670" s="31" t="n">
        <f aca="false">DATE(LEFT(Raw!J670,4),MID(Raw!J670,6,2),MID(Raw!J670,9,2))+TIME(MID(Raw!J670,12,2),MID(Raw!J670,15,2),MID(Raw!J670,18,2))</f>
        <v>45789.3333333333</v>
      </c>
      <c r="O670" s="31" t="n">
        <f aca="false">DATE(LEFT(Raw!K670,4),MID(Raw!K670,6,2),MID(Raw!K670,9,2))+TIME(MID(Raw!K670,12,2),MID(Raw!K670,15,2),MID(Raw!K670,18,2))</f>
        <v>45797.9</v>
      </c>
      <c r="P670" s="32" t="n">
        <f aca="false">L670-K670</f>
        <v>1</v>
      </c>
      <c r="Q670" s="32" t="n">
        <f aca="false">M670-L670</f>
        <v>3</v>
      </c>
      <c r="R670" s="32" t="n">
        <f aca="false">O670-N670</f>
        <v>8.56666666666667</v>
      </c>
      <c r="S670" s="32" t="n">
        <f aca="false">Raw!L670</f>
        <v>5.9</v>
      </c>
      <c r="T670" s="32" t="n">
        <f aca="false">O670-M670</f>
        <v>5.9</v>
      </c>
      <c r="U670" s="0" t="str">
        <f aca="false">IF(ABS(T670-S670)&lt;0.01,"OK","MISMATCH")</f>
        <v>OK</v>
      </c>
      <c r="V670" s="33" t="n">
        <f aca="false">Raw!M670</f>
        <v>1</v>
      </c>
      <c r="W670" s="0" t="str">
        <f aca="false">IF((S670&gt;0)=(V670=1),"OK","MISMATCH")</f>
        <v>OK</v>
      </c>
      <c r="X670" s="0" t="str">
        <f aca="false">_xlfn.IFS(S670&lt;=0,"Early/On time",S670&lt;=2,"Minor (up to 2 days)",S670&lt;=5,"Moderate (2-5 days)",TRUE(),"Severe (over 5 days)")</f>
        <v>Severe (over 5 days)</v>
      </c>
      <c r="Y670" s="0" t="str">
        <f aca="false">YEAR(K670)&amp;"-"&amp;TEXT(MONTH(K670),"00")</f>
        <v>2025-05</v>
      </c>
      <c r="Z670" s="0" t="str">
        <f aca="false">C670&amp;" → "&amp;D670</f>
        <v>Gujarat → Surat</v>
      </c>
      <c r="AA670" s="0" t="str">
        <f aca="false">Raw!Q670</f>
        <v>GATI Logistics</v>
      </c>
      <c r="AB670" s="0" t="str">
        <f aca="false">Raw!R670</f>
        <v>No</v>
      </c>
      <c r="AC670" s="0" t="str">
        <f aca="false">Raw!S670</f>
        <v>Returned</v>
      </c>
      <c r="AD670" s="29" t="n">
        <f aca="false">Raw!N670</f>
        <v>4249</v>
      </c>
      <c r="AE670" s="29" t="n">
        <f aca="false">Raw!O670</f>
        <v>4765.12</v>
      </c>
      <c r="AF670" s="29" t="n">
        <f aca="false">Raw!P670</f>
        <v>1381.64</v>
      </c>
      <c r="AG670" s="29" t="n">
        <f aca="false">AD670/J670</f>
        <v>710.535117056856</v>
      </c>
    </row>
    <row r="671" customFormat="false" ht="15" hidden="false" customHeight="false" outlineLevel="0" collapsed="false">
      <c r="A671" s="0" t="str">
        <f aca="false">Raw!A671</f>
        <v>SHP0670</v>
      </c>
      <c r="B671" s="0" t="str">
        <f aca="false">Raw!B671</f>
        <v>Inbound</v>
      </c>
      <c r="C671" s="0" t="str">
        <f aca="false">Raw!C671</f>
        <v>Uttar Pradesh</v>
      </c>
      <c r="D671" s="0" t="str">
        <f aca="false">Raw!D671</f>
        <v>Surat</v>
      </c>
      <c r="E671" s="0" t="str">
        <f aca="false">IFERROR(INDEX(Location_Map!$B$2:$B$15,MATCH(C671,Location_Map!$A$2:$A$15,0)),"UNMAPPED")</f>
        <v>Uttar Pradesh</v>
      </c>
      <c r="F671" s="0" t="str">
        <f aca="false">IFERROR(INDEX(Location_Map!$C$2:$C$15,MATCH(C671,Location_Map!$A$2:$A$15,0)),"UNMAPPED")</f>
        <v>North</v>
      </c>
      <c r="G671" s="0" t="str">
        <f aca="false">IFERROR(INDEX(Location_Map!$B$2:$B$15,MATCH(D671,Location_Map!$A$2:$A$15,0)),"UNMAPPED")</f>
        <v>Gujarat</v>
      </c>
      <c r="H671" s="0" t="str">
        <f aca="false">IFERROR(INDEX(Location_Map!$C$2:$C$15,MATCH(D671,Location_Map!$A$2:$A$15,0)),"UNMAPPED")</f>
        <v>West</v>
      </c>
      <c r="I671" s="0" t="str">
        <f aca="false">Raw!E671</f>
        <v>Finished Yarn</v>
      </c>
      <c r="J671" s="28" t="n">
        <f aca="false">Raw!F671</f>
        <v>10.79</v>
      </c>
      <c r="K671" s="30" t="n">
        <f aca="false">DATE(LEFT(Raw!G671,4),MID(Raw!G671,6,2),MID(Raw!G671,9,2))</f>
        <v>45890</v>
      </c>
      <c r="L671" s="30" t="n">
        <f aca="false">DATE(LEFT(Raw!H671,4),MID(Raw!H671,6,2),MID(Raw!H671,9,2))</f>
        <v>45893</v>
      </c>
      <c r="M671" s="30" t="n">
        <f aca="false">DATE(LEFT(Raw!I671,4),MID(Raw!I671,6,2),MID(Raw!I671,9,2))</f>
        <v>45899</v>
      </c>
      <c r="N671" s="31" t="n">
        <f aca="false">DATE(LEFT(Raw!J671,4),MID(Raw!J671,6,2),MID(Raw!J671,9,2))+TIME(MID(Raw!J671,12,2),MID(Raw!J671,15,2),MID(Raw!J671,18,2))</f>
        <v>45893.0416666667</v>
      </c>
      <c r="O671" s="31" t="n">
        <f aca="false">DATE(LEFT(Raw!K671,4),MID(Raw!K671,6,2),MID(Raw!K671,9,2))+TIME(MID(Raw!K671,12,2),MID(Raw!K671,15,2),MID(Raw!K671,18,2))</f>
        <v>45899.5</v>
      </c>
      <c r="P671" s="32" t="n">
        <f aca="false">L671-K671</f>
        <v>3</v>
      </c>
      <c r="Q671" s="32" t="n">
        <f aca="false">M671-L671</f>
        <v>6</v>
      </c>
      <c r="R671" s="32" t="n">
        <f aca="false">O671-N671</f>
        <v>6.45833333333333</v>
      </c>
      <c r="S671" s="32" t="n">
        <f aca="false">Raw!L671</f>
        <v>0.5</v>
      </c>
      <c r="T671" s="32" t="n">
        <f aca="false">O671-M671</f>
        <v>0.5</v>
      </c>
      <c r="U671" s="0" t="str">
        <f aca="false">IF(ABS(T671-S671)&lt;0.01,"OK","MISMATCH")</f>
        <v>OK</v>
      </c>
      <c r="V671" s="33" t="n">
        <f aca="false">Raw!M671</f>
        <v>1</v>
      </c>
      <c r="W671" s="0" t="str">
        <f aca="false">IF((S671&gt;0)=(V671=1),"OK","MISMATCH")</f>
        <v>OK</v>
      </c>
      <c r="X671" s="0" t="str">
        <f aca="false">_xlfn.IFS(S671&lt;=0,"Early/On time",S671&lt;=2,"Minor (up to 2 days)",S671&lt;=5,"Moderate (2-5 days)",TRUE(),"Severe (over 5 days)")</f>
        <v>Minor (up to 2 days)</v>
      </c>
      <c r="Y671" s="0" t="str">
        <f aca="false">YEAR(K671)&amp;"-"&amp;TEXT(MONTH(K671),"00")</f>
        <v>2025-08</v>
      </c>
      <c r="Z671" s="0" t="str">
        <f aca="false">C671&amp;" → "&amp;D671</f>
        <v>Uttar Pradesh → Surat</v>
      </c>
      <c r="AA671" s="0" t="str">
        <f aca="false">Raw!Q671</f>
        <v>TCI Express</v>
      </c>
      <c r="AB671" s="0" t="str">
        <f aca="false">Raw!R671</f>
        <v>Yes</v>
      </c>
      <c r="AC671" s="0" t="str">
        <f aca="false">Raw!S671</f>
        <v>Returned</v>
      </c>
      <c r="AD671" s="29" t="n">
        <f aca="false">Raw!N671</f>
        <v>3135.17</v>
      </c>
      <c r="AE671" s="29" t="n">
        <f aca="false">Raw!O671</f>
        <v>3118.13</v>
      </c>
      <c r="AF671" s="29" t="n">
        <f aca="false">Raw!P671</f>
        <v>768.86</v>
      </c>
      <c r="AG671" s="29" t="n">
        <f aca="false">AD671/J671</f>
        <v>290.562557924004</v>
      </c>
    </row>
    <row r="672" customFormat="false" ht="15" hidden="false" customHeight="false" outlineLevel="0" collapsed="false">
      <c r="A672" s="0" t="str">
        <f aca="false">Raw!A672</f>
        <v>SHP0671</v>
      </c>
      <c r="B672" s="0" t="str">
        <f aca="false">Raw!B672</f>
        <v>Inbound</v>
      </c>
      <c r="C672" s="0" t="str">
        <f aca="false">Raw!C672</f>
        <v>Punjab</v>
      </c>
      <c r="D672" s="0" t="str">
        <f aca="false">Raw!D672</f>
        <v>Surat</v>
      </c>
      <c r="E672" s="0" t="str">
        <f aca="false">IFERROR(INDEX(Location_Map!$B$2:$B$15,MATCH(C672,Location_Map!$A$2:$A$15,0)),"UNMAPPED")</f>
        <v>Punjab</v>
      </c>
      <c r="F672" s="0" t="str">
        <f aca="false">IFERROR(INDEX(Location_Map!$C$2:$C$15,MATCH(C672,Location_Map!$A$2:$A$15,0)),"UNMAPPED")</f>
        <v>North</v>
      </c>
      <c r="G672" s="0" t="str">
        <f aca="false">IFERROR(INDEX(Location_Map!$B$2:$B$15,MATCH(D672,Location_Map!$A$2:$A$15,0)),"UNMAPPED")</f>
        <v>Gujarat</v>
      </c>
      <c r="H672" s="0" t="str">
        <f aca="false">IFERROR(INDEX(Location_Map!$C$2:$C$15,MATCH(D672,Location_Map!$A$2:$A$15,0)),"UNMAPPED")</f>
        <v>West</v>
      </c>
      <c r="I672" s="0" t="str">
        <f aca="false">Raw!E672</f>
        <v>Finished Yarn</v>
      </c>
      <c r="J672" s="28" t="n">
        <f aca="false">Raw!F672</f>
        <v>1.4</v>
      </c>
      <c r="K672" s="30" t="n">
        <f aca="false">DATE(LEFT(Raw!G672,4),MID(Raw!G672,6,2),MID(Raw!G672,9,2))</f>
        <v>45874</v>
      </c>
      <c r="L672" s="30" t="n">
        <f aca="false">DATE(LEFT(Raw!H672,4),MID(Raw!H672,6,2),MID(Raw!H672,9,2))</f>
        <v>45875</v>
      </c>
      <c r="M672" s="30" t="n">
        <f aca="false">DATE(LEFT(Raw!I672,4),MID(Raw!I672,6,2),MID(Raw!I672,9,2))</f>
        <v>45881</v>
      </c>
      <c r="N672" s="31" t="n">
        <f aca="false">DATE(LEFT(Raw!J672,4),MID(Raw!J672,6,2),MID(Raw!J672,9,2))+TIME(MID(Raw!J672,12,2),MID(Raw!J672,15,2),MID(Raw!J672,18,2))</f>
        <v>45875.0833333333</v>
      </c>
      <c r="O672" s="31" t="n">
        <f aca="false">DATE(LEFT(Raw!K672,4),MID(Raw!K672,6,2),MID(Raw!K672,9,2))+TIME(MID(Raw!K672,12,2),MID(Raw!K672,15,2),MID(Raw!K672,18,2))</f>
        <v>45884.5</v>
      </c>
      <c r="P672" s="32" t="n">
        <f aca="false">L672-K672</f>
        <v>1</v>
      </c>
      <c r="Q672" s="32" t="n">
        <f aca="false">M672-L672</f>
        <v>6</v>
      </c>
      <c r="R672" s="32" t="n">
        <f aca="false">O672-N672</f>
        <v>9.41666666666667</v>
      </c>
      <c r="S672" s="32" t="n">
        <f aca="false">Raw!L672</f>
        <v>3.5</v>
      </c>
      <c r="T672" s="32" t="n">
        <f aca="false">O672-M672</f>
        <v>3.5</v>
      </c>
      <c r="U672" s="0" t="str">
        <f aca="false">IF(ABS(T672-S672)&lt;0.01,"OK","MISMATCH")</f>
        <v>OK</v>
      </c>
      <c r="V672" s="33" t="n">
        <f aca="false">Raw!M672</f>
        <v>1</v>
      </c>
      <c r="W672" s="0" t="str">
        <f aca="false">IF((S672&gt;0)=(V672=1),"OK","MISMATCH")</f>
        <v>OK</v>
      </c>
      <c r="X672" s="0" t="str">
        <f aca="false">_xlfn.IFS(S672&lt;=0,"Early/On time",S672&lt;=2,"Minor (up to 2 days)",S672&lt;=5,"Moderate (2-5 days)",TRUE(),"Severe (over 5 days)")</f>
        <v>Moderate (2-5 days)</v>
      </c>
      <c r="Y672" s="0" t="str">
        <f aca="false">YEAR(K672)&amp;"-"&amp;TEXT(MONTH(K672),"00")</f>
        <v>2025-08</v>
      </c>
      <c r="Z672" s="0" t="str">
        <f aca="false">C672&amp;" → "&amp;D672</f>
        <v>Punjab → Surat</v>
      </c>
      <c r="AA672" s="0" t="str">
        <f aca="false">Raw!Q672</f>
        <v>GATI Logistics</v>
      </c>
      <c r="AB672" s="0" t="str">
        <f aca="false">Raw!R672</f>
        <v>Yes</v>
      </c>
      <c r="AC672" s="0" t="str">
        <f aca="false">Raw!S672</f>
        <v>Damaged</v>
      </c>
      <c r="AD672" s="29" t="n">
        <f aca="false">Raw!N672</f>
        <v>1463.52</v>
      </c>
      <c r="AE672" s="29" t="n">
        <f aca="false">Raw!O672</f>
        <v>3415.68</v>
      </c>
      <c r="AF672" s="29" t="n">
        <f aca="false">Raw!P672</f>
        <v>549.59</v>
      </c>
      <c r="AG672" s="29" t="n">
        <f aca="false">AD672/J672</f>
        <v>1045.37142857143</v>
      </c>
    </row>
    <row r="673" customFormat="false" ht="15" hidden="false" customHeight="false" outlineLevel="0" collapsed="false">
      <c r="A673" s="0" t="str">
        <f aca="false">Raw!A673</f>
        <v>SHP0672</v>
      </c>
      <c r="B673" s="0" t="str">
        <f aca="false">Raw!B673</f>
        <v>Outbound</v>
      </c>
      <c r="C673" s="0" t="str">
        <f aca="false">Raw!C673</f>
        <v>Surat</v>
      </c>
      <c r="D673" s="0" t="str">
        <f aca="false">Raw!D673</f>
        <v>Madhya Pradesh</v>
      </c>
      <c r="E673" s="0" t="str">
        <f aca="false">IFERROR(INDEX(Location_Map!$B$2:$B$15,MATCH(C673,Location_Map!$A$2:$A$15,0)),"UNMAPPED")</f>
        <v>Gujarat</v>
      </c>
      <c r="F673" s="0" t="str">
        <f aca="false">IFERROR(INDEX(Location_Map!$C$2:$C$15,MATCH(C673,Location_Map!$A$2:$A$15,0)),"UNMAPPED")</f>
        <v>West</v>
      </c>
      <c r="G673" s="0" t="str">
        <f aca="false">IFERROR(INDEX(Location_Map!$B$2:$B$15,MATCH(D673,Location_Map!$A$2:$A$15,0)),"UNMAPPED")</f>
        <v>Madhya Pradesh</v>
      </c>
      <c r="H673" s="0" t="str">
        <f aca="false">IFERROR(INDEX(Location_Map!$C$2:$C$15,MATCH(D673,Location_Map!$A$2:$A$15,0)),"UNMAPPED")</f>
        <v>Central</v>
      </c>
      <c r="I673" s="0" t="str">
        <f aca="false">Raw!E673</f>
        <v>Semi-Processed Yarn</v>
      </c>
      <c r="J673" s="28" t="n">
        <f aca="false">Raw!F673</f>
        <v>2.8</v>
      </c>
      <c r="K673" s="30" t="n">
        <f aca="false">DATE(LEFT(Raw!G673,4),MID(Raw!G673,6,2),MID(Raw!G673,9,2))</f>
        <v>45667</v>
      </c>
      <c r="L673" s="30" t="n">
        <f aca="false">DATE(LEFT(Raw!H673,4),MID(Raw!H673,6,2),MID(Raw!H673,9,2))</f>
        <v>45669</v>
      </c>
      <c r="M673" s="30" t="n">
        <f aca="false">DATE(LEFT(Raw!I673,4),MID(Raw!I673,6,2),MID(Raw!I673,9,2))</f>
        <v>45671</v>
      </c>
      <c r="N673" s="31" t="n">
        <f aca="false">DATE(LEFT(Raw!J673,4),MID(Raw!J673,6,2),MID(Raw!J673,9,2))+TIME(MID(Raw!J673,12,2),MID(Raw!J673,15,2),MID(Raw!J673,18,2))</f>
        <v>45669.2916666667</v>
      </c>
      <c r="O673" s="31" t="n">
        <f aca="false">DATE(LEFT(Raw!K673,4),MID(Raw!K673,6,2),MID(Raw!K673,9,2))+TIME(MID(Raw!K673,12,2),MID(Raw!K673,15,2),MID(Raw!K673,18,2))</f>
        <v>45673.1</v>
      </c>
      <c r="P673" s="32" t="n">
        <f aca="false">L673-K673</f>
        <v>2</v>
      </c>
      <c r="Q673" s="32" t="n">
        <f aca="false">M673-L673</f>
        <v>2</v>
      </c>
      <c r="R673" s="32" t="n">
        <f aca="false">O673-N673</f>
        <v>3.80833333333333</v>
      </c>
      <c r="S673" s="32" t="n">
        <f aca="false">Raw!L673</f>
        <v>2.1</v>
      </c>
      <c r="T673" s="32" t="n">
        <f aca="false">O673-M673</f>
        <v>2.1</v>
      </c>
      <c r="U673" s="0" t="str">
        <f aca="false">IF(ABS(T673-S673)&lt;0.01,"OK","MISMATCH")</f>
        <v>OK</v>
      </c>
      <c r="V673" s="33" t="n">
        <f aca="false">Raw!M673</f>
        <v>1</v>
      </c>
      <c r="W673" s="0" t="str">
        <f aca="false">IF((S673&gt;0)=(V673=1),"OK","MISMATCH")</f>
        <v>OK</v>
      </c>
      <c r="X673" s="0" t="str">
        <f aca="false">_xlfn.IFS(S673&lt;=0,"Early/On time",S673&lt;=2,"Minor (up to 2 days)",S673&lt;=5,"Moderate (2-5 days)",TRUE(),"Severe (over 5 days)")</f>
        <v>Moderate (2-5 days)</v>
      </c>
      <c r="Y673" s="0" t="str">
        <f aca="false">YEAR(K673)&amp;"-"&amp;TEXT(MONTH(K673),"00")</f>
        <v>2025-01</v>
      </c>
      <c r="Z673" s="0" t="str">
        <f aca="false">C673&amp;" → "&amp;D673</f>
        <v>Surat → Madhya Pradesh</v>
      </c>
      <c r="AA673" s="0" t="str">
        <f aca="false">Raw!Q673</f>
        <v>TCI Express</v>
      </c>
      <c r="AB673" s="0" t="str">
        <f aca="false">Raw!R673</f>
        <v>Yes</v>
      </c>
      <c r="AC673" s="0" t="str">
        <f aca="false">Raw!S673</f>
        <v>Normal</v>
      </c>
      <c r="AD673" s="29" t="n">
        <f aca="false">Raw!N673</f>
        <v>1575.3</v>
      </c>
      <c r="AE673" s="29" t="n">
        <f aca="false">Raw!O673</f>
        <v>2389.15</v>
      </c>
      <c r="AF673" s="29" t="n">
        <f aca="false">Raw!P673</f>
        <v>765.23</v>
      </c>
      <c r="AG673" s="29" t="n">
        <f aca="false">AD673/J673</f>
        <v>562.607142857143</v>
      </c>
    </row>
    <row r="674" customFormat="false" ht="15" hidden="false" customHeight="false" outlineLevel="0" collapsed="false">
      <c r="A674" s="0" t="str">
        <f aca="false">Raw!A674</f>
        <v>SHP0673</v>
      </c>
      <c r="B674" s="0" t="str">
        <f aca="false">Raw!B674</f>
        <v>Inbound</v>
      </c>
      <c r="C674" s="0" t="str">
        <f aca="false">Raw!C674</f>
        <v>Punjab</v>
      </c>
      <c r="D674" s="0" t="str">
        <f aca="false">Raw!D674</f>
        <v>Surat</v>
      </c>
      <c r="E674" s="0" t="str">
        <f aca="false">IFERROR(INDEX(Location_Map!$B$2:$B$15,MATCH(C674,Location_Map!$A$2:$A$15,0)),"UNMAPPED")</f>
        <v>Punjab</v>
      </c>
      <c r="F674" s="0" t="str">
        <f aca="false">IFERROR(INDEX(Location_Map!$C$2:$C$15,MATCH(C674,Location_Map!$A$2:$A$15,0)),"UNMAPPED")</f>
        <v>North</v>
      </c>
      <c r="G674" s="0" t="str">
        <f aca="false">IFERROR(INDEX(Location_Map!$B$2:$B$15,MATCH(D674,Location_Map!$A$2:$A$15,0)),"UNMAPPED")</f>
        <v>Gujarat</v>
      </c>
      <c r="H674" s="0" t="str">
        <f aca="false">IFERROR(INDEX(Location_Map!$C$2:$C$15,MATCH(D674,Location_Map!$A$2:$A$15,0)),"UNMAPPED")</f>
        <v>West</v>
      </c>
      <c r="I674" s="0" t="str">
        <f aca="false">Raw!E674</f>
        <v>Raw Yarn</v>
      </c>
      <c r="J674" s="28" t="n">
        <f aca="false">Raw!F674</f>
        <v>14.04</v>
      </c>
      <c r="K674" s="30" t="n">
        <f aca="false">DATE(LEFT(Raw!G674,4),MID(Raw!G674,6,2),MID(Raw!G674,9,2))</f>
        <v>45942</v>
      </c>
      <c r="L674" s="30" t="n">
        <f aca="false">DATE(LEFT(Raw!H674,4),MID(Raw!H674,6,2),MID(Raw!H674,9,2))</f>
        <v>45944</v>
      </c>
      <c r="M674" s="30" t="n">
        <f aca="false">DATE(LEFT(Raw!I674,4),MID(Raw!I674,6,2),MID(Raw!I674,9,2))</f>
        <v>45949</v>
      </c>
      <c r="N674" s="31" t="n">
        <f aca="false">DATE(LEFT(Raw!J674,4),MID(Raw!J674,6,2),MID(Raw!J674,9,2))+TIME(MID(Raw!J674,12,2),MID(Raw!J674,15,2),MID(Raw!J674,18,2))</f>
        <v>45944.2083333333</v>
      </c>
      <c r="O674" s="31" t="n">
        <f aca="false">DATE(LEFT(Raw!K674,4),MID(Raw!K674,6,2),MID(Raw!K674,9,2))+TIME(MID(Raw!K674,12,2),MID(Raw!K674,15,2),MID(Raw!K674,18,2))</f>
        <v>45953.4</v>
      </c>
      <c r="P674" s="32" t="n">
        <f aca="false">L674-K674</f>
        <v>2</v>
      </c>
      <c r="Q674" s="32" t="n">
        <f aca="false">M674-L674</f>
        <v>5</v>
      </c>
      <c r="R674" s="32" t="n">
        <f aca="false">O674-N674</f>
        <v>9.19166666666667</v>
      </c>
      <c r="S674" s="32" t="n">
        <f aca="false">Raw!L674</f>
        <v>4.4</v>
      </c>
      <c r="T674" s="32" t="n">
        <f aca="false">O674-M674</f>
        <v>4.4</v>
      </c>
      <c r="U674" s="0" t="str">
        <f aca="false">IF(ABS(T674-S674)&lt;0.01,"OK","MISMATCH")</f>
        <v>OK</v>
      </c>
      <c r="V674" s="33" t="n">
        <f aca="false">Raw!M674</f>
        <v>1</v>
      </c>
      <c r="W674" s="0" t="str">
        <f aca="false">IF((S674&gt;0)=(V674=1),"OK","MISMATCH")</f>
        <v>OK</v>
      </c>
      <c r="X674" s="0" t="str">
        <f aca="false">_xlfn.IFS(S674&lt;=0,"Early/On time",S674&lt;=2,"Minor (up to 2 days)",S674&lt;=5,"Moderate (2-5 days)",TRUE(),"Severe (over 5 days)")</f>
        <v>Moderate (2-5 days)</v>
      </c>
      <c r="Y674" s="0" t="str">
        <f aca="false">YEAR(K674)&amp;"-"&amp;TEXT(MONTH(K674),"00")</f>
        <v>2025-10</v>
      </c>
      <c r="Z674" s="0" t="str">
        <f aca="false">C674&amp;" → "&amp;D674</f>
        <v>Punjab → Surat</v>
      </c>
      <c r="AA674" s="0" t="str">
        <f aca="false">Raw!Q674</f>
        <v>Delhivery</v>
      </c>
      <c r="AB674" s="0" t="str">
        <f aca="false">Raw!R674</f>
        <v>Yes</v>
      </c>
      <c r="AC674" s="0" t="str">
        <f aca="false">Raw!S674</f>
        <v>Held at warehouse</v>
      </c>
      <c r="AD674" s="29" t="n">
        <f aca="false">Raw!N674</f>
        <v>5968.17</v>
      </c>
      <c r="AE674" s="29" t="n">
        <f aca="false">Raw!O674</f>
        <v>4065.41</v>
      </c>
      <c r="AF674" s="29" t="n">
        <f aca="false">Raw!P674</f>
        <v>1157.95</v>
      </c>
      <c r="AG674" s="29" t="n">
        <f aca="false">AD674/J674</f>
        <v>425.083333333333</v>
      </c>
    </row>
    <row r="675" customFormat="false" ht="15" hidden="false" customHeight="false" outlineLevel="0" collapsed="false">
      <c r="A675" s="0" t="str">
        <f aca="false">Raw!A675</f>
        <v>SHP0674</v>
      </c>
      <c r="B675" s="0" t="str">
        <f aca="false">Raw!B675</f>
        <v>Inbound</v>
      </c>
      <c r="C675" s="0" t="str">
        <f aca="false">Raw!C675</f>
        <v>Uttar Pradesh</v>
      </c>
      <c r="D675" s="0" t="str">
        <f aca="false">Raw!D675</f>
        <v>Surat</v>
      </c>
      <c r="E675" s="0" t="str">
        <f aca="false">IFERROR(INDEX(Location_Map!$B$2:$B$15,MATCH(C675,Location_Map!$A$2:$A$15,0)),"UNMAPPED")</f>
        <v>Uttar Pradesh</v>
      </c>
      <c r="F675" s="0" t="str">
        <f aca="false">IFERROR(INDEX(Location_Map!$C$2:$C$15,MATCH(C675,Location_Map!$A$2:$A$15,0)),"UNMAPPED")</f>
        <v>North</v>
      </c>
      <c r="G675" s="0" t="str">
        <f aca="false">IFERROR(INDEX(Location_Map!$B$2:$B$15,MATCH(D675,Location_Map!$A$2:$A$15,0)),"UNMAPPED")</f>
        <v>Gujarat</v>
      </c>
      <c r="H675" s="0" t="str">
        <f aca="false">IFERROR(INDEX(Location_Map!$C$2:$C$15,MATCH(D675,Location_Map!$A$2:$A$15,0)),"UNMAPPED")</f>
        <v>West</v>
      </c>
      <c r="I675" s="0" t="str">
        <f aca="false">Raw!E675</f>
        <v>Raw Yarn</v>
      </c>
      <c r="J675" s="28" t="n">
        <f aca="false">Raw!F675</f>
        <v>16.65</v>
      </c>
      <c r="K675" s="30" t="n">
        <f aca="false">DATE(LEFT(Raw!G675,4),MID(Raw!G675,6,2),MID(Raw!G675,9,2))</f>
        <v>45852</v>
      </c>
      <c r="L675" s="30" t="n">
        <f aca="false">DATE(LEFT(Raw!H675,4),MID(Raw!H675,6,2),MID(Raw!H675,9,2))</f>
        <v>45856</v>
      </c>
      <c r="M675" s="30" t="n">
        <f aca="false">DATE(LEFT(Raw!I675,4),MID(Raw!I675,6,2),MID(Raw!I675,9,2))</f>
        <v>45859</v>
      </c>
      <c r="N675" s="31" t="n">
        <f aca="false">DATE(LEFT(Raw!J675,4),MID(Raw!J675,6,2),MID(Raw!J675,9,2))+TIME(MID(Raw!J675,12,2),MID(Raw!J675,15,2),MID(Raw!J675,18,2))</f>
        <v>45855.9166666667</v>
      </c>
      <c r="O675" s="31" t="n">
        <f aca="false">DATE(LEFT(Raw!K675,4),MID(Raw!K675,6,2),MID(Raw!K675,9,2))+TIME(MID(Raw!K675,12,2),MID(Raw!K675,15,2),MID(Raw!K675,18,2))</f>
        <v>45862.4</v>
      </c>
      <c r="P675" s="32" t="n">
        <f aca="false">L675-K675</f>
        <v>4</v>
      </c>
      <c r="Q675" s="32" t="n">
        <f aca="false">M675-L675</f>
        <v>3</v>
      </c>
      <c r="R675" s="32" t="n">
        <f aca="false">O675-N675</f>
        <v>6.48333333333333</v>
      </c>
      <c r="S675" s="32" t="n">
        <f aca="false">Raw!L675</f>
        <v>3.4</v>
      </c>
      <c r="T675" s="32" t="n">
        <f aca="false">O675-M675</f>
        <v>3.4</v>
      </c>
      <c r="U675" s="0" t="str">
        <f aca="false">IF(ABS(T675-S675)&lt;0.01,"OK","MISMATCH")</f>
        <v>OK</v>
      </c>
      <c r="V675" s="33" t="n">
        <f aca="false">Raw!M675</f>
        <v>1</v>
      </c>
      <c r="W675" s="0" t="str">
        <f aca="false">IF((S675&gt;0)=(V675=1),"OK","MISMATCH")</f>
        <v>OK</v>
      </c>
      <c r="X675" s="0" t="str">
        <f aca="false">_xlfn.IFS(S675&lt;=0,"Early/On time",S675&lt;=2,"Minor (up to 2 days)",S675&lt;=5,"Moderate (2-5 days)",TRUE(),"Severe (over 5 days)")</f>
        <v>Moderate (2-5 days)</v>
      </c>
      <c r="Y675" s="0" t="str">
        <f aca="false">YEAR(K675)&amp;"-"&amp;TEXT(MONTH(K675),"00")</f>
        <v>2025-07</v>
      </c>
      <c r="Z675" s="0" t="str">
        <f aca="false">C675&amp;" → "&amp;D675</f>
        <v>Uttar Pradesh → Surat</v>
      </c>
      <c r="AA675" s="0" t="str">
        <f aca="false">Raw!Q675</f>
        <v>TCI Express</v>
      </c>
      <c r="AB675" s="0" t="str">
        <f aca="false">Raw!R675</f>
        <v>Yes</v>
      </c>
      <c r="AC675" s="0" t="str">
        <f aca="false">Raw!S675</f>
        <v>Damaged</v>
      </c>
      <c r="AD675" s="29" t="n">
        <f aca="false">Raw!N675</f>
        <v>6096.95</v>
      </c>
      <c r="AE675" s="29" t="n">
        <f aca="false">Raw!O675</f>
        <v>3112.71</v>
      </c>
      <c r="AF675" s="29" t="n">
        <f aca="false">Raw!P675</f>
        <v>626.87</v>
      </c>
      <c r="AG675" s="29" t="n">
        <f aca="false">AD675/J675</f>
        <v>366.183183183183</v>
      </c>
    </row>
    <row r="676" customFormat="false" ht="15" hidden="false" customHeight="false" outlineLevel="0" collapsed="false">
      <c r="A676" s="0" t="str">
        <f aca="false">Raw!A676</f>
        <v>SHP0675</v>
      </c>
      <c r="B676" s="0" t="str">
        <f aca="false">Raw!B676</f>
        <v>Inbound</v>
      </c>
      <c r="C676" s="0" t="str">
        <f aca="false">Raw!C676</f>
        <v>Rajasthan</v>
      </c>
      <c r="D676" s="0" t="str">
        <f aca="false">Raw!D676</f>
        <v>Surat</v>
      </c>
      <c r="E676" s="0" t="str">
        <f aca="false">IFERROR(INDEX(Location_Map!$B$2:$B$15,MATCH(C676,Location_Map!$A$2:$A$15,0)),"UNMAPPED")</f>
        <v>Rajasthan</v>
      </c>
      <c r="F676" s="0" t="str">
        <f aca="false">IFERROR(INDEX(Location_Map!$C$2:$C$15,MATCH(C676,Location_Map!$A$2:$A$15,0)),"UNMAPPED")</f>
        <v>North</v>
      </c>
      <c r="G676" s="0" t="str">
        <f aca="false">IFERROR(INDEX(Location_Map!$B$2:$B$15,MATCH(D676,Location_Map!$A$2:$A$15,0)),"UNMAPPED")</f>
        <v>Gujarat</v>
      </c>
      <c r="H676" s="0" t="str">
        <f aca="false">IFERROR(INDEX(Location_Map!$C$2:$C$15,MATCH(D676,Location_Map!$A$2:$A$15,0)),"UNMAPPED")</f>
        <v>West</v>
      </c>
      <c r="I676" s="0" t="str">
        <f aca="false">Raw!E676</f>
        <v>Raw Yarn</v>
      </c>
      <c r="J676" s="28" t="n">
        <f aca="false">Raw!F676</f>
        <v>12.26</v>
      </c>
      <c r="K676" s="30" t="n">
        <f aca="false">DATE(LEFT(Raw!G676,4),MID(Raw!G676,6,2),MID(Raw!G676,9,2))</f>
        <v>45802</v>
      </c>
      <c r="L676" s="30" t="n">
        <f aca="false">DATE(LEFT(Raw!H676,4),MID(Raw!H676,6,2),MID(Raw!H676,9,2))</f>
        <v>45805</v>
      </c>
      <c r="M676" s="30" t="n">
        <f aca="false">DATE(LEFT(Raw!I676,4),MID(Raw!I676,6,2),MID(Raw!I676,9,2))</f>
        <v>45809</v>
      </c>
      <c r="N676" s="31" t="n">
        <f aca="false">DATE(LEFT(Raw!J676,4),MID(Raw!J676,6,2),MID(Raw!J676,9,2))+TIME(MID(Raw!J676,12,2),MID(Raw!J676,15,2),MID(Raw!J676,18,2))</f>
        <v>45805.2083333333</v>
      </c>
      <c r="O676" s="31" t="n">
        <f aca="false">DATE(LEFT(Raw!K676,4),MID(Raw!K676,6,2),MID(Raw!K676,9,2))+TIME(MID(Raw!K676,12,2),MID(Raw!K676,15,2),MID(Raw!K676,18,2))</f>
        <v>45810.8</v>
      </c>
      <c r="P676" s="32" t="n">
        <f aca="false">L676-K676</f>
        <v>3</v>
      </c>
      <c r="Q676" s="32" t="n">
        <f aca="false">M676-L676</f>
        <v>4</v>
      </c>
      <c r="R676" s="32" t="n">
        <f aca="false">O676-N676</f>
        <v>5.59166666666667</v>
      </c>
      <c r="S676" s="32" t="n">
        <f aca="false">Raw!L676</f>
        <v>1.8</v>
      </c>
      <c r="T676" s="32" t="n">
        <f aca="false">O676-M676</f>
        <v>1.8</v>
      </c>
      <c r="U676" s="0" t="str">
        <f aca="false">IF(ABS(T676-S676)&lt;0.01,"OK","MISMATCH")</f>
        <v>OK</v>
      </c>
      <c r="V676" s="33" t="n">
        <f aca="false">Raw!M676</f>
        <v>1</v>
      </c>
      <c r="W676" s="0" t="str">
        <f aca="false">IF((S676&gt;0)=(V676=1),"OK","MISMATCH")</f>
        <v>OK</v>
      </c>
      <c r="X676" s="0" t="str">
        <f aca="false">_xlfn.IFS(S676&lt;=0,"Early/On time",S676&lt;=2,"Minor (up to 2 days)",S676&lt;=5,"Moderate (2-5 days)",TRUE(),"Severe (over 5 days)")</f>
        <v>Minor (up to 2 days)</v>
      </c>
      <c r="Y676" s="0" t="str">
        <f aca="false">YEAR(K676)&amp;"-"&amp;TEXT(MONTH(K676),"00")</f>
        <v>2025-05</v>
      </c>
      <c r="Z676" s="0" t="str">
        <f aca="false">C676&amp;" → "&amp;D676</f>
        <v>Rajasthan → Surat</v>
      </c>
      <c r="AA676" s="0" t="str">
        <f aca="false">Raw!Q676</f>
        <v>Delhivery</v>
      </c>
      <c r="AB676" s="0" t="str">
        <f aca="false">Raw!R676</f>
        <v>Yes</v>
      </c>
      <c r="AC676" s="0" t="str">
        <f aca="false">Raw!S676</f>
        <v>Normal</v>
      </c>
      <c r="AD676" s="29" t="n">
        <f aca="false">Raw!N676</f>
        <v>6518.13</v>
      </c>
      <c r="AE676" s="29" t="n">
        <f aca="false">Raw!O676</f>
        <v>3415.17</v>
      </c>
      <c r="AF676" s="29" t="n">
        <f aca="false">Raw!P676</f>
        <v>798.93</v>
      </c>
      <c r="AG676" s="29" t="n">
        <f aca="false">AD676/J676</f>
        <v>531.65823817292</v>
      </c>
    </row>
    <row r="677" customFormat="false" ht="15" hidden="false" customHeight="false" outlineLevel="0" collapsed="false">
      <c r="A677" s="0" t="str">
        <f aca="false">Raw!A677</f>
        <v>SHP0676</v>
      </c>
      <c r="B677" s="0" t="str">
        <f aca="false">Raw!B677</f>
        <v>Outbound</v>
      </c>
      <c r="C677" s="0" t="str">
        <f aca="false">Raw!C677</f>
        <v>Surat</v>
      </c>
      <c r="D677" s="0" t="str">
        <f aca="false">Raw!D677</f>
        <v>Assam</v>
      </c>
      <c r="E677" s="0" t="str">
        <f aca="false">IFERROR(INDEX(Location_Map!$B$2:$B$15,MATCH(C677,Location_Map!$A$2:$A$15,0)),"UNMAPPED")</f>
        <v>Gujarat</v>
      </c>
      <c r="F677" s="0" t="str">
        <f aca="false">IFERROR(INDEX(Location_Map!$C$2:$C$15,MATCH(C677,Location_Map!$A$2:$A$15,0)),"UNMAPPED")</f>
        <v>West</v>
      </c>
      <c r="G677" s="0" t="str">
        <f aca="false">IFERROR(INDEX(Location_Map!$B$2:$B$15,MATCH(D677,Location_Map!$A$2:$A$15,0)),"UNMAPPED")</f>
        <v>Assam</v>
      </c>
      <c r="H677" s="0" t="str">
        <f aca="false">IFERROR(INDEX(Location_Map!$C$2:$C$15,MATCH(D677,Location_Map!$A$2:$A$15,0)),"UNMAPPED")</f>
        <v>North-East</v>
      </c>
      <c r="I677" s="0" t="str">
        <f aca="false">Raw!E677</f>
        <v>Finished Yarn</v>
      </c>
      <c r="J677" s="28" t="n">
        <f aca="false">Raw!F677</f>
        <v>8.81</v>
      </c>
      <c r="K677" s="30" t="n">
        <f aca="false">DATE(LEFT(Raw!G677,4),MID(Raw!G677,6,2),MID(Raw!G677,9,2))</f>
        <v>45723</v>
      </c>
      <c r="L677" s="30" t="n">
        <f aca="false">DATE(LEFT(Raw!H677,4),MID(Raw!H677,6,2),MID(Raw!H677,9,2))</f>
        <v>45727</v>
      </c>
      <c r="M677" s="30" t="n">
        <f aca="false">DATE(LEFT(Raw!I677,4),MID(Raw!I677,6,2),MID(Raw!I677,9,2))</f>
        <v>45733</v>
      </c>
      <c r="N677" s="31" t="n">
        <f aca="false">DATE(LEFT(Raw!J677,4),MID(Raw!J677,6,2),MID(Raw!J677,9,2))+TIME(MID(Raw!J677,12,2),MID(Raw!J677,15,2),MID(Raw!J677,18,2))</f>
        <v>45726.9166666667</v>
      </c>
      <c r="O677" s="31" t="n">
        <f aca="false">DATE(LEFT(Raw!K677,4),MID(Raw!K677,6,2),MID(Raw!K677,9,2))+TIME(MID(Raw!K677,12,2),MID(Raw!K677,15,2),MID(Raw!K677,18,2))</f>
        <v>45732</v>
      </c>
      <c r="P677" s="32" t="n">
        <f aca="false">L677-K677</f>
        <v>4</v>
      </c>
      <c r="Q677" s="32" t="n">
        <f aca="false">M677-L677</f>
        <v>6</v>
      </c>
      <c r="R677" s="32" t="n">
        <f aca="false">O677-N677</f>
        <v>5.08333333333333</v>
      </c>
      <c r="S677" s="32" t="n">
        <f aca="false">Raw!L677</f>
        <v>-1</v>
      </c>
      <c r="T677" s="32" t="n">
        <f aca="false">O677-M677</f>
        <v>-1</v>
      </c>
      <c r="U677" s="0" t="str">
        <f aca="false">IF(ABS(T677-S677)&lt;0.01,"OK","MISMATCH")</f>
        <v>OK</v>
      </c>
      <c r="V677" s="33" t="n">
        <f aca="false">Raw!M677</f>
        <v>0</v>
      </c>
      <c r="W677" s="0" t="str">
        <f aca="false">IF((S677&gt;0)=(V677=1),"OK","MISMATCH")</f>
        <v>OK</v>
      </c>
      <c r="X677" s="0" t="str">
        <f aca="false">_xlfn.IFS(S677&lt;=0,"Early/On time",S677&lt;=2,"Minor (up to 2 days)",S677&lt;=5,"Moderate (2-5 days)",TRUE(),"Severe (over 5 days)")</f>
        <v>Early/On time</v>
      </c>
      <c r="Y677" s="0" t="str">
        <f aca="false">YEAR(K677)&amp;"-"&amp;TEXT(MONTH(K677),"00")</f>
        <v>2025-03</v>
      </c>
      <c r="Z677" s="0" t="str">
        <f aca="false">C677&amp;" → "&amp;D677</f>
        <v>Surat → Assam</v>
      </c>
      <c r="AA677" s="0" t="str">
        <f aca="false">Raw!Q677</f>
        <v>TCI Express</v>
      </c>
      <c r="AB677" s="0" t="str">
        <f aca="false">Raw!R677</f>
        <v>No</v>
      </c>
      <c r="AC677" s="0" t="str">
        <f aca="false">Raw!S677</f>
        <v>Expedited</v>
      </c>
      <c r="AD677" s="29" t="n">
        <f aca="false">Raw!N677</f>
        <v>3063.54</v>
      </c>
      <c r="AE677" s="29" t="n">
        <f aca="false">Raw!O677</f>
        <v>1887.12</v>
      </c>
      <c r="AF677" s="29" t="n">
        <f aca="false">Raw!P677</f>
        <v>1280.47</v>
      </c>
      <c r="AG677" s="29" t="n">
        <f aca="false">AD677/J677</f>
        <v>347.734392735528</v>
      </c>
    </row>
    <row r="678" customFormat="false" ht="15" hidden="false" customHeight="false" outlineLevel="0" collapsed="false">
      <c r="A678" s="0" t="str">
        <f aca="false">Raw!A678</f>
        <v>SHP0677</v>
      </c>
      <c r="B678" s="0" t="str">
        <f aca="false">Raw!B678</f>
        <v>Inbound</v>
      </c>
      <c r="C678" s="0" t="str">
        <f aca="false">Raw!C678</f>
        <v>Rajasthan</v>
      </c>
      <c r="D678" s="0" t="str">
        <f aca="false">Raw!D678</f>
        <v>Surat</v>
      </c>
      <c r="E678" s="0" t="str">
        <f aca="false">IFERROR(INDEX(Location_Map!$B$2:$B$15,MATCH(C678,Location_Map!$A$2:$A$15,0)),"UNMAPPED")</f>
        <v>Rajasthan</v>
      </c>
      <c r="F678" s="0" t="str">
        <f aca="false">IFERROR(INDEX(Location_Map!$C$2:$C$15,MATCH(C678,Location_Map!$A$2:$A$15,0)),"UNMAPPED")</f>
        <v>North</v>
      </c>
      <c r="G678" s="0" t="str">
        <f aca="false">IFERROR(INDEX(Location_Map!$B$2:$B$15,MATCH(D678,Location_Map!$A$2:$A$15,0)),"UNMAPPED")</f>
        <v>Gujarat</v>
      </c>
      <c r="H678" s="0" t="str">
        <f aca="false">IFERROR(INDEX(Location_Map!$C$2:$C$15,MATCH(D678,Location_Map!$A$2:$A$15,0)),"UNMAPPED")</f>
        <v>West</v>
      </c>
      <c r="I678" s="0" t="str">
        <f aca="false">Raw!E678</f>
        <v>Semi-Processed Yarn</v>
      </c>
      <c r="J678" s="28" t="n">
        <f aca="false">Raw!F678</f>
        <v>4.82</v>
      </c>
      <c r="K678" s="30" t="n">
        <f aca="false">DATE(LEFT(Raw!G678,4),MID(Raw!G678,6,2),MID(Raw!G678,9,2))</f>
        <v>45682</v>
      </c>
      <c r="L678" s="30" t="n">
        <f aca="false">DATE(LEFT(Raw!H678,4),MID(Raw!H678,6,2),MID(Raw!H678,9,2))</f>
        <v>45684</v>
      </c>
      <c r="M678" s="30" t="n">
        <f aca="false">DATE(LEFT(Raw!I678,4),MID(Raw!I678,6,2),MID(Raw!I678,9,2))</f>
        <v>45688</v>
      </c>
      <c r="N678" s="31" t="n">
        <f aca="false">DATE(LEFT(Raw!J678,4),MID(Raw!J678,6,2),MID(Raw!J678,9,2))+TIME(MID(Raw!J678,12,2),MID(Raw!J678,15,2),MID(Raw!J678,18,2))</f>
        <v>45683.9166666667</v>
      </c>
      <c r="O678" s="31" t="n">
        <f aca="false">DATE(LEFT(Raw!K678,4),MID(Raw!K678,6,2),MID(Raw!K678,9,2))+TIME(MID(Raw!K678,12,2),MID(Raw!K678,15,2),MID(Raw!K678,18,2))</f>
        <v>45690.3</v>
      </c>
      <c r="P678" s="32" t="n">
        <f aca="false">L678-K678</f>
        <v>2</v>
      </c>
      <c r="Q678" s="32" t="n">
        <f aca="false">M678-L678</f>
        <v>4</v>
      </c>
      <c r="R678" s="32" t="n">
        <f aca="false">O678-N678</f>
        <v>6.38333333333333</v>
      </c>
      <c r="S678" s="32" t="n">
        <f aca="false">Raw!L678</f>
        <v>2.3</v>
      </c>
      <c r="T678" s="32" t="n">
        <f aca="false">O678-M678</f>
        <v>2.3</v>
      </c>
      <c r="U678" s="0" t="str">
        <f aca="false">IF(ABS(T678-S678)&lt;0.01,"OK","MISMATCH")</f>
        <v>OK</v>
      </c>
      <c r="V678" s="33" t="n">
        <f aca="false">Raw!M678</f>
        <v>1</v>
      </c>
      <c r="W678" s="0" t="str">
        <f aca="false">IF((S678&gt;0)=(V678=1),"OK","MISMATCH")</f>
        <v>OK</v>
      </c>
      <c r="X678" s="0" t="str">
        <f aca="false">_xlfn.IFS(S678&lt;=0,"Early/On time",S678&lt;=2,"Minor (up to 2 days)",S678&lt;=5,"Moderate (2-5 days)",TRUE(),"Severe (over 5 days)")</f>
        <v>Moderate (2-5 days)</v>
      </c>
      <c r="Y678" s="0" t="str">
        <f aca="false">YEAR(K678)&amp;"-"&amp;TEXT(MONTH(K678),"00")</f>
        <v>2025-01</v>
      </c>
      <c r="Z678" s="0" t="str">
        <f aca="false">C678&amp;" → "&amp;D678</f>
        <v>Rajasthan → Surat</v>
      </c>
      <c r="AA678" s="0" t="str">
        <f aca="false">Raw!Q678</f>
        <v>VRL Cargo</v>
      </c>
      <c r="AB678" s="0" t="str">
        <f aca="false">Raw!R678</f>
        <v>No</v>
      </c>
      <c r="AC678" s="0" t="str">
        <f aca="false">Raw!S678</f>
        <v>Held at warehouse</v>
      </c>
      <c r="AD678" s="29" t="n">
        <f aca="false">Raw!N678</f>
        <v>4436.39</v>
      </c>
      <c r="AE678" s="29" t="n">
        <f aca="false">Raw!O678</f>
        <v>4418.06</v>
      </c>
      <c r="AF678" s="29" t="n">
        <f aca="false">Raw!P678</f>
        <v>1183.18</v>
      </c>
      <c r="AG678" s="29" t="n">
        <f aca="false">AD678/J678</f>
        <v>920.412863070539</v>
      </c>
    </row>
    <row r="679" customFormat="false" ht="15" hidden="false" customHeight="false" outlineLevel="0" collapsed="false">
      <c r="A679" s="0" t="str">
        <f aca="false">Raw!A679</f>
        <v>SHP0678</v>
      </c>
      <c r="B679" s="0" t="str">
        <f aca="false">Raw!B679</f>
        <v>Inbound</v>
      </c>
      <c r="C679" s="0" t="str">
        <f aca="false">Raw!C679</f>
        <v>Chennai</v>
      </c>
      <c r="D679" s="0" t="str">
        <f aca="false">Raw!D679</f>
        <v>Surat</v>
      </c>
      <c r="E679" s="0" t="str">
        <f aca="false">IFERROR(INDEX(Location_Map!$B$2:$B$15,MATCH(C679,Location_Map!$A$2:$A$15,0)),"UNMAPPED")</f>
        <v>Tamil Nadu</v>
      </c>
      <c r="F679" s="0" t="str">
        <f aca="false">IFERROR(INDEX(Location_Map!$C$2:$C$15,MATCH(C679,Location_Map!$A$2:$A$15,0)),"UNMAPPED")</f>
        <v>South</v>
      </c>
      <c r="G679" s="0" t="str">
        <f aca="false">IFERROR(INDEX(Location_Map!$B$2:$B$15,MATCH(D679,Location_Map!$A$2:$A$15,0)),"UNMAPPED")</f>
        <v>Gujarat</v>
      </c>
      <c r="H679" s="0" t="str">
        <f aca="false">IFERROR(INDEX(Location_Map!$C$2:$C$15,MATCH(D679,Location_Map!$A$2:$A$15,0)),"UNMAPPED")</f>
        <v>West</v>
      </c>
      <c r="I679" s="0" t="str">
        <f aca="false">Raw!E679</f>
        <v>Finished Yarn</v>
      </c>
      <c r="J679" s="28" t="n">
        <f aca="false">Raw!F679</f>
        <v>1.99</v>
      </c>
      <c r="K679" s="30" t="n">
        <f aca="false">DATE(LEFT(Raw!G679,4),MID(Raw!G679,6,2),MID(Raw!G679,9,2))</f>
        <v>45892</v>
      </c>
      <c r="L679" s="30" t="n">
        <f aca="false">DATE(LEFT(Raw!H679,4),MID(Raw!H679,6,2),MID(Raw!H679,9,2))</f>
        <v>45896</v>
      </c>
      <c r="M679" s="30" t="n">
        <f aca="false">DATE(LEFT(Raw!I679,4),MID(Raw!I679,6,2),MID(Raw!I679,9,2))</f>
        <v>45900</v>
      </c>
      <c r="N679" s="31" t="n">
        <f aca="false">DATE(LEFT(Raw!J679,4),MID(Raw!J679,6,2),MID(Raw!J679,9,2))+TIME(MID(Raw!J679,12,2),MID(Raw!J679,15,2),MID(Raw!J679,18,2))</f>
        <v>45896.375</v>
      </c>
      <c r="O679" s="31" t="n">
        <f aca="false">DATE(LEFT(Raw!K679,4),MID(Raw!K679,6,2),MID(Raw!K679,9,2))+TIME(MID(Raw!K679,12,2),MID(Raw!K679,15,2),MID(Raw!K679,18,2))</f>
        <v>45901.2</v>
      </c>
      <c r="P679" s="32" t="n">
        <f aca="false">L679-K679</f>
        <v>4</v>
      </c>
      <c r="Q679" s="32" t="n">
        <f aca="false">M679-L679</f>
        <v>4</v>
      </c>
      <c r="R679" s="32" t="n">
        <f aca="false">O679-N679</f>
        <v>4.825</v>
      </c>
      <c r="S679" s="32" t="n">
        <f aca="false">Raw!L679</f>
        <v>1.2</v>
      </c>
      <c r="T679" s="32" t="n">
        <f aca="false">O679-M679</f>
        <v>1.2</v>
      </c>
      <c r="U679" s="0" t="str">
        <f aca="false">IF(ABS(T679-S679)&lt;0.01,"OK","MISMATCH")</f>
        <v>OK</v>
      </c>
      <c r="V679" s="33" t="n">
        <f aca="false">Raw!M679</f>
        <v>1</v>
      </c>
      <c r="W679" s="0" t="str">
        <f aca="false">IF((S679&gt;0)=(V679=1),"OK","MISMATCH")</f>
        <v>OK</v>
      </c>
      <c r="X679" s="0" t="str">
        <f aca="false">_xlfn.IFS(S679&lt;=0,"Early/On time",S679&lt;=2,"Minor (up to 2 days)",S679&lt;=5,"Moderate (2-5 days)",TRUE(),"Severe (over 5 days)")</f>
        <v>Minor (up to 2 days)</v>
      </c>
      <c r="Y679" s="0" t="str">
        <f aca="false">YEAR(K679)&amp;"-"&amp;TEXT(MONTH(K679),"00")</f>
        <v>2025-08</v>
      </c>
      <c r="Z679" s="0" t="str">
        <f aca="false">C679&amp;" → "&amp;D679</f>
        <v>Chennai → Surat</v>
      </c>
      <c r="AA679" s="0" t="str">
        <f aca="false">Raw!Q679</f>
        <v>TCI Express</v>
      </c>
      <c r="AB679" s="0" t="str">
        <f aca="false">Raw!R679</f>
        <v>No</v>
      </c>
      <c r="AC679" s="0" t="str">
        <f aca="false">Raw!S679</f>
        <v>Expedited</v>
      </c>
      <c r="AD679" s="29" t="n">
        <f aca="false">Raw!N679</f>
        <v>2368.87</v>
      </c>
      <c r="AE679" s="29" t="n">
        <f aca="false">Raw!O679</f>
        <v>3988.94</v>
      </c>
      <c r="AF679" s="29" t="n">
        <f aca="false">Raw!P679</f>
        <v>709.42</v>
      </c>
      <c r="AG679" s="29" t="n">
        <f aca="false">AD679/J679</f>
        <v>1190.38693467337</v>
      </c>
    </row>
    <row r="680" customFormat="false" ht="15" hidden="false" customHeight="false" outlineLevel="0" collapsed="false">
      <c r="A680" s="0" t="str">
        <f aca="false">Raw!A680</f>
        <v>SHP0679</v>
      </c>
      <c r="B680" s="0" t="str">
        <f aca="false">Raw!B680</f>
        <v>Inbound</v>
      </c>
      <c r="C680" s="0" t="str">
        <f aca="false">Raw!C680</f>
        <v>Rajasthan</v>
      </c>
      <c r="D680" s="0" t="str">
        <f aca="false">Raw!D680</f>
        <v>Surat</v>
      </c>
      <c r="E680" s="0" t="str">
        <f aca="false">IFERROR(INDEX(Location_Map!$B$2:$B$15,MATCH(C680,Location_Map!$A$2:$A$15,0)),"UNMAPPED")</f>
        <v>Rajasthan</v>
      </c>
      <c r="F680" s="0" t="str">
        <f aca="false">IFERROR(INDEX(Location_Map!$C$2:$C$15,MATCH(C680,Location_Map!$A$2:$A$15,0)),"UNMAPPED")</f>
        <v>North</v>
      </c>
      <c r="G680" s="0" t="str">
        <f aca="false">IFERROR(INDEX(Location_Map!$B$2:$B$15,MATCH(D680,Location_Map!$A$2:$A$15,0)),"UNMAPPED")</f>
        <v>Gujarat</v>
      </c>
      <c r="H680" s="0" t="str">
        <f aca="false">IFERROR(INDEX(Location_Map!$C$2:$C$15,MATCH(D680,Location_Map!$A$2:$A$15,0)),"UNMAPPED")</f>
        <v>West</v>
      </c>
      <c r="I680" s="0" t="str">
        <f aca="false">Raw!E680</f>
        <v>Finished Yarn</v>
      </c>
      <c r="J680" s="28" t="n">
        <f aca="false">Raw!F680</f>
        <v>11.2</v>
      </c>
      <c r="K680" s="30" t="n">
        <f aca="false">DATE(LEFT(Raw!G680,4),MID(Raw!G680,6,2),MID(Raw!G680,9,2))</f>
        <v>45879</v>
      </c>
      <c r="L680" s="30" t="n">
        <f aca="false">DATE(LEFT(Raw!H680,4),MID(Raw!H680,6,2),MID(Raw!H680,9,2))</f>
        <v>45882</v>
      </c>
      <c r="M680" s="30" t="n">
        <f aca="false">DATE(LEFT(Raw!I680,4),MID(Raw!I680,6,2),MID(Raw!I680,9,2))</f>
        <v>45888</v>
      </c>
      <c r="N680" s="31" t="n">
        <f aca="false">DATE(LEFT(Raw!J680,4),MID(Raw!J680,6,2),MID(Raw!J680,9,2))+TIME(MID(Raw!J680,12,2),MID(Raw!J680,15,2),MID(Raw!J680,18,2))</f>
        <v>45882.2916666667</v>
      </c>
      <c r="O680" s="31" t="n">
        <f aca="false">DATE(LEFT(Raw!K680,4),MID(Raw!K680,6,2),MID(Raw!K680,9,2))+TIME(MID(Raw!K680,12,2),MID(Raw!K680,15,2),MID(Raw!K680,18,2))</f>
        <v>45888.3</v>
      </c>
      <c r="P680" s="32" t="n">
        <f aca="false">L680-K680</f>
        <v>3</v>
      </c>
      <c r="Q680" s="32" t="n">
        <f aca="false">M680-L680</f>
        <v>6</v>
      </c>
      <c r="R680" s="32" t="n">
        <f aca="false">O680-N680</f>
        <v>6.00833333333333</v>
      </c>
      <c r="S680" s="32" t="n">
        <f aca="false">Raw!L680</f>
        <v>0.3</v>
      </c>
      <c r="T680" s="32" t="n">
        <f aca="false">O680-M680</f>
        <v>0.3</v>
      </c>
      <c r="U680" s="0" t="str">
        <f aca="false">IF(ABS(T680-S680)&lt;0.01,"OK","MISMATCH")</f>
        <v>OK</v>
      </c>
      <c r="V680" s="33" t="n">
        <f aca="false">Raw!M680</f>
        <v>1</v>
      </c>
      <c r="W680" s="0" t="str">
        <f aca="false">IF((S680&gt;0)=(V680=1),"OK","MISMATCH")</f>
        <v>OK</v>
      </c>
      <c r="X680" s="0" t="str">
        <f aca="false">_xlfn.IFS(S680&lt;=0,"Early/On time",S680&lt;=2,"Minor (up to 2 days)",S680&lt;=5,"Moderate (2-5 days)",TRUE(),"Severe (over 5 days)")</f>
        <v>Minor (up to 2 days)</v>
      </c>
      <c r="Y680" s="0" t="str">
        <f aca="false">YEAR(K680)&amp;"-"&amp;TEXT(MONTH(K680),"00")</f>
        <v>2025-08</v>
      </c>
      <c r="Z680" s="0" t="str">
        <f aca="false">C680&amp;" → "&amp;D680</f>
        <v>Rajasthan → Surat</v>
      </c>
      <c r="AA680" s="0" t="str">
        <f aca="false">Raw!Q680</f>
        <v>TCI Express</v>
      </c>
      <c r="AB680" s="0" t="str">
        <f aca="false">Raw!R680</f>
        <v>Yes</v>
      </c>
      <c r="AC680" s="0" t="str">
        <f aca="false">Raw!S680</f>
        <v>Damaged</v>
      </c>
      <c r="AD680" s="29" t="n">
        <f aca="false">Raw!N680</f>
        <v>8245.24</v>
      </c>
      <c r="AE680" s="29" t="n">
        <f aca="false">Raw!O680</f>
        <v>3941.85</v>
      </c>
      <c r="AF680" s="29" t="n">
        <f aca="false">Raw!P680</f>
        <v>580.02</v>
      </c>
      <c r="AG680" s="29" t="n">
        <f aca="false">AD680/J680</f>
        <v>736.182142857143</v>
      </c>
    </row>
    <row r="681" customFormat="false" ht="15" hidden="false" customHeight="false" outlineLevel="0" collapsed="false">
      <c r="A681" s="0" t="str">
        <f aca="false">Raw!A681</f>
        <v>SHP0680</v>
      </c>
      <c r="B681" s="0" t="str">
        <f aca="false">Raw!B681</f>
        <v>Inbound</v>
      </c>
      <c r="C681" s="0" t="str">
        <f aca="false">Raw!C681</f>
        <v>Gujarat</v>
      </c>
      <c r="D681" s="0" t="str">
        <f aca="false">Raw!D681</f>
        <v>Surat</v>
      </c>
      <c r="E681" s="0" t="str">
        <f aca="false">IFERROR(INDEX(Location_Map!$B$2:$B$15,MATCH(C681,Location_Map!$A$2:$A$15,0)),"UNMAPPED")</f>
        <v>Gujarat</v>
      </c>
      <c r="F681" s="0" t="str">
        <f aca="false">IFERROR(INDEX(Location_Map!$C$2:$C$15,MATCH(C681,Location_Map!$A$2:$A$15,0)),"UNMAPPED")</f>
        <v>West</v>
      </c>
      <c r="G681" s="0" t="str">
        <f aca="false">IFERROR(INDEX(Location_Map!$B$2:$B$15,MATCH(D681,Location_Map!$A$2:$A$15,0)),"UNMAPPED")</f>
        <v>Gujarat</v>
      </c>
      <c r="H681" s="0" t="str">
        <f aca="false">IFERROR(INDEX(Location_Map!$C$2:$C$15,MATCH(D681,Location_Map!$A$2:$A$15,0)),"UNMAPPED")</f>
        <v>West</v>
      </c>
      <c r="I681" s="0" t="str">
        <f aca="false">Raw!E681</f>
        <v>Semi-Processed Yarn</v>
      </c>
      <c r="J681" s="28" t="n">
        <f aca="false">Raw!F681</f>
        <v>7.83</v>
      </c>
      <c r="K681" s="30" t="n">
        <f aca="false">DATE(LEFT(Raw!G681,4),MID(Raw!G681,6,2),MID(Raw!G681,9,2))</f>
        <v>45915</v>
      </c>
      <c r="L681" s="30" t="n">
        <f aca="false">DATE(LEFT(Raw!H681,4),MID(Raw!H681,6,2),MID(Raw!H681,9,2))</f>
        <v>45916</v>
      </c>
      <c r="M681" s="30" t="n">
        <f aca="false">DATE(LEFT(Raw!I681,4),MID(Raw!I681,6,2),MID(Raw!I681,9,2))</f>
        <v>45920</v>
      </c>
      <c r="N681" s="31" t="n">
        <f aca="false">DATE(LEFT(Raw!J681,4),MID(Raw!J681,6,2),MID(Raw!J681,9,2))+TIME(MID(Raw!J681,12,2),MID(Raw!J681,15,2),MID(Raw!J681,18,2))</f>
        <v>45916.0833333333</v>
      </c>
      <c r="O681" s="31" t="n">
        <f aca="false">DATE(LEFT(Raw!K681,4),MID(Raw!K681,6,2),MID(Raw!K681,9,2))+TIME(MID(Raw!K681,12,2),MID(Raw!K681,15,2),MID(Raw!K681,18,2))</f>
        <v>45923.6</v>
      </c>
      <c r="P681" s="32" t="n">
        <f aca="false">L681-K681</f>
        <v>1</v>
      </c>
      <c r="Q681" s="32" t="n">
        <f aca="false">M681-L681</f>
        <v>4</v>
      </c>
      <c r="R681" s="32" t="n">
        <f aca="false">O681-N681</f>
        <v>7.51666666666667</v>
      </c>
      <c r="S681" s="32" t="n">
        <f aca="false">Raw!L681</f>
        <v>3.6</v>
      </c>
      <c r="T681" s="32" t="n">
        <f aca="false">O681-M681</f>
        <v>3.6</v>
      </c>
      <c r="U681" s="0" t="str">
        <f aca="false">IF(ABS(T681-S681)&lt;0.01,"OK","MISMATCH")</f>
        <v>OK</v>
      </c>
      <c r="V681" s="33" t="n">
        <f aca="false">Raw!M681</f>
        <v>1</v>
      </c>
      <c r="W681" s="0" t="str">
        <f aca="false">IF((S681&gt;0)=(V681=1),"OK","MISMATCH")</f>
        <v>OK</v>
      </c>
      <c r="X681" s="0" t="str">
        <f aca="false">_xlfn.IFS(S681&lt;=0,"Early/On time",S681&lt;=2,"Minor (up to 2 days)",S681&lt;=5,"Moderate (2-5 days)",TRUE(),"Severe (over 5 days)")</f>
        <v>Moderate (2-5 days)</v>
      </c>
      <c r="Y681" s="0" t="str">
        <f aca="false">YEAR(K681)&amp;"-"&amp;TEXT(MONTH(K681),"00")</f>
        <v>2025-09</v>
      </c>
      <c r="Z681" s="0" t="str">
        <f aca="false">C681&amp;" → "&amp;D681</f>
        <v>Gujarat → Surat</v>
      </c>
      <c r="AA681" s="0" t="str">
        <f aca="false">Raw!Q681</f>
        <v>GATI Logistics</v>
      </c>
      <c r="AB681" s="0" t="str">
        <f aca="false">Raw!R681</f>
        <v>Yes</v>
      </c>
      <c r="AC681" s="0" t="str">
        <f aca="false">Raw!S681</f>
        <v>Damaged</v>
      </c>
      <c r="AD681" s="29" t="n">
        <f aca="false">Raw!N681</f>
        <v>3179.77</v>
      </c>
      <c r="AE681" s="29" t="n">
        <f aca="false">Raw!O681</f>
        <v>4701.15</v>
      </c>
      <c r="AF681" s="29" t="n">
        <f aca="false">Raw!P681</f>
        <v>1367.97</v>
      </c>
      <c r="AG681" s="29" t="n">
        <f aca="false">AD681/J681</f>
        <v>406.100893997446</v>
      </c>
    </row>
    <row r="682" customFormat="false" ht="15" hidden="false" customHeight="false" outlineLevel="0" collapsed="false">
      <c r="A682" s="0" t="str">
        <f aca="false">Raw!A682</f>
        <v>SHP0681</v>
      </c>
      <c r="B682" s="0" t="str">
        <f aca="false">Raw!B682</f>
        <v>Inbound</v>
      </c>
      <c r="C682" s="0" t="str">
        <f aca="false">Raw!C682</f>
        <v>Uttar Pradesh</v>
      </c>
      <c r="D682" s="0" t="str">
        <f aca="false">Raw!D682</f>
        <v>Surat</v>
      </c>
      <c r="E682" s="0" t="str">
        <f aca="false">IFERROR(INDEX(Location_Map!$B$2:$B$15,MATCH(C682,Location_Map!$A$2:$A$15,0)),"UNMAPPED")</f>
        <v>Uttar Pradesh</v>
      </c>
      <c r="F682" s="0" t="str">
        <f aca="false">IFERROR(INDEX(Location_Map!$C$2:$C$15,MATCH(C682,Location_Map!$A$2:$A$15,0)),"UNMAPPED")</f>
        <v>North</v>
      </c>
      <c r="G682" s="0" t="str">
        <f aca="false">IFERROR(INDEX(Location_Map!$B$2:$B$15,MATCH(D682,Location_Map!$A$2:$A$15,0)),"UNMAPPED")</f>
        <v>Gujarat</v>
      </c>
      <c r="H682" s="0" t="str">
        <f aca="false">IFERROR(INDEX(Location_Map!$C$2:$C$15,MATCH(D682,Location_Map!$A$2:$A$15,0)),"UNMAPPED")</f>
        <v>West</v>
      </c>
      <c r="I682" s="0" t="str">
        <f aca="false">Raw!E682</f>
        <v>Finished Yarn</v>
      </c>
      <c r="J682" s="28" t="n">
        <f aca="false">Raw!F682</f>
        <v>10.49</v>
      </c>
      <c r="K682" s="30" t="n">
        <f aca="false">DATE(LEFT(Raw!G682,4),MID(Raw!G682,6,2),MID(Raw!G682,9,2))</f>
        <v>45676</v>
      </c>
      <c r="L682" s="30" t="n">
        <f aca="false">DATE(LEFT(Raw!H682,4),MID(Raw!H682,6,2),MID(Raw!H682,9,2))</f>
        <v>45679</v>
      </c>
      <c r="M682" s="30" t="n">
        <f aca="false">DATE(LEFT(Raw!I682,4),MID(Raw!I682,6,2),MID(Raw!I682,9,2))</f>
        <v>45684</v>
      </c>
      <c r="N682" s="31" t="n">
        <f aca="false">DATE(LEFT(Raw!J682,4),MID(Raw!J682,6,2),MID(Raw!J682,9,2))+TIME(MID(Raw!J682,12,2),MID(Raw!J682,15,2),MID(Raw!J682,18,2))</f>
        <v>45678.9583333333</v>
      </c>
      <c r="O682" s="31" t="n">
        <f aca="false">DATE(LEFT(Raw!K682,4),MID(Raw!K682,6,2),MID(Raw!K682,9,2))+TIME(MID(Raw!K682,12,2),MID(Raw!K682,15,2),MID(Raw!K682,18,2))</f>
        <v>45687.6</v>
      </c>
      <c r="P682" s="32" t="n">
        <f aca="false">L682-K682</f>
        <v>3</v>
      </c>
      <c r="Q682" s="32" t="n">
        <f aca="false">M682-L682</f>
        <v>5</v>
      </c>
      <c r="R682" s="32" t="n">
        <f aca="false">O682-N682</f>
        <v>8.64166666666667</v>
      </c>
      <c r="S682" s="32" t="n">
        <f aca="false">Raw!L682</f>
        <v>3.6</v>
      </c>
      <c r="T682" s="32" t="n">
        <f aca="false">O682-M682</f>
        <v>3.6</v>
      </c>
      <c r="U682" s="0" t="str">
        <f aca="false">IF(ABS(T682-S682)&lt;0.01,"OK","MISMATCH")</f>
        <v>OK</v>
      </c>
      <c r="V682" s="33" t="n">
        <f aca="false">Raw!M682</f>
        <v>1</v>
      </c>
      <c r="W682" s="0" t="str">
        <f aca="false">IF((S682&gt;0)=(V682=1),"OK","MISMATCH")</f>
        <v>OK</v>
      </c>
      <c r="X682" s="0" t="str">
        <f aca="false">_xlfn.IFS(S682&lt;=0,"Early/On time",S682&lt;=2,"Minor (up to 2 days)",S682&lt;=5,"Moderate (2-5 days)",TRUE(),"Severe (over 5 days)")</f>
        <v>Moderate (2-5 days)</v>
      </c>
      <c r="Y682" s="0" t="str">
        <f aca="false">YEAR(K682)&amp;"-"&amp;TEXT(MONTH(K682),"00")</f>
        <v>2025-01</v>
      </c>
      <c r="Z682" s="0" t="str">
        <f aca="false">C682&amp;" → "&amp;D682</f>
        <v>Uttar Pradesh → Surat</v>
      </c>
      <c r="AA682" s="0" t="str">
        <f aca="false">Raw!Q682</f>
        <v>GATI Logistics</v>
      </c>
      <c r="AB682" s="0" t="str">
        <f aca="false">Raw!R682</f>
        <v>Yes</v>
      </c>
      <c r="AC682" s="0" t="str">
        <f aca="false">Raw!S682</f>
        <v>Returned</v>
      </c>
      <c r="AD682" s="29" t="n">
        <f aca="false">Raw!N682</f>
        <v>4835.47</v>
      </c>
      <c r="AE682" s="29" t="n">
        <f aca="false">Raw!O682</f>
        <v>4917.05</v>
      </c>
      <c r="AF682" s="29" t="n">
        <f aca="false">Raw!P682</f>
        <v>1196.36</v>
      </c>
      <c r="AG682" s="29" t="n">
        <f aca="false">AD682/J682</f>
        <v>460.959961868446</v>
      </c>
    </row>
    <row r="683" customFormat="false" ht="15" hidden="false" customHeight="false" outlineLevel="0" collapsed="false">
      <c r="A683" s="0" t="str">
        <f aca="false">Raw!A683</f>
        <v>SHP0682</v>
      </c>
      <c r="B683" s="0" t="str">
        <f aca="false">Raw!B683</f>
        <v>Outbound</v>
      </c>
      <c r="C683" s="0" t="str">
        <f aca="false">Raw!C683</f>
        <v>Surat</v>
      </c>
      <c r="D683" s="0" t="str">
        <f aca="false">Raw!D683</f>
        <v>Kerala</v>
      </c>
      <c r="E683" s="0" t="str">
        <f aca="false">IFERROR(INDEX(Location_Map!$B$2:$B$15,MATCH(C683,Location_Map!$A$2:$A$15,0)),"UNMAPPED")</f>
        <v>Gujarat</v>
      </c>
      <c r="F683" s="0" t="str">
        <f aca="false">IFERROR(INDEX(Location_Map!$C$2:$C$15,MATCH(C683,Location_Map!$A$2:$A$15,0)),"UNMAPPED")</f>
        <v>West</v>
      </c>
      <c r="G683" s="0" t="str">
        <f aca="false">IFERROR(INDEX(Location_Map!$B$2:$B$15,MATCH(D683,Location_Map!$A$2:$A$15,0)),"UNMAPPED")</f>
        <v>Kerala</v>
      </c>
      <c r="H683" s="0" t="str">
        <f aca="false">IFERROR(INDEX(Location_Map!$C$2:$C$15,MATCH(D683,Location_Map!$A$2:$A$15,0)),"UNMAPPED")</f>
        <v>South</v>
      </c>
      <c r="I683" s="0" t="str">
        <f aca="false">Raw!E683</f>
        <v>Finished Yarn</v>
      </c>
      <c r="J683" s="28" t="n">
        <f aca="false">Raw!F683</f>
        <v>13.77</v>
      </c>
      <c r="K683" s="30" t="n">
        <f aca="false">DATE(LEFT(Raw!G683,4),MID(Raw!G683,6,2),MID(Raw!G683,9,2))</f>
        <v>45730</v>
      </c>
      <c r="L683" s="30" t="n">
        <f aca="false">DATE(LEFT(Raw!H683,4),MID(Raw!H683,6,2),MID(Raw!H683,9,2))</f>
        <v>45733</v>
      </c>
      <c r="M683" s="30" t="n">
        <f aca="false">DATE(LEFT(Raw!I683,4),MID(Raw!I683,6,2),MID(Raw!I683,9,2))</f>
        <v>45737</v>
      </c>
      <c r="N683" s="31" t="n">
        <f aca="false">DATE(LEFT(Raw!J683,4),MID(Raw!J683,6,2),MID(Raw!J683,9,2))+TIME(MID(Raw!J683,12,2),MID(Raw!J683,15,2),MID(Raw!J683,18,2))</f>
        <v>45732.7916666667</v>
      </c>
      <c r="O683" s="31" t="n">
        <f aca="false">DATE(LEFT(Raw!K683,4),MID(Raw!K683,6,2),MID(Raw!K683,9,2))+TIME(MID(Raw!K683,12,2),MID(Raw!K683,15,2),MID(Raw!K683,18,2))</f>
        <v>45737.4</v>
      </c>
      <c r="P683" s="32" t="n">
        <f aca="false">L683-K683</f>
        <v>3</v>
      </c>
      <c r="Q683" s="32" t="n">
        <f aca="false">M683-L683</f>
        <v>4</v>
      </c>
      <c r="R683" s="32" t="n">
        <f aca="false">O683-N683</f>
        <v>4.60833333333333</v>
      </c>
      <c r="S683" s="32" t="n">
        <f aca="false">Raw!L683</f>
        <v>0.4</v>
      </c>
      <c r="T683" s="32" t="n">
        <f aca="false">O683-M683</f>
        <v>0.4</v>
      </c>
      <c r="U683" s="0" t="str">
        <f aca="false">IF(ABS(T683-S683)&lt;0.01,"OK","MISMATCH")</f>
        <v>OK</v>
      </c>
      <c r="V683" s="33" t="n">
        <f aca="false">Raw!M683</f>
        <v>1</v>
      </c>
      <c r="W683" s="0" t="str">
        <f aca="false">IF((S683&gt;0)=(V683=1),"OK","MISMATCH")</f>
        <v>OK</v>
      </c>
      <c r="X683" s="0" t="str">
        <f aca="false">_xlfn.IFS(S683&lt;=0,"Early/On time",S683&lt;=2,"Minor (up to 2 days)",S683&lt;=5,"Moderate (2-5 days)",TRUE(),"Severe (over 5 days)")</f>
        <v>Minor (up to 2 days)</v>
      </c>
      <c r="Y683" s="0" t="str">
        <f aca="false">YEAR(K683)&amp;"-"&amp;TEXT(MONTH(K683),"00")</f>
        <v>2025-03</v>
      </c>
      <c r="Z683" s="0" t="str">
        <f aca="false">C683&amp;" → "&amp;D683</f>
        <v>Surat → Kerala</v>
      </c>
      <c r="AA683" s="0" t="str">
        <f aca="false">Raw!Q683</f>
        <v>Delhivery</v>
      </c>
      <c r="AB683" s="0" t="str">
        <f aca="false">Raw!R683</f>
        <v>Yes</v>
      </c>
      <c r="AC683" s="0" t="str">
        <f aca="false">Raw!S683</f>
        <v>Damaged</v>
      </c>
      <c r="AD683" s="29" t="n">
        <f aca="false">Raw!N683</f>
        <v>5766.69</v>
      </c>
      <c r="AE683" s="29" t="n">
        <f aca="false">Raw!O683</f>
        <v>2178.41</v>
      </c>
      <c r="AF683" s="29" t="n">
        <f aca="false">Raw!P683</f>
        <v>758.71</v>
      </c>
      <c r="AG683" s="29" t="n">
        <f aca="false">AD683/J683</f>
        <v>418.786492374728</v>
      </c>
    </row>
    <row r="684" customFormat="false" ht="15" hidden="false" customHeight="false" outlineLevel="0" collapsed="false">
      <c r="A684" s="0" t="str">
        <f aca="false">Raw!A684</f>
        <v>SHP0683</v>
      </c>
      <c r="B684" s="0" t="str">
        <f aca="false">Raw!B684</f>
        <v>Outbound</v>
      </c>
      <c r="C684" s="0" t="str">
        <f aca="false">Raw!C684</f>
        <v>Surat</v>
      </c>
      <c r="D684" s="0" t="str">
        <f aca="false">Raw!D684</f>
        <v>West Bengal</v>
      </c>
      <c r="E684" s="0" t="str">
        <f aca="false">IFERROR(INDEX(Location_Map!$B$2:$B$15,MATCH(C684,Location_Map!$A$2:$A$15,0)),"UNMAPPED")</f>
        <v>Gujarat</v>
      </c>
      <c r="F684" s="0" t="str">
        <f aca="false">IFERROR(INDEX(Location_Map!$C$2:$C$15,MATCH(C684,Location_Map!$A$2:$A$15,0)),"UNMAPPED")</f>
        <v>West</v>
      </c>
      <c r="G684" s="0" t="str">
        <f aca="false">IFERROR(INDEX(Location_Map!$B$2:$B$15,MATCH(D684,Location_Map!$A$2:$A$15,0)),"UNMAPPED")</f>
        <v>West Bengal</v>
      </c>
      <c r="H684" s="0" t="str">
        <f aca="false">IFERROR(INDEX(Location_Map!$C$2:$C$15,MATCH(D684,Location_Map!$A$2:$A$15,0)),"UNMAPPED")</f>
        <v>East</v>
      </c>
      <c r="I684" s="0" t="str">
        <f aca="false">Raw!E684</f>
        <v>Raw Yarn</v>
      </c>
      <c r="J684" s="28" t="n">
        <f aca="false">Raw!F684</f>
        <v>1.49</v>
      </c>
      <c r="K684" s="30" t="n">
        <f aca="false">DATE(LEFT(Raw!G684,4),MID(Raw!G684,6,2),MID(Raw!G684,9,2))</f>
        <v>45743</v>
      </c>
      <c r="L684" s="30" t="n">
        <f aca="false">DATE(LEFT(Raw!H684,4),MID(Raw!H684,6,2),MID(Raw!H684,9,2))</f>
        <v>45746</v>
      </c>
      <c r="M684" s="30" t="n">
        <f aca="false">DATE(LEFT(Raw!I684,4),MID(Raw!I684,6,2),MID(Raw!I684,9,2))</f>
        <v>45752</v>
      </c>
      <c r="N684" s="31" t="n">
        <f aca="false">DATE(LEFT(Raw!J684,4),MID(Raw!J684,6,2),MID(Raw!J684,9,2))+TIME(MID(Raw!J684,12,2),MID(Raw!J684,15,2),MID(Raw!J684,18,2))</f>
        <v>45745.7916666667</v>
      </c>
      <c r="O684" s="31" t="n">
        <f aca="false">DATE(LEFT(Raw!K684,4),MID(Raw!K684,6,2),MID(Raw!K684,9,2))+TIME(MID(Raw!K684,12,2),MID(Raw!K684,15,2),MID(Raw!K684,18,2))</f>
        <v>45755.9</v>
      </c>
      <c r="P684" s="32" t="n">
        <f aca="false">L684-K684</f>
        <v>3</v>
      </c>
      <c r="Q684" s="32" t="n">
        <f aca="false">M684-L684</f>
        <v>6</v>
      </c>
      <c r="R684" s="32" t="n">
        <f aca="false">O684-N684</f>
        <v>10.1083333333333</v>
      </c>
      <c r="S684" s="32" t="n">
        <f aca="false">Raw!L684</f>
        <v>3.9</v>
      </c>
      <c r="T684" s="32" t="n">
        <f aca="false">O684-M684</f>
        <v>3.9</v>
      </c>
      <c r="U684" s="0" t="str">
        <f aca="false">IF(ABS(T684-S684)&lt;0.01,"OK","MISMATCH")</f>
        <v>OK</v>
      </c>
      <c r="V684" s="33" t="n">
        <f aca="false">Raw!M684</f>
        <v>1</v>
      </c>
      <c r="W684" s="0" t="str">
        <f aca="false">IF((S684&gt;0)=(V684=1),"OK","MISMATCH")</f>
        <v>OK</v>
      </c>
      <c r="X684" s="0" t="str">
        <f aca="false">_xlfn.IFS(S684&lt;=0,"Early/On time",S684&lt;=2,"Minor (up to 2 days)",S684&lt;=5,"Moderate (2-5 days)",TRUE(),"Severe (over 5 days)")</f>
        <v>Moderate (2-5 days)</v>
      </c>
      <c r="Y684" s="0" t="str">
        <f aca="false">YEAR(K684)&amp;"-"&amp;TEXT(MONTH(K684),"00")</f>
        <v>2025-03</v>
      </c>
      <c r="Z684" s="0" t="str">
        <f aca="false">C684&amp;" → "&amp;D684</f>
        <v>Surat → West Bengal</v>
      </c>
      <c r="AA684" s="0" t="str">
        <f aca="false">Raw!Q684</f>
        <v>VRL Cargo</v>
      </c>
      <c r="AB684" s="0" t="str">
        <f aca="false">Raw!R684</f>
        <v>No</v>
      </c>
      <c r="AC684" s="0" t="str">
        <f aca="false">Raw!S684</f>
        <v>Held at warehouse</v>
      </c>
      <c r="AD684" s="29" t="n">
        <f aca="false">Raw!N684</f>
        <v>1339.71</v>
      </c>
      <c r="AE684" s="29" t="n">
        <f aca="false">Raw!O684</f>
        <v>3307.74</v>
      </c>
      <c r="AF684" s="29" t="n">
        <f aca="false">Raw!P684</f>
        <v>654.84</v>
      </c>
      <c r="AG684" s="29" t="n">
        <f aca="false">AD684/J684</f>
        <v>899.13422818792</v>
      </c>
    </row>
    <row r="685" customFormat="false" ht="15" hidden="false" customHeight="false" outlineLevel="0" collapsed="false">
      <c r="A685" s="0" t="str">
        <f aca="false">Raw!A685</f>
        <v>SHP0684</v>
      </c>
      <c r="B685" s="0" t="str">
        <f aca="false">Raw!B685</f>
        <v>Inbound</v>
      </c>
      <c r="C685" s="0" t="str">
        <f aca="false">Raw!C685</f>
        <v>Uttar Pradesh</v>
      </c>
      <c r="D685" s="0" t="str">
        <f aca="false">Raw!D685</f>
        <v>Surat</v>
      </c>
      <c r="E685" s="0" t="str">
        <f aca="false">IFERROR(INDEX(Location_Map!$B$2:$B$15,MATCH(C685,Location_Map!$A$2:$A$15,0)),"UNMAPPED")</f>
        <v>Uttar Pradesh</v>
      </c>
      <c r="F685" s="0" t="str">
        <f aca="false">IFERROR(INDEX(Location_Map!$C$2:$C$15,MATCH(C685,Location_Map!$A$2:$A$15,0)),"UNMAPPED")</f>
        <v>North</v>
      </c>
      <c r="G685" s="0" t="str">
        <f aca="false">IFERROR(INDEX(Location_Map!$B$2:$B$15,MATCH(D685,Location_Map!$A$2:$A$15,0)),"UNMAPPED")</f>
        <v>Gujarat</v>
      </c>
      <c r="H685" s="0" t="str">
        <f aca="false">IFERROR(INDEX(Location_Map!$C$2:$C$15,MATCH(D685,Location_Map!$A$2:$A$15,0)),"UNMAPPED")</f>
        <v>West</v>
      </c>
      <c r="I685" s="0" t="str">
        <f aca="false">Raw!E685</f>
        <v>Finished Yarn</v>
      </c>
      <c r="J685" s="28" t="n">
        <f aca="false">Raw!F685</f>
        <v>7.77</v>
      </c>
      <c r="K685" s="30" t="n">
        <f aca="false">DATE(LEFT(Raw!G685,4),MID(Raw!G685,6,2),MID(Raw!G685,9,2))</f>
        <v>45867</v>
      </c>
      <c r="L685" s="30" t="n">
        <f aca="false">DATE(LEFT(Raw!H685,4),MID(Raw!H685,6,2),MID(Raw!H685,9,2))</f>
        <v>45870</v>
      </c>
      <c r="M685" s="30" t="n">
        <f aca="false">DATE(LEFT(Raw!I685,4),MID(Raw!I685,6,2),MID(Raw!I685,9,2))</f>
        <v>45876</v>
      </c>
      <c r="N685" s="31" t="n">
        <f aca="false">DATE(LEFT(Raw!J685,4),MID(Raw!J685,6,2),MID(Raw!J685,9,2))+TIME(MID(Raw!J685,12,2),MID(Raw!J685,15,2),MID(Raw!J685,18,2))</f>
        <v>45870.0416666667</v>
      </c>
      <c r="O685" s="31" t="n">
        <f aca="false">DATE(LEFT(Raw!K685,4),MID(Raw!K685,6,2),MID(Raw!K685,9,2))+TIME(MID(Raw!K685,12,2),MID(Raw!K685,15,2),MID(Raw!K685,18,2))</f>
        <v>45876.9</v>
      </c>
      <c r="P685" s="32" t="n">
        <f aca="false">L685-K685</f>
        <v>3</v>
      </c>
      <c r="Q685" s="32" t="n">
        <f aca="false">M685-L685</f>
        <v>6</v>
      </c>
      <c r="R685" s="32" t="n">
        <f aca="false">O685-N685</f>
        <v>6.85833333333333</v>
      </c>
      <c r="S685" s="32" t="n">
        <f aca="false">Raw!L685</f>
        <v>0.9</v>
      </c>
      <c r="T685" s="32" t="n">
        <f aca="false">O685-M685</f>
        <v>0.9</v>
      </c>
      <c r="U685" s="0" t="str">
        <f aca="false">IF(ABS(T685-S685)&lt;0.01,"OK","MISMATCH")</f>
        <v>OK</v>
      </c>
      <c r="V685" s="33" t="n">
        <f aca="false">Raw!M685</f>
        <v>1</v>
      </c>
      <c r="W685" s="0" t="str">
        <f aca="false">IF((S685&gt;0)=(V685=1),"OK","MISMATCH")</f>
        <v>OK</v>
      </c>
      <c r="X685" s="0" t="str">
        <f aca="false">_xlfn.IFS(S685&lt;=0,"Early/On time",S685&lt;=2,"Minor (up to 2 days)",S685&lt;=5,"Moderate (2-5 days)",TRUE(),"Severe (over 5 days)")</f>
        <v>Minor (up to 2 days)</v>
      </c>
      <c r="Y685" s="0" t="str">
        <f aca="false">YEAR(K685)&amp;"-"&amp;TEXT(MONTH(K685),"00")</f>
        <v>2025-07</v>
      </c>
      <c r="Z685" s="0" t="str">
        <f aca="false">C685&amp;" → "&amp;D685</f>
        <v>Uttar Pradesh → Surat</v>
      </c>
      <c r="AA685" s="0" t="str">
        <f aca="false">Raw!Q685</f>
        <v>TCI Express</v>
      </c>
      <c r="AB685" s="0" t="str">
        <f aca="false">Raw!R685</f>
        <v>No</v>
      </c>
      <c r="AC685" s="0" t="str">
        <f aca="false">Raw!S685</f>
        <v>Damaged</v>
      </c>
      <c r="AD685" s="29" t="n">
        <f aca="false">Raw!N685</f>
        <v>4217.27</v>
      </c>
      <c r="AE685" s="29" t="n">
        <f aca="false">Raw!O685</f>
        <v>1023.46</v>
      </c>
      <c r="AF685" s="29" t="n">
        <f aca="false">Raw!P685</f>
        <v>578.51</v>
      </c>
      <c r="AG685" s="29" t="n">
        <f aca="false">AD685/J685</f>
        <v>542.763191763192</v>
      </c>
    </row>
    <row r="686" customFormat="false" ht="15" hidden="false" customHeight="false" outlineLevel="0" collapsed="false">
      <c r="A686" s="0" t="str">
        <f aca="false">Raw!A686</f>
        <v>SHP0685</v>
      </c>
      <c r="B686" s="0" t="str">
        <f aca="false">Raw!B686</f>
        <v>Inbound</v>
      </c>
      <c r="C686" s="0" t="str">
        <f aca="false">Raw!C686</f>
        <v>Chennai</v>
      </c>
      <c r="D686" s="0" t="str">
        <f aca="false">Raw!D686</f>
        <v>Surat</v>
      </c>
      <c r="E686" s="0" t="str">
        <f aca="false">IFERROR(INDEX(Location_Map!$B$2:$B$15,MATCH(C686,Location_Map!$A$2:$A$15,0)),"UNMAPPED")</f>
        <v>Tamil Nadu</v>
      </c>
      <c r="F686" s="0" t="str">
        <f aca="false">IFERROR(INDEX(Location_Map!$C$2:$C$15,MATCH(C686,Location_Map!$A$2:$A$15,0)),"UNMAPPED")</f>
        <v>South</v>
      </c>
      <c r="G686" s="0" t="str">
        <f aca="false">IFERROR(INDEX(Location_Map!$B$2:$B$15,MATCH(D686,Location_Map!$A$2:$A$15,0)),"UNMAPPED")</f>
        <v>Gujarat</v>
      </c>
      <c r="H686" s="0" t="str">
        <f aca="false">IFERROR(INDEX(Location_Map!$C$2:$C$15,MATCH(D686,Location_Map!$A$2:$A$15,0)),"UNMAPPED")</f>
        <v>West</v>
      </c>
      <c r="I686" s="0" t="str">
        <f aca="false">Raw!E686</f>
        <v>Raw Yarn</v>
      </c>
      <c r="J686" s="28" t="n">
        <f aca="false">Raw!F686</f>
        <v>17.74</v>
      </c>
      <c r="K686" s="30" t="n">
        <f aca="false">DATE(LEFT(Raw!G686,4),MID(Raw!G686,6,2),MID(Raw!G686,9,2))</f>
        <v>45681</v>
      </c>
      <c r="L686" s="30" t="n">
        <f aca="false">DATE(LEFT(Raw!H686,4),MID(Raw!H686,6,2),MID(Raw!H686,9,2))</f>
        <v>45684</v>
      </c>
      <c r="M686" s="30" t="n">
        <f aca="false">DATE(LEFT(Raw!I686,4),MID(Raw!I686,6,2),MID(Raw!I686,9,2))</f>
        <v>45689</v>
      </c>
      <c r="N686" s="31" t="n">
        <f aca="false">DATE(LEFT(Raw!J686,4),MID(Raw!J686,6,2),MID(Raw!J686,9,2))+TIME(MID(Raw!J686,12,2),MID(Raw!J686,15,2),MID(Raw!J686,18,2))</f>
        <v>45683.875</v>
      </c>
      <c r="O686" s="31" t="n">
        <f aca="false">DATE(LEFT(Raw!K686,4),MID(Raw!K686,6,2),MID(Raw!K686,9,2))+TIME(MID(Raw!K686,12,2),MID(Raw!K686,15,2),MID(Raw!K686,18,2))</f>
        <v>45693</v>
      </c>
      <c r="P686" s="32" t="n">
        <f aca="false">L686-K686</f>
        <v>3</v>
      </c>
      <c r="Q686" s="32" t="n">
        <f aca="false">M686-L686</f>
        <v>5</v>
      </c>
      <c r="R686" s="32" t="n">
        <f aca="false">O686-N686</f>
        <v>9.125</v>
      </c>
      <c r="S686" s="32" t="n">
        <f aca="false">Raw!L686</f>
        <v>4</v>
      </c>
      <c r="T686" s="32" t="n">
        <f aca="false">O686-M686</f>
        <v>4</v>
      </c>
      <c r="U686" s="0" t="str">
        <f aca="false">IF(ABS(T686-S686)&lt;0.01,"OK","MISMATCH")</f>
        <v>OK</v>
      </c>
      <c r="V686" s="33" t="n">
        <f aca="false">Raw!M686</f>
        <v>1</v>
      </c>
      <c r="W686" s="0" t="str">
        <f aca="false">IF((S686&gt;0)=(V686=1),"OK","MISMATCH")</f>
        <v>OK</v>
      </c>
      <c r="X686" s="0" t="str">
        <f aca="false">_xlfn.IFS(S686&lt;=0,"Early/On time",S686&lt;=2,"Minor (up to 2 days)",S686&lt;=5,"Moderate (2-5 days)",TRUE(),"Severe (over 5 days)")</f>
        <v>Moderate (2-5 days)</v>
      </c>
      <c r="Y686" s="0" t="str">
        <f aca="false">YEAR(K686)&amp;"-"&amp;TEXT(MONTH(K686),"00")</f>
        <v>2025-01</v>
      </c>
      <c r="Z686" s="0" t="str">
        <f aca="false">C686&amp;" → "&amp;D686</f>
        <v>Chennai → Surat</v>
      </c>
      <c r="AA686" s="0" t="str">
        <f aca="false">Raw!Q686</f>
        <v>BlueDart</v>
      </c>
      <c r="AB686" s="0" t="str">
        <f aca="false">Raw!R686</f>
        <v>No</v>
      </c>
      <c r="AC686" s="0" t="str">
        <f aca="false">Raw!S686</f>
        <v>Held at warehouse</v>
      </c>
      <c r="AD686" s="29" t="n">
        <f aca="false">Raw!N686</f>
        <v>13484.91</v>
      </c>
      <c r="AE686" s="29" t="n">
        <f aca="false">Raw!O686</f>
        <v>3958.25</v>
      </c>
      <c r="AF686" s="29" t="n">
        <f aca="false">Raw!P686</f>
        <v>586.62</v>
      </c>
      <c r="AG686" s="29" t="n">
        <f aca="false">AD686/J686</f>
        <v>760.141488162345</v>
      </c>
    </row>
    <row r="687" customFormat="false" ht="15" hidden="false" customHeight="false" outlineLevel="0" collapsed="false">
      <c r="A687" s="0" t="str">
        <f aca="false">Raw!A687</f>
        <v>SHP0686</v>
      </c>
      <c r="B687" s="0" t="str">
        <f aca="false">Raw!B687</f>
        <v>Inbound</v>
      </c>
      <c r="C687" s="0" t="str">
        <f aca="false">Raw!C687</f>
        <v>Punjab</v>
      </c>
      <c r="D687" s="0" t="str">
        <f aca="false">Raw!D687</f>
        <v>Surat</v>
      </c>
      <c r="E687" s="0" t="str">
        <f aca="false">IFERROR(INDEX(Location_Map!$B$2:$B$15,MATCH(C687,Location_Map!$A$2:$A$15,0)),"UNMAPPED")</f>
        <v>Punjab</v>
      </c>
      <c r="F687" s="0" t="str">
        <f aca="false">IFERROR(INDEX(Location_Map!$C$2:$C$15,MATCH(C687,Location_Map!$A$2:$A$15,0)),"UNMAPPED")</f>
        <v>North</v>
      </c>
      <c r="G687" s="0" t="str">
        <f aca="false">IFERROR(INDEX(Location_Map!$B$2:$B$15,MATCH(D687,Location_Map!$A$2:$A$15,0)),"UNMAPPED")</f>
        <v>Gujarat</v>
      </c>
      <c r="H687" s="0" t="str">
        <f aca="false">IFERROR(INDEX(Location_Map!$C$2:$C$15,MATCH(D687,Location_Map!$A$2:$A$15,0)),"UNMAPPED")</f>
        <v>West</v>
      </c>
      <c r="I687" s="0" t="str">
        <f aca="false">Raw!E687</f>
        <v>Finished Yarn</v>
      </c>
      <c r="J687" s="28" t="n">
        <f aca="false">Raw!F687</f>
        <v>13.71</v>
      </c>
      <c r="K687" s="30" t="n">
        <f aca="false">DATE(LEFT(Raw!G687,4),MID(Raw!G687,6,2),MID(Raw!G687,9,2))</f>
        <v>45781</v>
      </c>
      <c r="L687" s="30" t="n">
        <f aca="false">DATE(LEFT(Raw!H687,4),MID(Raw!H687,6,2),MID(Raw!H687,9,2))</f>
        <v>45783</v>
      </c>
      <c r="M687" s="30" t="n">
        <f aca="false">DATE(LEFT(Raw!I687,4),MID(Raw!I687,6,2),MID(Raw!I687,9,2))</f>
        <v>45785</v>
      </c>
      <c r="N687" s="31" t="n">
        <f aca="false">DATE(LEFT(Raw!J687,4),MID(Raw!J687,6,2),MID(Raw!J687,9,2))+TIME(MID(Raw!J687,12,2),MID(Raw!J687,15,2),MID(Raw!J687,18,2))</f>
        <v>45782.9583333333</v>
      </c>
      <c r="O687" s="31" t="n">
        <f aca="false">DATE(LEFT(Raw!K687,4),MID(Raw!K687,6,2),MID(Raw!K687,9,2))+TIME(MID(Raw!K687,12,2),MID(Raw!K687,15,2),MID(Raw!K687,18,2))</f>
        <v>45786.4</v>
      </c>
      <c r="P687" s="32" t="n">
        <f aca="false">L687-K687</f>
        <v>2</v>
      </c>
      <c r="Q687" s="32" t="n">
        <f aca="false">M687-L687</f>
        <v>2</v>
      </c>
      <c r="R687" s="32" t="n">
        <f aca="false">O687-N687</f>
        <v>3.44166666666667</v>
      </c>
      <c r="S687" s="32" t="n">
        <f aca="false">Raw!L687</f>
        <v>1.4</v>
      </c>
      <c r="T687" s="32" t="n">
        <f aca="false">O687-M687</f>
        <v>1.4</v>
      </c>
      <c r="U687" s="0" t="str">
        <f aca="false">IF(ABS(T687-S687)&lt;0.01,"OK","MISMATCH")</f>
        <v>OK</v>
      </c>
      <c r="V687" s="33" t="n">
        <f aca="false">Raw!M687</f>
        <v>1</v>
      </c>
      <c r="W687" s="0" t="str">
        <f aca="false">IF((S687&gt;0)=(V687=1),"OK","MISMATCH")</f>
        <v>OK</v>
      </c>
      <c r="X687" s="0" t="str">
        <f aca="false">_xlfn.IFS(S687&lt;=0,"Early/On time",S687&lt;=2,"Minor (up to 2 days)",S687&lt;=5,"Moderate (2-5 days)",TRUE(),"Severe (over 5 days)")</f>
        <v>Minor (up to 2 days)</v>
      </c>
      <c r="Y687" s="0" t="str">
        <f aca="false">YEAR(K687)&amp;"-"&amp;TEXT(MONTH(K687),"00")</f>
        <v>2025-05</v>
      </c>
      <c r="Z687" s="0" t="str">
        <f aca="false">C687&amp;" → "&amp;D687</f>
        <v>Punjab → Surat</v>
      </c>
      <c r="AA687" s="0" t="str">
        <f aca="false">Raw!Q687</f>
        <v>GATI Logistics</v>
      </c>
      <c r="AB687" s="0" t="str">
        <f aca="false">Raw!R687</f>
        <v>Yes</v>
      </c>
      <c r="AC687" s="0" t="str">
        <f aca="false">Raw!S687</f>
        <v>Expedited</v>
      </c>
      <c r="AD687" s="29" t="n">
        <f aca="false">Raw!N687</f>
        <v>6127.79</v>
      </c>
      <c r="AE687" s="29" t="n">
        <f aca="false">Raw!O687</f>
        <v>2815.84</v>
      </c>
      <c r="AF687" s="29" t="n">
        <f aca="false">Raw!P687</f>
        <v>801.66</v>
      </c>
      <c r="AG687" s="29" t="n">
        <f aca="false">AD687/J687</f>
        <v>446.957695113056</v>
      </c>
    </row>
    <row r="688" customFormat="false" ht="15" hidden="false" customHeight="false" outlineLevel="0" collapsed="false">
      <c r="A688" s="0" t="str">
        <f aca="false">Raw!A688</f>
        <v>SHP0687</v>
      </c>
      <c r="B688" s="0" t="str">
        <f aca="false">Raw!B688</f>
        <v>Inbound</v>
      </c>
      <c r="C688" s="0" t="str">
        <f aca="false">Raw!C688</f>
        <v>Rajasthan</v>
      </c>
      <c r="D688" s="0" t="str">
        <f aca="false">Raw!D688</f>
        <v>Surat</v>
      </c>
      <c r="E688" s="0" t="str">
        <f aca="false">IFERROR(INDEX(Location_Map!$B$2:$B$15,MATCH(C688,Location_Map!$A$2:$A$15,0)),"UNMAPPED")</f>
        <v>Rajasthan</v>
      </c>
      <c r="F688" s="0" t="str">
        <f aca="false">IFERROR(INDEX(Location_Map!$C$2:$C$15,MATCH(C688,Location_Map!$A$2:$A$15,0)),"UNMAPPED")</f>
        <v>North</v>
      </c>
      <c r="G688" s="0" t="str">
        <f aca="false">IFERROR(INDEX(Location_Map!$B$2:$B$15,MATCH(D688,Location_Map!$A$2:$A$15,0)),"UNMAPPED")</f>
        <v>Gujarat</v>
      </c>
      <c r="H688" s="0" t="str">
        <f aca="false">IFERROR(INDEX(Location_Map!$C$2:$C$15,MATCH(D688,Location_Map!$A$2:$A$15,0)),"UNMAPPED")</f>
        <v>West</v>
      </c>
      <c r="I688" s="0" t="str">
        <f aca="false">Raw!E688</f>
        <v>Raw Yarn</v>
      </c>
      <c r="J688" s="28" t="n">
        <f aca="false">Raw!F688</f>
        <v>8.3</v>
      </c>
      <c r="K688" s="30" t="n">
        <f aca="false">DATE(LEFT(Raw!G688,4),MID(Raw!G688,6,2),MID(Raw!G688,9,2))</f>
        <v>45914</v>
      </c>
      <c r="L688" s="30" t="n">
        <f aca="false">DATE(LEFT(Raw!H688,4),MID(Raw!H688,6,2),MID(Raw!H688,9,2))</f>
        <v>45917</v>
      </c>
      <c r="M688" s="30" t="n">
        <f aca="false">DATE(LEFT(Raw!I688,4),MID(Raw!I688,6,2),MID(Raw!I688,9,2))</f>
        <v>45922</v>
      </c>
      <c r="N688" s="31" t="n">
        <f aca="false">DATE(LEFT(Raw!J688,4),MID(Raw!J688,6,2),MID(Raw!J688,9,2))+TIME(MID(Raw!J688,12,2),MID(Raw!J688,15,2),MID(Raw!J688,18,2))</f>
        <v>45916.7916666667</v>
      </c>
      <c r="O688" s="31" t="n">
        <f aca="false">DATE(LEFT(Raw!K688,4),MID(Raw!K688,6,2),MID(Raw!K688,9,2))+TIME(MID(Raw!K688,12,2),MID(Raw!K688,15,2),MID(Raw!K688,18,2))</f>
        <v>45924.8</v>
      </c>
      <c r="P688" s="32" t="n">
        <f aca="false">L688-K688</f>
        <v>3</v>
      </c>
      <c r="Q688" s="32" t="n">
        <f aca="false">M688-L688</f>
        <v>5</v>
      </c>
      <c r="R688" s="32" t="n">
        <f aca="false">O688-N688</f>
        <v>8.00833333333333</v>
      </c>
      <c r="S688" s="32" t="n">
        <f aca="false">Raw!L688</f>
        <v>2.8</v>
      </c>
      <c r="T688" s="32" t="n">
        <f aca="false">O688-M688</f>
        <v>2.8</v>
      </c>
      <c r="U688" s="0" t="str">
        <f aca="false">IF(ABS(T688-S688)&lt;0.01,"OK","MISMATCH")</f>
        <v>OK</v>
      </c>
      <c r="V688" s="33" t="n">
        <f aca="false">Raw!M688</f>
        <v>1</v>
      </c>
      <c r="W688" s="0" t="str">
        <f aca="false">IF((S688&gt;0)=(V688=1),"OK","MISMATCH")</f>
        <v>OK</v>
      </c>
      <c r="X688" s="0" t="str">
        <f aca="false">_xlfn.IFS(S688&lt;=0,"Early/On time",S688&lt;=2,"Minor (up to 2 days)",S688&lt;=5,"Moderate (2-5 days)",TRUE(),"Severe (over 5 days)")</f>
        <v>Moderate (2-5 days)</v>
      </c>
      <c r="Y688" s="0" t="str">
        <f aca="false">YEAR(K688)&amp;"-"&amp;TEXT(MONTH(K688),"00")</f>
        <v>2025-09</v>
      </c>
      <c r="Z688" s="0" t="str">
        <f aca="false">C688&amp;" → "&amp;D688</f>
        <v>Rajasthan → Surat</v>
      </c>
      <c r="AA688" s="0" t="str">
        <f aca="false">Raw!Q688</f>
        <v>BlueDart</v>
      </c>
      <c r="AB688" s="0" t="str">
        <f aca="false">Raw!R688</f>
        <v>Yes</v>
      </c>
      <c r="AC688" s="0" t="str">
        <f aca="false">Raw!S688</f>
        <v>Expedited</v>
      </c>
      <c r="AD688" s="29" t="n">
        <f aca="false">Raw!N688</f>
        <v>4470.96</v>
      </c>
      <c r="AE688" s="29" t="n">
        <f aca="false">Raw!O688</f>
        <v>4777.85</v>
      </c>
      <c r="AF688" s="29" t="n">
        <f aca="false">Raw!P688</f>
        <v>712.28</v>
      </c>
      <c r="AG688" s="29" t="n">
        <f aca="false">AD688/J688</f>
        <v>538.669879518072</v>
      </c>
    </row>
    <row r="689" customFormat="false" ht="15" hidden="false" customHeight="false" outlineLevel="0" collapsed="false">
      <c r="A689" s="0" t="str">
        <f aca="false">Raw!A689</f>
        <v>SHP0688</v>
      </c>
      <c r="B689" s="0" t="str">
        <f aca="false">Raw!B689</f>
        <v>Inbound</v>
      </c>
      <c r="C689" s="0" t="str">
        <f aca="false">Raw!C689</f>
        <v>Rajasthan</v>
      </c>
      <c r="D689" s="0" t="str">
        <f aca="false">Raw!D689</f>
        <v>Surat</v>
      </c>
      <c r="E689" s="0" t="str">
        <f aca="false">IFERROR(INDEX(Location_Map!$B$2:$B$15,MATCH(C689,Location_Map!$A$2:$A$15,0)),"UNMAPPED")</f>
        <v>Rajasthan</v>
      </c>
      <c r="F689" s="0" t="str">
        <f aca="false">IFERROR(INDEX(Location_Map!$C$2:$C$15,MATCH(C689,Location_Map!$A$2:$A$15,0)),"UNMAPPED")</f>
        <v>North</v>
      </c>
      <c r="G689" s="0" t="str">
        <f aca="false">IFERROR(INDEX(Location_Map!$B$2:$B$15,MATCH(D689,Location_Map!$A$2:$A$15,0)),"UNMAPPED")</f>
        <v>Gujarat</v>
      </c>
      <c r="H689" s="0" t="str">
        <f aca="false">IFERROR(INDEX(Location_Map!$C$2:$C$15,MATCH(D689,Location_Map!$A$2:$A$15,0)),"UNMAPPED")</f>
        <v>West</v>
      </c>
      <c r="I689" s="0" t="str">
        <f aca="false">Raw!E689</f>
        <v>Raw Yarn</v>
      </c>
      <c r="J689" s="28" t="n">
        <f aca="false">Raw!F689</f>
        <v>10.88</v>
      </c>
      <c r="K689" s="30" t="n">
        <f aca="false">DATE(LEFT(Raw!G689,4),MID(Raw!G689,6,2),MID(Raw!G689,9,2))</f>
        <v>45800</v>
      </c>
      <c r="L689" s="30" t="n">
        <f aca="false">DATE(LEFT(Raw!H689,4),MID(Raw!H689,6,2),MID(Raw!H689,9,2))</f>
        <v>45802</v>
      </c>
      <c r="M689" s="30" t="n">
        <f aca="false">DATE(LEFT(Raw!I689,4),MID(Raw!I689,6,2),MID(Raw!I689,9,2))</f>
        <v>45807</v>
      </c>
      <c r="N689" s="31" t="n">
        <f aca="false">DATE(LEFT(Raw!J689,4),MID(Raw!J689,6,2),MID(Raw!J689,9,2))+TIME(MID(Raw!J689,12,2),MID(Raw!J689,15,2),MID(Raw!J689,18,2))</f>
        <v>45802</v>
      </c>
      <c r="O689" s="31" t="n">
        <f aca="false">DATE(LEFT(Raw!K689,4),MID(Raw!K689,6,2),MID(Raw!K689,9,2))+TIME(MID(Raw!K689,12,2),MID(Raw!K689,15,2),MID(Raw!K689,18,2))</f>
        <v>45808.5</v>
      </c>
      <c r="P689" s="32" t="n">
        <f aca="false">L689-K689</f>
        <v>2</v>
      </c>
      <c r="Q689" s="32" t="n">
        <f aca="false">M689-L689</f>
        <v>5</v>
      </c>
      <c r="R689" s="32" t="n">
        <f aca="false">O689-N689</f>
        <v>6.5</v>
      </c>
      <c r="S689" s="32" t="n">
        <f aca="false">Raw!L689</f>
        <v>1.5</v>
      </c>
      <c r="T689" s="32" t="n">
        <f aca="false">O689-M689</f>
        <v>1.5</v>
      </c>
      <c r="U689" s="0" t="str">
        <f aca="false">IF(ABS(T689-S689)&lt;0.01,"OK","MISMATCH")</f>
        <v>OK</v>
      </c>
      <c r="V689" s="33" t="n">
        <f aca="false">Raw!M689</f>
        <v>1</v>
      </c>
      <c r="W689" s="0" t="str">
        <f aca="false">IF((S689&gt;0)=(V689=1),"OK","MISMATCH")</f>
        <v>OK</v>
      </c>
      <c r="X689" s="0" t="str">
        <f aca="false">_xlfn.IFS(S689&lt;=0,"Early/On time",S689&lt;=2,"Minor (up to 2 days)",S689&lt;=5,"Moderate (2-5 days)",TRUE(),"Severe (over 5 days)")</f>
        <v>Minor (up to 2 days)</v>
      </c>
      <c r="Y689" s="0" t="str">
        <f aca="false">YEAR(K689)&amp;"-"&amp;TEXT(MONTH(K689),"00")</f>
        <v>2025-05</v>
      </c>
      <c r="Z689" s="0" t="str">
        <f aca="false">C689&amp;" → "&amp;D689</f>
        <v>Rajasthan → Surat</v>
      </c>
      <c r="AA689" s="0" t="str">
        <f aca="false">Raw!Q689</f>
        <v>TCI Express</v>
      </c>
      <c r="AB689" s="0" t="str">
        <f aca="false">Raw!R689</f>
        <v>Yes</v>
      </c>
      <c r="AC689" s="0" t="str">
        <f aca="false">Raw!S689</f>
        <v>Held at warehouse</v>
      </c>
      <c r="AD689" s="29" t="n">
        <f aca="false">Raw!N689</f>
        <v>8235.42</v>
      </c>
      <c r="AE689" s="29" t="n">
        <f aca="false">Raw!O689</f>
        <v>1781.44</v>
      </c>
      <c r="AF689" s="29" t="n">
        <f aca="false">Raw!P689</f>
        <v>586.75</v>
      </c>
      <c r="AG689" s="29" t="n">
        <f aca="false">AD689/J689</f>
        <v>756.931985294118</v>
      </c>
    </row>
    <row r="690" customFormat="false" ht="15" hidden="false" customHeight="false" outlineLevel="0" collapsed="false">
      <c r="A690" s="0" t="str">
        <f aca="false">Raw!A690</f>
        <v>SHP0689</v>
      </c>
      <c r="B690" s="0" t="str">
        <f aca="false">Raw!B690</f>
        <v>Inbound</v>
      </c>
      <c r="C690" s="0" t="str">
        <f aca="false">Raw!C690</f>
        <v>Rajasthan</v>
      </c>
      <c r="D690" s="0" t="str">
        <f aca="false">Raw!D690</f>
        <v>Surat</v>
      </c>
      <c r="E690" s="0" t="str">
        <f aca="false">IFERROR(INDEX(Location_Map!$B$2:$B$15,MATCH(C690,Location_Map!$A$2:$A$15,0)),"UNMAPPED")</f>
        <v>Rajasthan</v>
      </c>
      <c r="F690" s="0" t="str">
        <f aca="false">IFERROR(INDEX(Location_Map!$C$2:$C$15,MATCH(C690,Location_Map!$A$2:$A$15,0)),"UNMAPPED")</f>
        <v>North</v>
      </c>
      <c r="G690" s="0" t="str">
        <f aca="false">IFERROR(INDEX(Location_Map!$B$2:$B$15,MATCH(D690,Location_Map!$A$2:$A$15,0)),"UNMAPPED")</f>
        <v>Gujarat</v>
      </c>
      <c r="H690" s="0" t="str">
        <f aca="false">IFERROR(INDEX(Location_Map!$C$2:$C$15,MATCH(D690,Location_Map!$A$2:$A$15,0)),"UNMAPPED")</f>
        <v>West</v>
      </c>
      <c r="I690" s="0" t="str">
        <f aca="false">Raw!E690</f>
        <v>Raw Yarn</v>
      </c>
      <c r="J690" s="28" t="n">
        <f aca="false">Raw!F690</f>
        <v>12.5</v>
      </c>
      <c r="K690" s="30" t="n">
        <f aca="false">DATE(LEFT(Raw!G690,4),MID(Raw!G690,6,2),MID(Raw!G690,9,2))</f>
        <v>45675</v>
      </c>
      <c r="L690" s="30" t="n">
        <f aca="false">DATE(LEFT(Raw!H690,4),MID(Raw!H690,6,2),MID(Raw!H690,9,2))</f>
        <v>45678</v>
      </c>
      <c r="M690" s="30" t="n">
        <f aca="false">DATE(LEFT(Raw!I690,4),MID(Raw!I690,6,2),MID(Raw!I690,9,2))</f>
        <v>45681</v>
      </c>
      <c r="N690" s="31" t="n">
        <f aca="false">DATE(LEFT(Raw!J690,4),MID(Raw!J690,6,2),MID(Raw!J690,9,2))+TIME(MID(Raw!J690,12,2),MID(Raw!J690,15,2),MID(Raw!J690,18,2))</f>
        <v>45678.2916666667</v>
      </c>
      <c r="O690" s="31" t="n">
        <f aca="false">DATE(LEFT(Raw!K690,4),MID(Raw!K690,6,2),MID(Raw!K690,9,2))+TIME(MID(Raw!K690,12,2),MID(Raw!K690,15,2),MID(Raw!K690,18,2))</f>
        <v>45680.5</v>
      </c>
      <c r="P690" s="32" t="n">
        <f aca="false">L690-K690</f>
        <v>3</v>
      </c>
      <c r="Q690" s="32" t="n">
        <f aca="false">M690-L690</f>
        <v>3</v>
      </c>
      <c r="R690" s="32" t="n">
        <f aca="false">O690-N690</f>
        <v>2.20833333333333</v>
      </c>
      <c r="S690" s="32" t="n">
        <f aca="false">Raw!L690</f>
        <v>-0.5</v>
      </c>
      <c r="T690" s="32" t="n">
        <f aca="false">O690-M690</f>
        <v>-0.5</v>
      </c>
      <c r="U690" s="0" t="str">
        <f aca="false">IF(ABS(T690-S690)&lt;0.01,"OK","MISMATCH")</f>
        <v>OK</v>
      </c>
      <c r="V690" s="33" t="n">
        <f aca="false">Raw!M690</f>
        <v>0</v>
      </c>
      <c r="W690" s="0" t="str">
        <f aca="false">IF((S690&gt;0)=(V690=1),"OK","MISMATCH")</f>
        <v>OK</v>
      </c>
      <c r="X690" s="0" t="str">
        <f aca="false">_xlfn.IFS(S690&lt;=0,"Early/On time",S690&lt;=2,"Minor (up to 2 days)",S690&lt;=5,"Moderate (2-5 days)",TRUE(),"Severe (over 5 days)")</f>
        <v>Early/On time</v>
      </c>
      <c r="Y690" s="0" t="str">
        <f aca="false">YEAR(K690)&amp;"-"&amp;TEXT(MONTH(K690),"00")</f>
        <v>2025-01</v>
      </c>
      <c r="Z690" s="0" t="str">
        <f aca="false">C690&amp;" → "&amp;D690</f>
        <v>Rajasthan → Surat</v>
      </c>
      <c r="AA690" s="0" t="str">
        <f aca="false">Raw!Q690</f>
        <v>Delhivery</v>
      </c>
      <c r="AB690" s="0" t="str">
        <f aca="false">Raw!R690</f>
        <v>Yes</v>
      </c>
      <c r="AC690" s="0" t="str">
        <f aca="false">Raw!S690</f>
        <v>Damaged</v>
      </c>
      <c r="AD690" s="29" t="n">
        <f aca="false">Raw!N690</f>
        <v>4783.15</v>
      </c>
      <c r="AE690" s="29" t="n">
        <f aca="false">Raw!O690</f>
        <v>2222.81</v>
      </c>
      <c r="AF690" s="29" t="n">
        <f aca="false">Raw!P690</f>
        <v>1024.5</v>
      </c>
      <c r="AG690" s="29" t="n">
        <f aca="false">AD690/J690</f>
        <v>382.652</v>
      </c>
    </row>
    <row r="691" customFormat="false" ht="15" hidden="false" customHeight="false" outlineLevel="0" collapsed="false">
      <c r="A691" s="0" t="str">
        <f aca="false">Raw!A691</f>
        <v>SHP0690</v>
      </c>
      <c r="B691" s="0" t="str">
        <f aca="false">Raw!B691</f>
        <v>Inbound</v>
      </c>
      <c r="C691" s="0" t="str">
        <f aca="false">Raw!C691</f>
        <v>Uttar Pradesh</v>
      </c>
      <c r="D691" s="0" t="str">
        <f aca="false">Raw!D691</f>
        <v>Surat</v>
      </c>
      <c r="E691" s="0" t="str">
        <f aca="false">IFERROR(INDEX(Location_Map!$B$2:$B$15,MATCH(C691,Location_Map!$A$2:$A$15,0)),"UNMAPPED")</f>
        <v>Uttar Pradesh</v>
      </c>
      <c r="F691" s="0" t="str">
        <f aca="false">IFERROR(INDEX(Location_Map!$C$2:$C$15,MATCH(C691,Location_Map!$A$2:$A$15,0)),"UNMAPPED")</f>
        <v>North</v>
      </c>
      <c r="G691" s="0" t="str">
        <f aca="false">IFERROR(INDEX(Location_Map!$B$2:$B$15,MATCH(D691,Location_Map!$A$2:$A$15,0)),"UNMAPPED")</f>
        <v>Gujarat</v>
      </c>
      <c r="H691" s="0" t="str">
        <f aca="false">IFERROR(INDEX(Location_Map!$C$2:$C$15,MATCH(D691,Location_Map!$A$2:$A$15,0)),"UNMAPPED")</f>
        <v>West</v>
      </c>
      <c r="I691" s="0" t="str">
        <f aca="false">Raw!E691</f>
        <v>Finished Yarn</v>
      </c>
      <c r="J691" s="28" t="n">
        <f aca="false">Raw!F691</f>
        <v>13.39</v>
      </c>
      <c r="K691" s="30" t="n">
        <f aca="false">DATE(LEFT(Raw!G691,4),MID(Raw!G691,6,2),MID(Raw!G691,9,2))</f>
        <v>45891</v>
      </c>
      <c r="L691" s="30" t="n">
        <f aca="false">DATE(LEFT(Raw!H691,4),MID(Raw!H691,6,2),MID(Raw!H691,9,2))</f>
        <v>45895</v>
      </c>
      <c r="M691" s="30" t="n">
        <f aca="false">DATE(LEFT(Raw!I691,4),MID(Raw!I691,6,2),MID(Raw!I691,9,2))</f>
        <v>45900</v>
      </c>
      <c r="N691" s="31" t="n">
        <f aca="false">DATE(LEFT(Raw!J691,4),MID(Raw!J691,6,2),MID(Raw!J691,9,2))+TIME(MID(Raw!J691,12,2),MID(Raw!J691,15,2),MID(Raw!J691,18,2))</f>
        <v>45895.1666666667</v>
      </c>
      <c r="O691" s="31" t="n">
        <f aca="false">DATE(LEFT(Raw!K691,4),MID(Raw!K691,6,2),MID(Raw!K691,9,2))+TIME(MID(Raw!K691,12,2),MID(Raw!K691,15,2),MID(Raw!K691,18,2))</f>
        <v>45903.9</v>
      </c>
      <c r="P691" s="32" t="n">
        <f aca="false">L691-K691</f>
        <v>4</v>
      </c>
      <c r="Q691" s="32" t="n">
        <f aca="false">M691-L691</f>
        <v>5</v>
      </c>
      <c r="R691" s="32" t="n">
        <f aca="false">O691-N691</f>
        <v>8.73333333333333</v>
      </c>
      <c r="S691" s="32" t="n">
        <f aca="false">Raw!L691</f>
        <v>3.9</v>
      </c>
      <c r="T691" s="32" t="n">
        <f aca="false">O691-M691</f>
        <v>3.9</v>
      </c>
      <c r="U691" s="0" t="str">
        <f aca="false">IF(ABS(T691-S691)&lt;0.01,"OK","MISMATCH")</f>
        <v>OK</v>
      </c>
      <c r="V691" s="33" t="n">
        <f aca="false">Raw!M691</f>
        <v>1</v>
      </c>
      <c r="W691" s="0" t="str">
        <f aca="false">IF((S691&gt;0)=(V691=1),"OK","MISMATCH")</f>
        <v>OK</v>
      </c>
      <c r="X691" s="0" t="str">
        <f aca="false">_xlfn.IFS(S691&lt;=0,"Early/On time",S691&lt;=2,"Minor (up to 2 days)",S691&lt;=5,"Moderate (2-5 days)",TRUE(),"Severe (over 5 days)")</f>
        <v>Moderate (2-5 days)</v>
      </c>
      <c r="Y691" s="0" t="str">
        <f aca="false">YEAR(K691)&amp;"-"&amp;TEXT(MONTH(K691),"00")</f>
        <v>2025-08</v>
      </c>
      <c r="Z691" s="0" t="str">
        <f aca="false">C691&amp;" → "&amp;D691</f>
        <v>Uttar Pradesh → Surat</v>
      </c>
      <c r="AA691" s="0" t="str">
        <f aca="false">Raw!Q691</f>
        <v>VRL Cargo</v>
      </c>
      <c r="AB691" s="0" t="str">
        <f aca="false">Raw!R691</f>
        <v>No</v>
      </c>
      <c r="AC691" s="0" t="str">
        <f aca="false">Raw!S691</f>
        <v>Normal</v>
      </c>
      <c r="AD691" s="29" t="n">
        <f aca="false">Raw!N691</f>
        <v>8896.23</v>
      </c>
      <c r="AE691" s="29" t="n">
        <f aca="false">Raw!O691</f>
        <v>3223.48</v>
      </c>
      <c r="AF691" s="29" t="n">
        <f aca="false">Raw!P691</f>
        <v>1199.53</v>
      </c>
      <c r="AG691" s="29" t="n">
        <f aca="false">AD691/J691</f>
        <v>664.39357729649</v>
      </c>
    </row>
    <row r="692" customFormat="false" ht="15" hidden="false" customHeight="false" outlineLevel="0" collapsed="false">
      <c r="A692" s="0" t="str">
        <f aca="false">Raw!A692</f>
        <v>SHP0691</v>
      </c>
      <c r="B692" s="0" t="str">
        <f aca="false">Raw!B692</f>
        <v>Inbound</v>
      </c>
      <c r="C692" s="0" t="str">
        <f aca="false">Raw!C692</f>
        <v>Gujarat</v>
      </c>
      <c r="D692" s="0" t="str">
        <f aca="false">Raw!D692</f>
        <v>Surat</v>
      </c>
      <c r="E692" s="0" t="str">
        <f aca="false">IFERROR(INDEX(Location_Map!$B$2:$B$15,MATCH(C692,Location_Map!$A$2:$A$15,0)),"UNMAPPED")</f>
        <v>Gujarat</v>
      </c>
      <c r="F692" s="0" t="str">
        <f aca="false">IFERROR(INDEX(Location_Map!$C$2:$C$15,MATCH(C692,Location_Map!$A$2:$A$15,0)),"UNMAPPED")</f>
        <v>West</v>
      </c>
      <c r="G692" s="0" t="str">
        <f aca="false">IFERROR(INDEX(Location_Map!$B$2:$B$15,MATCH(D692,Location_Map!$A$2:$A$15,0)),"UNMAPPED")</f>
        <v>Gujarat</v>
      </c>
      <c r="H692" s="0" t="str">
        <f aca="false">IFERROR(INDEX(Location_Map!$C$2:$C$15,MATCH(D692,Location_Map!$A$2:$A$15,0)),"UNMAPPED")</f>
        <v>West</v>
      </c>
      <c r="I692" s="0" t="str">
        <f aca="false">Raw!E692</f>
        <v>Finished Yarn</v>
      </c>
      <c r="J692" s="28" t="n">
        <f aca="false">Raw!F692</f>
        <v>8.83</v>
      </c>
      <c r="K692" s="30" t="n">
        <f aca="false">DATE(LEFT(Raw!G692,4),MID(Raw!G692,6,2),MID(Raw!G692,9,2))</f>
        <v>45699</v>
      </c>
      <c r="L692" s="30" t="n">
        <f aca="false">DATE(LEFT(Raw!H692,4),MID(Raw!H692,6,2),MID(Raw!H692,9,2))</f>
        <v>45702</v>
      </c>
      <c r="M692" s="30" t="n">
        <f aca="false">DATE(LEFT(Raw!I692,4),MID(Raw!I692,6,2),MID(Raw!I692,9,2))</f>
        <v>45705</v>
      </c>
      <c r="N692" s="31" t="n">
        <f aca="false">DATE(LEFT(Raw!J692,4),MID(Raw!J692,6,2),MID(Raw!J692,9,2))+TIME(MID(Raw!J692,12,2),MID(Raw!J692,15,2),MID(Raw!J692,18,2))</f>
        <v>45702.2916666667</v>
      </c>
      <c r="O692" s="31" t="n">
        <f aca="false">DATE(LEFT(Raw!K692,4),MID(Raw!K692,6,2),MID(Raw!K692,9,2))+TIME(MID(Raw!K692,12,2),MID(Raw!K692,15,2),MID(Raw!K692,18,2))</f>
        <v>45713.7</v>
      </c>
      <c r="P692" s="32" t="n">
        <f aca="false">L692-K692</f>
        <v>3</v>
      </c>
      <c r="Q692" s="32" t="n">
        <f aca="false">M692-L692</f>
        <v>3</v>
      </c>
      <c r="R692" s="32" t="n">
        <f aca="false">O692-N692</f>
        <v>11.4083333333333</v>
      </c>
      <c r="S692" s="32" t="n">
        <f aca="false">Raw!L692</f>
        <v>8.7</v>
      </c>
      <c r="T692" s="32" t="n">
        <f aca="false">O692-M692</f>
        <v>8.7</v>
      </c>
      <c r="U692" s="0" t="str">
        <f aca="false">IF(ABS(T692-S692)&lt;0.01,"OK","MISMATCH")</f>
        <v>OK</v>
      </c>
      <c r="V692" s="33" t="n">
        <f aca="false">Raw!M692</f>
        <v>1</v>
      </c>
      <c r="W692" s="0" t="str">
        <f aca="false">IF((S692&gt;0)=(V692=1),"OK","MISMATCH")</f>
        <v>OK</v>
      </c>
      <c r="X692" s="0" t="str">
        <f aca="false">_xlfn.IFS(S692&lt;=0,"Early/On time",S692&lt;=2,"Minor (up to 2 days)",S692&lt;=5,"Moderate (2-5 days)",TRUE(),"Severe (over 5 days)")</f>
        <v>Severe (over 5 days)</v>
      </c>
      <c r="Y692" s="0" t="str">
        <f aca="false">YEAR(K692)&amp;"-"&amp;TEXT(MONTH(K692),"00")</f>
        <v>2025-02</v>
      </c>
      <c r="Z692" s="0" t="str">
        <f aca="false">C692&amp;" → "&amp;D692</f>
        <v>Gujarat → Surat</v>
      </c>
      <c r="AA692" s="0" t="str">
        <f aca="false">Raw!Q692</f>
        <v>TCI Express</v>
      </c>
      <c r="AB692" s="0" t="str">
        <f aca="false">Raw!R692</f>
        <v>No</v>
      </c>
      <c r="AC692" s="0" t="str">
        <f aca="false">Raw!S692</f>
        <v>Returned</v>
      </c>
      <c r="AD692" s="29" t="n">
        <f aca="false">Raw!N692</f>
        <v>3335.93</v>
      </c>
      <c r="AE692" s="29" t="n">
        <f aca="false">Raw!O692</f>
        <v>4025.42</v>
      </c>
      <c r="AF692" s="29" t="n">
        <f aca="false">Raw!P692</f>
        <v>1294.13</v>
      </c>
      <c r="AG692" s="29" t="n">
        <f aca="false">AD692/J692</f>
        <v>377.795016987542</v>
      </c>
    </row>
    <row r="693" customFormat="false" ht="15" hidden="false" customHeight="false" outlineLevel="0" collapsed="false">
      <c r="A693" s="0" t="str">
        <f aca="false">Raw!A693</f>
        <v>SHP0692</v>
      </c>
      <c r="B693" s="0" t="str">
        <f aca="false">Raw!B693</f>
        <v>Outbound</v>
      </c>
      <c r="C693" s="0" t="str">
        <f aca="false">Raw!C693</f>
        <v>Surat</v>
      </c>
      <c r="D693" s="0" t="str">
        <f aca="false">Raw!D693</f>
        <v>Assam</v>
      </c>
      <c r="E693" s="0" t="str">
        <f aca="false">IFERROR(INDEX(Location_Map!$B$2:$B$15,MATCH(C693,Location_Map!$A$2:$A$15,0)),"UNMAPPED")</f>
        <v>Gujarat</v>
      </c>
      <c r="F693" s="0" t="str">
        <f aca="false">IFERROR(INDEX(Location_Map!$C$2:$C$15,MATCH(C693,Location_Map!$A$2:$A$15,0)),"UNMAPPED")</f>
        <v>West</v>
      </c>
      <c r="G693" s="0" t="str">
        <f aca="false">IFERROR(INDEX(Location_Map!$B$2:$B$15,MATCH(D693,Location_Map!$A$2:$A$15,0)),"UNMAPPED")</f>
        <v>Assam</v>
      </c>
      <c r="H693" s="0" t="str">
        <f aca="false">IFERROR(INDEX(Location_Map!$C$2:$C$15,MATCH(D693,Location_Map!$A$2:$A$15,0)),"UNMAPPED")</f>
        <v>North-East</v>
      </c>
      <c r="I693" s="0" t="str">
        <f aca="false">Raw!E693</f>
        <v>Finished Yarn</v>
      </c>
      <c r="J693" s="28" t="n">
        <f aca="false">Raw!F693</f>
        <v>10.4</v>
      </c>
      <c r="K693" s="30" t="n">
        <f aca="false">DATE(LEFT(Raw!G693,4),MID(Raw!G693,6,2),MID(Raw!G693,9,2))</f>
        <v>45926</v>
      </c>
      <c r="L693" s="30" t="n">
        <f aca="false">DATE(LEFT(Raw!H693,4),MID(Raw!H693,6,2),MID(Raw!H693,9,2))</f>
        <v>45928</v>
      </c>
      <c r="M693" s="30" t="n">
        <f aca="false">DATE(LEFT(Raw!I693,4),MID(Raw!I693,6,2),MID(Raw!I693,9,2))</f>
        <v>45934</v>
      </c>
      <c r="N693" s="31" t="n">
        <f aca="false">DATE(LEFT(Raw!J693,4),MID(Raw!J693,6,2),MID(Raw!J693,9,2))+TIME(MID(Raw!J693,12,2),MID(Raw!J693,15,2),MID(Raw!J693,18,2))</f>
        <v>45927.9166666667</v>
      </c>
      <c r="O693" s="31" t="n">
        <f aca="false">DATE(LEFT(Raw!K693,4),MID(Raw!K693,6,2),MID(Raw!K693,9,2))+TIME(MID(Raw!K693,12,2),MID(Raw!K693,15,2),MID(Raw!K693,18,2))</f>
        <v>45933.3</v>
      </c>
      <c r="P693" s="32" t="n">
        <f aca="false">L693-K693</f>
        <v>2</v>
      </c>
      <c r="Q693" s="32" t="n">
        <f aca="false">M693-L693</f>
        <v>6</v>
      </c>
      <c r="R693" s="32" t="n">
        <f aca="false">O693-N693</f>
        <v>5.38333333333333</v>
      </c>
      <c r="S693" s="32" t="n">
        <f aca="false">Raw!L693</f>
        <v>-0.7</v>
      </c>
      <c r="T693" s="32" t="n">
        <f aca="false">O693-M693</f>
        <v>-0.7</v>
      </c>
      <c r="U693" s="0" t="str">
        <f aca="false">IF(ABS(T693-S693)&lt;0.01,"OK","MISMATCH")</f>
        <v>OK</v>
      </c>
      <c r="V693" s="33" t="n">
        <f aca="false">Raw!M693</f>
        <v>0</v>
      </c>
      <c r="W693" s="0" t="str">
        <f aca="false">IF((S693&gt;0)=(V693=1),"OK","MISMATCH")</f>
        <v>OK</v>
      </c>
      <c r="X693" s="0" t="str">
        <f aca="false">_xlfn.IFS(S693&lt;=0,"Early/On time",S693&lt;=2,"Minor (up to 2 days)",S693&lt;=5,"Moderate (2-5 days)",TRUE(),"Severe (over 5 days)")</f>
        <v>Early/On time</v>
      </c>
      <c r="Y693" s="0" t="str">
        <f aca="false">YEAR(K693)&amp;"-"&amp;TEXT(MONTH(K693),"00")</f>
        <v>2025-09</v>
      </c>
      <c r="Z693" s="0" t="str">
        <f aca="false">C693&amp;" → "&amp;D693</f>
        <v>Surat → Assam</v>
      </c>
      <c r="AA693" s="0" t="str">
        <f aca="false">Raw!Q693</f>
        <v>Delhivery</v>
      </c>
      <c r="AB693" s="0" t="str">
        <f aca="false">Raw!R693</f>
        <v>Yes</v>
      </c>
      <c r="AC693" s="0" t="str">
        <f aca="false">Raw!S693</f>
        <v>Expedited</v>
      </c>
      <c r="AD693" s="29" t="n">
        <f aca="false">Raw!N693</f>
        <v>4980.64</v>
      </c>
      <c r="AE693" s="29" t="n">
        <f aca="false">Raw!O693</f>
        <v>4568.95</v>
      </c>
      <c r="AF693" s="29" t="n">
        <f aca="false">Raw!P693</f>
        <v>930.94</v>
      </c>
      <c r="AG693" s="29" t="n">
        <f aca="false">AD693/J693</f>
        <v>478.907692307692</v>
      </c>
    </row>
    <row r="694" customFormat="false" ht="15" hidden="false" customHeight="false" outlineLevel="0" collapsed="false">
      <c r="A694" s="0" t="str">
        <f aca="false">Raw!A694</f>
        <v>SHP0693</v>
      </c>
      <c r="B694" s="0" t="str">
        <f aca="false">Raw!B694</f>
        <v>Inbound</v>
      </c>
      <c r="C694" s="0" t="str">
        <f aca="false">Raw!C694</f>
        <v>Uttar Pradesh</v>
      </c>
      <c r="D694" s="0" t="str">
        <f aca="false">Raw!D694</f>
        <v>Surat</v>
      </c>
      <c r="E694" s="0" t="str">
        <f aca="false">IFERROR(INDEX(Location_Map!$B$2:$B$15,MATCH(C694,Location_Map!$A$2:$A$15,0)),"UNMAPPED")</f>
        <v>Uttar Pradesh</v>
      </c>
      <c r="F694" s="0" t="str">
        <f aca="false">IFERROR(INDEX(Location_Map!$C$2:$C$15,MATCH(C694,Location_Map!$A$2:$A$15,0)),"UNMAPPED")</f>
        <v>North</v>
      </c>
      <c r="G694" s="0" t="str">
        <f aca="false">IFERROR(INDEX(Location_Map!$B$2:$B$15,MATCH(D694,Location_Map!$A$2:$A$15,0)),"UNMAPPED")</f>
        <v>Gujarat</v>
      </c>
      <c r="H694" s="0" t="str">
        <f aca="false">IFERROR(INDEX(Location_Map!$C$2:$C$15,MATCH(D694,Location_Map!$A$2:$A$15,0)),"UNMAPPED")</f>
        <v>West</v>
      </c>
      <c r="I694" s="0" t="str">
        <f aca="false">Raw!E694</f>
        <v>Finished Yarn</v>
      </c>
      <c r="J694" s="28" t="n">
        <f aca="false">Raw!F694</f>
        <v>4.76</v>
      </c>
      <c r="K694" s="30" t="n">
        <f aca="false">DATE(LEFT(Raw!G694,4),MID(Raw!G694,6,2),MID(Raw!G694,9,2))</f>
        <v>45789</v>
      </c>
      <c r="L694" s="30" t="n">
        <f aca="false">DATE(LEFT(Raw!H694,4),MID(Raw!H694,6,2),MID(Raw!H694,9,2))</f>
        <v>45791</v>
      </c>
      <c r="M694" s="30" t="n">
        <f aca="false">DATE(LEFT(Raw!I694,4),MID(Raw!I694,6,2),MID(Raw!I694,9,2))</f>
        <v>45794</v>
      </c>
      <c r="N694" s="31" t="n">
        <f aca="false">DATE(LEFT(Raw!J694,4),MID(Raw!J694,6,2),MID(Raw!J694,9,2))+TIME(MID(Raw!J694,12,2),MID(Raw!J694,15,2),MID(Raw!J694,18,2))</f>
        <v>45791.1666666667</v>
      </c>
      <c r="O694" s="31" t="n">
        <f aca="false">DATE(LEFT(Raw!K694,4),MID(Raw!K694,6,2),MID(Raw!K694,9,2))+TIME(MID(Raw!K694,12,2),MID(Raw!K694,15,2),MID(Raw!K694,18,2))</f>
        <v>45794.6</v>
      </c>
      <c r="P694" s="32" t="n">
        <f aca="false">L694-K694</f>
        <v>2</v>
      </c>
      <c r="Q694" s="32" t="n">
        <f aca="false">M694-L694</f>
        <v>3</v>
      </c>
      <c r="R694" s="32" t="n">
        <f aca="false">O694-N694</f>
        <v>3.43333333333333</v>
      </c>
      <c r="S694" s="32" t="n">
        <f aca="false">Raw!L694</f>
        <v>0.6</v>
      </c>
      <c r="T694" s="32" t="n">
        <f aca="false">O694-M694</f>
        <v>0.6</v>
      </c>
      <c r="U694" s="0" t="str">
        <f aca="false">IF(ABS(T694-S694)&lt;0.01,"OK","MISMATCH")</f>
        <v>OK</v>
      </c>
      <c r="V694" s="33" t="n">
        <f aca="false">Raw!M694</f>
        <v>1</v>
      </c>
      <c r="W694" s="0" t="str">
        <f aca="false">IF((S694&gt;0)=(V694=1),"OK","MISMATCH")</f>
        <v>OK</v>
      </c>
      <c r="X694" s="0" t="str">
        <f aca="false">_xlfn.IFS(S694&lt;=0,"Early/On time",S694&lt;=2,"Minor (up to 2 days)",S694&lt;=5,"Moderate (2-5 days)",TRUE(),"Severe (over 5 days)")</f>
        <v>Minor (up to 2 days)</v>
      </c>
      <c r="Y694" s="0" t="str">
        <f aca="false">YEAR(K694)&amp;"-"&amp;TEXT(MONTH(K694),"00")</f>
        <v>2025-05</v>
      </c>
      <c r="Z694" s="0" t="str">
        <f aca="false">C694&amp;" → "&amp;D694</f>
        <v>Uttar Pradesh → Surat</v>
      </c>
      <c r="AA694" s="0" t="str">
        <f aca="false">Raw!Q694</f>
        <v>BlueDart</v>
      </c>
      <c r="AB694" s="0" t="str">
        <f aca="false">Raw!R694</f>
        <v>No</v>
      </c>
      <c r="AC694" s="0" t="str">
        <f aca="false">Raw!S694</f>
        <v>Damaged</v>
      </c>
      <c r="AD694" s="29" t="n">
        <f aca="false">Raw!N694</f>
        <v>1832.13</v>
      </c>
      <c r="AE694" s="29" t="n">
        <f aca="false">Raw!O694</f>
        <v>3917.66</v>
      </c>
      <c r="AF694" s="29" t="n">
        <f aca="false">Raw!P694</f>
        <v>1059.72</v>
      </c>
      <c r="AG694" s="29" t="n">
        <f aca="false">AD694/J694</f>
        <v>384.901260504202</v>
      </c>
    </row>
    <row r="695" customFormat="false" ht="15" hidden="false" customHeight="false" outlineLevel="0" collapsed="false">
      <c r="A695" s="0" t="str">
        <f aca="false">Raw!A695</f>
        <v>SHP0694</v>
      </c>
      <c r="B695" s="0" t="str">
        <f aca="false">Raw!B695</f>
        <v>Outbound</v>
      </c>
      <c r="C695" s="0" t="str">
        <f aca="false">Raw!C695</f>
        <v>Surat</v>
      </c>
      <c r="D695" s="0" t="str">
        <f aca="false">Raw!D695</f>
        <v>Gujarat</v>
      </c>
      <c r="E695" s="0" t="str">
        <f aca="false">IFERROR(INDEX(Location_Map!$B$2:$B$15,MATCH(C695,Location_Map!$A$2:$A$15,0)),"UNMAPPED")</f>
        <v>Gujarat</v>
      </c>
      <c r="F695" s="0" t="str">
        <f aca="false">IFERROR(INDEX(Location_Map!$C$2:$C$15,MATCH(C695,Location_Map!$A$2:$A$15,0)),"UNMAPPED")</f>
        <v>West</v>
      </c>
      <c r="G695" s="0" t="str">
        <f aca="false">IFERROR(INDEX(Location_Map!$B$2:$B$15,MATCH(D695,Location_Map!$A$2:$A$15,0)),"UNMAPPED")</f>
        <v>Gujarat</v>
      </c>
      <c r="H695" s="0" t="str">
        <f aca="false">IFERROR(INDEX(Location_Map!$C$2:$C$15,MATCH(D695,Location_Map!$A$2:$A$15,0)),"UNMAPPED")</f>
        <v>West</v>
      </c>
      <c r="I695" s="0" t="str">
        <f aca="false">Raw!E695</f>
        <v>Semi-Processed Yarn</v>
      </c>
      <c r="J695" s="28" t="n">
        <f aca="false">Raw!F695</f>
        <v>7.82</v>
      </c>
      <c r="K695" s="30" t="n">
        <f aca="false">DATE(LEFT(Raw!G695,4),MID(Raw!G695,6,2),MID(Raw!G695,9,2))</f>
        <v>45900</v>
      </c>
      <c r="L695" s="30" t="n">
        <f aca="false">DATE(LEFT(Raw!H695,4),MID(Raw!H695,6,2),MID(Raw!H695,9,2))</f>
        <v>45902</v>
      </c>
      <c r="M695" s="30" t="n">
        <f aca="false">DATE(LEFT(Raw!I695,4),MID(Raw!I695,6,2),MID(Raw!I695,9,2))</f>
        <v>45908</v>
      </c>
      <c r="N695" s="31" t="n">
        <f aca="false">DATE(LEFT(Raw!J695,4),MID(Raw!J695,6,2),MID(Raw!J695,9,2))+TIME(MID(Raw!J695,12,2),MID(Raw!J695,15,2),MID(Raw!J695,18,2))</f>
        <v>45902.0416666667</v>
      </c>
      <c r="O695" s="31" t="n">
        <f aca="false">DATE(LEFT(Raw!K695,4),MID(Raw!K695,6,2),MID(Raw!K695,9,2))+TIME(MID(Raw!K695,12,2),MID(Raw!K695,15,2),MID(Raw!K695,18,2))</f>
        <v>45907</v>
      </c>
      <c r="P695" s="32" t="n">
        <f aca="false">L695-K695</f>
        <v>2</v>
      </c>
      <c r="Q695" s="32" t="n">
        <f aca="false">M695-L695</f>
        <v>6</v>
      </c>
      <c r="R695" s="32" t="n">
        <f aca="false">O695-N695</f>
        <v>4.95833333333333</v>
      </c>
      <c r="S695" s="32" t="n">
        <f aca="false">Raw!L695</f>
        <v>-1</v>
      </c>
      <c r="T695" s="32" t="n">
        <f aca="false">O695-M695</f>
        <v>-1</v>
      </c>
      <c r="U695" s="0" t="str">
        <f aca="false">IF(ABS(T695-S695)&lt;0.01,"OK","MISMATCH")</f>
        <v>OK</v>
      </c>
      <c r="V695" s="33" t="n">
        <f aca="false">Raw!M695</f>
        <v>0</v>
      </c>
      <c r="W695" s="0" t="str">
        <f aca="false">IF((S695&gt;0)=(V695=1),"OK","MISMATCH")</f>
        <v>OK</v>
      </c>
      <c r="X695" s="0" t="str">
        <f aca="false">_xlfn.IFS(S695&lt;=0,"Early/On time",S695&lt;=2,"Minor (up to 2 days)",S695&lt;=5,"Moderate (2-5 days)",TRUE(),"Severe (over 5 days)")</f>
        <v>Early/On time</v>
      </c>
      <c r="Y695" s="0" t="str">
        <f aca="false">YEAR(K695)&amp;"-"&amp;TEXT(MONTH(K695),"00")</f>
        <v>2025-08</v>
      </c>
      <c r="Z695" s="0" t="str">
        <f aca="false">C695&amp;" → "&amp;D695</f>
        <v>Surat → Gujarat</v>
      </c>
      <c r="AA695" s="0" t="str">
        <f aca="false">Raw!Q695</f>
        <v>TCI Express</v>
      </c>
      <c r="AB695" s="0" t="str">
        <f aca="false">Raw!R695</f>
        <v>No</v>
      </c>
      <c r="AC695" s="0" t="str">
        <f aca="false">Raw!S695</f>
        <v>Held at warehouse</v>
      </c>
      <c r="AD695" s="29" t="n">
        <f aca="false">Raw!N695</f>
        <v>2792.36</v>
      </c>
      <c r="AE695" s="29" t="n">
        <f aca="false">Raw!O695</f>
        <v>4730.56</v>
      </c>
      <c r="AF695" s="29" t="n">
        <f aca="false">Raw!P695</f>
        <v>894.55</v>
      </c>
      <c r="AG695" s="29" t="n">
        <f aca="false">AD695/J695</f>
        <v>357.079283887468</v>
      </c>
    </row>
    <row r="696" customFormat="false" ht="15" hidden="false" customHeight="false" outlineLevel="0" collapsed="false">
      <c r="A696" s="0" t="str">
        <f aca="false">Raw!A696</f>
        <v>SHP0695</v>
      </c>
      <c r="B696" s="0" t="str">
        <f aca="false">Raw!B696</f>
        <v>Inbound</v>
      </c>
      <c r="C696" s="0" t="str">
        <f aca="false">Raw!C696</f>
        <v>Chennai</v>
      </c>
      <c r="D696" s="0" t="str">
        <f aca="false">Raw!D696</f>
        <v>Surat</v>
      </c>
      <c r="E696" s="0" t="str">
        <f aca="false">IFERROR(INDEX(Location_Map!$B$2:$B$15,MATCH(C696,Location_Map!$A$2:$A$15,0)),"UNMAPPED")</f>
        <v>Tamil Nadu</v>
      </c>
      <c r="F696" s="0" t="str">
        <f aca="false">IFERROR(INDEX(Location_Map!$C$2:$C$15,MATCH(C696,Location_Map!$A$2:$A$15,0)),"UNMAPPED")</f>
        <v>South</v>
      </c>
      <c r="G696" s="0" t="str">
        <f aca="false">IFERROR(INDEX(Location_Map!$B$2:$B$15,MATCH(D696,Location_Map!$A$2:$A$15,0)),"UNMAPPED")</f>
        <v>Gujarat</v>
      </c>
      <c r="H696" s="0" t="str">
        <f aca="false">IFERROR(INDEX(Location_Map!$C$2:$C$15,MATCH(D696,Location_Map!$A$2:$A$15,0)),"UNMAPPED")</f>
        <v>West</v>
      </c>
      <c r="I696" s="0" t="str">
        <f aca="false">Raw!E696</f>
        <v>Raw Yarn</v>
      </c>
      <c r="J696" s="28" t="n">
        <f aca="false">Raw!F696</f>
        <v>16.06</v>
      </c>
      <c r="K696" s="30" t="n">
        <f aca="false">DATE(LEFT(Raw!G696,4),MID(Raw!G696,6,2),MID(Raw!G696,9,2))</f>
        <v>45741</v>
      </c>
      <c r="L696" s="30" t="n">
        <f aca="false">DATE(LEFT(Raw!H696,4),MID(Raw!H696,6,2),MID(Raw!H696,9,2))</f>
        <v>45744</v>
      </c>
      <c r="M696" s="30" t="n">
        <f aca="false">DATE(LEFT(Raw!I696,4),MID(Raw!I696,6,2),MID(Raw!I696,9,2))</f>
        <v>45749</v>
      </c>
      <c r="N696" s="31" t="n">
        <f aca="false">DATE(LEFT(Raw!J696,4),MID(Raw!J696,6,2),MID(Raw!J696,9,2))+TIME(MID(Raw!J696,12,2),MID(Raw!J696,15,2),MID(Raw!J696,18,2))</f>
        <v>45744.1666666667</v>
      </c>
      <c r="O696" s="31" t="n">
        <f aca="false">DATE(LEFT(Raw!K696,4),MID(Raw!K696,6,2),MID(Raw!K696,9,2))+TIME(MID(Raw!K696,12,2),MID(Raw!K696,15,2),MID(Raw!K696,18,2))</f>
        <v>45748</v>
      </c>
      <c r="P696" s="32" t="n">
        <f aca="false">L696-K696</f>
        <v>3</v>
      </c>
      <c r="Q696" s="32" t="n">
        <f aca="false">M696-L696</f>
        <v>5</v>
      </c>
      <c r="R696" s="32" t="n">
        <f aca="false">O696-N696</f>
        <v>3.83333333333333</v>
      </c>
      <c r="S696" s="32" t="n">
        <f aca="false">Raw!L696</f>
        <v>-1</v>
      </c>
      <c r="T696" s="32" t="n">
        <f aca="false">O696-M696</f>
        <v>-1</v>
      </c>
      <c r="U696" s="0" t="str">
        <f aca="false">IF(ABS(T696-S696)&lt;0.01,"OK","MISMATCH")</f>
        <v>OK</v>
      </c>
      <c r="V696" s="33" t="n">
        <f aca="false">Raw!M696</f>
        <v>0</v>
      </c>
      <c r="W696" s="0" t="str">
        <f aca="false">IF((S696&gt;0)=(V696=1),"OK","MISMATCH")</f>
        <v>OK</v>
      </c>
      <c r="X696" s="0" t="str">
        <f aca="false">_xlfn.IFS(S696&lt;=0,"Early/On time",S696&lt;=2,"Minor (up to 2 days)",S696&lt;=5,"Moderate (2-5 days)",TRUE(),"Severe (over 5 days)")</f>
        <v>Early/On time</v>
      </c>
      <c r="Y696" s="0" t="str">
        <f aca="false">YEAR(K696)&amp;"-"&amp;TEXT(MONTH(K696),"00")</f>
        <v>2025-03</v>
      </c>
      <c r="Z696" s="0" t="str">
        <f aca="false">C696&amp;" → "&amp;D696</f>
        <v>Chennai → Surat</v>
      </c>
      <c r="AA696" s="0" t="str">
        <f aca="false">Raw!Q696</f>
        <v>TCI Express</v>
      </c>
      <c r="AB696" s="0" t="str">
        <f aca="false">Raw!R696</f>
        <v>No</v>
      </c>
      <c r="AC696" s="0" t="str">
        <f aca="false">Raw!S696</f>
        <v>Returned</v>
      </c>
      <c r="AD696" s="29" t="n">
        <f aca="false">Raw!N696</f>
        <v>4344.86</v>
      </c>
      <c r="AE696" s="29" t="n">
        <f aca="false">Raw!O696</f>
        <v>4503.05</v>
      </c>
      <c r="AF696" s="29" t="n">
        <f aca="false">Raw!P696</f>
        <v>1252.35</v>
      </c>
      <c r="AG696" s="29" t="n">
        <f aca="false">AD696/J696</f>
        <v>270.539227895392</v>
      </c>
    </row>
    <row r="697" customFormat="false" ht="15" hidden="false" customHeight="false" outlineLevel="0" collapsed="false">
      <c r="A697" s="0" t="str">
        <f aca="false">Raw!A697</f>
        <v>SHP0696</v>
      </c>
      <c r="B697" s="0" t="str">
        <f aca="false">Raw!B697</f>
        <v>Outbound</v>
      </c>
      <c r="C697" s="0" t="str">
        <f aca="false">Raw!C697</f>
        <v>Surat</v>
      </c>
      <c r="D697" s="0" t="str">
        <f aca="false">Raw!D697</f>
        <v>Uttarakhand</v>
      </c>
      <c r="E697" s="0" t="str">
        <f aca="false">IFERROR(INDEX(Location_Map!$B$2:$B$15,MATCH(C697,Location_Map!$A$2:$A$15,0)),"UNMAPPED")</f>
        <v>Gujarat</v>
      </c>
      <c r="F697" s="0" t="str">
        <f aca="false">IFERROR(INDEX(Location_Map!$C$2:$C$15,MATCH(C697,Location_Map!$A$2:$A$15,0)),"UNMAPPED")</f>
        <v>West</v>
      </c>
      <c r="G697" s="0" t="str">
        <f aca="false">IFERROR(INDEX(Location_Map!$B$2:$B$15,MATCH(D697,Location_Map!$A$2:$A$15,0)),"UNMAPPED")</f>
        <v>Uttarakhand</v>
      </c>
      <c r="H697" s="0" t="str">
        <f aca="false">IFERROR(INDEX(Location_Map!$C$2:$C$15,MATCH(D697,Location_Map!$A$2:$A$15,0)),"UNMAPPED")</f>
        <v>North</v>
      </c>
      <c r="I697" s="0" t="str">
        <f aca="false">Raw!E697</f>
        <v>Finished Yarn</v>
      </c>
      <c r="J697" s="28" t="n">
        <f aca="false">Raw!F697</f>
        <v>1.34</v>
      </c>
      <c r="K697" s="30" t="n">
        <f aca="false">DATE(LEFT(Raw!G697,4),MID(Raw!G697,6,2),MID(Raw!G697,9,2))</f>
        <v>45813</v>
      </c>
      <c r="L697" s="30" t="n">
        <f aca="false">DATE(LEFT(Raw!H697,4),MID(Raw!H697,6,2),MID(Raw!H697,9,2))</f>
        <v>45816</v>
      </c>
      <c r="M697" s="30" t="n">
        <f aca="false">DATE(LEFT(Raw!I697,4),MID(Raw!I697,6,2),MID(Raw!I697,9,2))</f>
        <v>45819</v>
      </c>
      <c r="N697" s="31" t="n">
        <f aca="false">DATE(LEFT(Raw!J697,4),MID(Raw!J697,6,2),MID(Raw!J697,9,2))+TIME(MID(Raw!J697,12,2),MID(Raw!J697,15,2),MID(Raw!J697,18,2))</f>
        <v>45816.25</v>
      </c>
      <c r="O697" s="31" t="n">
        <f aca="false">DATE(LEFT(Raw!K697,4),MID(Raw!K697,6,2),MID(Raw!K697,9,2))+TIME(MID(Raw!K697,12,2),MID(Raw!K697,15,2),MID(Raw!K697,18,2))</f>
        <v>45823.2</v>
      </c>
      <c r="P697" s="32" t="n">
        <f aca="false">L697-K697</f>
        <v>3</v>
      </c>
      <c r="Q697" s="32" t="n">
        <f aca="false">M697-L697</f>
        <v>3</v>
      </c>
      <c r="R697" s="32" t="n">
        <f aca="false">O697-N697</f>
        <v>6.95</v>
      </c>
      <c r="S697" s="32" t="n">
        <f aca="false">Raw!L697</f>
        <v>4.2</v>
      </c>
      <c r="T697" s="32" t="n">
        <f aca="false">O697-M697</f>
        <v>4.2</v>
      </c>
      <c r="U697" s="0" t="str">
        <f aca="false">IF(ABS(T697-S697)&lt;0.01,"OK","MISMATCH")</f>
        <v>OK</v>
      </c>
      <c r="V697" s="33" t="n">
        <f aca="false">Raw!M697</f>
        <v>1</v>
      </c>
      <c r="W697" s="0" t="str">
        <f aca="false">IF((S697&gt;0)=(V697=1),"OK","MISMATCH")</f>
        <v>OK</v>
      </c>
      <c r="X697" s="0" t="str">
        <f aca="false">_xlfn.IFS(S697&lt;=0,"Early/On time",S697&lt;=2,"Minor (up to 2 days)",S697&lt;=5,"Moderate (2-5 days)",TRUE(),"Severe (over 5 days)")</f>
        <v>Moderate (2-5 days)</v>
      </c>
      <c r="Y697" s="0" t="str">
        <f aca="false">YEAR(K697)&amp;"-"&amp;TEXT(MONTH(K697),"00")</f>
        <v>2025-06</v>
      </c>
      <c r="Z697" s="0" t="str">
        <f aca="false">C697&amp;" → "&amp;D697</f>
        <v>Surat → Uttarakhand</v>
      </c>
      <c r="AA697" s="0" t="str">
        <f aca="false">Raw!Q697</f>
        <v>VRL Cargo</v>
      </c>
      <c r="AB697" s="0" t="str">
        <f aca="false">Raw!R697</f>
        <v>Yes</v>
      </c>
      <c r="AC697" s="0" t="str">
        <f aca="false">Raw!S697</f>
        <v>Expedited</v>
      </c>
      <c r="AD697" s="29" t="n">
        <f aca="false">Raw!N697</f>
        <v>1457.94</v>
      </c>
      <c r="AE697" s="29" t="n">
        <f aca="false">Raw!O697</f>
        <v>4195.79</v>
      </c>
      <c r="AF697" s="29" t="n">
        <f aca="false">Raw!P697</f>
        <v>1303.04</v>
      </c>
      <c r="AG697" s="29" t="n">
        <f aca="false">AD697/J697</f>
        <v>1088.01492537313</v>
      </c>
    </row>
    <row r="698" customFormat="false" ht="15" hidden="false" customHeight="false" outlineLevel="0" collapsed="false">
      <c r="A698" s="0" t="str">
        <f aca="false">Raw!A698</f>
        <v>SHP0697</v>
      </c>
      <c r="B698" s="0" t="str">
        <f aca="false">Raw!B698</f>
        <v>Outbound</v>
      </c>
      <c r="C698" s="0" t="str">
        <f aca="false">Raw!C698</f>
        <v>Surat</v>
      </c>
      <c r="D698" s="0" t="str">
        <f aca="false">Raw!D698</f>
        <v>Kerala</v>
      </c>
      <c r="E698" s="0" t="str">
        <f aca="false">IFERROR(INDEX(Location_Map!$B$2:$B$15,MATCH(C698,Location_Map!$A$2:$A$15,0)),"UNMAPPED")</f>
        <v>Gujarat</v>
      </c>
      <c r="F698" s="0" t="str">
        <f aca="false">IFERROR(INDEX(Location_Map!$C$2:$C$15,MATCH(C698,Location_Map!$A$2:$A$15,0)),"UNMAPPED")</f>
        <v>West</v>
      </c>
      <c r="G698" s="0" t="str">
        <f aca="false">IFERROR(INDEX(Location_Map!$B$2:$B$15,MATCH(D698,Location_Map!$A$2:$A$15,0)),"UNMAPPED")</f>
        <v>Kerala</v>
      </c>
      <c r="H698" s="0" t="str">
        <f aca="false">IFERROR(INDEX(Location_Map!$C$2:$C$15,MATCH(D698,Location_Map!$A$2:$A$15,0)),"UNMAPPED")</f>
        <v>South</v>
      </c>
      <c r="I698" s="0" t="str">
        <f aca="false">Raw!E698</f>
        <v>Finished Yarn</v>
      </c>
      <c r="J698" s="28" t="n">
        <f aca="false">Raw!F698</f>
        <v>8.89</v>
      </c>
      <c r="K698" s="30" t="n">
        <f aca="false">DATE(LEFT(Raw!G698,4),MID(Raw!G698,6,2),MID(Raw!G698,9,2))</f>
        <v>45743</v>
      </c>
      <c r="L698" s="30" t="n">
        <f aca="false">DATE(LEFT(Raw!H698,4),MID(Raw!H698,6,2),MID(Raw!H698,9,2))</f>
        <v>45745</v>
      </c>
      <c r="M698" s="30" t="n">
        <f aca="false">DATE(LEFT(Raw!I698,4),MID(Raw!I698,6,2),MID(Raw!I698,9,2))</f>
        <v>45748</v>
      </c>
      <c r="N698" s="31" t="n">
        <f aca="false">DATE(LEFT(Raw!J698,4),MID(Raw!J698,6,2),MID(Raw!J698,9,2))+TIME(MID(Raw!J698,12,2),MID(Raw!J698,15,2),MID(Raw!J698,18,2))</f>
        <v>45745.0833333333</v>
      </c>
      <c r="O698" s="31" t="n">
        <f aca="false">DATE(LEFT(Raw!K698,4),MID(Raw!K698,6,2),MID(Raw!K698,9,2))+TIME(MID(Raw!K698,12,2),MID(Raw!K698,15,2),MID(Raw!K698,18,2))</f>
        <v>45752.5</v>
      </c>
      <c r="P698" s="32" t="n">
        <f aca="false">L698-K698</f>
        <v>2</v>
      </c>
      <c r="Q698" s="32" t="n">
        <f aca="false">M698-L698</f>
        <v>3</v>
      </c>
      <c r="R698" s="32" t="n">
        <f aca="false">O698-N698</f>
        <v>7.41666666666667</v>
      </c>
      <c r="S698" s="32" t="n">
        <f aca="false">Raw!L698</f>
        <v>4.5</v>
      </c>
      <c r="T698" s="32" t="n">
        <f aca="false">O698-M698</f>
        <v>4.5</v>
      </c>
      <c r="U698" s="0" t="str">
        <f aca="false">IF(ABS(T698-S698)&lt;0.01,"OK","MISMATCH")</f>
        <v>OK</v>
      </c>
      <c r="V698" s="33" t="n">
        <f aca="false">Raw!M698</f>
        <v>1</v>
      </c>
      <c r="W698" s="0" t="str">
        <f aca="false">IF((S698&gt;0)=(V698=1),"OK","MISMATCH")</f>
        <v>OK</v>
      </c>
      <c r="X698" s="0" t="str">
        <f aca="false">_xlfn.IFS(S698&lt;=0,"Early/On time",S698&lt;=2,"Minor (up to 2 days)",S698&lt;=5,"Moderate (2-5 days)",TRUE(),"Severe (over 5 days)")</f>
        <v>Moderate (2-5 days)</v>
      </c>
      <c r="Y698" s="0" t="str">
        <f aca="false">YEAR(K698)&amp;"-"&amp;TEXT(MONTH(K698),"00")</f>
        <v>2025-03</v>
      </c>
      <c r="Z698" s="0" t="str">
        <f aca="false">C698&amp;" → "&amp;D698</f>
        <v>Surat → Kerala</v>
      </c>
      <c r="AA698" s="0" t="str">
        <f aca="false">Raw!Q698</f>
        <v>BlueDart</v>
      </c>
      <c r="AB698" s="0" t="str">
        <f aca="false">Raw!R698</f>
        <v>Yes</v>
      </c>
      <c r="AC698" s="0" t="str">
        <f aca="false">Raw!S698</f>
        <v>Expedited</v>
      </c>
      <c r="AD698" s="29" t="n">
        <f aca="false">Raw!N698</f>
        <v>4703.38</v>
      </c>
      <c r="AE698" s="29" t="n">
        <f aca="false">Raw!O698</f>
        <v>2218.09</v>
      </c>
      <c r="AF698" s="29" t="n">
        <f aca="false">Raw!P698</f>
        <v>524.86</v>
      </c>
      <c r="AG698" s="29" t="n">
        <f aca="false">AD698/J698</f>
        <v>529.064116985377</v>
      </c>
    </row>
    <row r="699" customFormat="false" ht="15" hidden="false" customHeight="false" outlineLevel="0" collapsed="false">
      <c r="A699" s="0" t="str">
        <f aca="false">Raw!A699</f>
        <v>SHP0698</v>
      </c>
      <c r="B699" s="0" t="str">
        <f aca="false">Raw!B699</f>
        <v>Inbound</v>
      </c>
      <c r="C699" s="0" t="str">
        <f aca="false">Raw!C699</f>
        <v>Punjab</v>
      </c>
      <c r="D699" s="0" t="str">
        <f aca="false">Raw!D699</f>
        <v>Surat</v>
      </c>
      <c r="E699" s="0" t="str">
        <f aca="false">IFERROR(INDEX(Location_Map!$B$2:$B$15,MATCH(C699,Location_Map!$A$2:$A$15,0)),"UNMAPPED")</f>
        <v>Punjab</v>
      </c>
      <c r="F699" s="0" t="str">
        <f aca="false">IFERROR(INDEX(Location_Map!$C$2:$C$15,MATCH(C699,Location_Map!$A$2:$A$15,0)),"UNMAPPED")</f>
        <v>North</v>
      </c>
      <c r="G699" s="0" t="str">
        <f aca="false">IFERROR(INDEX(Location_Map!$B$2:$B$15,MATCH(D699,Location_Map!$A$2:$A$15,0)),"UNMAPPED")</f>
        <v>Gujarat</v>
      </c>
      <c r="H699" s="0" t="str">
        <f aca="false">IFERROR(INDEX(Location_Map!$C$2:$C$15,MATCH(D699,Location_Map!$A$2:$A$15,0)),"UNMAPPED")</f>
        <v>West</v>
      </c>
      <c r="I699" s="0" t="str">
        <f aca="false">Raw!E699</f>
        <v>Finished Yarn</v>
      </c>
      <c r="J699" s="28" t="n">
        <f aca="false">Raw!F699</f>
        <v>1.07</v>
      </c>
      <c r="K699" s="30" t="n">
        <f aca="false">DATE(LEFT(Raw!G699,4),MID(Raw!G699,6,2),MID(Raw!G699,9,2))</f>
        <v>45726</v>
      </c>
      <c r="L699" s="30" t="n">
        <f aca="false">DATE(LEFT(Raw!H699,4),MID(Raw!H699,6,2),MID(Raw!H699,9,2))</f>
        <v>45728</v>
      </c>
      <c r="M699" s="30" t="n">
        <f aca="false">DATE(LEFT(Raw!I699,4),MID(Raw!I699,6,2),MID(Raw!I699,9,2))</f>
        <v>45730</v>
      </c>
      <c r="N699" s="31" t="n">
        <f aca="false">DATE(LEFT(Raw!J699,4),MID(Raw!J699,6,2),MID(Raw!J699,9,2))+TIME(MID(Raw!J699,12,2),MID(Raw!J699,15,2),MID(Raw!J699,18,2))</f>
        <v>45727.7916666667</v>
      </c>
      <c r="O699" s="31" t="n">
        <f aca="false">DATE(LEFT(Raw!K699,4),MID(Raw!K699,6,2),MID(Raw!K699,9,2))+TIME(MID(Raw!K699,12,2),MID(Raw!K699,15,2),MID(Raw!K699,18,2))</f>
        <v>45735.7</v>
      </c>
      <c r="P699" s="32" t="n">
        <f aca="false">L699-K699</f>
        <v>2</v>
      </c>
      <c r="Q699" s="32" t="n">
        <f aca="false">M699-L699</f>
        <v>2</v>
      </c>
      <c r="R699" s="32" t="n">
        <f aca="false">O699-N699</f>
        <v>7.90833333333333</v>
      </c>
      <c r="S699" s="32" t="n">
        <f aca="false">Raw!L699</f>
        <v>5.7</v>
      </c>
      <c r="T699" s="32" t="n">
        <f aca="false">O699-M699</f>
        <v>5.7</v>
      </c>
      <c r="U699" s="0" t="str">
        <f aca="false">IF(ABS(T699-S699)&lt;0.01,"OK","MISMATCH")</f>
        <v>OK</v>
      </c>
      <c r="V699" s="33" t="n">
        <f aca="false">Raw!M699</f>
        <v>1</v>
      </c>
      <c r="W699" s="0" t="str">
        <f aca="false">IF((S699&gt;0)=(V699=1),"OK","MISMATCH")</f>
        <v>OK</v>
      </c>
      <c r="X699" s="0" t="str">
        <f aca="false">_xlfn.IFS(S699&lt;=0,"Early/On time",S699&lt;=2,"Minor (up to 2 days)",S699&lt;=5,"Moderate (2-5 days)",TRUE(),"Severe (over 5 days)")</f>
        <v>Severe (over 5 days)</v>
      </c>
      <c r="Y699" s="0" t="str">
        <f aca="false">YEAR(K699)&amp;"-"&amp;TEXT(MONTH(K699),"00")</f>
        <v>2025-03</v>
      </c>
      <c r="Z699" s="0" t="str">
        <f aca="false">C699&amp;" → "&amp;D699</f>
        <v>Punjab → Surat</v>
      </c>
      <c r="AA699" s="0" t="str">
        <f aca="false">Raw!Q699</f>
        <v>GATI Logistics</v>
      </c>
      <c r="AB699" s="0" t="str">
        <f aca="false">Raw!R699</f>
        <v>No</v>
      </c>
      <c r="AC699" s="0" t="str">
        <f aca="false">Raw!S699</f>
        <v>Returned</v>
      </c>
      <c r="AD699" s="29" t="n">
        <f aca="false">Raw!N699</f>
        <v>1787.11</v>
      </c>
      <c r="AE699" s="29" t="n">
        <f aca="false">Raw!O699</f>
        <v>3645.86</v>
      </c>
      <c r="AF699" s="29" t="n">
        <f aca="false">Raw!P699</f>
        <v>1403.27</v>
      </c>
      <c r="AG699" s="29" t="n">
        <f aca="false">AD699/J699</f>
        <v>1670.19626168224</v>
      </c>
    </row>
    <row r="700" customFormat="false" ht="15" hidden="false" customHeight="false" outlineLevel="0" collapsed="false">
      <c r="A700" s="0" t="str">
        <f aca="false">Raw!A700</f>
        <v>SHP0699</v>
      </c>
      <c r="B700" s="0" t="str">
        <f aca="false">Raw!B700</f>
        <v>Inbound</v>
      </c>
      <c r="C700" s="0" t="str">
        <f aca="false">Raw!C700</f>
        <v>Uttar Pradesh</v>
      </c>
      <c r="D700" s="0" t="str">
        <f aca="false">Raw!D700</f>
        <v>Surat</v>
      </c>
      <c r="E700" s="0" t="str">
        <f aca="false">IFERROR(INDEX(Location_Map!$B$2:$B$15,MATCH(C700,Location_Map!$A$2:$A$15,0)),"UNMAPPED")</f>
        <v>Uttar Pradesh</v>
      </c>
      <c r="F700" s="0" t="str">
        <f aca="false">IFERROR(INDEX(Location_Map!$C$2:$C$15,MATCH(C700,Location_Map!$A$2:$A$15,0)),"UNMAPPED")</f>
        <v>North</v>
      </c>
      <c r="G700" s="0" t="str">
        <f aca="false">IFERROR(INDEX(Location_Map!$B$2:$B$15,MATCH(D700,Location_Map!$A$2:$A$15,0)),"UNMAPPED")</f>
        <v>Gujarat</v>
      </c>
      <c r="H700" s="0" t="str">
        <f aca="false">IFERROR(INDEX(Location_Map!$C$2:$C$15,MATCH(D700,Location_Map!$A$2:$A$15,0)),"UNMAPPED")</f>
        <v>West</v>
      </c>
      <c r="I700" s="0" t="str">
        <f aca="false">Raw!E700</f>
        <v>Finished Yarn</v>
      </c>
      <c r="J700" s="28" t="n">
        <f aca="false">Raw!F700</f>
        <v>2.87</v>
      </c>
      <c r="K700" s="30" t="n">
        <f aca="false">DATE(LEFT(Raw!G700,4),MID(Raw!G700,6,2),MID(Raw!G700,9,2))</f>
        <v>45727</v>
      </c>
      <c r="L700" s="30" t="n">
        <f aca="false">DATE(LEFT(Raw!H700,4),MID(Raw!H700,6,2),MID(Raw!H700,9,2))</f>
        <v>45730</v>
      </c>
      <c r="M700" s="30" t="n">
        <f aca="false">DATE(LEFT(Raw!I700,4),MID(Raw!I700,6,2),MID(Raw!I700,9,2))</f>
        <v>45735</v>
      </c>
      <c r="N700" s="31" t="n">
        <f aca="false">DATE(LEFT(Raw!J700,4),MID(Raw!J700,6,2),MID(Raw!J700,9,2))+TIME(MID(Raw!J700,12,2),MID(Raw!J700,15,2),MID(Raw!J700,18,2))</f>
        <v>45730.375</v>
      </c>
      <c r="O700" s="31" t="n">
        <f aca="false">DATE(LEFT(Raw!K700,4),MID(Raw!K700,6,2),MID(Raw!K700,9,2))+TIME(MID(Raw!K700,12,2),MID(Raw!K700,15,2),MID(Raw!K700,18,2))</f>
        <v>45738.4</v>
      </c>
      <c r="P700" s="32" t="n">
        <f aca="false">L700-K700</f>
        <v>3</v>
      </c>
      <c r="Q700" s="32" t="n">
        <f aca="false">M700-L700</f>
        <v>5</v>
      </c>
      <c r="R700" s="32" t="n">
        <f aca="false">O700-N700</f>
        <v>8.025</v>
      </c>
      <c r="S700" s="32" t="n">
        <f aca="false">Raw!L700</f>
        <v>3.4</v>
      </c>
      <c r="T700" s="32" t="n">
        <f aca="false">O700-M700</f>
        <v>3.4</v>
      </c>
      <c r="U700" s="0" t="str">
        <f aca="false">IF(ABS(T700-S700)&lt;0.01,"OK","MISMATCH")</f>
        <v>OK</v>
      </c>
      <c r="V700" s="33" t="n">
        <f aca="false">Raw!M700</f>
        <v>1</v>
      </c>
      <c r="W700" s="0" t="str">
        <f aca="false">IF((S700&gt;0)=(V700=1),"OK","MISMATCH")</f>
        <v>OK</v>
      </c>
      <c r="X700" s="0" t="str">
        <f aca="false">_xlfn.IFS(S700&lt;=0,"Early/On time",S700&lt;=2,"Minor (up to 2 days)",S700&lt;=5,"Moderate (2-5 days)",TRUE(),"Severe (over 5 days)")</f>
        <v>Moderate (2-5 days)</v>
      </c>
      <c r="Y700" s="0" t="str">
        <f aca="false">YEAR(K700)&amp;"-"&amp;TEXT(MONTH(K700),"00")</f>
        <v>2025-03</v>
      </c>
      <c r="Z700" s="0" t="str">
        <f aca="false">C700&amp;" → "&amp;D700</f>
        <v>Uttar Pradesh → Surat</v>
      </c>
      <c r="AA700" s="0" t="str">
        <f aca="false">Raw!Q700</f>
        <v>TCI Express</v>
      </c>
      <c r="AB700" s="0" t="str">
        <f aca="false">Raw!R700</f>
        <v>No</v>
      </c>
      <c r="AC700" s="0" t="str">
        <f aca="false">Raw!S700</f>
        <v>Damaged</v>
      </c>
      <c r="AD700" s="29" t="n">
        <f aca="false">Raw!N700</f>
        <v>1779.47</v>
      </c>
      <c r="AE700" s="29" t="n">
        <f aca="false">Raw!O700</f>
        <v>4089.07</v>
      </c>
      <c r="AF700" s="29" t="n">
        <f aca="false">Raw!P700</f>
        <v>575.53</v>
      </c>
      <c r="AG700" s="29" t="n">
        <f aca="false">AD700/J700</f>
        <v>620.024390243902</v>
      </c>
    </row>
    <row r="701" customFormat="false" ht="15" hidden="false" customHeight="false" outlineLevel="0" collapsed="false">
      <c r="A701" s="0" t="str">
        <f aca="false">Raw!A701</f>
        <v>SHP0700</v>
      </c>
      <c r="B701" s="0" t="str">
        <f aca="false">Raw!B701</f>
        <v>Outbound</v>
      </c>
      <c r="C701" s="0" t="str">
        <f aca="false">Raw!C701</f>
        <v>Surat</v>
      </c>
      <c r="D701" s="0" t="str">
        <f aca="false">Raw!D701</f>
        <v>Uttarakhand</v>
      </c>
      <c r="E701" s="0" t="str">
        <f aca="false">IFERROR(INDEX(Location_Map!$B$2:$B$15,MATCH(C701,Location_Map!$A$2:$A$15,0)),"UNMAPPED")</f>
        <v>Gujarat</v>
      </c>
      <c r="F701" s="0" t="str">
        <f aca="false">IFERROR(INDEX(Location_Map!$C$2:$C$15,MATCH(C701,Location_Map!$A$2:$A$15,0)),"UNMAPPED")</f>
        <v>West</v>
      </c>
      <c r="G701" s="0" t="str">
        <f aca="false">IFERROR(INDEX(Location_Map!$B$2:$B$15,MATCH(D701,Location_Map!$A$2:$A$15,0)),"UNMAPPED")</f>
        <v>Uttarakhand</v>
      </c>
      <c r="H701" s="0" t="str">
        <f aca="false">IFERROR(INDEX(Location_Map!$C$2:$C$15,MATCH(D701,Location_Map!$A$2:$A$15,0)),"UNMAPPED")</f>
        <v>North</v>
      </c>
      <c r="I701" s="0" t="str">
        <f aca="false">Raw!E701</f>
        <v>Raw Yarn</v>
      </c>
      <c r="J701" s="28" t="n">
        <f aca="false">Raw!F701</f>
        <v>16.72</v>
      </c>
      <c r="K701" s="30" t="n">
        <f aca="false">DATE(LEFT(Raw!G701,4),MID(Raw!G701,6,2),MID(Raw!G701,9,2))</f>
        <v>45786</v>
      </c>
      <c r="L701" s="30" t="n">
        <f aca="false">DATE(LEFT(Raw!H701,4),MID(Raw!H701,6,2),MID(Raw!H701,9,2))</f>
        <v>45789</v>
      </c>
      <c r="M701" s="30" t="n">
        <f aca="false">DATE(LEFT(Raw!I701,4),MID(Raw!I701,6,2),MID(Raw!I701,9,2))</f>
        <v>45792</v>
      </c>
      <c r="N701" s="31" t="n">
        <f aca="false">DATE(LEFT(Raw!J701,4),MID(Raw!J701,6,2),MID(Raw!J701,9,2))+TIME(MID(Raw!J701,12,2),MID(Raw!J701,15,2),MID(Raw!J701,18,2))</f>
        <v>45789</v>
      </c>
      <c r="O701" s="31" t="n">
        <f aca="false">DATE(LEFT(Raw!K701,4),MID(Raw!K701,6,2),MID(Raw!K701,9,2))+TIME(MID(Raw!K701,12,2),MID(Raw!K701,15,2),MID(Raw!K701,18,2))</f>
        <v>45791.6</v>
      </c>
      <c r="P701" s="32" t="n">
        <f aca="false">L701-K701</f>
        <v>3</v>
      </c>
      <c r="Q701" s="32" t="n">
        <f aca="false">M701-L701</f>
        <v>3</v>
      </c>
      <c r="R701" s="32" t="n">
        <f aca="false">O701-N701</f>
        <v>2.6</v>
      </c>
      <c r="S701" s="32" t="n">
        <f aca="false">Raw!L701</f>
        <v>-0.4</v>
      </c>
      <c r="T701" s="32" t="n">
        <f aca="false">O701-M701</f>
        <v>-0.400000000002917</v>
      </c>
      <c r="U701" s="0" t="str">
        <f aca="false">IF(ABS(T701-S701)&lt;0.01,"OK","MISMATCH")</f>
        <v>OK</v>
      </c>
      <c r="V701" s="33" t="n">
        <f aca="false">Raw!M701</f>
        <v>0</v>
      </c>
      <c r="W701" s="0" t="str">
        <f aca="false">IF((S701&gt;0)=(V701=1),"OK","MISMATCH")</f>
        <v>OK</v>
      </c>
      <c r="X701" s="0" t="str">
        <f aca="false">_xlfn.IFS(S701&lt;=0,"Early/On time",S701&lt;=2,"Minor (up to 2 days)",S701&lt;=5,"Moderate (2-5 days)",TRUE(),"Severe (over 5 days)")</f>
        <v>Early/On time</v>
      </c>
      <c r="Y701" s="0" t="str">
        <f aca="false">YEAR(K701)&amp;"-"&amp;TEXT(MONTH(K701),"00")</f>
        <v>2025-05</v>
      </c>
      <c r="Z701" s="0" t="str">
        <f aca="false">C701&amp;" → "&amp;D701</f>
        <v>Surat → Uttarakhand</v>
      </c>
      <c r="AA701" s="0" t="str">
        <f aca="false">Raw!Q701</f>
        <v>GATI Logistics</v>
      </c>
      <c r="AB701" s="0" t="str">
        <f aca="false">Raw!R701</f>
        <v>No</v>
      </c>
      <c r="AC701" s="0" t="str">
        <f aca="false">Raw!S701</f>
        <v>Expedited</v>
      </c>
      <c r="AD701" s="29" t="n">
        <f aca="false">Raw!N701</f>
        <v>5207.97</v>
      </c>
      <c r="AE701" s="29" t="n">
        <f aca="false">Raw!O701</f>
        <v>4846.17</v>
      </c>
      <c r="AF701" s="29" t="n">
        <f aca="false">Raw!P701</f>
        <v>1307.26</v>
      </c>
      <c r="AG701" s="29" t="n">
        <f aca="false">AD701/J701</f>
        <v>311.481459330144</v>
      </c>
    </row>
    <row r="702" customFormat="false" ht="15" hidden="false" customHeight="false" outlineLevel="0" collapsed="false">
      <c r="A702" s="0" t="str">
        <f aca="false">Raw!A702</f>
        <v>SHP0701</v>
      </c>
      <c r="B702" s="0" t="str">
        <f aca="false">Raw!B702</f>
        <v>Inbound</v>
      </c>
      <c r="C702" s="0" t="str">
        <f aca="false">Raw!C702</f>
        <v>Gujarat</v>
      </c>
      <c r="D702" s="0" t="str">
        <f aca="false">Raw!D702</f>
        <v>Surat</v>
      </c>
      <c r="E702" s="0" t="str">
        <f aca="false">IFERROR(INDEX(Location_Map!$B$2:$B$15,MATCH(C702,Location_Map!$A$2:$A$15,0)),"UNMAPPED")</f>
        <v>Gujarat</v>
      </c>
      <c r="F702" s="0" t="str">
        <f aca="false">IFERROR(INDEX(Location_Map!$C$2:$C$15,MATCH(C702,Location_Map!$A$2:$A$15,0)),"UNMAPPED")</f>
        <v>West</v>
      </c>
      <c r="G702" s="0" t="str">
        <f aca="false">IFERROR(INDEX(Location_Map!$B$2:$B$15,MATCH(D702,Location_Map!$A$2:$A$15,0)),"UNMAPPED")</f>
        <v>Gujarat</v>
      </c>
      <c r="H702" s="0" t="str">
        <f aca="false">IFERROR(INDEX(Location_Map!$C$2:$C$15,MATCH(D702,Location_Map!$A$2:$A$15,0)),"UNMAPPED")</f>
        <v>West</v>
      </c>
      <c r="I702" s="0" t="str">
        <f aca="false">Raw!E702</f>
        <v>Raw Yarn</v>
      </c>
      <c r="J702" s="28" t="n">
        <f aca="false">Raw!F702</f>
        <v>9.73</v>
      </c>
      <c r="K702" s="30" t="n">
        <f aca="false">DATE(LEFT(Raw!G702,4),MID(Raw!G702,6,2),MID(Raw!G702,9,2))</f>
        <v>45725</v>
      </c>
      <c r="L702" s="30" t="n">
        <f aca="false">DATE(LEFT(Raw!H702,4),MID(Raw!H702,6,2),MID(Raw!H702,9,2))</f>
        <v>45729</v>
      </c>
      <c r="M702" s="30" t="n">
        <f aca="false">DATE(LEFT(Raw!I702,4),MID(Raw!I702,6,2),MID(Raw!I702,9,2))</f>
        <v>45734</v>
      </c>
      <c r="N702" s="31" t="n">
        <f aca="false">DATE(LEFT(Raw!J702,4),MID(Raw!J702,6,2),MID(Raw!J702,9,2))+TIME(MID(Raw!J702,12,2),MID(Raw!J702,15,2),MID(Raw!J702,18,2))</f>
        <v>45729.2916666667</v>
      </c>
      <c r="O702" s="31" t="n">
        <f aca="false">DATE(LEFT(Raw!K702,4),MID(Raw!K702,6,2),MID(Raw!K702,9,2))+TIME(MID(Raw!K702,12,2),MID(Raw!K702,15,2),MID(Raw!K702,18,2))</f>
        <v>45739.7</v>
      </c>
      <c r="P702" s="32" t="n">
        <f aca="false">L702-K702</f>
        <v>4</v>
      </c>
      <c r="Q702" s="32" t="n">
        <f aca="false">M702-L702</f>
        <v>5</v>
      </c>
      <c r="R702" s="32" t="n">
        <f aca="false">O702-N702</f>
        <v>10.4083333333333</v>
      </c>
      <c r="S702" s="32" t="n">
        <f aca="false">Raw!L702</f>
        <v>5.7</v>
      </c>
      <c r="T702" s="32" t="n">
        <f aca="false">O702-M702</f>
        <v>5.7</v>
      </c>
      <c r="U702" s="0" t="str">
        <f aca="false">IF(ABS(T702-S702)&lt;0.01,"OK","MISMATCH")</f>
        <v>OK</v>
      </c>
      <c r="V702" s="33" t="n">
        <f aca="false">Raw!M702</f>
        <v>1</v>
      </c>
      <c r="W702" s="0" t="str">
        <f aca="false">IF((S702&gt;0)=(V702=1),"OK","MISMATCH")</f>
        <v>OK</v>
      </c>
      <c r="X702" s="0" t="str">
        <f aca="false">_xlfn.IFS(S702&lt;=0,"Early/On time",S702&lt;=2,"Minor (up to 2 days)",S702&lt;=5,"Moderate (2-5 days)",TRUE(),"Severe (over 5 days)")</f>
        <v>Severe (over 5 days)</v>
      </c>
      <c r="Y702" s="0" t="str">
        <f aca="false">YEAR(K702)&amp;"-"&amp;TEXT(MONTH(K702),"00")</f>
        <v>2025-03</v>
      </c>
      <c r="Z702" s="0" t="str">
        <f aca="false">C702&amp;" → "&amp;D702</f>
        <v>Gujarat → Surat</v>
      </c>
      <c r="AA702" s="0" t="str">
        <f aca="false">Raw!Q702</f>
        <v>BlueDart</v>
      </c>
      <c r="AB702" s="0" t="str">
        <f aca="false">Raw!R702</f>
        <v>Yes</v>
      </c>
      <c r="AC702" s="0" t="str">
        <f aca="false">Raw!S702</f>
        <v>Held at warehouse</v>
      </c>
      <c r="AD702" s="29" t="n">
        <f aca="false">Raw!N702</f>
        <v>2858.67</v>
      </c>
      <c r="AE702" s="29" t="n">
        <f aca="false">Raw!O702</f>
        <v>4753.79</v>
      </c>
      <c r="AF702" s="29" t="n">
        <f aca="false">Raw!P702</f>
        <v>671.09</v>
      </c>
      <c r="AG702" s="29" t="n">
        <f aca="false">AD702/J702</f>
        <v>293.799588900308</v>
      </c>
    </row>
    <row r="703" customFormat="false" ht="15" hidden="false" customHeight="false" outlineLevel="0" collapsed="false">
      <c r="A703" s="0" t="str">
        <f aca="false">Raw!A703</f>
        <v>SHP0702</v>
      </c>
      <c r="B703" s="0" t="str">
        <f aca="false">Raw!B703</f>
        <v>Outbound</v>
      </c>
      <c r="C703" s="0" t="str">
        <f aca="false">Raw!C703</f>
        <v>Surat</v>
      </c>
      <c r="D703" s="0" t="str">
        <f aca="false">Raw!D703</f>
        <v>Assam</v>
      </c>
      <c r="E703" s="0" t="str">
        <f aca="false">IFERROR(INDEX(Location_Map!$B$2:$B$15,MATCH(C703,Location_Map!$A$2:$A$15,0)),"UNMAPPED")</f>
        <v>Gujarat</v>
      </c>
      <c r="F703" s="0" t="str">
        <f aca="false">IFERROR(INDEX(Location_Map!$C$2:$C$15,MATCH(C703,Location_Map!$A$2:$A$15,0)),"UNMAPPED")</f>
        <v>West</v>
      </c>
      <c r="G703" s="0" t="str">
        <f aca="false">IFERROR(INDEX(Location_Map!$B$2:$B$15,MATCH(D703,Location_Map!$A$2:$A$15,0)),"UNMAPPED")</f>
        <v>Assam</v>
      </c>
      <c r="H703" s="0" t="str">
        <f aca="false">IFERROR(INDEX(Location_Map!$C$2:$C$15,MATCH(D703,Location_Map!$A$2:$A$15,0)),"UNMAPPED")</f>
        <v>North-East</v>
      </c>
      <c r="I703" s="0" t="str">
        <f aca="false">Raw!E703</f>
        <v>Raw Yarn</v>
      </c>
      <c r="J703" s="28" t="n">
        <f aca="false">Raw!F703</f>
        <v>3.15</v>
      </c>
      <c r="K703" s="30" t="n">
        <f aca="false">DATE(LEFT(Raw!G703,4),MID(Raw!G703,6,2),MID(Raw!G703,9,2))</f>
        <v>45829</v>
      </c>
      <c r="L703" s="30" t="n">
        <f aca="false">DATE(LEFT(Raw!H703,4),MID(Raw!H703,6,2),MID(Raw!H703,9,2))</f>
        <v>45833</v>
      </c>
      <c r="M703" s="30" t="n">
        <f aca="false">DATE(LEFT(Raw!I703,4),MID(Raw!I703,6,2),MID(Raw!I703,9,2))</f>
        <v>45839</v>
      </c>
      <c r="N703" s="31" t="n">
        <f aca="false">DATE(LEFT(Raw!J703,4),MID(Raw!J703,6,2),MID(Raw!J703,9,2))+TIME(MID(Raw!J703,12,2),MID(Raw!J703,15,2),MID(Raw!J703,18,2))</f>
        <v>45833.1666666667</v>
      </c>
      <c r="O703" s="31" t="n">
        <f aca="false">DATE(LEFT(Raw!K703,4),MID(Raw!K703,6,2),MID(Raw!K703,9,2))+TIME(MID(Raw!K703,12,2),MID(Raw!K703,15,2),MID(Raw!K703,18,2))</f>
        <v>45844</v>
      </c>
      <c r="P703" s="32" t="n">
        <f aca="false">L703-K703</f>
        <v>4</v>
      </c>
      <c r="Q703" s="32" t="n">
        <f aca="false">M703-L703</f>
        <v>6</v>
      </c>
      <c r="R703" s="32" t="n">
        <f aca="false">O703-N703</f>
        <v>10.8333333333333</v>
      </c>
      <c r="S703" s="32" t="n">
        <f aca="false">Raw!L703</f>
        <v>5</v>
      </c>
      <c r="T703" s="32" t="n">
        <f aca="false">O703-M703</f>
        <v>5</v>
      </c>
      <c r="U703" s="0" t="str">
        <f aca="false">IF(ABS(T703-S703)&lt;0.01,"OK","MISMATCH")</f>
        <v>OK</v>
      </c>
      <c r="V703" s="33" t="n">
        <f aca="false">Raw!M703</f>
        <v>1</v>
      </c>
      <c r="W703" s="0" t="str">
        <f aca="false">IF((S703&gt;0)=(V703=1),"OK","MISMATCH")</f>
        <v>OK</v>
      </c>
      <c r="X703" s="0" t="str">
        <f aca="false">_xlfn.IFS(S703&lt;=0,"Early/On time",S703&lt;=2,"Minor (up to 2 days)",S703&lt;=5,"Moderate (2-5 days)",TRUE(),"Severe (over 5 days)")</f>
        <v>Moderate (2-5 days)</v>
      </c>
      <c r="Y703" s="0" t="str">
        <f aca="false">YEAR(K703)&amp;"-"&amp;TEXT(MONTH(K703),"00")</f>
        <v>2025-06</v>
      </c>
      <c r="Z703" s="0" t="str">
        <f aca="false">C703&amp;" → "&amp;D703</f>
        <v>Surat → Assam</v>
      </c>
      <c r="AA703" s="0" t="str">
        <f aca="false">Raw!Q703</f>
        <v>BlueDart</v>
      </c>
      <c r="AB703" s="0" t="str">
        <f aca="false">Raw!R703</f>
        <v>Yes</v>
      </c>
      <c r="AC703" s="0" t="str">
        <f aca="false">Raw!S703</f>
        <v>Returned</v>
      </c>
      <c r="AD703" s="29" t="n">
        <f aca="false">Raw!N703</f>
        <v>3277.66</v>
      </c>
      <c r="AE703" s="29" t="n">
        <f aca="false">Raw!O703</f>
        <v>1296.3</v>
      </c>
      <c r="AF703" s="29" t="n">
        <f aca="false">Raw!P703</f>
        <v>1492.83</v>
      </c>
      <c r="AG703" s="29" t="n">
        <f aca="false">AD703/J703</f>
        <v>1040.52698412698</v>
      </c>
    </row>
    <row r="704" customFormat="false" ht="15" hidden="false" customHeight="false" outlineLevel="0" collapsed="false">
      <c r="A704" s="0" t="str">
        <f aca="false">Raw!A704</f>
        <v>SHP0703</v>
      </c>
      <c r="B704" s="0" t="str">
        <f aca="false">Raw!B704</f>
        <v>Inbound</v>
      </c>
      <c r="C704" s="0" t="str">
        <f aca="false">Raw!C704</f>
        <v>Rajasthan</v>
      </c>
      <c r="D704" s="0" t="str">
        <f aca="false">Raw!D704</f>
        <v>Surat</v>
      </c>
      <c r="E704" s="0" t="str">
        <f aca="false">IFERROR(INDEX(Location_Map!$B$2:$B$15,MATCH(C704,Location_Map!$A$2:$A$15,0)),"UNMAPPED")</f>
        <v>Rajasthan</v>
      </c>
      <c r="F704" s="0" t="str">
        <f aca="false">IFERROR(INDEX(Location_Map!$C$2:$C$15,MATCH(C704,Location_Map!$A$2:$A$15,0)),"UNMAPPED")</f>
        <v>North</v>
      </c>
      <c r="G704" s="0" t="str">
        <f aca="false">IFERROR(INDEX(Location_Map!$B$2:$B$15,MATCH(D704,Location_Map!$A$2:$A$15,0)),"UNMAPPED")</f>
        <v>Gujarat</v>
      </c>
      <c r="H704" s="0" t="str">
        <f aca="false">IFERROR(INDEX(Location_Map!$C$2:$C$15,MATCH(D704,Location_Map!$A$2:$A$15,0)),"UNMAPPED")</f>
        <v>West</v>
      </c>
      <c r="I704" s="0" t="str">
        <f aca="false">Raw!E704</f>
        <v>Raw Yarn</v>
      </c>
      <c r="J704" s="28" t="n">
        <f aca="false">Raw!F704</f>
        <v>8.75</v>
      </c>
      <c r="K704" s="30" t="n">
        <f aca="false">DATE(LEFT(Raw!G704,4),MID(Raw!G704,6,2),MID(Raw!G704,9,2))</f>
        <v>45744</v>
      </c>
      <c r="L704" s="30" t="n">
        <f aca="false">DATE(LEFT(Raw!H704,4),MID(Raw!H704,6,2),MID(Raw!H704,9,2))</f>
        <v>45747</v>
      </c>
      <c r="M704" s="30" t="n">
        <f aca="false">DATE(LEFT(Raw!I704,4),MID(Raw!I704,6,2),MID(Raw!I704,9,2))</f>
        <v>45749</v>
      </c>
      <c r="N704" s="31" t="n">
        <f aca="false">DATE(LEFT(Raw!J704,4),MID(Raw!J704,6,2),MID(Raw!J704,9,2))+TIME(MID(Raw!J704,12,2),MID(Raw!J704,15,2),MID(Raw!J704,18,2))</f>
        <v>45747.25</v>
      </c>
      <c r="O704" s="31" t="n">
        <f aca="false">DATE(LEFT(Raw!K704,4),MID(Raw!K704,6,2),MID(Raw!K704,9,2))+TIME(MID(Raw!K704,12,2),MID(Raw!K704,15,2),MID(Raw!K704,18,2))</f>
        <v>45748</v>
      </c>
      <c r="P704" s="32" t="n">
        <f aca="false">L704-K704</f>
        <v>3</v>
      </c>
      <c r="Q704" s="32" t="n">
        <f aca="false">M704-L704</f>
        <v>2</v>
      </c>
      <c r="R704" s="32" t="n">
        <f aca="false">O704-N704</f>
        <v>0.75</v>
      </c>
      <c r="S704" s="32" t="n">
        <f aca="false">Raw!L704</f>
        <v>-1</v>
      </c>
      <c r="T704" s="32" t="n">
        <f aca="false">O704-M704</f>
        <v>-1</v>
      </c>
      <c r="U704" s="0" t="str">
        <f aca="false">IF(ABS(T704-S704)&lt;0.01,"OK","MISMATCH")</f>
        <v>OK</v>
      </c>
      <c r="V704" s="33" t="n">
        <f aca="false">Raw!M704</f>
        <v>0</v>
      </c>
      <c r="W704" s="0" t="str">
        <f aca="false">IF((S704&gt;0)=(V704=1),"OK","MISMATCH")</f>
        <v>OK</v>
      </c>
      <c r="X704" s="0" t="str">
        <f aca="false">_xlfn.IFS(S704&lt;=0,"Early/On time",S704&lt;=2,"Minor (up to 2 days)",S704&lt;=5,"Moderate (2-5 days)",TRUE(),"Severe (over 5 days)")</f>
        <v>Early/On time</v>
      </c>
      <c r="Y704" s="0" t="str">
        <f aca="false">YEAR(K704)&amp;"-"&amp;TEXT(MONTH(K704),"00")</f>
        <v>2025-03</v>
      </c>
      <c r="Z704" s="0" t="str">
        <f aca="false">C704&amp;" → "&amp;D704</f>
        <v>Rajasthan → Surat</v>
      </c>
      <c r="AA704" s="0" t="str">
        <f aca="false">Raw!Q704</f>
        <v>Delhivery</v>
      </c>
      <c r="AB704" s="0" t="str">
        <f aca="false">Raw!R704</f>
        <v>Yes</v>
      </c>
      <c r="AC704" s="0" t="str">
        <f aca="false">Raw!S704</f>
        <v>Returned</v>
      </c>
      <c r="AD704" s="29" t="n">
        <f aca="false">Raw!N704</f>
        <v>5446.43</v>
      </c>
      <c r="AE704" s="29" t="n">
        <f aca="false">Raw!O704</f>
        <v>3289.26</v>
      </c>
      <c r="AF704" s="29" t="n">
        <f aca="false">Raw!P704</f>
        <v>1499.21</v>
      </c>
      <c r="AG704" s="29" t="n">
        <f aca="false">AD704/J704</f>
        <v>622.449142857143</v>
      </c>
    </row>
    <row r="705" customFormat="false" ht="15" hidden="false" customHeight="false" outlineLevel="0" collapsed="false">
      <c r="A705" s="0" t="str">
        <f aca="false">Raw!A705</f>
        <v>SHP0704</v>
      </c>
      <c r="B705" s="0" t="str">
        <f aca="false">Raw!B705</f>
        <v>Inbound</v>
      </c>
      <c r="C705" s="0" t="str">
        <f aca="false">Raw!C705</f>
        <v>Uttar Pradesh</v>
      </c>
      <c r="D705" s="0" t="str">
        <f aca="false">Raw!D705</f>
        <v>Surat</v>
      </c>
      <c r="E705" s="0" t="str">
        <f aca="false">IFERROR(INDEX(Location_Map!$B$2:$B$15,MATCH(C705,Location_Map!$A$2:$A$15,0)),"UNMAPPED")</f>
        <v>Uttar Pradesh</v>
      </c>
      <c r="F705" s="0" t="str">
        <f aca="false">IFERROR(INDEX(Location_Map!$C$2:$C$15,MATCH(C705,Location_Map!$A$2:$A$15,0)),"UNMAPPED")</f>
        <v>North</v>
      </c>
      <c r="G705" s="0" t="str">
        <f aca="false">IFERROR(INDEX(Location_Map!$B$2:$B$15,MATCH(D705,Location_Map!$A$2:$A$15,0)),"UNMAPPED")</f>
        <v>Gujarat</v>
      </c>
      <c r="H705" s="0" t="str">
        <f aca="false">IFERROR(INDEX(Location_Map!$C$2:$C$15,MATCH(D705,Location_Map!$A$2:$A$15,0)),"UNMAPPED")</f>
        <v>West</v>
      </c>
      <c r="I705" s="0" t="str">
        <f aca="false">Raw!E705</f>
        <v>Finished Yarn</v>
      </c>
      <c r="J705" s="28" t="n">
        <f aca="false">Raw!F705</f>
        <v>6.45</v>
      </c>
      <c r="K705" s="30" t="n">
        <f aca="false">DATE(LEFT(Raw!G705,4),MID(Raw!G705,6,2),MID(Raw!G705,9,2))</f>
        <v>45742</v>
      </c>
      <c r="L705" s="30" t="n">
        <f aca="false">DATE(LEFT(Raw!H705,4),MID(Raw!H705,6,2),MID(Raw!H705,9,2))</f>
        <v>45743</v>
      </c>
      <c r="M705" s="30" t="n">
        <f aca="false">DATE(LEFT(Raw!I705,4),MID(Raw!I705,6,2),MID(Raw!I705,9,2))</f>
        <v>45749</v>
      </c>
      <c r="N705" s="31" t="n">
        <f aca="false">DATE(LEFT(Raw!J705,4),MID(Raw!J705,6,2),MID(Raw!J705,9,2))+TIME(MID(Raw!J705,12,2),MID(Raw!J705,15,2),MID(Raw!J705,18,2))</f>
        <v>45743.375</v>
      </c>
      <c r="O705" s="31" t="n">
        <f aca="false">DATE(LEFT(Raw!K705,4),MID(Raw!K705,6,2),MID(Raw!K705,9,2))+TIME(MID(Raw!K705,12,2),MID(Raw!K705,15,2),MID(Raw!K705,18,2))</f>
        <v>45752</v>
      </c>
      <c r="P705" s="32" t="n">
        <f aca="false">L705-K705</f>
        <v>1</v>
      </c>
      <c r="Q705" s="32" t="n">
        <f aca="false">M705-L705</f>
        <v>6</v>
      </c>
      <c r="R705" s="32" t="n">
        <f aca="false">O705-N705</f>
        <v>8.625</v>
      </c>
      <c r="S705" s="32" t="n">
        <f aca="false">Raw!L705</f>
        <v>3</v>
      </c>
      <c r="T705" s="32" t="n">
        <f aca="false">O705-M705</f>
        <v>3</v>
      </c>
      <c r="U705" s="0" t="str">
        <f aca="false">IF(ABS(T705-S705)&lt;0.01,"OK","MISMATCH")</f>
        <v>OK</v>
      </c>
      <c r="V705" s="33" t="n">
        <f aca="false">Raw!M705</f>
        <v>1</v>
      </c>
      <c r="W705" s="0" t="str">
        <f aca="false">IF((S705&gt;0)=(V705=1),"OK","MISMATCH")</f>
        <v>OK</v>
      </c>
      <c r="X705" s="0" t="str">
        <f aca="false">_xlfn.IFS(S705&lt;=0,"Early/On time",S705&lt;=2,"Minor (up to 2 days)",S705&lt;=5,"Moderate (2-5 days)",TRUE(),"Severe (over 5 days)")</f>
        <v>Moderate (2-5 days)</v>
      </c>
      <c r="Y705" s="0" t="str">
        <f aca="false">YEAR(K705)&amp;"-"&amp;TEXT(MONTH(K705),"00")</f>
        <v>2025-03</v>
      </c>
      <c r="Z705" s="0" t="str">
        <f aca="false">C705&amp;" → "&amp;D705</f>
        <v>Uttar Pradesh → Surat</v>
      </c>
      <c r="AA705" s="0" t="str">
        <f aca="false">Raw!Q705</f>
        <v>BlueDart</v>
      </c>
      <c r="AB705" s="0" t="str">
        <f aca="false">Raw!R705</f>
        <v>Yes</v>
      </c>
      <c r="AC705" s="0" t="str">
        <f aca="false">Raw!S705</f>
        <v>Damaged</v>
      </c>
      <c r="AD705" s="29" t="n">
        <f aca="false">Raw!N705</f>
        <v>4926.19</v>
      </c>
      <c r="AE705" s="29" t="n">
        <f aca="false">Raw!O705</f>
        <v>3239.18</v>
      </c>
      <c r="AF705" s="29" t="n">
        <f aca="false">Raw!P705</f>
        <v>1020.12</v>
      </c>
      <c r="AG705" s="29" t="n">
        <f aca="false">AD705/J705</f>
        <v>763.750387596899</v>
      </c>
    </row>
    <row r="706" customFormat="false" ht="15" hidden="false" customHeight="false" outlineLevel="0" collapsed="false">
      <c r="A706" s="0" t="str">
        <f aca="false">Raw!A706</f>
        <v>SHP0705</v>
      </c>
      <c r="B706" s="0" t="str">
        <f aca="false">Raw!B706</f>
        <v>Inbound</v>
      </c>
      <c r="C706" s="0" t="str">
        <f aca="false">Raw!C706</f>
        <v>Punjab</v>
      </c>
      <c r="D706" s="0" t="str">
        <f aca="false">Raw!D706</f>
        <v>Surat</v>
      </c>
      <c r="E706" s="0" t="str">
        <f aca="false">IFERROR(INDEX(Location_Map!$B$2:$B$15,MATCH(C706,Location_Map!$A$2:$A$15,0)),"UNMAPPED")</f>
        <v>Punjab</v>
      </c>
      <c r="F706" s="0" t="str">
        <f aca="false">IFERROR(INDEX(Location_Map!$C$2:$C$15,MATCH(C706,Location_Map!$A$2:$A$15,0)),"UNMAPPED")</f>
        <v>North</v>
      </c>
      <c r="G706" s="0" t="str">
        <f aca="false">IFERROR(INDEX(Location_Map!$B$2:$B$15,MATCH(D706,Location_Map!$A$2:$A$15,0)),"UNMAPPED")</f>
        <v>Gujarat</v>
      </c>
      <c r="H706" s="0" t="str">
        <f aca="false">IFERROR(INDEX(Location_Map!$C$2:$C$15,MATCH(D706,Location_Map!$A$2:$A$15,0)),"UNMAPPED")</f>
        <v>West</v>
      </c>
      <c r="I706" s="0" t="str">
        <f aca="false">Raw!E706</f>
        <v>Finished Yarn</v>
      </c>
      <c r="J706" s="28" t="n">
        <f aca="false">Raw!F706</f>
        <v>12.6</v>
      </c>
      <c r="K706" s="30" t="n">
        <f aca="false">DATE(LEFT(Raw!G706,4),MID(Raw!G706,6,2),MID(Raw!G706,9,2))</f>
        <v>45737</v>
      </c>
      <c r="L706" s="30" t="n">
        <f aca="false">DATE(LEFT(Raw!H706,4),MID(Raw!H706,6,2),MID(Raw!H706,9,2))</f>
        <v>45739</v>
      </c>
      <c r="M706" s="30" t="n">
        <f aca="false">DATE(LEFT(Raw!I706,4),MID(Raw!I706,6,2),MID(Raw!I706,9,2))</f>
        <v>45745</v>
      </c>
      <c r="N706" s="31" t="n">
        <f aca="false">DATE(LEFT(Raw!J706,4),MID(Raw!J706,6,2),MID(Raw!J706,9,2))+TIME(MID(Raw!J706,12,2),MID(Raw!J706,15,2),MID(Raw!J706,18,2))</f>
        <v>45739</v>
      </c>
      <c r="O706" s="31" t="n">
        <f aca="false">DATE(LEFT(Raw!K706,4),MID(Raw!K706,6,2),MID(Raw!K706,9,2))+TIME(MID(Raw!K706,12,2),MID(Raw!K706,15,2),MID(Raw!K706,18,2))</f>
        <v>45748</v>
      </c>
      <c r="P706" s="32" t="n">
        <f aca="false">L706-K706</f>
        <v>2</v>
      </c>
      <c r="Q706" s="32" t="n">
        <f aca="false">M706-L706</f>
        <v>6</v>
      </c>
      <c r="R706" s="32" t="n">
        <f aca="false">O706-N706</f>
        <v>9</v>
      </c>
      <c r="S706" s="32" t="n">
        <f aca="false">Raw!L706</f>
        <v>3</v>
      </c>
      <c r="T706" s="32" t="n">
        <f aca="false">O706-M706</f>
        <v>3</v>
      </c>
      <c r="U706" s="0" t="str">
        <f aca="false">IF(ABS(T706-S706)&lt;0.01,"OK","MISMATCH")</f>
        <v>OK</v>
      </c>
      <c r="V706" s="33" t="n">
        <f aca="false">Raw!M706</f>
        <v>1</v>
      </c>
      <c r="W706" s="0" t="str">
        <f aca="false">IF((S706&gt;0)=(V706=1),"OK","MISMATCH")</f>
        <v>OK</v>
      </c>
      <c r="X706" s="0" t="str">
        <f aca="false">_xlfn.IFS(S706&lt;=0,"Early/On time",S706&lt;=2,"Minor (up to 2 days)",S706&lt;=5,"Moderate (2-5 days)",TRUE(),"Severe (over 5 days)")</f>
        <v>Moderate (2-5 days)</v>
      </c>
      <c r="Y706" s="0" t="str">
        <f aca="false">YEAR(K706)&amp;"-"&amp;TEXT(MONTH(K706),"00")</f>
        <v>2025-03</v>
      </c>
      <c r="Z706" s="0" t="str">
        <f aca="false">C706&amp;" → "&amp;D706</f>
        <v>Punjab → Surat</v>
      </c>
      <c r="AA706" s="0" t="str">
        <f aca="false">Raw!Q706</f>
        <v>GATI Logistics</v>
      </c>
      <c r="AB706" s="0" t="str">
        <f aca="false">Raw!R706</f>
        <v>Yes</v>
      </c>
      <c r="AC706" s="0" t="str">
        <f aca="false">Raw!S706</f>
        <v>Held at warehouse</v>
      </c>
      <c r="AD706" s="29" t="n">
        <f aca="false">Raw!N706</f>
        <v>7916.7</v>
      </c>
      <c r="AE706" s="29" t="n">
        <f aca="false">Raw!O706</f>
        <v>1627.67</v>
      </c>
      <c r="AF706" s="29" t="n">
        <f aca="false">Raw!P706</f>
        <v>515.02</v>
      </c>
      <c r="AG706" s="29" t="n">
        <f aca="false">AD706/J706</f>
        <v>628.309523809524</v>
      </c>
    </row>
    <row r="707" customFormat="false" ht="15" hidden="false" customHeight="false" outlineLevel="0" collapsed="false">
      <c r="A707" s="0" t="str">
        <f aca="false">Raw!A707</f>
        <v>SHP0706</v>
      </c>
      <c r="B707" s="0" t="str">
        <f aca="false">Raw!B707</f>
        <v>Inbound</v>
      </c>
      <c r="C707" s="0" t="str">
        <f aca="false">Raw!C707</f>
        <v>Rajasthan</v>
      </c>
      <c r="D707" s="0" t="str">
        <f aca="false">Raw!D707</f>
        <v>Surat</v>
      </c>
      <c r="E707" s="0" t="str">
        <f aca="false">IFERROR(INDEX(Location_Map!$B$2:$B$15,MATCH(C707,Location_Map!$A$2:$A$15,0)),"UNMAPPED")</f>
        <v>Rajasthan</v>
      </c>
      <c r="F707" s="0" t="str">
        <f aca="false">IFERROR(INDEX(Location_Map!$C$2:$C$15,MATCH(C707,Location_Map!$A$2:$A$15,0)),"UNMAPPED")</f>
        <v>North</v>
      </c>
      <c r="G707" s="0" t="str">
        <f aca="false">IFERROR(INDEX(Location_Map!$B$2:$B$15,MATCH(D707,Location_Map!$A$2:$A$15,0)),"UNMAPPED")</f>
        <v>Gujarat</v>
      </c>
      <c r="H707" s="0" t="str">
        <f aca="false">IFERROR(INDEX(Location_Map!$C$2:$C$15,MATCH(D707,Location_Map!$A$2:$A$15,0)),"UNMAPPED")</f>
        <v>West</v>
      </c>
      <c r="I707" s="0" t="str">
        <f aca="false">Raw!E707</f>
        <v>Raw Yarn</v>
      </c>
      <c r="J707" s="28" t="n">
        <f aca="false">Raw!F707</f>
        <v>6.94</v>
      </c>
      <c r="K707" s="30" t="n">
        <f aca="false">DATE(LEFT(Raw!G707,4),MID(Raw!G707,6,2),MID(Raw!G707,9,2))</f>
        <v>45834</v>
      </c>
      <c r="L707" s="30" t="n">
        <f aca="false">DATE(LEFT(Raw!H707,4),MID(Raw!H707,6,2),MID(Raw!H707,9,2))</f>
        <v>45835</v>
      </c>
      <c r="M707" s="30" t="n">
        <f aca="false">DATE(LEFT(Raw!I707,4),MID(Raw!I707,6,2),MID(Raw!I707,9,2))</f>
        <v>45837</v>
      </c>
      <c r="N707" s="31" t="n">
        <f aca="false">DATE(LEFT(Raw!J707,4),MID(Raw!J707,6,2),MID(Raw!J707,9,2))+TIME(MID(Raw!J707,12,2),MID(Raw!J707,15,2),MID(Raw!J707,18,2))</f>
        <v>45835.0416666667</v>
      </c>
      <c r="O707" s="31" t="n">
        <f aca="false">DATE(LEFT(Raw!K707,4),MID(Raw!K707,6,2),MID(Raw!K707,9,2))+TIME(MID(Raw!K707,12,2),MID(Raw!K707,15,2),MID(Raw!K707,18,2))</f>
        <v>45841.7</v>
      </c>
      <c r="P707" s="32" t="n">
        <f aca="false">L707-K707</f>
        <v>1</v>
      </c>
      <c r="Q707" s="32" t="n">
        <f aca="false">M707-L707</f>
        <v>2</v>
      </c>
      <c r="R707" s="32" t="n">
        <f aca="false">O707-N707</f>
        <v>6.65833333333333</v>
      </c>
      <c r="S707" s="32" t="n">
        <f aca="false">Raw!L707</f>
        <v>4.7</v>
      </c>
      <c r="T707" s="32" t="n">
        <f aca="false">O707-M707</f>
        <v>4.7</v>
      </c>
      <c r="U707" s="0" t="str">
        <f aca="false">IF(ABS(T707-S707)&lt;0.01,"OK","MISMATCH")</f>
        <v>OK</v>
      </c>
      <c r="V707" s="33" t="n">
        <f aca="false">Raw!M707</f>
        <v>1</v>
      </c>
      <c r="W707" s="0" t="str">
        <f aca="false">IF((S707&gt;0)=(V707=1),"OK","MISMATCH")</f>
        <v>OK</v>
      </c>
      <c r="X707" s="0" t="str">
        <f aca="false">_xlfn.IFS(S707&lt;=0,"Early/On time",S707&lt;=2,"Minor (up to 2 days)",S707&lt;=5,"Moderate (2-5 days)",TRUE(),"Severe (over 5 days)")</f>
        <v>Moderate (2-5 days)</v>
      </c>
      <c r="Y707" s="0" t="str">
        <f aca="false">YEAR(K707)&amp;"-"&amp;TEXT(MONTH(K707),"00")</f>
        <v>2025-06</v>
      </c>
      <c r="Z707" s="0" t="str">
        <f aca="false">C707&amp;" → "&amp;D707</f>
        <v>Rajasthan → Surat</v>
      </c>
      <c r="AA707" s="0" t="str">
        <f aca="false">Raw!Q707</f>
        <v>BlueDart</v>
      </c>
      <c r="AB707" s="0" t="str">
        <f aca="false">Raw!R707</f>
        <v>Yes</v>
      </c>
      <c r="AC707" s="0" t="str">
        <f aca="false">Raw!S707</f>
        <v>Expedited</v>
      </c>
      <c r="AD707" s="29" t="n">
        <f aca="false">Raw!N707</f>
        <v>4313.51</v>
      </c>
      <c r="AE707" s="29" t="n">
        <f aca="false">Raw!O707</f>
        <v>2097.65</v>
      </c>
      <c r="AF707" s="29" t="n">
        <f aca="false">Raw!P707</f>
        <v>900.03</v>
      </c>
      <c r="AG707" s="29" t="n">
        <f aca="false">AD707/J707</f>
        <v>621.543227665706</v>
      </c>
    </row>
    <row r="708" customFormat="false" ht="15" hidden="false" customHeight="false" outlineLevel="0" collapsed="false">
      <c r="A708" s="0" t="str">
        <f aca="false">Raw!A708</f>
        <v>SHP0707</v>
      </c>
      <c r="B708" s="0" t="str">
        <f aca="false">Raw!B708</f>
        <v>Inbound</v>
      </c>
      <c r="C708" s="0" t="str">
        <f aca="false">Raw!C708</f>
        <v>Chennai</v>
      </c>
      <c r="D708" s="0" t="str">
        <f aca="false">Raw!D708</f>
        <v>Surat</v>
      </c>
      <c r="E708" s="0" t="str">
        <f aca="false">IFERROR(INDEX(Location_Map!$B$2:$B$15,MATCH(C708,Location_Map!$A$2:$A$15,0)),"UNMAPPED")</f>
        <v>Tamil Nadu</v>
      </c>
      <c r="F708" s="0" t="str">
        <f aca="false">IFERROR(INDEX(Location_Map!$C$2:$C$15,MATCH(C708,Location_Map!$A$2:$A$15,0)),"UNMAPPED")</f>
        <v>South</v>
      </c>
      <c r="G708" s="0" t="str">
        <f aca="false">IFERROR(INDEX(Location_Map!$B$2:$B$15,MATCH(D708,Location_Map!$A$2:$A$15,0)),"UNMAPPED")</f>
        <v>Gujarat</v>
      </c>
      <c r="H708" s="0" t="str">
        <f aca="false">IFERROR(INDEX(Location_Map!$C$2:$C$15,MATCH(D708,Location_Map!$A$2:$A$15,0)),"UNMAPPED")</f>
        <v>West</v>
      </c>
      <c r="I708" s="0" t="str">
        <f aca="false">Raw!E708</f>
        <v>Finished Yarn</v>
      </c>
      <c r="J708" s="28" t="n">
        <f aca="false">Raw!F708</f>
        <v>15.79</v>
      </c>
      <c r="K708" s="30" t="n">
        <f aca="false">DATE(LEFT(Raw!G708,4),MID(Raw!G708,6,2),MID(Raw!G708,9,2))</f>
        <v>45940</v>
      </c>
      <c r="L708" s="30" t="n">
        <f aca="false">DATE(LEFT(Raw!H708,4),MID(Raw!H708,6,2),MID(Raw!H708,9,2))</f>
        <v>45944</v>
      </c>
      <c r="M708" s="30" t="n">
        <f aca="false">DATE(LEFT(Raw!I708,4),MID(Raw!I708,6,2),MID(Raw!I708,9,2))</f>
        <v>45946</v>
      </c>
      <c r="N708" s="31" t="n">
        <f aca="false">DATE(LEFT(Raw!J708,4),MID(Raw!J708,6,2),MID(Raw!J708,9,2))+TIME(MID(Raw!J708,12,2),MID(Raw!J708,15,2),MID(Raw!J708,18,2))</f>
        <v>45944</v>
      </c>
      <c r="O708" s="31" t="n">
        <f aca="false">DATE(LEFT(Raw!K708,4),MID(Raw!K708,6,2),MID(Raw!K708,9,2))+TIME(MID(Raw!K708,12,2),MID(Raw!K708,15,2),MID(Raw!K708,18,2))</f>
        <v>45951.8</v>
      </c>
      <c r="P708" s="32" t="n">
        <f aca="false">L708-K708</f>
        <v>4</v>
      </c>
      <c r="Q708" s="32" t="n">
        <f aca="false">M708-L708</f>
        <v>2</v>
      </c>
      <c r="R708" s="32" t="n">
        <f aca="false">O708-N708</f>
        <v>7.8</v>
      </c>
      <c r="S708" s="32" t="n">
        <f aca="false">Raw!L708</f>
        <v>5.8</v>
      </c>
      <c r="T708" s="32" t="n">
        <f aca="false">O708-M708</f>
        <v>5.8</v>
      </c>
      <c r="U708" s="0" t="str">
        <f aca="false">IF(ABS(T708-S708)&lt;0.01,"OK","MISMATCH")</f>
        <v>OK</v>
      </c>
      <c r="V708" s="33" t="n">
        <f aca="false">Raw!M708</f>
        <v>1</v>
      </c>
      <c r="W708" s="0" t="str">
        <f aca="false">IF((S708&gt;0)=(V708=1),"OK","MISMATCH")</f>
        <v>OK</v>
      </c>
      <c r="X708" s="0" t="str">
        <f aca="false">_xlfn.IFS(S708&lt;=0,"Early/On time",S708&lt;=2,"Minor (up to 2 days)",S708&lt;=5,"Moderate (2-5 days)",TRUE(),"Severe (over 5 days)")</f>
        <v>Severe (over 5 days)</v>
      </c>
      <c r="Y708" s="0" t="str">
        <f aca="false">YEAR(K708)&amp;"-"&amp;TEXT(MONTH(K708),"00")</f>
        <v>2025-10</v>
      </c>
      <c r="Z708" s="0" t="str">
        <f aca="false">C708&amp;" → "&amp;D708</f>
        <v>Chennai → Surat</v>
      </c>
      <c r="AA708" s="0" t="str">
        <f aca="false">Raw!Q708</f>
        <v>GATI Logistics</v>
      </c>
      <c r="AB708" s="0" t="str">
        <f aca="false">Raw!R708</f>
        <v>Yes</v>
      </c>
      <c r="AC708" s="0" t="str">
        <f aca="false">Raw!S708</f>
        <v>Expedited</v>
      </c>
      <c r="AD708" s="29" t="n">
        <f aca="false">Raw!N708</f>
        <v>4154.21</v>
      </c>
      <c r="AE708" s="29" t="n">
        <f aca="false">Raw!O708</f>
        <v>3753.43</v>
      </c>
      <c r="AF708" s="29" t="n">
        <f aca="false">Raw!P708</f>
        <v>759.79</v>
      </c>
      <c r="AG708" s="29" t="n">
        <f aca="false">AD708/J708</f>
        <v>263.091196960101</v>
      </c>
    </row>
    <row r="709" customFormat="false" ht="15" hidden="false" customHeight="false" outlineLevel="0" collapsed="false">
      <c r="A709" s="0" t="str">
        <f aca="false">Raw!A709</f>
        <v>SHP0708</v>
      </c>
      <c r="B709" s="0" t="str">
        <f aca="false">Raw!B709</f>
        <v>Outbound</v>
      </c>
      <c r="C709" s="0" t="str">
        <f aca="false">Raw!C709</f>
        <v>Surat</v>
      </c>
      <c r="D709" s="0" t="str">
        <f aca="false">Raw!D709</f>
        <v>Madhya Pradesh</v>
      </c>
      <c r="E709" s="0" t="str">
        <f aca="false">IFERROR(INDEX(Location_Map!$B$2:$B$15,MATCH(C709,Location_Map!$A$2:$A$15,0)),"UNMAPPED")</f>
        <v>Gujarat</v>
      </c>
      <c r="F709" s="0" t="str">
        <f aca="false">IFERROR(INDEX(Location_Map!$C$2:$C$15,MATCH(C709,Location_Map!$A$2:$A$15,0)),"UNMAPPED")</f>
        <v>West</v>
      </c>
      <c r="G709" s="0" t="str">
        <f aca="false">IFERROR(INDEX(Location_Map!$B$2:$B$15,MATCH(D709,Location_Map!$A$2:$A$15,0)),"UNMAPPED")</f>
        <v>Madhya Pradesh</v>
      </c>
      <c r="H709" s="0" t="str">
        <f aca="false">IFERROR(INDEX(Location_Map!$C$2:$C$15,MATCH(D709,Location_Map!$A$2:$A$15,0)),"UNMAPPED")</f>
        <v>Central</v>
      </c>
      <c r="I709" s="0" t="str">
        <f aca="false">Raw!E709</f>
        <v>Semi-Processed Yarn</v>
      </c>
      <c r="J709" s="28" t="n">
        <f aca="false">Raw!F709</f>
        <v>5.84</v>
      </c>
      <c r="K709" s="30" t="n">
        <f aca="false">DATE(LEFT(Raw!G709,4),MID(Raw!G709,6,2),MID(Raw!G709,9,2))</f>
        <v>45957</v>
      </c>
      <c r="L709" s="30" t="n">
        <f aca="false">DATE(LEFT(Raw!H709,4),MID(Raw!H709,6,2),MID(Raw!H709,9,2))</f>
        <v>45958</v>
      </c>
      <c r="M709" s="30" t="n">
        <f aca="false">DATE(LEFT(Raw!I709,4),MID(Raw!I709,6,2),MID(Raw!I709,9,2))</f>
        <v>45960</v>
      </c>
      <c r="N709" s="31" t="n">
        <f aca="false">DATE(LEFT(Raw!J709,4),MID(Raw!J709,6,2),MID(Raw!J709,9,2))+TIME(MID(Raw!J709,12,2),MID(Raw!J709,15,2),MID(Raw!J709,18,2))</f>
        <v>45957.7916666667</v>
      </c>
      <c r="O709" s="31" t="n">
        <f aca="false">DATE(LEFT(Raw!K709,4),MID(Raw!K709,6,2),MID(Raw!K709,9,2))+TIME(MID(Raw!K709,12,2),MID(Raw!K709,15,2),MID(Raw!K709,18,2))</f>
        <v>45962.6</v>
      </c>
      <c r="P709" s="32" t="n">
        <f aca="false">L709-K709</f>
        <v>1</v>
      </c>
      <c r="Q709" s="32" t="n">
        <f aca="false">M709-L709</f>
        <v>2</v>
      </c>
      <c r="R709" s="32" t="n">
        <f aca="false">O709-N709</f>
        <v>4.80833333333333</v>
      </c>
      <c r="S709" s="32" t="n">
        <f aca="false">Raw!L709</f>
        <v>2.6</v>
      </c>
      <c r="T709" s="32" t="n">
        <f aca="false">O709-M709</f>
        <v>2.6</v>
      </c>
      <c r="U709" s="0" t="str">
        <f aca="false">IF(ABS(T709-S709)&lt;0.01,"OK","MISMATCH")</f>
        <v>OK</v>
      </c>
      <c r="V709" s="33" t="n">
        <f aca="false">Raw!M709</f>
        <v>1</v>
      </c>
      <c r="W709" s="0" t="str">
        <f aca="false">IF((S709&gt;0)=(V709=1),"OK","MISMATCH")</f>
        <v>OK</v>
      </c>
      <c r="X709" s="0" t="str">
        <f aca="false">_xlfn.IFS(S709&lt;=0,"Early/On time",S709&lt;=2,"Minor (up to 2 days)",S709&lt;=5,"Moderate (2-5 days)",TRUE(),"Severe (over 5 days)")</f>
        <v>Moderate (2-5 days)</v>
      </c>
      <c r="Y709" s="0" t="str">
        <f aca="false">YEAR(K709)&amp;"-"&amp;TEXT(MONTH(K709),"00")</f>
        <v>2025-10</v>
      </c>
      <c r="Z709" s="0" t="str">
        <f aca="false">C709&amp;" → "&amp;D709</f>
        <v>Surat → Madhya Pradesh</v>
      </c>
      <c r="AA709" s="0" t="str">
        <f aca="false">Raw!Q709</f>
        <v>GATI Logistics</v>
      </c>
      <c r="AB709" s="0" t="str">
        <f aca="false">Raw!R709</f>
        <v>No</v>
      </c>
      <c r="AC709" s="0" t="str">
        <f aca="false">Raw!S709</f>
        <v>Held at warehouse</v>
      </c>
      <c r="AD709" s="29" t="n">
        <f aca="false">Raw!N709</f>
        <v>2822.8</v>
      </c>
      <c r="AE709" s="29" t="n">
        <f aca="false">Raw!O709</f>
        <v>3511.46</v>
      </c>
      <c r="AF709" s="29" t="n">
        <f aca="false">Raw!P709</f>
        <v>865.23</v>
      </c>
      <c r="AG709" s="29" t="n">
        <f aca="false">AD709/J709</f>
        <v>483.356164383562</v>
      </c>
    </row>
    <row r="710" customFormat="false" ht="15" hidden="false" customHeight="false" outlineLevel="0" collapsed="false">
      <c r="A710" s="0" t="str">
        <f aca="false">Raw!A710</f>
        <v>SHP0709</v>
      </c>
      <c r="B710" s="0" t="str">
        <f aca="false">Raw!B710</f>
        <v>Inbound</v>
      </c>
      <c r="C710" s="0" t="str">
        <f aca="false">Raw!C710</f>
        <v>Chennai</v>
      </c>
      <c r="D710" s="0" t="str">
        <f aca="false">Raw!D710</f>
        <v>Surat</v>
      </c>
      <c r="E710" s="0" t="str">
        <f aca="false">IFERROR(INDEX(Location_Map!$B$2:$B$15,MATCH(C710,Location_Map!$A$2:$A$15,0)),"UNMAPPED")</f>
        <v>Tamil Nadu</v>
      </c>
      <c r="F710" s="0" t="str">
        <f aca="false">IFERROR(INDEX(Location_Map!$C$2:$C$15,MATCH(C710,Location_Map!$A$2:$A$15,0)),"UNMAPPED")</f>
        <v>South</v>
      </c>
      <c r="G710" s="0" t="str">
        <f aca="false">IFERROR(INDEX(Location_Map!$B$2:$B$15,MATCH(D710,Location_Map!$A$2:$A$15,0)),"UNMAPPED")</f>
        <v>Gujarat</v>
      </c>
      <c r="H710" s="0" t="str">
        <f aca="false">IFERROR(INDEX(Location_Map!$C$2:$C$15,MATCH(D710,Location_Map!$A$2:$A$15,0)),"UNMAPPED")</f>
        <v>West</v>
      </c>
      <c r="I710" s="0" t="str">
        <f aca="false">Raw!E710</f>
        <v>Raw Yarn</v>
      </c>
      <c r="J710" s="28" t="n">
        <f aca="false">Raw!F710</f>
        <v>11.17</v>
      </c>
      <c r="K710" s="30" t="n">
        <f aca="false">DATE(LEFT(Raw!G710,4),MID(Raw!G710,6,2),MID(Raw!G710,9,2))</f>
        <v>45894</v>
      </c>
      <c r="L710" s="30" t="n">
        <f aca="false">DATE(LEFT(Raw!H710,4),MID(Raw!H710,6,2),MID(Raw!H710,9,2))</f>
        <v>45898</v>
      </c>
      <c r="M710" s="30" t="n">
        <f aca="false">DATE(LEFT(Raw!I710,4),MID(Raw!I710,6,2),MID(Raw!I710,9,2))</f>
        <v>45900</v>
      </c>
      <c r="N710" s="31" t="n">
        <f aca="false">DATE(LEFT(Raw!J710,4),MID(Raw!J710,6,2),MID(Raw!J710,9,2))+TIME(MID(Raw!J710,12,2),MID(Raw!J710,15,2),MID(Raw!J710,18,2))</f>
        <v>45898.2083333333</v>
      </c>
      <c r="O710" s="31" t="n">
        <f aca="false">DATE(LEFT(Raw!K710,4),MID(Raw!K710,6,2),MID(Raw!K710,9,2))+TIME(MID(Raw!K710,12,2),MID(Raw!K710,15,2),MID(Raw!K710,18,2))</f>
        <v>45899</v>
      </c>
      <c r="P710" s="32" t="n">
        <f aca="false">L710-K710</f>
        <v>4</v>
      </c>
      <c r="Q710" s="32" t="n">
        <f aca="false">M710-L710</f>
        <v>2</v>
      </c>
      <c r="R710" s="32" t="n">
        <f aca="false">O710-N710</f>
        <v>0.791666666666667</v>
      </c>
      <c r="S710" s="32" t="n">
        <f aca="false">Raw!L710</f>
        <v>-1</v>
      </c>
      <c r="T710" s="32" t="n">
        <f aca="false">O710-M710</f>
        <v>-1</v>
      </c>
      <c r="U710" s="0" t="str">
        <f aca="false">IF(ABS(T710-S710)&lt;0.01,"OK","MISMATCH")</f>
        <v>OK</v>
      </c>
      <c r="V710" s="33" t="n">
        <f aca="false">Raw!M710</f>
        <v>0</v>
      </c>
      <c r="W710" s="0" t="str">
        <f aca="false">IF((S710&gt;0)=(V710=1),"OK","MISMATCH")</f>
        <v>OK</v>
      </c>
      <c r="X710" s="0" t="str">
        <f aca="false">_xlfn.IFS(S710&lt;=0,"Early/On time",S710&lt;=2,"Minor (up to 2 days)",S710&lt;=5,"Moderate (2-5 days)",TRUE(),"Severe (over 5 days)")</f>
        <v>Early/On time</v>
      </c>
      <c r="Y710" s="0" t="str">
        <f aca="false">YEAR(K710)&amp;"-"&amp;TEXT(MONTH(K710),"00")</f>
        <v>2025-08</v>
      </c>
      <c r="Z710" s="0" t="str">
        <f aca="false">C710&amp;" → "&amp;D710</f>
        <v>Chennai → Surat</v>
      </c>
      <c r="AA710" s="0" t="str">
        <f aca="false">Raw!Q710</f>
        <v>Delhivery</v>
      </c>
      <c r="AB710" s="0" t="str">
        <f aca="false">Raw!R710</f>
        <v>No</v>
      </c>
      <c r="AC710" s="0" t="str">
        <f aca="false">Raw!S710</f>
        <v>Normal</v>
      </c>
      <c r="AD710" s="29" t="n">
        <f aca="false">Raw!N710</f>
        <v>3336.71</v>
      </c>
      <c r="AE710" s="29" t="n">
        <f aca="false">Raw!O710</f>
        <v>1218.05</v>
      </c>
      <c r="AF710" s="29" t="n">
        <f aca="false">Raw!P710</f>
        <v>1166.53</v>
      </c>
      <c r="AG710" s="29" t="n">
        <f aca="false">AD710/J710</f>
        <v>298.720680393912</v>
      </c>
    </row>
    <row r="711" customFormat="false" ht="15" hidden="false" customHeight="false" outlineLevel="0" collapsed="false">
      <c r="A711" s="0" t="str">
        <f aca="false">Raw!A711</f>
        <v>SHP0710</v>
      </c>
      <c r="B711" s="0" t="str">
        <f aca="false">Raw!B711</f>
        <v>Inbound</v>
      </c>
      <c r="C711" s="0" t="str">
        <f aca="false">Raw!C711</f>
        <v>Chennai</v>
      </c>
      <c r="D711" s="0" t="str">
        <f aca="false">Raw!D711</f>
        <v>Surat</v>
      </c>
      <c r="E711" s="0" t="str">
        <f aca="false">IFERROR(INDEX(Location_Map!$B$2:$B$15,MATCH(C711,Location_Map!$A$2:$A$15,0)),"UNMAPPED")</f>
        <v>Tamil Nadu</v>
      </c>
      <c r="F711" s="0" t="str">
        <f aca="false">IFERROR(INDEX(Location_Map!$C$2:$C$15,MATCH(C711,Location_Map!$A$2:$A$15,0)),"UNMAPPED")</f>
        <v>South</v>
      </c>
      <c r="G711" s="0" t="str">
        <f aca="false">IFERROR(INDEX(Location_Map!$B$2:$B$15,MATCH(D711,Location_Map!$A$2:$A$15,0)),"UNMAPPED")</f>
        <v>Gujarat</v>
      </c>
      <c r="H711" s="0" t="str">
        <f aca="false">IFERROR(INDEX(Location_Map!$C$2:$C$15,MATCH(D711,Location_Map!$A$2:$A$15,0)),"UNMAPPED")</f>
        <v>West</v>
      </c>
      <c r="I711" s="0" t="str">
        <f aca="false">Raw!E711</f>
        <v>Raw Yarn</v>
      </c>
      <c r="J711" s="28" t="n">
        <f aca="false">Raw!F711</f>
        <v>16.34</v>
      </c>
      <c r="K711" s="30" t="n">
        <f aca="false">DATE(LEFT(Raw!G711,4),MID(Raw!G711,6,2),MID(Raw!G711,9,2))</f>
        <v>45810</v>
      </c>
      <c r="L711" s="30" t="n">
        <f aca="false">DATE(LEFT(Raw!H711,4),MID(Raw!H711,6,2),MID(Raw!H711,9,2))</f>
        <v>45811</v>
      </c>
      <c r="M711" s="30" t="n">
        <f aca="false">DATE(LEFT(Raw!I711,4),MID(Raw!I711,6,2),MID(Raw!I711,9,2))</f>
        <v>45816</v>
      </c>
      <c r="N711" s="31" t="n">
        <f aca="false">DATE(LEFT(Raw!J711,4),MID(Raw!J711,6,2),MID(Raw!J711,9,2))+TIME(MID(Raw!J711,12,2),MID(Raw!J711,15,2),MID(Raw!J711,18,2))</f>
        <v>45811</v>
      </c>
      <c r="O711" s="31" t="n">
        <f aca="false">DATE(LEFT(Raw!K711,4),MID(Raw!K711,6,2),MID(Raw!K711,9,2))+TIME(MID(Raw!K711,12,2),MID(Raw!K711,15,2),MID(Raw!K711,18,2))</f>
        <v>45815.6</v>
      </c>
      <c r="P711" s="32" t="n">
        <f aca="false">L711-K711</f>
        <v>1</v>
      </c>
      <c r="Q711" s="32" t="n">
        <f aca="false">M711-L711</f>
        <v>5</v>
      </c>
      <c r="R711" s="32" t="n">
        <f aca="false">O711-N711</f>
        <v>4.6</v>
      </c>
      <c r="S711" s="32" t="n">
        <f aca="false">Raw!L711</f>
        <v>-0.4</v>
      </c>
      <c r="T711" s="32" t="n">
        <f aca="false">O711-M711</f>
        <v>-0.400000000002917</v>
      </c>
      <c r="U711" s="0" t="str">
        <f aca="false">IF(ABS(T711-S711)&lt;0.01,"OK","MISMATCH")</f>
        <v>OK</v>
      </c>
      <c r="V711" s="33" t="n">
        <f aca="false">Raw!M711</f>
        <v>0</v>
      </c>
      <c r="W711" s="0" t="str">
        <f aca="false">IF((S711&gt;0)=(V711=1),"OK","MISMATCH")</f>
        <v>OK</v>
      </c>
      <c r="X711" s="0" t="str">
        <f aca="false">_xlfn.IFS(S711&lt;=0,"Early/On time",S711&lt;=2,"Minor (up to 2 days)",S711&lt;=5,"Moderate (2-5 days)",TRUE(),"Severe (over 5 days)")</f>
        <v>Early/On time</v>
      </c>
      <c r="Y711" s="0" t="str">
        <f aca="false">YEAR(K711)&amp;"-"&amp;TEXT(MONTH(K711),"00")</f>
        <v>2025-06</v>
      </c>
      <c r="Z711" s="0" t="str">
        <f aca="false">C711&amp;" → "&amp;D711</f>
        <v>Chennai → Surat</v>
      </c>
      <c r="AA711" s="0" t="str">
        <f aca="false">Raw!Q711</f>
        <v>VRL Cargo</v>
      </c>
      <c r="AB711" s="0" t="str">
        <f aca="false">Raw!R711</f>
        <v>No</v>
      </c>
      <c r="AC711" s="0" t="str">
        <f aca="false">Raw!S711</f>
        <v>Returned</v>
      </c>
      <c r="AD711" s="29" t="n">
        <f aca="false">Raw!N711</f>
        <v>10788.36</v>
      </c>
      <c r="AE711" s="29" t="n">
        <f aca="false">Raw!O711</f>
        <v>4237.71</v>
      </c>
      <c r="AF711" s="29" t="n">
        <f aca="false">Raw!P711</f>
        <v>1300.15</v>
      </c>
      <c r="AG711" s="29" t="n">
        <f aca="false">AD711/J711</f>
        <v>660.2423500612</v>
      </c>
    </row>
    <row r="712" customFormat="false" ht="15" hidden="false" customHeight="false" outlineLevel="0" collapsed="false">
      <c r="A712" s="0" t="str">
        <f aca="false">Raw!A712</f>
        <v>SHP0711</v>
      </c>
      <c r="B712" s="0" t="str">
        <f aca="false">Raw!B712</f>
        <v>Inbound</v>
      </c>
      <c r="C712" s="0" t="str">
        <f aca="false">Raw!C712</f>
        <v>Uttar Pradesh</v>
      </c>
      <c r="D712" s="0" t="str">
        <f aca="false">Raw!D712</f>
        <v>Surat</v>
      </c>
      <c r="E712" s="0" t="str">
        <f aca="false">IFERROR(INDEX(Location_Map!$B$2:$B$15,MATCH(C712,Location_Map!$A$2:$A$15,0)),"UNMAPPED")</f>
        <v>Uttar Pradesh</v>
      </c>
      <c r="F712" s="0" t="str">
        <f aca="false">IFERROR(INDEX(Location_Map!$C$2:$C$15,MATCH(C712,Location_Map!$A$2:$A$15,0)),"UNMAPPED")</f>
        <v>North</v>
      </c>
      <c r="G712" s="0" t="str">
        <f aca="false">IFERROR(INDEX(Location_Map!$B$2:$B$15,MATCH(D712,Location_Map!$A$2:$A$15,0)),"UNMAPPED")</f>
        <v>Gujarat</v>
      </c>
      <c r="H712" s="0" t="str">
        <f aca="false">IFERROR(INDEX(Location_Map!$C$2:$C$15,MATCH(D712,Location_Map!$A$2:$A$15,0)),"UNMAPPED")</f>
        <v>West</v>
      </c>
      <c r="I712" s="0" t="str">
        <f aca="false">Raw!E712</f>
        <v>Finished Yarn</v>
      </c>
      <c r="J712" s="28" t="n">
        <f aca="false">Raw!F712</f>
        <v>18.71</v>
      </c>
      <c r="K712" s="30" t="n">
        <f aca="false">DATE(LEFT(Raw!G712,4),MID(Raw!G712,6,2),MID(Raw!G712,9,2))</f>
        <v>45889</v>
      </c>
      <c r="L712" s="30" t="n">
        <f aca="false">DATE(LEFT(Raw!H712,4),MID(Raw!H712,6,2),MID(Raw!H712,9,2))</f>
        <v>45892</v>
      </c>
      <c r="M712" s="30" t="n">
        <f aca="false">DATE(LEFT(Raw!I712,4),MID(Raw!I712,6,2),MID(Raw!I712,9,2))</f>
        <v>45895</v>
      </c>
      <c r="N712" s="31" t="n">
        <f aca="false">DATE(LEFT(Raw!J712,4),MID(Raw!J712,6,2),MID(Raw!J712,9,2))+TIME(MID(Raw!J712,12,2),MID(Raw!J712,15,2),MID(Raw!J712,18,2))</f>
        <v>45892.1666666667</v>
      </c>
      <c r="O712" s="31" t="n">
        <f aca="false">DATE(LEFT(Raw!K712,4),MID(Raw!K712,6,2),MID(Raw!K712,9,2))+TIME(MID(Raw!K712,12,2),MID(Raw!K712,15,2),MID(Raw!K712,18,2))</f>
        <v>45895.4</v>
      </c>
      <c r="P712" s="32" t="n">
        <f aca="false">L712-K712</f>
        <v>3</v>
      </c>
      <c r="Q712" s="32" t="n">
        <f aca="false">M712-L712</f>
        <v>3</v>
      </c>
      <c r="R712" s="32" t="n">
        <f aca="false">O712-N712</f>
        <v>3.23333333333333</v>
      </c>
      <c r="S712" s="32" t="n">
        <f aca="false">Raw!L712</f>
        <v>0.4</v>
      </c>
      <c r="T712" s="32" t="n">
        <f aca="false">O712-M712</f>
        <v>0.4</v>
      </c>
      <c r="U712" s="0" t="str">
        <f aca="false">IF(ABS(T712-S712)&lt;0.01,"OK","MISMATCH")</f>
        <v>OK</v>
      </c>
      <c r="V712" s="33" t="n">
        <f aca="false">Raw!M712</f>
        <v>1</v>
      </c>
      <c r="W712" s="0" t="str">
        <f aca="false">IF((S712&gt;0)=(V712=1),"OK","MISMATCH")</f>
        <v>OK</v>
      </c>
      <c r="X712" s="0" t="str">
        <f aca="false">_xlfn.IFS(S712&lt;=0,"Early/On time",S712&lt;=2,"Minor (up to 2 days)",S712&lt;=5,"Moderate (2-5 days)",TRUE(),"Severe (over 5 days)")</f>
        <v>Minor (up to 2 days)</v>
      </c>
      <c r="Y712" s="0" t="str">
        <f aca="false">YEAR(K712)&amp;"-"&amp;TEXT(MONTH(K712),"00")</f>
        <v>2025-08</v>
      </c>
      <c r="Z712" s="0" t="str">
        <f aca="false">C712&amp;" → "&amp;D712</f>
        <v>Uttar Pradesh → Surat</v>
      </c>
      <c r="AA712" s="0" t="str">
        <f aca="false">Raw!Q712</f>
        <v>BlueDart</v>
      </c>
      <c r="AB712" s="0" t="str">
        <f aca="false">Raw!R712</f>
        <v>No</v>
      </c>
      <c r="AC712" s="0" t="str">
        <f aca="false">Raw!S712</f>
        <v>Returned</v>
      </c>
      <c r="AD712" s="29" t="n">
        <f aca="false">Raw!N712</f>
        <v>8016.7</v>
      </c>
      <c r="AE712" s="29" t="n">
        <f aca="false">Raw!O712</f>
        <v>2159.7</v>
      </c>
      <c r="AF712" s="29" t="n">
        <f aca="false">Raw!P712</f>
        <v>1352.94</v>
      </c>
      <c r="AG712" s="29" t="n">
        <f aca="false">AD712/J712</f>
        <v>428.47140566542</v>
      </c>
    </row>
    <row r="713" customFormat="false" ht="15" hidden="false" customHeight="false" outlineLevel="0" collapsed="false">
      <c r="A713" s="0" t="str">
        <f aca="false">Raw!A713</f>
        <v>SHP0712</v>
      </c>
      <c r="B713" s="0" t="str">
        <f aca="false">Raw!B713</f>
        <v>Inbound</v>
      </c>
      <c r="C713" s="0" t="str">
        <f aca="false">Raw!C713</f>
        <v>Gujarat</v>
      </c>
      <c r="D713" s="0" t="str">
        <f aca="false">Raw!D713</f>
        <v>Surat</v>
      </c>
      <c r="E713" s="0" t="str">
        <f aca="false">IFERROR(INDEX(Location_Map!$B$2:$B$15,MATCH(C713,Location_Map!$A$2:$A$15,0)),"UNMAPPED")</f>
        <v>Gujarat</v>
      </c>
      <c r="F713" s="0" t="str">
        <f aca="false">IFERROR(INDEX(Location_Map!$C$2:$C$15,MATCH(C713,Location_Map!$A$2:$A$15,0)),"UNMAPPED")</f>
        <v>West</v>
      </c>
      <c r="G713" s="0" t="str">
        <f aca="false">IFERROR(INDEX(Location_Map!$B$2:$B$15,MATCH(D713,Location_Map!$A$2:$A$15,0)),"UNMAPPED")</f>
        <v>Gujarat</v>
      </c>
      <c r="H713" s="0" t="str">
        <f aca="false">IFERROR(INDEX(Location_Map!$C$2:$C$15,MATCH(D713,Location_Map!$A$2:$A$15,0)),"UNMAPPED")</f>
        <v>West</v>
      </c>
      <c r="I713" s="0" t="str">
        <f aca="false">Raw!E713</f>
        <v>Finished Yarn</v>
      </c>
      <c r="J713" s="28" t="n">
        <f aca="false">Raw!F713</f>
        <v>8.36</v>
      </c>
      <c r="K713" s="30" t="n">
        <f aca="false">DATE(LEFT(Raw!G713,4),MID(Raw!G713,6,2),MID(Raw!G713,9,2))</f>
        <v>45754</v>
      </c>
      <c r="L713" s="30" t="n">
        <f aca="false">DATE(LEFT(Raw!H713,4),MID(Raw!H713,6,2),MID(Raw!H713,9,2))</f>
        <v>45758</v>
      </c>
      <c r="M713" s="30" t="n">
        <f aca="false">DATE(LEFT(Raw!I713,4),MID(Raw!I713,6,2),MID(Raw!I713,9,2))</f>
        <v>45764</v>
      </c>
      <c r="N713" s="31" t="n">
        <f aca="false">DATE(LEFT(Raw!J713,4),MID(Raw!J713,6,2),MID(Raw!J713,9,2))+TIME(MID(Raw!J713,12,2),MID(Raw!J713,15,2),MID(Raw!J713,18,2))</f>
        <v>45757.8333333333</v>
      </c>
      <c r="O713" s="31" t="n">
        <f aca="false">DATE(LEFT(Raw!K713,4),MID(Raw!K713,6,2),MID(Raw!K713,9,2))+TIME(MID(Raw!K713,12,2),MID(Raw!K713,15,2),MID(Raw!K713,18,2))</f>
        <v>45767.6</v>
      </c>
      <c r="P713" s="32" t="n">
        <f aca="false">L713-K713</f>
        <v>4</v>
      </c>
      <c r="Q713" s="32" t="n">
        <f aca="false">M713-L713</f>
        <v>6</v>
      </c>
      <c r="R713" s="32" t="n">
        <f aca="false">O713-N713</f>
        <v>9.76666666666667</v>
      </c>
      <c r="S713" s="32" t="n">
        <f aca="false">Raw!L713</f>
        <v>3.6</v>
      </c>
      <c r="T713" s="32" t="n">
        <f aca="false">O713-M713</f>
        <v>3.6</v>
      </c>
      <c r="U713" s="0" t="str">
        <f aca="false">IF(ABS(T713-S713)&lt;0.01,"OK","MISMATCH")</f>
        <v>OK</v>
      </c>
      <c r="V713" s="33" t="n">
        <f aca="false">Raw!M713</f>
        <v>1</v>
      </c>
      <c r="W713" s="0" t="str">
        <f aca="false">IF((S713&gt;0)=(V713=1),"OK","MISMATCH")</f>
        <v>OK</v>
      </c>
      <c r="X713" s="0" t="str">
        <f aca="false">_xlfn.IFS(S713&lt;=0,"Early/On time",S713&lt;=2,"Minor (up to 2 days)",S713&lt;=5,"Moderate (2-5 days)",TRUE(),"Severe (over 5 days)")</f>
        <v>Moderate (2-5 days)</v>
      </c>
      <c r="Y713" s="0" t="str">
        <f aca="false">YEAR(K713)&amp;"-"&amp;TEXT(MONTH(K713),"00")</f>
        <v>2025-04</v>
      </c>
      <c r="Z713" s="0" t="str">
        <f aca="false">C713&amp;" → "&amp;D713</f>
        <v>Gujarat → Surat</v>
      </c>
      <c r="AA713" s="0" t="str">
        <f aca="false">Raw!Q713</f>
        <v>BlueDart</v>
      </c>
      <c r="AB713" s="0" t="str">
        <f aca="false">Raw!R713</f>
        <v>Yes</v>
      </c>
      <c r="AC713" s="0" t="str">
        <f aca="false">Raw!S713</f>
        <v>Expedited</v>
      </c>
      <c r="AD713" s="29" t="n">
        <f aca="false">Raw!N713</f>
        <v>3191.8</v>
      </c>
      <c r="AE713" s="29" t="n">
        <f aca="false">Raw!O713</f>
        <v>3681.79</v>
      </c>
      <c r="AF713" s="29" t="n">
        <f aca="false">Raw!P713</f>
        <v>788.84</v>
      </c>
      <c r="AG713" s="29" t="n">
        <f aca="false">AD713/J713</f>
        <v>381.794258373206</v>
      </c>
    </row>
    <row r="714" customFormat="false" ht="15" hidden="false" customHeight="false" outlineLevel="0" collapsed="false">
      <c r="A714" s="0" t="str">
        <f aca="false">Raw!A714</f>
        <v>SHP0713</v>
      </c>
      <c r="B714" s="0" t="str">
        <f aca="false">Raw!B714</f>
        <v>Inbound</v>
      </c>
      <c r="C714" s="0" t="str">
        <f aca="false">Raw!C714</f>
        <v>Uttar Pradesh</v>
      </c>
      <c r="D714" s="0" t="str">
        <f aca="false">Raw!D714</f>
        <v>Surat</v>
      </c>
      <c r="E714" s="0" t="str">
        <f aca="false">IFERROR(INDEX(Location_Map!$B$2:$B$15,MATCH(C714,Location_Map!$A$2:$A$15,0)),"UNMAPPED")</f>
        <v>Uttar Pradesh</v>
      </c>
      <c r="F714" s="0" t="str">
        <f aca="false">IFERROR(INDEX(Location_Map!$C$2:$C$15,MATCH(C714,Location_Map!$A$2:$A$15,0)),"UNMAPPED")</f>
        <v>North</v>
      </c>
      <c r="G714" s="0" t="str">
        <f aca="false">IFERROR(INDEX(Location_Map!$B$2:$B$15,MATCH(D714,Location_Map!$A$2:$A$15,0)),"UNMAPPED")</f>
        <v>Gujarat</v>
      </c>
      <c r="H714" s="0" t="str">
        <f aca="false">IFERROR(INDEX(Location_Map!$C$2:$C$15,MATCH(D714,Location_Map!$A$2:$A$15,0)),"UNMAPPED")</f>
        <v>West</v>
      </c>
      <c r="I714" s="0" t="str">
        <f aca="false">Raw!E714</f>
        <v>Raw Yarn</v>
      </c>
      <c r="J714" s="28" t="n">
        <f aca="false">Raw!F714</f>
        <v>12.13</v>
      </c>
      <c r="K714" s="30" t="n">
        <f aca="false">DATE(LEFT(Raw!G714,4),MID(Raw!G714,6,2),MID(Raw!G714,9,2))</f>
        <v>45835</v>
      </c>
      <c r="L714" s="30" t="n">
        <f aca="false">DATE(LEFT(Raw!H714,4),MID(Raw!H714,6,2),MID(Raw!H714,9,2))</f>
        <v>45838</v>
      </c>
      <c r="M714" s="30" t="n">
        <f aca="false">DATE(LEFT(Raw!I714,4),MID(Raw!I714,6,2),MID(Raw!I714,9,2))</f>
        <v>45841</v>
      </c>
      <c r="N714" s="31" t="n">
        <f aca="false">DATE(LEFT(Raw!J714,4),MID(Raw!J714,6,2),MID(Raw!J714,9,2))+TIME(MID(Raw!J714,12,2),MID(Raw!J714,15,2),MID(Raw!J714,18,2))</f>
        <v>45837.9166666667</v>
      </c>
      <c r="O714" s="31" t="n">
        <f aca="false">DATE(LEFT(Raw!K714,4),MID(Raw!K714,6,2),MID(Raw!K714,9,2))+TIME(MID(Raw!K714,12,2),MID(Raw!K714,15,2),MID(Raw!K714,18,2))</f>
        <v>45841.9</v>
      </c>
      <c r="P714" s="32" t="n">
        <f aca="false">L714-K714</f>
        <v>3</v>
      </c>
      <c r="Q714" s="32" t="n">
        <f aca="false">M714-L714</f>
        <v>3</v>
      </c>
      <c r="R714" s="32" t="n">
        <f aca="false">O714-N714</f>
        <v>3.98333333333333</v>
      </c>
      <c r="S714" s="32" t="n">
        <f aca="false">Raw!L714</f>
        <v>0.9</v>
      </c>
      <c r="T714" s="32" t="n">
        <f aca="false">O714-M714</f>
        <v>0.9</v>
      </c>
      <c r="U714" s="0" t="str">
        <f aca="false">IF(ABS(T714-S714)&lt;0.01,"OK","MISMATCH")</f>
        <v>OK</v>
      </c>
      <c r="V714" s="33" t="n">
        <f aca="false">Raw!M714</f>
        <v>1</v>
      </c>
      <c r="W714" s="0" t="str">
        <f aca="false">IF((S714&gt;0)=(V714=1),"OK","MISMATCH")</f>
        <v>OK</v>
      </c>
      <c r="X714" s="0" t="str">
        <f aca="false">_xlfn.IFS(S714&lt;=0,"Early/On time",S714&lt;=2,"Minor (up to 2 days)",S714&lt;=5,"Moderate (2-5 days)",TRUE(),"Severe (over 5 days)")</f>
        <v>Minor (up to 2 days)</v>
      </c>
      <c r="Y714" s="0" t="str">
        <f aca="false">YEAR(K714)&amp;"-"&amp;TEXT(MONTH(K714),"00")</f>
        <v>2025-06</v>
      </c>
      <c r="Z714" s="0" t="str">
        <f aca="false">C714&amp;" → "&amp;D714</f>
        <v>Uttar Pradesh → Surat</v>
      </c>
      <c r="AA714" s="0" t="str">
        <f aca="false">Raw!Q714</f>
        <v>TCI Express</v>
      </c>
      <c r="AB714" s="0" t="str">
        <f aca="false">Raw!R714</f>
        <v>No</v>
      </c>
      <c r="AC714" s="0" t="str">
        <f aca="false">Raw!S714</f>
        <v>Normal</v>
      </c>
      <c r="AD714" s="29" t="n">
        <f aca="false">Raw!N714</f>
        <v>5699.27</v>
      </c>
      <c r="AE714" s="29" t="n">
        <f aca="false">Raw!O714</f>
        <v>4420.31</v>
      </c>
      <c r="AF714" s="29" t="n">
        <f aca="false">Raw!P714</f>
        <v>931.92</v>
      </c>
      <c r="AG714" s="29" t="n">
        <f aca="false">AD714/J714</f>
        <v>469.849134377576</v>
      </c>
    </row>
    <row r="715" customFormat="false" ht="15" hidden="false" customHeight="false" outlineLevel="0" collapsed="false">
      <c r="A715" s="0" t="str">
        <f aca="false">Raw!A715</f>
        <v>SHP0714</v>
      </c>
      <c r="B715" s="0" t="str">
        <f aca="false">Raw!B715</f>
        <v>Inbound</v>
      </c>
      <c r="C715" s="0" t="str">
        <f aca="false">Raw!C715</f>
        <v>Chennai</v>
      </c>
      <c r="D715" s="0" t="str">
        <f aca="false">Raw!D715</f>
        <v>Surat</v>
      </c>
      <c r="E715" s="0" t="str">
        <f aca="false">IFERROR(INDEX(Location_Map!$B$2:$B$15,MATCH(C715,Location_Map!$A$2:$A$15,0)),"UNMAPPED")</f>
        <v>Tamil Nadu</v>
      </c>
      <c r="F715" s="0" t="str">
        <f aca="false">IFERROR(INDEX(Location_Map!$C$2:$C$15,MATCH(C715,Location_Map!$A$2:$A$15,0)),"UNMAPPED")</f>
        <v>South</v>
      </c>
      <c r="G715" s="0" t="str">
        <f aca="false">IFERROR(INDEX(Location_Map!$B$2:$B$15,MATCH(D715,Location_Map!$A$2:$A$15,0)),"UNMAPPED")</f>
        <v>Gujarat</v>
      </c>
      <c r="H715" s="0" t="str">
        <f aca="false">IFERROR(INDEX(Location_Map!$C$2:$C$15,MATCH(D715,Location_Map!$A$2:$A$15,0)),"UNMAPPED")</f>
        <v>West</v>
      </c>
      <c r="I715" s="0" t="str">
        <f aca="false">Raw!E715</f>
        <v>Finished Yarn</v>
      </c>
      <c r="J715" s="28" t="n">
        <f aca="false">Raw!F715</f>
        <v>8.34</v>
      </c>
      <c r="K715" s="30" t="n">
        <f aca="false">DATE(LEFT(Raw!G715,4),MID(Raw!G715,6,2),MID(Raw!G715,9,2))</f>
        <v>45864</v>
      </c>
      <c r="L715" s="30" t="n">
        <f aca="false">DATE(LEFT(Raw!H715,4),MID(Raw!H715,6,2),MID(Raw!H715,9,2))</f>
        <v>45867</v>
      </c>
      <c r="M715" s="30" t="n">
        <f aca="false">DATE(LEFT(Raw!I715,4),MID(Raw!I715,6,2),MID(Raw!I715,9,2))</f>
        <v>45873</v>
      </c>
      <c r="N715" s="31" t="n">
        <f aca="false">DATE(LEFT(Raw!J715,4),MID(Raw!J715,6,2),MID(Raw!J715,9,2))+TIME(MID(Raw!J715,12,2),MID(Raw!J715,15,2),MID(Raw!J715,18,2))</f>
        <v>45867.2083333333</v>
      </c>
      <c r="O715" s="31" t="n">
        <f aca="false">DATE(LEFT(Raw!K715,4),MID(Raw!K715,6,2),MID(Raw!K715,9,2))+TIME(MID(Raw!K715,12,2),MID(Raw!K715,15,2),MID(Raw!K715,18,2))</f>
        <v>45872</v>
      </c>
      <c r="P715" s="32" t="n">
        <f aca="false">L715-K715</f>
        <v>3</v>
      </c>
      <c r="Q715" s="32" t="n">
        <f aca="false">M715-L715</f>
        <v>6</v>
      </c>
      <c r="R715" s="32" t="n">
        <f aca="false">O715-N715</f>
        <v>4.79166666666667</v>
      </c>
      <c r="S715" s="32" t="n">
        <f aca="false">Raw!L715</f>
        <v>-1</v>
      </c>
      <c r="T715" s="32" t="n">
        <f aca="false">O715-M715</f>
        <v>-1</v>
      </c>
      <c r="U715" s="0" t="str">
        <f aca="false">IF(ABS(T715-S715)&lt;0.01,"OK","MISMATCH")</f>
        <v>OK</v>
      </c>
      <c r="V715" s="33" t="n">
        <f aca="false">Raw!M715</f>
        <v>0</v>
      </c>
      <c r="W715" s="0" t="str">
        <f aca="false">IF((S715&gt;0)=(V715=1),"OK","MISMATCH")</f>
        <v>OK</v>
      </c>
      <c r="X715" s="0" t="str">
        <f aca="false">_xlfn.IFS(S715&lt;=0,"Early/On time",S715&lt;=2,"Minor (up to 2 days)",S715&lt;=5,"Moderate (2-5 days)",TRUE(),"Severe (over 5 days)")</f>
        <v>Early/On time</v>
      </c>
      <c r="Y715" s="0" t="str">
        <f aca="false">YEAR(K715)&amp;"-"&amp;TEXT(MONTH(K715),"00")</f>
        <v>2025-07</v>
      </c>
      <c r="Z715" s="0" t="str">
        <f aca="false">C715&amp;" → "&amp;D715</f>
        <v>Chennai → Surat</v>
      </c>
      <c r="AA715" s="0" t="str">
        <f aca="false">Raw!Q715</f>
        <v>BlueDart</v>
      </c>
      <c r="AB715" s="0" t="str">
        <f aca="false">Raw!R715</f>
        <v>No</v>
      </c>
      <c r="AC715" s="0" t="str">
        <f aca="false">Raw!S715</f>
        <v>Held at warehouse</v>
      </c>
      <c r="AD715" s="29" t="n">
        <f aca="false">Raw!N715</f>
        <v>6737.24</v>
      </c>
      <c r="AE715" s="29" t="n">
        <f aca="false">Raw!O715</f>
        <v>3516.59</v>
      </c>
      <c r="AF715" s="29" t="n">
        <f aca="false">Raw!P715</f>
        <v>870.29</v>
      </c>
      <c r="AG715" s="29" t="n">
        <f aca="false">AD715/J715</f>
        <v>807.822541966427</v>
      </c>
    </row>
    <row r="716" customFormat="false" ht="15" hidden="false" customHeight="false" outlineLevel="0" collapsed="false">
      <c r="A716" s="0" t="str">
        <f aca="false">Raw!A716</f>
        <v>SHP0715</v>
      </c>
      <c r="B716" s="0" t="str">
        <f aca="false">Raw!B716</f>
        <v>Inbound</v>
      </c>
      <c r="C716" s="0" t="str">
        <f aca="false">Raw!C716</f>
        <v>Uttar Pradesh</v>
      </c>
      <c r="D716" s="0" t="str">
        <f aca="false">Raw!D716</f>
        <v>Surat</v>
      </c>
      <c r="E716" s="0" t="str">
        <f aca="false">IFERROR(INDEX(Location_Map!$B$2:$B$15,MATCH(C716,Location_Map!$A$2:$A$15,0)),"UNMAPPED")</f>
        <v>Uttar Pradesh</v>
      </c>
      <c r="F716" s="0" t="str">
        <f aca="false">IFERROR(INDEX(Location_Map!$C$2:$C$15,MATCH(C716,Location_Map!$A$2:$A$15,0)),"UNMAPPED")</f>
        <v>North</v>
      </c>
      <c r="G716" s="0" t="str">
        <f aca="false">IFERROR(INDEX(Location_Map!$B$2:$B$15,MATCH(D716,Location_Map!$A$2:$A$15,0)),"UNMAPPED")</f>
        <v>Gujarat</v>
      </c>
      <c r="H716" s="0" t="str">
        <f aca="false">IFERROR(INDEX(Location_Map!$C$2:$C$15,MATCH(D716,Location_Map!$A$2:$A$15,0)),"UNMAPPED")</f>
        <v>West</v>
      </c>
      <c r="I716" s="0" t="str">
        <f aca="false">Raw!E716</f>
        <v>Finished Yarn</v>
      </c>
      <c r="J716" s="28" t="n">
        <f aca="false">Raw!F716</f>
        <v>5.3</v>
      </c>
      <c r="K716" s="30" t="n">
        <f aca="false">DATE(LEFT(Raw!G716,4),MID(Raw!G716,6,2),MID(Raw!G716,9,2))</f>
        <v>45919</v>
      </c>
      <c r="L716" s="30" t="n">
        <f aca="false">DATE(LEFT(Raw!H716,4),MID(Raw!H716,6,2),MID(Raw!H716,9,2))</f>
        <v>45923</v>
      </c>
      <c r="M716" s="30" t="n">
        <f aca="false">DATE(LEFT(Raw!I716,4),MID(Raw!I716,6,2),MID(Raw!I716,9,2))</f>
        <v>45926</v>
      </c>
      <c r="N716" s="31" t="n">
        <f aca="false">DATE(LEFT(Raw!J716,4),MID(Raw!J716,6,2),MID(Raw!J716,9,2))+TIME(MID(Raw!J716,12,2),MID(Raw!J716,15,2),MID(Raw!J716,18,2))</f>
        <v>45923.2916666667</v>
      </c>
      <c r="O716" s="31" t="n">
        <f aca="false">DATE(LEFT(Raw!K716,4),MID(Raw!K716,6,2),MID(Raw!K716,9,2))+TIME(MID(Raw!K716,12,2),MID(Raw!K716,15,2),MID(Raw!K716,18,2))</f>
        <v>45925</v>
      </c>
      <c r="P716" s="32" t="n">
        <f aca="false">L716-K716</f>
        <v>4</v>
      </c>
      <c r="Q716" s="32" t="n">
        <f aca="false">M716-L716</f>
        <v>3</v>
      </c>
      <c r="R716" s="32" t="n">
        <f aca="false">O716-N716</f>
        <v>1.70833333333333</v>
      </c>
      <c r="S716" s="32" t="n">
        <f aca="false">Raw!L716</f>
        <v>-1</v>
      </c>
      <c r="T716" s="32" t="n">
        <f aca="false">O716-M716</f>
        <v>-1</v>
      </c>
      <c r="U716" s="0" t="str">
        <f aca="false">IF(ABS(T716-S716)&lt;0.01,"OK","MISMATCH")</f>
        <v>OK</v>
      </c>
      <c r="V716" s="33" t="n">
        <f aca="false">Raw!M716</f>
        <v>0</v>
      </c>
      <c r="W716" s="0" t="str">
        <f aca="false">IF((S716&gt;0)=(V716=1),"OK","MISMATCH")</f>
        <v>OK</v>
      </c>
      <c r="X716" s="0" t="str">
        <f aca="false">_xlfn.IFS(S716&lt;=0,"Early/On time",S716&lt;=2,"Minor (up to 2 days)",S716&lt;=5,"Moderate (2-5 days)",TRUE(),"Severe (over 5 days)")</f>
        <v>Early/On time</v>
      </c>
      <c r="Y716" s="0" t="str">
        <f aca="false">YEAR(K716)&amp;"-"&amp;TEXT(MONTH(K716),"00")</f>
        <v>2025-09</v>
      </c>
      <c r="Z716" s="0" t="str">
        <f aca="false">C716&amp;" → "&amp;D716</f>
        <v>Uttar Pradesh → Surat</v>
      </c>
      <c r="AA716" s="0" t="str">
        <f aca="false">Raw!Q716</f>
        <v>TCI Express</v>
      </c>
      <c r="AB716" s="0" t="str">
        <f aca="false">Raw!R716</f>
        <v>Yes</v>
      </c>
      <c r="AC716" s="0" t="str">
        <f aca="false">Raw!S716</f>
        <v>Normal</v>
      </c>
      <c r="AD716" s="29" t="n">
        <f aca="false">Raw!N716</f>
        <v>2597.85</v>
      </c>
      <c r="AE716" s="29" t="n">
        <f aca="false">Raw!O716</f>
        <v>1609.16</v>
      </c>
      <c r="AF716" s="29" t="n">
        <f aca="false">Raw!P716</f>
        <v>763.98</v>
      </c>
      <c r="AG716" s="29" t="n">
        <f aca="false">AD716/J716</f>
        <v>490.160377358491</v>
      </c>
    </row>
    <row r="717" customFormat="false" ht="15" hidden="false" customHeight="false" outlineLevel="0" collapsed="false">
      <c r="A717" s="0" t="str">
        <f aca="false">Raw!A717</f>
        <v>SHP0716</v>
      </c>
      <c r="B717" s="0" t="str">
        <f aca="false">Raw!B717</f>
        <v>Outbound</v>
      </c>
      <c r="C717" s="0" t="str">
        <f aca="false">Raw!C717</f>
        <v>Surat</v>
      </c>
      <c r="D717" s="0" t="str">
        <f aca="false">Raw!D717</f>
        <v>Jaipur</v>
      </c>
      <c r="E717" s="0" t="str">
        <f aca="false">IFERROR(INDEX(Location_Map!$B$2:$B$15,MATCH(C717,Location_Map!$A$2:$A$15,0)),"UNMAPPED")</f>
        <v>Gujarat</v>
      </c>
      <c r="F717" s="0" t="str">
        <f aca="false">IFERROR(INDEX(Location_Map!$C$2:$C$15,MATCH(C717,Location_Map!$A$2:$A$15,0)),"UNMAPPED")</f>
        <v>West</v>
      </c>
      <c r="G717" s="0" t="str">
        <f aca="false">IFERROR(INDEX(Location_Map!$B$2:$B$15,MATCH(D717,Location_Map!$A$2:$A$15,0)),"UNMAPPED")</f>
        <v>Rajasthan</v>
      </c>
      <c r="H717" s="0" t="str">
        <f aca="false">IFERROR(INDEX(Location_Map!$C$2:$C$15,MATCH(D717,Location_Map!$A$2:$A$15,0)),"UNMAPPED")</f>
        <v>North</v>
      </c>
      <c r="I717" s="0" t="str">
        <f aca="false">Raw!E717</f>
        <v>Raw Yarn</v>
      </c>
      <c r="J717" s="28" t="n">
        <f aca="false">Raw!F717</f>
        <v>9.12</v>
      </c>
      <c r="K717" s="30" t="n">
        <f aca="false">DATE(LEFT(Raw!G717,4),MID(Raw!G717,6,2),MID(Raw!G717,9,2))</f>
        <v>45877</v>
      </c>
      <c r="L717" s="30" t="n">
        <f aca="false">DATE(LEFT(Raw!H717,4),MID(Raw!H717,6,2),MID(Raw!H717,9,2))</f>
        <v>45879</v>
      </c>
      <c r="M717" s="30" t="n">
        <f aca="false">DATE(LEFT(Raw!I717,4),MID(Raw!I717,6,2),MID(Raw!I717,9,2))</f>
        <v>45882</v>
      </c>
      <c r="N717" s="31" t="n">
        <f aca="false">DATE(LEFT(Raw!J717,4),MID(Raw!J717,6,2),MID(Raw!J717,9,2))+TIME(MID(Raw!J717,12,2),MID(Raw!J717,15,2),MID(Raw!J717,18,2))</f>
        <v>45879.0833333333</v>
      </c>
      <c r="O717" s="31" t="n">
        <f aca="false">DATE(LEFT(Raw!K717,4),MID(Raw!K717,6,2),MID(Raw!K717,9,2))+TIME(MID(Raw!K717,12,2),MID(Raw!K717,15,2),MID(Raw!K717,18,2))</f>
        <v>45884.9</v>
      </c>
      <c r="P717" s="32" t="n">
        <f aca="false">L717-K717</f>
        <v>2</v>
      </c>
      <c r="Q717" s="32" t="n">
        <f aca="false">M717-L717</f>
        <v>3</v>
      </c>
      <c r="R717" s="32" t="n">
        <f aca="false">O717-N717</f>
        <v>5.81666666666667</v>
      </c>
      <c r="S717" s="32" t="n">
        <f aca="false">Raw!L717</f>
        <v>2.9</v>
      </c>
      <c r="T717" s="32" t="n">
        <f aca="false">O717-M717</f>
        <v>2.9</v>
      </c>
      <c r="U717" s="0" t="str">
        <f aca="false">IF(ABS(T717-S717)&lt;0.01,"OK","MISMATCH")</f>
        <v>OK</v>
      </c>
      <c r="V717" s="33" t="n">
        <f aca="false">Raw!M717</f>
        <v>1</v>
      </c>
      <c r="W717" s="0" t="str">
        <f aca="false">IF((S717&gt;0)=(V717=1),"OK","MISMATCH")</f>
        <v>OK</v>
      </c>
      <c r="X717" s="0" t="str">
        <f aca="false">_xlfn.IFS(S717&lt;=0,"Early/On time",S717&lt;=2,"Minor (up to 2 days)",S717&lt;=5,"Moderate (2-5 days)",TRUE(),"Severe (over 5 days)")</f>
        <v>Moderate (2-5 days)</v>
      </c>
      <c r="Y717" s="0" t="str">
        <f aca="false">YEAR(K717)&amp;"-"&amp;TEXT(MONTH(K717),"00")</f>
        <v>2025-08</v>
      </c>
      <c r="Z717" s="0" t="str">
        <f aca="false">C717&amp;" → "&amp;D717</f>
        <v>Surat → Jaipur</v>
      </c>
      <c r="AA717" s="0" t="str">
        <f aca="false">Raw!Q717</f>
        <v>Delhivery</v>
      </c>
      <c r="AB717" s="0" t="str">
        <f aca="false">Raw!R717</f>
        <v>Yes</v>
      </c>
      <c r="AC717" s="0" t="str">
        <f aca="false">Raw!S717</f>
        <v>Normal</v>
      </c>
      <c r="AD717" s="29" t="n">
        <f aca="false">Raw!N717</f>
        <v>4089.27</v>
      </c>
      <c r="AE717" s="29" t="n">
        <f aca="false">Raw!O717</f>
        <v>1722.55</v>
      </c>
      <c r="AF717" s="29" t="n">
        <f aca="false">Raw!P717</f>
        <v>985.63</v>
      </c>
      <c r="AG717" s="29" t="n">
        <f aca="false">AD717/J717</f>
        <v>448.384868421053</v>
      </c>
    </row>
    <row r="718" customFormat="false" ht="15" hidden="false" customHeight="false" outlineLevel="0" collapsed="false">
      <c r="A718" s="0" t="str">
        <f aca="false">Raw!A718</f>
        <v>SHP0717</v>
      </c>
      <c r="B718" s="0" t="str">
        <f aca="false">Raw!B718</f>
        <v>Outbound</v>
      </c>
      <c r="C718" s="0" t="str">
        <f aca="false">Raw!C718</f>
        <v>Surat</v>
      </c>
      <c r="D718" s="0" t="str">
        <f aca="false">Raw!D718</f>
        <v>West Bengal</v>
      </c>
      <c r="E718" s="0" t="str">
        <f aca="false">IFERROR(INDEX(Location_Map!$B$2:$B$15,MATCH(C718,Location_Map!$A$2:$A$15,0)),"UNMAPPED")</f>
        <v>Gujarat</v>
      </c>
      <c r="F718" s="0" t="str">
        <f aca="false">IFERROR(INDEX(Location_Map!$C$2:$C$15,MATCH(C718,Location_Map!$A$2:$A$15,0)),"UNMAPPED")</f>
        <v>West</v>
      </c>
      <c r="G718" s="0" t="str">
        <f aca="false">IFERROR(INDEX(Location_Map!$B$2:$B$15,MATCH(D718,Location_Map!$A$2:$A$15,0)),"UNMAPPED")</f>
        <v>West Bengal</v>
      </c>
      <c r="H718" s="0" t="str">
        <f aca="false">IFERROR(INDEX(Location_Map!$C$2:$C$15,MATCH(D718,Location_Map!$A$2:$A$15,0)),"UNMAPPED")</f>
        <v>East</v>
      </c>
      <c r="I718" s="0" t="str">
        <f aca="false">Raw!E718</f>
        <v>Semi-Processed Yarn</v>
      </c>
      <c r="J718" s="28" t="n">
        <f aca="false">Raw!F718</f>
        <v>14.38</v>
      </c>
      <c r="K718" s="30" t="n">
        <f aca="false">DATE(LEFT(Raw!G718,4),MID(Raw!G718,6,2),MID(Raw!G718,9,2))</f>
        <v>45666</v>
      </c>
      <c r="L718" s="30" t="n">
        <f aca="false">DATE(LEFT(Raw!H718,4),MID(Raw!H718,6,2),MID(Raw!H718,9,2))</f>
        <v>45667</v>
      </c>
      <c r="M718" s="30" t="n">
        <f aca="false">DATE(LEFT(Raw!I718,4),MID(Raw!I718,6,2),MID(Raw!I718,9,2))</f>
        <v>45670</v>
      </c>
      <c r="N718" s="31" t="n">
        <f aca="false">DATE(LEFT(Raw!J718,4),MID(Raw!J718,6,2),MID(Raw!J718,9,2))+TIME(MID(Raw!J718,12,2),MID(Raw!J718,15,2),MID(Raw!J718,18,2))</f>
        <v>45667.1666666667</v>
      </c>
      <c r="O718" s="31" t="n">
        <f aca="false">DATE(LEFT(Raw!K718,4),MID(Raw!K718,6,2),MID(Raw!K718,9,2))+TIME(MID(Raw!K718,12,2),MID(Raw!K718,15,2),MID(Raw!K718,18,2))</f>
        <v>45670.9</v>
      </c>
      <c r="P718" s="32" t="n">
        <f aca="false">L718-K718</f>
        <v>1</v>
      </c>
      <c r="Q718" s="32" t="n">
        <f aca="false">M718-L718</f>
        <v>3</v>
      </c>
      <c r="R718" s="32" t="n">
        <f aca="false">O718-N718</f>
        <v>3.73333333333333</v>
      </c>
      <c r="S718" s="32" t="n">
        <f aca="false">Raw!L718</f>
        <v>0.9</v>
      </c>
      <c r="T718" s="32" t="n">
        <f aca="false">O718-M718</f>
        <v>0.9</v>
      </c>
      <c r="U718" s="0" t="str">
        <f aca="false">IF(ABS(T718-S718)&lt;0.01,"OK","MISMATCH")</f>
        <v>OK</v>
      </c>
      <c r="V718" s="33" t="n">
        <f aca="false">Raw!M718</f>
        <v>1</v>
      </c>
      <c r="W718" s="0" t="str">
        <f aca="false">IF((S718&gt;0)=(V718=1),"OK","MISMATCH")</f>
        <v>OK</v>
      </c>
      <c r="X718" s="0" t="str">
        <f aca="false">_xlfn.IFS(S718&lt;=0,"Early/On time",S718&lt;=2,"Minor (up to 2 days)",S718&lt;=5,"Moderate (2-5 days)",TRUE(),"Severe (over 5 days)")</f>
        <v>Minor (up to 2 days)</v>
      </c>
      <c r="Y718" s="0" t="str">
        <f aca="false">YEAR(K718)&amp;"-"&amp;TEXT(MONTH(K718),"00")</f>
        <v>2025-01</v>
      </c>
      <c r="Z718" s="0" t="str">
        <f aca="false">C718&amp;" → "&amp;D718</f>
        <v>Surat → West Bengal</v>
      </c>
      <c r="AA718" s="0" t="str">
        <f aca="false">Raw!Q718</f>
        <v>GATI Logistics</v>
      </c>
      <c r="AB718" s="0" t="str">
        <f aca="false">Raw!R718</f>
        <v>No</v>
      </c>
      <c r="AC718" s="0" t="str">
        <f aca="false">Raw!S718</f>
        <v>Held at warehouse</v>
      </c>
      <c r="AD718" s="29" t="n">
        <f aca="false">Raw!N718</f>
        <v>5672.82</v>
      </c>
      <c r="AE718" s="29" t="n">
        <f aca="false">Raw!O718</f>
        <v>1425.11</v>
      </c>
      <c r="AF718" s="29" t="n">
        <f aca="false">Raw!P718</f>
        <v>1341.98</v>
      </c>
      <c r="AG718" s="29" t="n">
        <f aca="false">AD718/J718</f>
        <v>394.493741307371</v>
      </c>
    </row>
    <row r="719" customFormat="false" ht="15" hidden="false" customHeight="false" outlineLevel="0" collapsed="false">
      <c r="A719" s="0" t="str">
        <f aca="false">Raw!A719</f>
        <v>SHP0718</v>
      </c>
      <c r="B719" s="0" t="str">
        <f aca="false">Raw!B719</f>
        <v>Inbound</v>
      </c>
      <c r="C719" s="0" t="str">
        <f aca="false">Raw!C719</f>
        <v>Punjab</v>
      </c>
      <c r="D719" s="0" t="str">
        <f aca="false">Raw!D719</f>
        <v>Surat</v>
      </c>
      <c r="E719" s="0" t="str">
        <f aca="false">IFERROR(INDEX(Location_Map!$B$2:$B$15,MATCH(C719,Location_Map!$A$2:$A$15,0)),"UNMAPPED")</f>
        <v>Punjab</v>
      </c>
      <c r="F719" s="0" t="str">
        <f aca="false">IFERROR(INDEX(Location_Map!$C$2:$C$15,MATCH(C719,Location_Map!$A$2:$A$15,0)),"UNMAPPED")</f>
        <v>North</v>
      </c>
      <c r="G719" s="0" t="str">
        <f aca="false">IFERROR(INDEX(Location_Map!$B$2:$B$15,MATCH(D719,Location_Map!$A$2:$A$15,0)),"UNMAPPED")</f>
        <v>Gujarat</v>
      </c>
      <c r="H719" s="0" t="str">
        <f aca="false">IFERROR(INDEX(Location_Map!$C$2:$C$15,MATCH(D719,Location_Map!$A$2:$A$15,0)),"UNMAPPED")</f>
        <v>West</v>
      </c>
      <c r="I719" s="0" t="str">
        <f aca="false">Raw!E719</f>
        <v>Raw Yarn</v>
      </c>
      <c r="J719" s="28" t="n">
        <f aca="false">Raw!F719</f>
        <v>10.17</v>
      </c>
      <c r="K719" s="30" t="n">
        <f aca="false">DATE(LEFT(Raw!G719,4),MID(Raw!G719,6,2),MID(Raw!G719,9,2))</f>
        <v>45855</v>
      </c>
      <c r="L719" s="30" t="n">
        <f aca="false">DATE(LEFT(Raw!H719,4),MID(Raw!H719,6,2),MID(Raw!H719,9,2))</f>
        <v>45858</v>
      </c>
      <c r="M719" s="30" t="n">
        <f aca="false">DATE(LEFT(Raw!I719,4),MID(Raw!I719,6,2),MID(Raw!I719,9,2))</f>
        <v>45864</v>
      </c>
      <c r="N719" s="31" t="n">
        <f aca="false">DATE(LEFT(Raw!J719,4),MID(Raw!J719,6,2),MID(Raw!J719,9,2))+TIME(MID(Raw!J719,12,2),MID(Raw!J719,15,2),MID(Raw!J719,18,2))</f>
        <v>45857.8333333333</v>
      </c>
      <c r="O719" s="31" t="n">
        <f aca="false">DATE(LEFT(Raw!K719,4),MID(Raw!K719,6,2),MID(Raw!K719,9,2))+TIME(MID(Raw!K719,12,2),MID(Raw!K719,15,2),MID(Raw!K719,18,2))</f>
        <v>45863</v>
      </c>
      <c r="P719" s="32" t="n">
        <f aca="false">L719-K719</f>
        <v>3</v>
      </c>
      <c r="Q719" s="32" t="n">
        <f aca="false">M719-L719</f>
        <v>6</v>
      </c>
      <c r="R719" s="32" t="n">
        <f aca="false">O719-N719</f>
        <v>5.16666666666667</v>
      </c>
      <c r="S719" s="32" t="n">
        <f aca="false">Raw!L719</f>
        <v>-1</v>
      </c>
      <c r="T719" s="32" t="n">
        <f aca="false">O719-M719</f>
        <v>-1</v>
      </c>
      <c r="U719" s="0" t="str">
        <f aca="false">IF(ABS(T719-S719)&lt;0.01,"OK","MISMATCH")</f>
        <v>OK</v>
      </c>
      <c r="V719" s="33" t="n">
        <f aca="false">Raw!M719</f>
        <v>0</v>
      </c>
      <c r="W719" s="0" t="str">
        <f aca="false">IF((S719&gt;0)=(V719=1),"OK","MISMATCH")</f>
        <v>OK</v>
      </c>
      <c r="X719" s="0" t="str">
        <f aca="false">_xlfn.IFS(S719&lt;=0,"Early/On time",S719&lt;=2,"Minor (up to 2 days)",S719&lt;=5,"Moderate (2-5 days)",TRUE(),"Severe (over 5 days)")</f>
        <v>Early/On time</v>
      </c>
      <c r="Y719" s="0" t="str">
        <f aca="false">YEAR(K719)&amp;"-"&amp;TEXT(MONTH(K719),"00")</f>
        <v>2025-07</v>
      </c>
      <c r="Z719" s="0" t="str">
        <f aca="false">C719&amp;" → "&amp;D719</f>
        <v>Punjab → Surat</v>
      </c>
      <c r="AA719" s="0" t="str">
        <f aca="false">Raw!Q719</f>
        <v>Delhivery</v>
      </c>
      <c r="AB719" s="0" t="str">
        <f aca="false">Raw!R719</f>
        <v>No</v>
      </c>
      <c r="AC719" s="0" t="str">
        <f aca="false">Raw!S719</f>
        <v>Returned</v>
      </c>
      <c r="AD719" s="29" t="n">
        <f aca="false">Raw!N719</f>
        <v>7418.19</v>
      </c>
      <c r="AE719" s="29" t="n">
        <f aca="false">Raw!O719</f>
        <v>2933.61</v>
      </c>
      <c r="AF719" s="29" t="n">
        <f aca="false">Raw!P719</f>
        <v>611.64</v>
      </c>
      <c r="AG719" s="29" t="n">
        <f aca="false">AD719/J719</f>
        <v>729.418879056047</v>
      </c>
    </row>
    <row r="720" customFormat="false" ht="15" hidden="false" customHeight="false" outlineLevel="0" collapsed="false">
      <c r="A720" s="0" t="str">
        <f aca="false">Raw!A720</f>
        <v>SHP0719</v>
      </c>
      <c r="B720" s="0" t="str">
        <f aca="false">Raw!B720</f>
        <v>Outbound</v>
      </c>
      <c r="C720" s="0" t="str">
        <f aca="false">Raw!C720</f>
        <v>Surat</v>
      </c>
      <c r="D720" s="0" t="str">
        <f aca="false">Raw!D720</f>
        <v>Jaipur</v>
      </c>
      <c r="E720" s="0" t="str">
        <f aca="false">IFERROR(INDEX(Location_Map!$B$2:$B$15,MATCH(C720,Location_Map!$A$2:$A$15,0)),"UNMAPPED")</f>
        <v>Gujarat</v>
      </c>
      <c r="F720" s="0" t="str">
        <f aca="false">IFERROR(INDEX(Location_Map!$C$2:$C$15,MATCH(C720,Location_Map!$A$2:$A$15,0)),"UNMAPPED")</f>
        <v>West</v>
      </c>
      <c r="G720" s="0" t="str">
        <f aca="false">IFERROR(INDEX(Location_Map!$B$2:$B$15,MATCH(D720,Location_Map!$A$2:$A$15,0)),"UNMAPPED")</f>
        <v>Rajasthan</v>
      </c>
      <c r="H720" s="0" t="str">
        <f aca="false">IFERROR(INDEX(Location_Map!$C$2:$C$15,MATCH(D720,Location_Map!$A$2:$A$15,0)),"UNMAPPED")</f>
        <v>North</v>
      </c>
      <c r="I720" s="0" t="str">
        <f aca="false">Raw!E720</f>
        <v>Semi-Processed Yarn</v>
      </c>
      <c r="J720" s="28" t="n">
        <f aca="false">Raw!F720</f>
        <v>3.19</v>
      </c>
      <c r="K720" s="30" t="n">
        <f aca="false">DATE(LEFT(Raw!G720,4),MID(Raw!G720,6,2),MID(Raw!G720,9,2))</f>
        <v>45898</v>
      </c>
      <c r="L720" s="30" t="n">
        <f aca="false">DATE(LEFT(Raw!H720,4),MID(Raw!H720,6,2),MID(Raw!H720,9,2))</f>
        <v>45901</v>
      </c>
      <c r="M720" s="30" t="n">
        <f aca="false">DATE(LEFT(Raw!I720,4),MID(Raw!I720,6,2),MID(Raw!I720,9,2))</f>
        <v>45903</v>
      </c>
      <c r="N720" s="31" t="n">
        <f aca="false">DATE(LEFT(Raw!J720,4),MID(Raw!J720,6,2),MID(Raw!J720,9,2))+TIME(MID(Raw!J720,12,2),MID(Raw!J720,15,2),MID(Raw!J720,18,2))</f>
        <v>45901.25</v>
      </c>
      <c r="O720" s="31" t="n">
        <f aca="false">DATE(LEFT(Raw!K720,4),MID(Raw!K720,6,2),MID(Raw!K720,9,2))+TIME(MID(Raw!K720,12,2),MID(Raw!K720,15,2),MID(Raw!K720,18,2))</f>
        <v>45902.9</v>
      </c>
      <c r="P720" s="32" t="n">
        <f aca="false">L720-K720</f>
        <v>3</v>
      </c>
      <c r="Q720" s="32" t="n">
        <f aca="false">M720-L720</f>
        <v>2</v>
      </c>
      <c r="R720" s="32" t="n">
        <f aca="false">O720-N720</f>
        <v>1.65</v>
      </c>
      <c r="S720" s="32" t="n">
        <f aca="false">Raw!L720</f>
        <v>-0.1</v>
      </c>
      <c r="T720" s="32" t="n">
        <f aca="false">O720-M720</f>
        <v>-0.1</v>
      </c>
      <c r="U720" s="0" t="str">
        <f aca="false">IF(ABS(T720-S720)&lt;0.01,"OK","MISMATCH")</f>
        <v>OK</v>
      </c>
      <c r="V720" s="33" t="n">
        <f aca="false">Raw!M720</f>
        <v>0</v>
      </c>
      <c r="W720" s="0" t="str">
        <f aca="false">IF((S720&gt;0)=(V720=1),"OK","MISMATCH")</f>
        <v>OK</v>
      </c>
      <c r="X720" s="0" t="str">
        <f aca="false">_xlfn.IFS(S720&lt;=0,"Early/On time",S720&lt;=2,"Minor (up to 2 days)",S720&lt;=5,"Moderate (2-5 days)",TRUE(),"Severe (over 5 days)")</f>
        <v>Early/On time</v>
      </c>
      <c r="Y720" s="0" t="str">
        <f aca="false">YEAR(K720)&amp;"-"&amp;TEXT(MONTH(K720),"00")</f>
        <v>2025-08</v>
      </c>
      <c r="Z720" s="0" t="str">
        <f aca="false">C720&amp;" → "&amp;D720</f>
        <v>Surat → Jaipur</v>
      </c>
      <c r="AA720" s="0" t="str">
        <f aca="false">Raw!Q720</f>
        <v>GATI Logistics</v>
      </c>
      <c r="AB720" s="0" t="str">
        <f aca="false">Raw!R720</f>
        <v>No</v>
      </c>
      <c r="AC720" s="0" t="str">
        <f aca="false">Raw!S720</f>
        <v>Expedited</v>
      </c>
      <c r="AD720" s="29" t="n">
        <f aca="false">Raw!N720</f>
        <v>2987.92</v>
      </c>
      <c r="AE720" s="29" t="n">
        <f aca="false">Raw!O720</f>
        <v>4061.08</v>
      </c>
      <c r="AF720" s="29" t="n">
        <f aca="false">Raw!P720</f>
        <v>856.26</v>
      </c>
      <c r="AG720" s="29" t="n">
        <f aca="false">AD720/J720</f>
        <v>936.652037617555</v>
      </c>
    </row>
    <row r="721" customFormat="false" ht="15" hidden="false" customHeight="false" outlineLevel="0" collapsed="false">
      <c r="A721" s="0" t="str">
        <f aca="false">Raw!A721</f>
        <v>SHP0720</v>
      </c>
      <c r="B721" s="0" t="str">
        <f aca="false">Raw!B721</f>
        <v>Inbound</v>
      </c>
      <c r="C721" s="0" t="str">
        <f aca="false">Raw!C721</f>
        <v>Gujarat</v>
      </c>
      <c r="D721" s="0" t="str">
        <f aca="false">Raw!D721</f>
        <v>Surat</v>
      </c>
      <c r="E721" s="0" t="str">
        <f aca="false">IFERROR(INDEX(Location_Map!$B$2:$B$15,MATCH(C721,Location_Map!$A$2:$A$15,0)),"UNMAPPED")</f>
        <v>Gujarat</v>
      </c>
      <c r="F721" s="0" t="str">
        <f aca="false">IFERROR(INDEX(Location_Map!$C$2:$C$15,MATCH(C721,Location_Map!$A$2:$A$15,0)),"UNMAPPED")</f>
        <v>West</v>
      </c>
      <c r="G721" s="0" t="str">
        <f aca="false">IFERROR(INDEX(Location_Map!$B$2:$B$15,MATCH(D721,Location_Map!$A$2:$A$15,0)),"UNMAPPED")</f>
        <v>Gujarat</v>
      </c>
      <c r="H721" s="0" t="str">
        <f aca="false">IFERROR(INDEX(Location_Map!$C$2:$C$15,MATCH(D721,Location_Map!$A$2:$A$15,0)),"UNMAPPED")</f>
        <v>West</v>
      </c>
      <c r="I721" s="0" t="str">
        <f aca="false">Raw!E721</f>
        <v>Raw Yarn</v>
      </c>
      <c r="J721" s="28" t="n">
        <f aca="false">Raw!F721</f>
        <v>6.21</v>
      </c>
      <c r="K721" s="30" t="n">
        <f aca="false">DATE(LEFT(Raw!G721,4),MID(Raw!G721,6,2),MID(Raw!G721,9,2))</f>
        <v>45898</v>
      </c>
      <c r="L721" s="30" t="n">
        <f aca="false">DATE(LEFT(Raw!H721,4),MID(Raw!H721,6,2),MID(Raw!H721,9,2))</f>
        <v>45900</v>
      </c>
      <c r="M721" s="30" t="n">
        <f aca="false">DATE(LEFT(Raw!I721,4),MID(Raw!I721,6,2),MID(Raw!I721,9,2))</f>
        <v>45906</v>
      </c>
      <c r="N721" s="31" t="n">
        <f aca="false">DATE(LEFT(Raw!J721,4),MID(Raw!J721,6,2),MID(Raw!J721,9,2))+TIME(MID(Raw!J721,12,2),MID(Raw!J721,15,2),MID(Raw!J721,18,2))</f>
        <v>45900.25</v>
      </c>
      <c r="O721" s="31" t="n">
        <f aca="false">DATE(LEFT(Raw!K721,4),MID(Raw!K721,6,2),MID(Raw!K721,9,2))+TIME(MID(Raw!K721,12,2),MID(Raw!K721,15,2),MID(Raw!K721,18,2))</f>
        <v>45906.1</v>
      </c>
      <c r="P721" s="32" t="n">
        <f aca="false">L721-K721</f>
        <v>2</v>
      </c>
      <c r="Q721" s="32" t="n">
        <f aca="false">M721-L721</f>
        <v>6</v>
      </c>
      <c r="R721" s="32" t="n">
        <f aca="false">O721-N721</f>
        <v>5.85</v>
      </c>
      <c r="S721" s="32" t="n">
        <f aca="false">Raw!L721</f>
        <v>0.1</v>
      </c>
      <c r="T721" s="32" t="n">
        <f aca="false">O721-M721</f>
        <v>0.1</v>
      </c>
      <c r="U721" s="0" t="str">
        <f aca="false">IF(ABS(T721-S721)&lt;0.01,"OK","MISMATCH")</f>
        <v>OK</v>
      </c>
      <c r="V721" s="33" t="n">
        <f aca="false">Raw!M721</f>
        <v>1</v>
      </c>
      <c r="W721" s="0" t="str">
        <f aca="false">IF((S721&gt;0)=(V721=1),"OK","MISMATCH")</f>
        <v>OK</v>
      </c>
      <c r="X721" s="0" t="str">
        <f aca="false">_xlfn.IFS(S721&lt;=0,"Early/On time",S721&lt;=2,"Minor (up to 2 days)",S721&lt;=5,"Moderate (2-5 days)",TRUE(),"Severe (over 5 days)")</f>
        <v>Minor (up to 2 days)</v>
      </c>
      <c r="Y721" s="0" t="str">
        <f aca="false">YEAR(K721)&amp;"-"&amp;TEXT(MONTH(K721),"00")</f>
        <v>2025-08</v>
      </c>
      <c r="Z721" s="0" t="str">
        <f aca="false">C721&amp;" → "&amp;D721</f>
        <v>Gujarat → Surat</v>
      </c>
      <c r="AA721" s="0" t="str">
        <f aca="false">Raw!Q721</f>
        <v>VRL Cargo</v>
      </c>
      <c r="AB721" s="0" t="str">
        <f aca="false">Raw!R721</f>
        <v>Yes</v>
      </c>
      <c r="AC721" s="0" t="str">
        <f aca="false">Raw!S721</f>
        <v>Normal</v>
      </c>
      <c r="AD721" s="29" t="n">
        <f aca="false">Raw!N721</f>
        <v>3821.52</v>
      </c>
      <c r="AE721" s="29" t="n">
        <f aca="false">Raw!O721</f>
        <v>1861.44</v>
      </c>
      <c r="AF721" s="29" t="n">
        <f aca="false">Raw!P721</f>
        <v>791.87</v>
      </c>
      <c r="AG721" s="29" t="n">
        <f aca="false">AD721/J721</f>
        <v>615.381642512077</v>
      </c>
    </row>
    <row r="722" customFormat="false" ht="15" hidden="false" customHeight="false" outlineLevel="0" collapsed="false">
      <c r="A722" s="0" t="str">
        <f aca="false">Raw!A722</f>
        <v>SHP0721</v>
      </c>
      <c r="B722" s="0" t="str">
        <f aca="false">Raw!B722</f>
        <v>Inbound</v>
      </c>
      <c r="C722" s="0" t="str">
        <f aca="false">Raw!C722</f>
        <v>Chennai</v>
      </c>
      <c r="D722" s="0" t="str">
        <f aca="false">Raw!D722</f>
        <v>Surat</v>
      </c>
      <c r="E722" s="0" t="str">
        <f aca="false">IFERROR(INDEX(Location_Map!$B$2:$B$15,MATCH(C722,Location_Map!$A$2:$A$15,0)),"UNMAPPED")</f>
        <v>Tamil Nadu</v>
      </c>
      <c r="F722" s="0" t="str">
        <f aca="false">IFERROR(INDEX(Location_Map!$C$2:$C$15,MATCH(C722,Location_Map!$A$2:$A$15,0)),"UNMAPPED")</f>
        <v>South</v>
      </c>
      <c r="G722" s="0" t="str">
        <f aca="false">IFERROR(INDEX(Location_Map!$B$2:$B$15,MATCH(D722,Location_Map!$A$2:$A$15,0)),"UNMAPPED")</f>
        <v>Gujarat</v>
      </c>
      <c r="H722" s="0" t="str">
        <f aca="false">IFERROR(INDEX(Location_Map!$C$2:$C$15,MATCH(D722,Location_Map!$A$2:$A$15,0)),"UNMAPPED")</f>
        <v>West</v>
      </c>
      <c r="I722" s="0" t="str">
        <f aca="false">Raw!E722</f>
        <v>Finished Yarn</v>
      </c>
      <c r="J722" s="28" t="n">
        <f aca="false">Raw!F722</f>
        <v>4.28</v>
      </c>
      <c r="K722" s="30" t="n">
        <f aca="false">DATE(LEFT(Raw!G722,4),MID(Raw!G722,6,2),MID(Raw!G722,9,2))</f>
        <v>45771</v>
      </c>
      <c r="L722" s="30" t="n">
        <f aca="false">DATE(LEFT(Raw!H722,4),MID(Raw!H722,6,2),MID(Raw!H722,9,2))</f>
        <v>45775</v>
      </c>
      <c r="M722" s="30" t="n">
        <f aca="false">DATE(LEFT(Raw!I722,4),MID(Raw!I722,6,2),MID(Raw!I722,9,2))</f>
        <v>45780</v>
      </c>
      <c r="N722" s="31" t="n">
        <f aca="false">DATE(LEFT(Raw!J722,4),MID(Raw!J722,6,2),MID(Raw!J722,9,2))+TIME(MID(Raw!J722,12,2),MID(Raw!J722,15,2),MID(Raw!J722,18,2))</f>
        <v>45774.9166666667</v>
      </c>
      <c r="O722" s="31" t="n">
        <f aca="false">DATE(LEFT(Raw!K722,4),MID(Raw!K722,6,2),MID(Raw!K722,9,2))+TIME(MID(Raw!K722,12,2),MID(Raw!K722,15,2),MID(Raw!K722,18,2))</f>
        <v>45781.5</v>
      </c>
      <c r="P722" s="32" t="n">
        <f aca="false">L722-K722</f>
        <v>4</v>
      </c>
      <c r="Q722" s="32" t="n">
        <f aca="false">M722-L722</f>
        <v>5</v>
      </c>
      <c r="R722" s="32" t="n">
        <f aca="false">O722-N722</f>
        <v>6.58333333333333</v>
      </c>
      <c r="S722" s="32" t="n">
        <f aca="false">Raw!L722</f>
        <v>1.5</v>
      </c>
      <c r="T722" s="32" t="n">
        <f aca="false">O722-M722</f>
        <v>1.5</v>
      </c>
      <c r="U722" s="0" t="str">
        <f aca="false">IF(ABS(T722-S722)&lt;0.01,"OK","MISMATCH")</f>
        <v>OK</v>
      </c>
      <c r="V722" s="33" t="n">
        <f aca="false">Raw!M722</f>
        <v>1</v>
      </c>
      <c r="W722" s="0" t="str">
        <f aca="false">IF((S722&gt;0)=(V722=1),"OK","MISMATCH")</f>
        <v>OK</v>
      </c>
      <c r="X722" s="0" t="str">
        <f aca="false">_xlfn.IFS(S722&lt;=0,"Early/On time",S722&lt;=2,"Minor (up to 2 days)",S722&lt;=5,"Moderate (2-5 days)",TRUE(),"Severe (over 5 days)")</f>
        <v>Minor (up to 2 days)</v>
      </c>
      <c r="Y722" s="0" t="str">
        <f aca="false">YEAR(K722)&amp;"-"&amp;TEXT(MONTH(K722),"00")</f>
        <v>2025-04</v>
      </c>
      <c r="Z722" s="0" t="str">
        <f aca="false">C722&amp;" → "&amp;D722</f>
        <v>Chennai → Surat</v>
      </c>
      <c r="AA722" s="0" t="str">
        <f aca="false">Raw!Q722</f>
        <v>TCI Express</v>
      </c>
      <c r="AB722" s="0" t="str">
        <f aca="false">Raw!R722</f>
        <v>Yes</v>
      </c>
      <c r="AC722" s="0" t="str">
        <f aca="false">Raw!S722</f>
        <v>Expedited</v>
      </c>
      <c r="AD722" s="29" t="n">
        <f aca="false">Raw!N722</f>
        <v>3178.89</v>
      </c>
      <c r="AE722" s="29" t="n">
        <f aca="false">Raw!O722</f>
        <v>1158.23</v>
      </c>
      <c r="AF722" s="29" t="n">
        <f aca="false">Raw!P722</f>
        <v>903.04</v>
      </c>
      <c r="AG722" s="29" t="n">
        <f aca="false">AD722/J722</f>
        <v>742.731308411215</v>
      </c>
    </row>
    <row r="723" customFormat="false" ht="15" hidden="false" customHeight="false" outlineLevel="0" collapsed="false">
      <c r="A723" s="0" t="str">
        <f aca="false">Raw!A723</f>
        <v>SHP0722</v>
      </c>
      <c r="B723" s="0" t="str">
        <f aca="false">Raw!B723</f>
        <v>Inbound</v>
      </c>
      <c r="C723" s="0" t="str">
        <f aca="false">Raw!C723</f>
        <v>Rajasthan</v>
      </c>
      <c r="D723" s="0" t="str">
        <f aca="false">Raw!D723</f>
        <v>Surat</v>
      </c>
      <c r="E723" s="0" t="str">
        <f aca="false">IFERROR(INDEX(Location_Map!$B$2:$B$15,MATCH(C723,Location_Map!$A$2:$A$15,0)),"UNMAPPED")</f>
        <v>Rajasthan</v>
      </c>
      <c r="F723" s="0" t="str">
        <f aca="false">IFERROR(INDEX(Location_Map!$C$2:$C$15,MATCH(C723,Location_Map!$A$2:$A$15,0)),"UNMAPPED")</f>
        <v>North</v>
      </c>
      <c r="G723" s="0" t="str">
        <f aca="false">IFERROR(INDEX(Location_Map!$B$2:$B$15,MATCH(D723,Location_Map!$A$2:$A$15,0)),"UNMAPPED")</f>
        <v>Gujarat</v>
      </c>
      <c r="H723" s="0" t="str">
        <f aca="false">IFERROR(INDEX(Location_Map!$C$2:$C$15,MATCH(D723,Location_Map!$A$2:$A$15,0)),"UNMAPPED")</f>
        <v>West</v>
      </c>
      <c r="I723" s="0" t="str">
        <f aca="false">Raw!E723</f>
        <v>Finished Yarn</v>
      </c>
      <c r="J723" s="28" t="n">
        <f aca="false">Raw!F723</f>
        <v>13.33</v>
      </c>
      <c r="K723" s="30" t="n">
        <f aca="false">DATE(LEFT(Raw!G723,4),MID(Raw!G723,6,2),MID(Raw!G723,9,2))</f>
        <v>45867</v>
      </c>
      <c r="L723" s="30" t="n">
        <f aca="false">DATE(LEFT(Raw!H723,4),MID(Raw!H723,6,2),MID(Raw!H723,9,2))</f>
        <v>45870</v>
      </c>
      <c r="M723" s="30" t="n">
        <f aca="false">DATE(LEFT(Raw!I723,4),MID(Raw!I723,6,2),MID(Raw!I723,9,2))</f>
        <v>45873</v>
      </c>
      <c r="N723" s="31" t="n">
        <f aca="false">DATE(LEFT(Raw!J723,4),MID(Raw!J723,6,2),MID(Raw!J723,9,2))+TIME(MID(Raw!J723,12,2),MID(Raw!J723,15,2),MID(Raw!J723,18,2))</f>
        <v>45870.2916666667</v>
      </c>
      <c r="O723" s="31" t="n">
        <f aca="false">DATE(LEFT(Raw!K723,4),MID(Raw!K723,6,2),MID(Raw!K723,9,2))+TIME(MID(Raw!K723,12,2),MID(Raw!K723,15,2),MID(Raw!K723,18,2))</f>
        <v>45875.6</v>
      </c>
      <c r="P723" s="32" t="n">
        <f aca="false">L723-K723</f>
        <v>3</v>
      </c>
      <c r="Q723" s="32" t="n">
        <f aca="false">M723-L723</f>
        <v>3</v>
      </c>
      <c r="R723" s="32" t="n">
        <f aca="false">O723-N723</f>
        <v>5.30833333333333</v>
      </c>
      <c r="S723" s="32" t="n">
        <f aca="false">Raw!L723</f>
        <v>2.6</v>
      </c>
      <c r="T723" s="32" t="n">
        <f aca="false">O723-M723</f>
        <v>2.6</v>
      </c>
      <c r="U723" s="0" t="str">
        <f aca="false">IF(ABS(T723-S723)&lt;0.01,"OK","MISMATCH")</f>
        <v>OK</v>
      </c>
      <c r="V723" s="33" t="n">
        <f aca="false">Raw!M723</f>
        <v>1</v>
      </c>
      <c r="W723" s="0" t="str">
        <f aca="false">IF((S723&gt;0)=(V723=1),"OK","MISMATCH")</f>
        <v>OK</v>
      </c>
      <c r="X723" s="0" t="str">
        <f aca="false">_xlfn.IFS(S723&lt;=0,"Early/On time",S723&lt;=2,"Minor (up to 2 days)",S723&lt;=5,"Moderate (2-5 days)",TRUE(),"Severe (over 5 days)")</f>
        <v>Moderate (2-5 days)</v>
      </c>
      <c r="Y723" s="0" t="str">
        <f aca="false">YEAR(K723)&amp;"-"&amp;TEXT(MONTH(K723),"00")</f>
        <v>2025-07</v>
      </c>
      <c r="Z723" s="0" t="str">
        <f aca="false">C723&amp;" → "&amp;D723</f>
        <v>Rajasthan → Surat</v>
      </c>
      <c r="AA723" s="0" t="str">
        <f aca="false">Raw!Q723</f>
        <v>GATI Logistics</v>
      </c>
      <c r="AB723" s="0" t="str">
        <f aca="false">Raw!R723</f>
        <v>Yes</v>
      </c>
      <c r="AC723" s="0" t="str">
        <f aca="false">Raw!S723</f>
        <v>Normal</v>
      </c>
      <c r="AD723" s="29" t="n">
        <f aca="false">Raw!N723</f>
        <v>5204.91</v>
      </c>
      <c r="AE723" s="29" t="n">
        <f aca="false">Raw!O723</f>
        <v>1213.83</v>
      </c>
      <c r="AF723" s="29" t="n">
        <f aca="false">Raw!P723</f>
        <v>945.69</v>
      </c>
      <c r="AG723" s="29" t="n">
        <f aca="false">AD723/J723</f>
        <v>390.465866466617</v>
      </c>
    </row>
    <row r="724" customFormat="false" ht="15" hidden="false" customHeight="false" outlineLevel="0" collapsed="false">
      <c r="A724" s="0" t="str">
        <f aca="false">Raw!A724</f>
        <v>SHP0723</v>
      </c>
      <c r="B724" s="0" t="str">
        <f aca="false">Raw!B724</f>
        <v>Inbound</v>
      </c>
      <c r="C724" s="0" t="str">
        <f aca="false">Raw!C724</f>
        <v>Punjab</v>
      </c>
      <c r="D724" s="0" t="str">
        <f aca="false">Raw!D724</f>
        <v>Surat</v>
      </c>
      <c r="E724" s="0" t="str">
        <f aca="false">IFERROR(INDEX(Location_Map!$B$2:$B$15,MATCH(C724,Location_Map!$A$2:$A$15,0)),"UNMAPPED")</f>
        <v>Punjab</v>
      </c>
      <c r="F724" s="0" t="str">
        <f aca="false">IFERROR(INDEX(Location_Map!$C$2:$C$15,MATCH(C724,Location_Map!$A$2:$A$15,0)),"UNMAPPED")</f>
        <v>North</v>
      </c>
      <c r="G724" s="0" t="str">
        <f aca="false">IFERROR(INDEX(Location_Map!$B$2:$B$15,MATCH(D724,Location_Map!$A$2:$A$15,0)),"UNMAPPED")</f>
        <v>Gujarat</v>
      </c>
      <c r="H724" s="0" t="str">
        <f aca="false">IFERROR(INDEX(Location_Map!$C$2:$C$15,MATCH(D724,Location_Map!$A$2:$A$15,0)),"UNMAPPED")</f>
        <v>West</v>
      </c>
      <c r="I724" s="0" t="str">
        <f aca="false">Raw!E724</f>
        <v>Raw Yarn</v>
      </c>
      <c r="J724" s="28" t="n">
        <f aca="false">Raw!F724</f>
        <v>1.94</v>
      </c>
      <c r="K724" s="30" t="n">
        <f aca="false">DATE(LEFT(Raw!G724,4),MID(Raw!G724,6,2),MID(Raw!G724,9,2))</f>
        <v>45828</v>
      </c>
      <c r="L724" s="30" t="n">
        <f aca="false">DATE(LEFT(Raw!H724,4),MID(Raw!H724,6,2),MID(Raw!H724,9,2))</f>
        <v>45830</v>
      </c>
      <c r="M724" s="30" t="n">
        <f aca="false">DATE(LEFT(Raw!I724,4),MID(Raw!I724,6,2),MID(Raw!I724,9,2))</f>
        <v>45836</v>
      </c>
      <c r="N724" s="31" t="n">
        <f aca="false">DATE(LEFT(Raw!J724,4),MID(Raw!J724,6,2),MID(Raw!J724,9,2))+TIME(MID(Raw!J724,12,2),MID(Raw!J724,15,2),MID(Raw!J724,18,2))</f>
        <v>45830.2916666667</v>
      </c>
      <c r="O724" s="31" t="n">
        <f aca="false">DATE(LEFT(Raw!K724,4),MID(Raw!K724,6,2),MID(Raw!K724,9,2))+TIME(MID(Raw!K724,12,2),MID(Raw!K724,15,2),MID(Raw!K724,18,2))</f>
        <v>45838.9</v>
      </c>
      <c r="P724" s="32" t="n">
        <f aca="false">L724-K724</f>
        <v>2</v>
      </c>
      <c r="Q724" s="32" t="n">
        <f aca="false">M724-L724</f>
        <v>6</v>
      </c>
      <c r="R724" s="32" t="n">
        <f aca="false">O724-N724</f>
        <v>8.60833333333333</v>
      </c>
      <c r="S724" s="32" t="n">
        <f aca="false">Raw!L724</f>
        <v>2.9</v>
      </c>
      <c r="T724" s="32" t="n">
        <f aca="false">O724-M724</f>
        <v>2.9</v>
      </c>
      <c r="U724" s="0" t="str">
        <f aca="false">IF(ABS(T724-S724)&lt;0.01,"OK","MISMATCH")</f>
        <v>OK</v>
      </c>
      <c r="V724" s="33" t="n">
        <f aca="false">Raw!M724</f>
        <v>1</v>
      </c>
      <c r="W724" s="0" t="str">
        <f aca="false">IF((S724&gt;0)=(V724=1),"OK","MISMATCH")</f>
        <v>OK</v>
      </c>
      <c r="X724" s="0" t="str">
        <f aca="false">_xlfn.IFS(S724&lt;=0,"Early/On time",S724&lt;=2,"Minor (up to 2 days)",S724&lt;=5,"Moderate (2-5 days)",TRUE(),"Severe (over 5 days)")</f>
        <v>Moderate (2-5 days)</v>
      </c>
      <c r="Y724" s="0" t="str">
        <f aca="false">YEAR(K724)&amp;"-"&amp;TEXT(MONTH(K724),"00")</f>
        <v>2025-06</v>
      </c>
      <c r="Z724" s="0" t="str">
        <f aca="false">C724&amp;" → "&amp;D724</f>
        <v>Punjab → Surat</v>
      </c>
      <c r="AA724" s="0" t="str">
        <f aca="false">Raw!Q724</f>
        <v>GATI Logistics</v>
      </c>
      <c r="AB724" s="0" t="str">
        <f aca="false">Raw!R724</f>
        <v>Yes</v>
      </c>
      <c r="AC724" s="0" t="str">
        <f aca="false">Raw!S724</f>
        <v>Normal</v>
      </c>
      <c r="AD724" s="29" t="n">
        <f aca="false">Raw!N724</f>
        <v>1183.07</v>
      </c>
      <c r="AE724" s="29" t="n">
        <f aca="false">Raw!O724</f>
        <v>2161.47</v>
      </c>
      <c r="AF724" s="29" t="n">
        <f aca="false">Raw!P724</f>
        <v>1382.24</v>
      </c>
      <c r="AG724" s="29" t="n">
        <f aca="false">AD724/J724</f>
        <v>609.829896907217</v>
      </c>
    </row>
    <row r="725" customFormat="false" ht="15" hidden="false" customHeight="false" outlineLevel="0" collapsed="false">
      <c r="A725" s="0" t="str">
        <f aca="false">Raw!A725</f>
        <v>SHP0724</v>
      </c>
      <c r="B725" s="0" t="str">
        <f aca="false">Raw!B725</f>
        <v>Inbound</v>
      </c>
      <c r="C725" s="0" t="str">
        <f aca="false">Raw!C725</f>
        <v>Punjab</v>
      </c>
      <c r="D725" s="0" t="str">
        <f aca="false">Raw!D725</f>
        <v>Surat</v>
      </c>
      <c r="E725" s="0" t="str">
        <f aca="false">IFERROR(INDEX(Location_Map!$B$2:$B$15,MATCH(C725,Location_Map!$A$2:$A$15,0)),"UNMAPPED")</f>
        <v>Punjab</v>
      </c>
      <c r="F725" s="0" t="str">
        <f aca="false">IFERROR(INDEX(Location_Map!$C$2:$C$15,MATCH(C725,Location_Map!$A$2:$A$15,0)),"UNMAPPED")</f>
        <v>North</v>
      </c>
      <c r="G725" s="0" t="str">
        <f aca="false">IFERROR(INDEX(Location_Map!$B$2:$B$15,MATCH(D725,Location_Map!$A$2:$A$15,0)),"UNMAPPED")</f>
        <v>Gujarat</v>
      </c>
      <c r="H725" s="0" t="str">
        <f aca="false">IFERROR(INDEX(Location_Map!$C$2:$C$15,MATCH(D725,Location_Map!$A$2:$A$15,0)),"UNMAPPED")</f>
        <v>West</v>
      </c>
      <c r="I725" s="0" t="str">
        <f aca="false">Raw!E725</f>
        <v>Finished Yarn</v>
      </c>
      <c r="J725" s="28" t="n">
        <f aca="false">Raw!F725</f>
        <v>3.79</v>
      </c>
      <c r="K725" s="30" t="n">
        <f aca="false">DATE(LEFT(Raw!G725,4),MID(Raw!G725,6,2),MID(Raw!G725,9,2))</f>
        <v>45871</v>
      </c>
      <c r="L725" s="30" t="n">
        <f aca="false">DATE(LEFT(Raw!H725,4),MID(Raw!H725,6,2),MID(Raw!H725,9,2))</f>
        <v>45875</v>
      </c>
      <c r="M725" s="30" t="n">
        <f aca="false">DATE(LEFT(Raw!I725,4),MID(Raw!I725,6,2),MID(Raw!I725,9,2))</f>
        <v>45878</v>
      </c>
      <c r="N725" s="31" t="n">
        <f aca="false">DATE(LEFT(Raw!J725,4),MID(Raw!J725,6,2),MID(Raw!J725,9,2))+TIME(MID(Raw!J725,12,2),MID(Raw!J725,15,2),MID(Raw!J725,18,2))</f>
        <v>45874.7916666667</v>
      </c>
      <c r="O725" s="31" t="n">
        <f aca="false">DATE(LEFT(Raw!K725,4),MID(Raw!K725,6,2),MID(Raw!K725,9,2))+TIME(MID(Raw!K725,12,2),MID(Raw!K725,15,2),MID(Raw!K725,18,2))</f>
        <v>45880.7</v>
      </c>
      <c r="P725" s="32" t="n">
        <f aca="false">L725-K725</f>
        <v>4</v>
      </c>
      <c r="Q725" s="32" t="n">
        <f aca="false">M725-L725</f>
        <v>3</v>
      </c>
      <c r="R725" s="32" t="n">
        <f aca="false">O725-N725</f>
        <v>5.90833333333333</v>
      </c>
      <c r="S725" s="32" t="n">
        <f aca="false">Raw!L725</f>
        <v>2.7</v>
      </c>
      <c r="T725" s="32" t="n">
        <f aca="false">O725-M725</f>
        <v>2.7</v>
      </c>
      <c r="U725" s="0" t="str">
        <f aca="false">IF(ABS(T725-S725)&lt;0.01,"OK","MISMATCH")</f>
        <v>OK</v>
      </c>
      <c r="V725" s="33" t="n">
        <f aca="false">Raw!M725</f>
        <v>1</v>
      </c>
      <c r="W725" s="0" t="str">
        <f aca="false">IF((S725&gt;0)=(V725=1),"OK","MISMATCH")</f>
        <v>OK</v>
      </c>
      <c r="X725" s="0" t="str">
        <f aca="false">_xlfn.IFS(S725&lt;=0,"Early/On time",S725&lt;=2,"Minor (up to 2 days)",S725&lt;=5,"Moderate (2-5 days)",TRUE(),"Severe (over 5 days)")</f>
        <v>Moderate (2-5 days)</v>
      </c>
      <c r="Y725" s="0" t="str">
        <f aca="false">YEAR(K725)&amp;"-"&amp;TEXT(MONTH(K725),"00")</f>
        <v>2025-08</v>
      </c>
      <c r="Z725" s="0" t="str">
        <f aca="false">C725&amp;" → "&amp;D725</f>
        <v>Punjab → Surat</v>
      </c>
      <c r="AA725" s="0" t="str">
        <f aca="false">Raw!Q725</f>
        <v>GATI Logistics</v>
      </c>
      <c r="AB725" s="0" t="str">
        <f aca="false">Raw!R725</f>
        <v>Yes</v>
      </c>
      <c r="AC725" s="0" t="str">
        <f aca="false">Raw!S725</f>
        <v>Held at warehouse</v>
      </c>
      <c r="AD725" s="29" t="n">
        <f aca="false">Raw!N725</f>
        <v>2555.61</v>
      </c>
      <c r="AE725" s="29" t="n">
        <f aca="false">Raw!O725</f>
        <v>1028.39</v>
      </c>
      <c r="AF725" s="29" t="n">
        <f aca="false">Raw!P725</f>
        <v>1319.4</v>
      </c>
      <c r="AG725" s="29" t="n">
        <f aca="false">AD725/J725</f>
        <v>674.303430079156</v>
      </c>
    </row>
    <row r="726" customFormat="false" ht="15" hidden="false" customHeight="false" outlineLevel="0" collapsed="false">
      <c r="A726" s="0" t="str">
        <f aca="false">Raw!A726</f>
        <v>SHP0725</v>
      </c>
      <c r="B726" s="0" t="str">
        <f aca="false">Raw!B726</f>
        <v>Inbound</v>
      </c>
      <c r="C726" s="0" t="str">
        <f aca="false">Raw!C726</f>
        <v>Rajasthan</v>
      </c>
      <c r="D726" s="0" t="str">
        <f aca="false">Raw!D726</f>
        <v>Surat</v>
      </c>
      <c r="E726" s="0" t="str">
        <f aca="false">IFERROR(INDEX(Location_Map!$B$2:$B$15,MATCH(C726,Location_Map!$A$2:$A$15,0)),"UNMAPPED")</f>
        <v>Rajasthan</v>
      </c>
      <c r="F726" s="0" t="str">
        <f aca="false">IFERROR(INDEX(Location_Map!$C$2:$C$15,MATCH(C726,Location_Map!$A$2:$A$15,0)),"UNMAPPED")</f>
        <v>North</v>
      </c>
      <c r="G726" s="0" t="str">
        <f aca="false">IFERROR(INDEX(Location_Map!$B$2:$B$15,MATCH(D726,Location_Map!$A$2:$A$15,0)),"UNMAPPED")</f>
        <v>Gujarat</v>
      </c>
      <c r="H726" s="0" t="str">
        <f aca="false">IFERROR(INDEX(Location_Map!$C$2:$C$15,MATCH(D726,Location_Map!$A$2:$A$15,0)),"UNMAPPED")</f>
        <v>West</v>
      </c>
      <c r="I726" s="0" t="str">
        <f aca="false">Raw!E726</f>
        <v>Finished Yarn</v>
      </c>
      <c r="J726" s="28" t="n">
        <f aca="false">Raw!F726</f>
        <v>7.84</v>
      </c>
      <c r="K726" s="30" t="n">
        <f aca="false">DATE(LEFT(Raw!G726,4),MID(Raw!G726,6,2),MID(Raw!G726,9,2))</f>
        <v>45820</v>
      </c>
      <c r="L726" s="30" t="n">
        <f aca="false">DATE(LEFT(Raw!H726,4),MID(Raw!H726,6,2),MID(Raw!H726,9,2))</f>
        <v>45823</v>
      </c>
      <c r="M726" s="30" t="n">
        <f aca="false">DATE(LEFT(Raw!I726,4),MID(Raw!I726,6,2),MID(Raw!I726,9,2))</f>
        <v>45827</v>
      </c>
      <c r="N726" s="31" t="n">
        <f aca="false">DATE(LEFT(Raw!J726,4),MID(Raw!J726,6,2),MID(Raw!J726,9,2))+TIME(MID(Raw!J726,12,2),MID(Raw!J726,15,2),MID(Raw!J726,18,2))</f>
        <v>45823.3333333333</v>
      </c>
      <c r="O726" s="31" t="n">
        <f aca="false">DATE(LEFT(Raw!K726,4),MID(Raw!K726,6,2),MID(Raw!K726,9,2))+TIME(MID(Raw!K726,12,2),MID(Raw!K726,15,2),MID(Raw!K726,18,2))</f>
        <v>45826</v>
      </c>
      <c r="P726" s="32" t="n">
        <f aca="false">L726-K726</f>
        <v>3</v>
      </c>
      <c r="Q726" s="32" t="n">
        <f aca="false">M726-L726</f>
        <v>4</v>
      </c>
      <c r="R726" s="32" t="n">
        <f aca="false">O726-N726</f>
        <v>2.66666666666667</v>
      </c>
      <c r="S726" s="32" t="n">
        <f aca="false">Raw!L726</f>
        <v>-1</v>
      </c>
      <c r="T726" s="32" t="n">
        <f aca="false">O726-M726</f>
        <v>-1</v>
      </c>
      <c r="U726" s="0" t="str">
        <f aca="false">IF(ABS(T726-S726)&lt;0.01,"OK","MISMATCH")</f>
        <v>OK</v>
      </c>
      <c r="V726" s="33" t="n">
        <f aca="false">Raw!M726</f>
        <v>0</v>
      </c>
      <c r="W726" s="0" t="str">
        <f aca="false">IF((S726&gt;0)=(V726=1),"OK","MISMATCH")</f>
        <v>OK</v>
      </c>
      <c r="X726" s="0" t="str">
        <f aca="false">_xlfn.IFS(S726&lt;=0,"Early/On time",S726&lt;=2,"Minor (up to 2 days)",S726&lt;=5,"Moderate (2-5 days)",TRUE(),"Severe (over 5 days)")</f>
        <v>Early/On time</v>
      </c>
      <c r="Y726" s="0" t="str">
        <f aca="false">YEAR(K726)&amp;"-"&amp;TEXT(MONTH(K726),"00")</f>
        <v>2025-06</v>
      </c>
      <c r="Z726" s="0" t="str">
        <f aca="false">C726&amp;" → "&amp;D726</f>
        <v>Rajasthan → Surat</v>
      </c>
      <c r="AA726" s="0" t="str">
        <f aca="false">Raw!Q726</f>
        <v>TCI Express</v>
      </c>
      <c r="AB726" s="0" t="str">
        <f aca="false">Raw!R726</f>
        <v>No</v>
      </c>
      <c r="AC726" s="0" t="str">
        <f aca="false">Raw!S726</f>
        <v>Held at warehouse</v>
      </c>
      <c r="AD726" s="29" t="n">
        <f aca="false">Raw!N726</f>
        <v>6011.37</v>
      </c>
      <c r="AE726" s="29" t="n">
        <f aca="false">Raw!O726</f>
        <v>2192.6</v>
      </c>
      <c r="AF726" s="29" t="n">
        <f aca="false">Raw!P726</f>
        <v>626.46</v>
      </c>
      <c r="AG726" s="29" t="n">
        <f aca="false">AD726/J726</f>
        <v>766.75637755102</v>
      </c>
    </row>
    <row r="727" customFormat="false" ht="15" hidden="false" customHeight="false" outlineLevel="0" collapsed="false">
      <c r="A727" s="0" t="str">
        <f aca="false">Raw!A727</f>
        <v>SHP0726</v>
      </c>
      <c r="B727" s="0" t="str">
        <f aca="false">Raw!B727</f>
        <v>Inbound</v>
      </c>
      <c r="C727" s="0" t="str">
        <f aca="false">Raw!C727</f>
        <v>Gujarat</v>
      </c>
      <c r="D727" s="0" t="str">
        <f aca="false">Raw!D727</f>
        <v>Surat</v>
      </c>
      <c r="E727" s="0" t="str">
        <f aca="false">IFERROR(INDEX(Location_Map!$B$2:$B$15,MATCH(C727,Location_Map!$A$2:$A$15,0)),"UNMAPPED")</f>
        <v>Gujarat</v>
      </c>
      <c r="F727" s="0" t="str">
        <f aca="false">IFERROR(INDEX(Location_Map!$C$2:$C$15,MATCH(C727,Location_Map!$A$2:$A$15,0)),"UNMAPPED")</f>
        <v>West</v>
      </c>
      <c r="G727" s="0" t="str">
        <f aca="false">IFERROR(INDEX(Location_Map!$B$2:$B$15,MATCH(D727,Location_Map!$A$2:$A$15,0)),"UNMAPPED")</f>
        <v>Gujarat</v>
      </c>
      <c r="H727" s="0" t="str">
        <f aca="false">IFERROR(INDEX(Location_Map!$C$2:$C$15,MATCH(D727,Location_Map!$A$2:$A$15,0)),"UNMAPPED")</f>
        <v>West</v>
      </c>
      <c r="I727" s="0" t="str">
        <f aca="false">Raw!E727</f>
        <v>Finished Yarn</v>
      </c>
      <c r="J727" s="28" t="n">
        <f aca="false">Raw!F727</f>
        <v>17.01</v>
      </c>
      <c r="K727" s="30" t="n">
        <f aca="false">DATE(LEFT(Raw!G727,4),MID(Raw!G727,6,2),MID(Raw!G727,9,2))</f>
        <v>45766</v>
      </c>
      <c r="L727" s="30" t="n">
        <f aca="false">DATE(LEFT(Raw!H727,4),MID(Raw!H727,6,2),MID(Raw!H727,9,2))</f>
        <v>45769</v>
      </c>
      <c r="M727" s="30" t="n">
        <f aca="false">DATE(LEFT(Raw!I727,4),MID(Raw!I727,6,2),MID(Raw!I727,9,2))</f>
        <v>45774</v>
      </c>
      <c r="N727" s="31" t="n">
        <f aca="false">DATE(LEFT(Raw!J727,4),MID(Raw!J727,6,2),MID(Raw!J727,9,2))+TIME(MID(Raw!J727,12,2),MID(Raw!J727,15,2),MID(Raw!J727,18,2))</f>
        <v>45769.1666666667</v>
      </c>
      <c r="O727" s="31" t="n">
        <f aca="false">DATE(LEFT(Raw!K727,4),MID(Raw!K727,6,2),MID(Raw!K727,9,2))+TIME(MID(Raw!K727,12,2),MID(Raw!K727,15,2),MID(Raw!K727,18,2))</f>
        <v>45776.3</v>
      </c>
      <c r="P727" s="32" t="n">
        <f aca="false">L727-K727</f>
        <v>3</v>
      </c>
      <c r="Q727" s="32" t="n">
        <f aca="false">M727-L727</f>
        <v>5</v>
      </c>
      <c r="R727" s="32" t="n">
        <f aca="false">O727-N727</f>
        <v>7.13333333333333</v>
      </c>
      <c r="S727" s="32" t="n">
        <f aca="false">Raw!L727</f>
        <v>2.3</v>
      </c>
      <c r="T727" s="32" t="n">
        <f aca="false">O727-M727</f>
        <v>2.3</v>
      </c>
      <c r="U727" s="0" t="str">
        <f aca="false">IF(ABS(T727-S727)&lt;0.01,"OK","MISMATCH")</f>
        <v>OK</v>
      </c>
      <c r="V727" s="33" t="n">
        <f aca="false">Raw!M727</f>
        <v>1</v>
      </c>
      <c r="W727" s="0" t="str">
        <f aca="false">IF((S727&gt;0)=(V727=1),"OK","MISMATCH")</f>
        <v>OK</v>
      </c>
      <c r="X727" s="0" t="str">
        <f aca="false">_xlfn.IFS(S727&lt;=0,"Early/On time",S727&lt;=2,"Minor (up to 2 days)",S727&lt;=5,"Moderate (2-5 days)",TRUE(),"Severe (over 5 days)")</f>
        <v>Moderate (2-5 days)</v>
      </c>
      <c r="Y727" s="0" t="str">
        <f aca="false">YEAR(K727)&amp;"-"&amp;TEXT(MONTH(K727),"00")</f>
        <v>2025-04</v>
      </c>
      <c r="Z727" s="0" t="str">
        <f aca="false">C727&amp;" → "&amp;D727</f>
        <v>Gujarat → Surat</v>
      </c>
      <c r="AA727" s="0" t="str">
        <f aca="false">Raw!Q727</f>
        <v>GATI Logistics</v>
      </c>
      <c r="AB727" s="0" t="str">
        <f aca="false">Raw!R727</f>
        <v>Yes</v>
      </c>
      <c r="AC727" s="0" t="str">
        <f aca="false">Raw!S727</f>
        <v>Returned</v>
      </c>
      <c r="AD727" s="29" t="n">
        <f aca="false">Raw!N727</f>
        <v>6295.34</v>
      </c>
      <c r="AE727" s="29" t="n">
        <f aca="false">Raw!O727</f>
        <v>2653.37</v>
      </c>
      <c r="AF727" s="29" t="n">
        <f aca="false">Raw!P727</f>
        <v>1046.61</v>
      </c>
      <c r="AG727" s="29" t="n">
        <f aca="false">AD727/J727</f>
        <v>370.096413874192</v>
      </c>
    </row>
    <row r="728" customFormat="false" ht="15" hidden="false" customHeight="false" outlineLevel="0" collapsed="false">
      <c r="A728" s="0" t="str">
        <f aca="false">Raw!A728</f>
        <v>SHP0727</v>
      </c>
      <c r="B728" s="0" t="str">
        <f aca="false">Raw!B728</f>
        <v>Inbound</v>
      </c>
      <c r="C728" s="0" t="str">
        <f aca="false">Raw!C728</f>
        <v>Gujarat</v>
      </c>
      <c r="D728" s="0" t="str">
        <f aca="false">Raw!D728</f>
        <v>Surat</v>
      </c>
      <c r="E728" s="0" t="str">
        <f aca="false">IFERROR(INDEX(Location_Map!$B$2:$B$15,MATCH(C728,Location_Map!$A$2:$A$15,0)),"UNMAPPED")</f>
        <v>Gujarat</v>
      </c>
      <c r="F728" s="0" t="str">
        <f aca="false">IFERROR(INDEX(Location_Map!$C$2:$C$15,MATCH(C728,Location_Map!$A$2:$A$15,0)),"UNMAPPED")</f>
        <v>West</v>
      </c>
      <c r="G728" s="0" t="str">
        <f aca="false">IFERROR(INDEX(Location_Map!$B$2:$B$15,MATCH(D728,Location_Map!$A$2:$A$15,0)),"UNMAPPED")</f>
        <v>Gujarat</v>
      </c>
      <c r="H728" s="0" t="str">
        <f aca="false">IFERROR(INDEX(Location_Map!$C$2:$C$15,MATCH(D728,Location_Map!$A$2:$A$15,0)),"UNMAPPED")</f>
        <v>West</v>
      </c>
      <c r="I728" s="0" t="str">
        <f aca="false">Raw!E728</f>
        <v>Semi-Processed Yarn</v>
      </c>
      <c r="J728" s="28" t="n">
        <f aca="false">Raw!F728</f>
        <v>9.28</v>
      </c>
      <c r="K728" s="30" t="n">
        <f aca="false">DATE(LEFT(Raw!G728,4),MID(Raw!G728,6,2),MID(Raw!G728,9,2))</f>
        <v>45882</v>
      </c>
      <c r="L728" s="30" t="n">
        <f aca="false">DATE(LEFT(Raw!H728,4),MID(Raw!H728,6,2),MID(Raw!H728,9,2))</f>
        <v>45886</v>
      </c>
      <c r="M728" s="30" t="n">
        <f aca="false">DATE(LEFT(Raw!I728,4),MID(Raw!I728,6,2),MID(Raw!I728,9,2))</f>
        <v>45888</v>
      </c>
      <c r="N728" s="31" t="n">
        <f aca="false">DATE(LEFT(Raw!J728,4),MID(Raw!J728,6,2),MID(Raw!J728,9,2))+TIME(MID(Raw!J728,12,2),MID(Raw!J728,15,2),MID(Raw!J728,18,2))</f>
        <v>45885.7916666667</v>
      </c>
      <c r="O728" s="31" t="n">
        <f aca="false">DATE(LEFT(Raw!K728,4),MID(Raw!K728,6,2),MID(Raw!K728,9,2))+TIME(MID(Raw!K728,12,2),MID(Raw!K728,15,2),MID(Raw!K728,18,2))</f>
        <v>45890.3</v>
      </c>
      <c r="P728" s="32" t="n">
        <f aca="false">L728-K728</f>
        <v>4</v>
      </c>
      <c r="Q728" s="32" t="n">
        <f aca="false">M728-L728</f>
        <v>2</v>
      </c>
      <c r="R728" s="32" t="n">
        <f aca="false">O728-N728</f>
        <v>4.50833333333333</v>
      </c>
      <c r="S728" s="32" t="n">
        <f aca="false">Raw!L728</f>
        <v>2.3</v>
      </c>
      <c r="T728" s="32" t="n">
        <f aca="false">O728-M728</f>
        <v>2.3</v>
      </c>
      <c r="U728" s="0" t="str">
        <f aca="false">IF(ABS(T728-S728)&lt;0.01,"OK","MISMATCH")</f>
        <v>OK</v>
      </c>
      <c r="V728" s="33" t="n">
        <f aca="false">Raw!M728</f>
        <v>1</v>
      </c>
      <c r="W728" s="0" t="str">
        <f aca="false">IF((S728&gt;0)=(V728=1),"OK","MISMATCH")</f>
        <v>OK</v>
      </c>
      <c r="X728" s="0" t="str">
        <f aca="false">_xlfn.IFS(S728&lt;=0,"Early/On time",S728&lt;=2,"Minor (up to 2 days)",S728&lt;=5,"Moderate (2-5 days)",TRUE(),"Severe (over 5 days)")</f>
        <v>Moderate (2-5 days)</v>
      </c>
      <c r="Y728" s="0" t="str">
        <f aca="false">YEAR(K728)&amp;"-"&amp;TEXT(MONTH(K728),"00")</f>
        <v>2025-08</v>
      </c>
      <c r="Z728" s="0" t="str">
        <f aca="false">C728&amp;" → "&amp;D728</f>
        <v>Gujarat → Surat</v>
      </c>
      <c r="AA728" s="0" t="str">
        <f aca="false">Raw!Q728</f>
        <v>Delhivery</v>
      </c>
      <c r="AB728" s="0" t="str">
        <f aca="false">Raw!R728</f>
        <v>Yes</v>
      </c>
      <c r="AC728" s="0" t="str">
        <f aca="false">Raw!S728</f>
        <v>Held at warehouse</v>
      </c>
      <c r="AD728" s="29" t="n">
        <f aca="false">Raw!N728</f>
        <v>7557.19</v>
      </c>
      <c r="AE728" s="29" t="n">
        <f aca="false">Raw!O728</f>
        <v>4370.14</v>
      </c>
      <c r="AF728" s="29" t="n">
        <f aca="false">Raw!P728</f>
        <v>803.21</v>
      </c>
      <c r="AG728" s="29" t="n">
        <f aca="false">AD728/J728</f>
        <v>814.352370689655</v>
      </c>
    </row>
    <row r="729" customFormat="false" ht="15" hidden="false" customHeight="false" outlineLevel="0" collapsed="false">
      <c r="A729" s="0" t="str">
        <f aca="false">Raw!A729</f>
        <v>SHP0728</v>
      </c>
      <c r="B729" s="0" t="str">
        <f aca="false">Raw!B729</f>
        <v>Outbound</v>
      </c>
      <c r="C729" s="0" t="str">
        <f aca="false">Raw!C729</f>
        <v>Surat</v>
      </c>
      <c r="D729" s="0" t="str">
        <f aca="false">Raw!D729</f>
        <v>Kerala</v>
      </c>
      <c r="E729" s="0" t="str">
        <f aca="false">IFERROR(INDEX(Location_Map!$B$2:$B$15,MATCH(C729,Location_Map!$A$2:$A$15,0)),"UNMAPPED")</f>
        <v>Gujarat</v>
      </c>
      <c r="F729" s="0" t="str">
        <f aca="false">IFERROR(INDEX(Location_Map!$C$2:$C$15,MATCH(C729,Location_Map!$A$2:$A$15,0)),"UNMAPPED")</f>
        <v>West</v>
      </c>
      <c r="G729" s="0" t="str">
        <f aca="false">IFERROR(INDEX(Location_Map!$B$2:$B$15,MATCH(D729,Location_Map!$A$2:$A$15,0)),"UNMAPPED")</f>
        <v>Kerala</v>
      </c>
      <c r="H729" s="0" t="str">
        <f aca="false">IFERROR(INDEX(Location_Map!$C$2:$C$15,MATCH(D729,Location_Map!$A$2:$A$15,0)),"UNMAPPED")</f>
        <v>South</v>
      </c>
      <c r="I729" s="0" t="str">
        <f aca="false">Raw!E729</f>
        <v>Finished Yarn</v>
      </c>
      <c r="J729" s="28" t="n">
        <f aca="false">Raw!F729</f>
        <v>9.16</v>
      </c>
      <c r="K729" s="30" t="n">
        <f aca="false">DATE(LEFT(Raw!G729,4),MID(Raw!G729,6,2),MID(Raw!G729,9,2))</f>
        <v>45799</v>
      </c>
      <c r="L729" s="30" t="n">
        <f aca="false">DATE(LEFT(Raw!H729,4),MID(Raw!H729,6,2),MID(Raw!H729,9,2))</f>
        <v>45800</v>
      </c>
      <c r="M729" s="30" t="n">
        <f aca="false">DATE(LEFT(Raw!I729,4),MID(Raw!I729,6,2),MID(Raw!I729,9,2))</f>
        <v>45806</v>
      </c>
      <c r="N729" s="31" t="n">
        <f aca="false">DATE(LEFT(Raw!J729,4),MID(Raw!J729,6,2),MID(Raw!J729,9,2))+TIME(MID(Raw!J729,12,2),MID(Raw!J729,15,2),MID(Raw!J729,18,2))</f>
        <v>45799.9166666667</v>
      </c>
      <c r="O729" s="31" t="n">
        <f aca="false">DATE(LEFT(Raw!K729,4),MID(Raw!K729,6,2),MID(Raw!K729,9,2))+TIME(MID(Raw!K729,12,2),MID(Raw!K729,15,2),MID(Raw!K729,18,2))</f>
        <v>45814.2</v>
      </c>
      <c r="P729" s="32" t="n">
        <f aca="false">L729-K729</f>
        <v>1</v>
      </c>
      <c r="Q729" s="32" t="n">
        <f aca="false">M729-L729</f>
        <v>6</v>
      </c>
      <c r="R729" s="32" t="n">
        <f aca="false">O729-N729</f>
        <v>14.2833333333333</v>
      </c>
      <c r="S729" s="32" t="n">
        <f aca="false">Raw!L729</f>
        <v>8.2</v>
      </c>
      <c r="T729" s="32" t="n">
        <f aca="false">O729-M729</f>
        <v>8.2</v>
      </c>
      <c r="U729" s="0" t="str">
        <f aca="false">IF(ABS(T729-S729)&lt;0.01,"OK","MISMATCH")</f>
        <v>OK</v>
      </c>
      <c r="V729" s="33" t="n">
        <f aca="false">Raw!M729</f>
        <v>1</v>
      </c>
      <c r="W729" s="0" t="str">
        <f aca="false">IF((S729&gt;0)=(V729=1),"OK","MISMATCH")</f>
        <v>OK</v>
      </c>
      <c r="X729" s="0" t="str">
        <f aca="false">_xlfn.IFS(S729&lt;=0,"Early/On time",S729&lt;=2,"Minor (up to 2 days)",S729&lt;=5,"Moderate (2-5 days)",TRUE(),"Severe (over 5 days)")</f>
        <v>Severe (over 5 days)</v>
      </c>
      <c r="Y729" s="0" t="str">
        <f aca="false">YEAR(K729)&amp;"-"&amp;TEXT(MONTH(K729),"00")</f>
        <v>2025-05</v>
      </c>
      <c r="Z729" s="0" t="str">
        <f aca="false">C729&amp;" → "&amp;D729</f>
        <v>Surat → Kerala</v>
      </c>
      <c r="AA729" s="0" t="str">
        <f aca="false">Raw!Q729</f>
        <v>GATI Logistics</v>
      </c>
      <c r="AB729" s="0" t="str">
        <f aca="false">Raw!R729</f>
        <v>No</v>
      </c>
      <c r="AC729" s="0" t="str">
        <f aca="false">Raw!S729</f>
        <v>Damaged</v>
      </c>
      <c r="AD729" s="29" t="n">
        <f aca="false">Raw!N729</f>
        <v>5258.73</v>
      </c>
      <c r="AE729" s="29" t="n">
        <f aca="false">Raw!O729</f>
        <v>3775.51</v>
      </c>
      <c r="AF729" s="29" t="n">
        <f aca="false">Raw!P729</f>
        <v>659.63</v>
      </c>
      <c r="AG729" s="29" t="n">
        <f aca="false">AD729/J729</f>
        <v>574.097161572052</v>
      </c>
    </row>
    <row r="730" customFormat="false" ht="15" hidden="false" customHeight="false" outlineLevel="0" collapsed="false">
      <c r="A730" s="0" t="str">
        <f aca="false">Raw!A730</f>
        <v>SHP0729</v>
      </c>
      <c r="B730" s="0" t="str">
        <f aca="false">Raw!B730</f>
        <v>Inbound</v>
      </c>
      <c r="C730" s="0" t="str">
        <f aca="false">Raw!C730</f>
        <v>Gujarat</v>
      </c>
      <c r="D730" s="0" t="str">
        <f aca="false">Raw!D730</f>
        <v>Surat</v>
      </c>
      <c r="E730" s="0" t="str">
        <f aca="false">IFERROR(INDEX(Location_Map!$B$2:$B$15,MATCH(C730,Location_Map!$A$2:$A$15,0)),"UNMAPPED")</f>
        <v>Gujarat</v>
      </c>
      <c r="F730" s="0" t="str">
        <f aca="false">IFERROR(INDEX(Location_Map!$C$2:$C$15,MATCH(C730,Location_Map!$A$2:$A$15,0)),"UNMAPPED")</f>
        <v>West</v>
      </c>
      <c r="G730" s="0" t="str">
        <f aca="false">IFERROR(INDEX(Location_Map!$B$2:$B$15,MATCH(D730,Location_Map!$A$2:$A$15,0)),"UNMAPPED")</f>
        <v>Gujarat</v>
      </c>
      <c r="H730" s="0" t="str">
        <f aca="false">IFERROR(INDEX(Location_Map!$C$2:$C$15,MATCH(D730,Location_Map!$A$2:$A$15,0)),"UNMAPPED")</f>
        <v>West</v>
      </c>
      <c r="I730" s="0" t="str">
        <f aca="false">Raw!E730</f>
        <v>Semi-Processed Yarn</v>
      </c>
      <c r="J730" s="28" t="n">
        <f aca="false">Raw!F730</f>
        <v>18.03</v>
      </c>
      <c r="K730" s="30" t="n">
        <f aca="false">DATE(LEFT(Raw!G730,4),MID(Raw!G730,6,2),MID(Raw!G730,9,2))</f>
        <v>45779</v>
      </c>
      <c r="L730" s="30" t="n">
        <f aca="false">DATE(LEFT(Raw!H730,4),MID(Raw!H730,6,2),MID(Raw!H730,9,2))</f>
        <v>45781</v>
      </c>
      <c r="M730" s="30" t="n">
        <f aca="false">DATE(LEFT(Raw!I730,4),MID(Raw!I730,6,2),MID(Raw!I730,9,2))</f>
        <v>45784</v>
      </c>
      <c r="N730" s="31" t="n">
        <f aca="false">DATE(LEFT(Raw!J730,4),MID(Raw!J730,6,2),MID(Raw!J730,9,2))+TIME(MID(Raw!J730,12,2),MID(Raw!J730,15,2),MID(Raw!J730,18,2))</f>
        <v>45781.2083333333</v>
      </c>
      <c r="O730" s="31" t="n">
        <f aca="false">DATE(LEFT(Raw!K730,4),MID(Raw!K730,6,2),MID(Raw!K730,9,2))+TIME(MID(Raw!K730,12,2),MID(Raw!K730,15,2),MID(Raw!K730,18,2))</f>
        <v>45789.6</v>
      </c>
      <c r="P730" s="32" t="n">
        <f aca="false">L730-K730</f>
        <v>2</v>
      </c>
      <c r="Q730" s="32" t="n">
        <f aca="false">M730-L730</f>
        <v>3</v>
      </c>
      <c r="R730" s="32" t="n">
        <f aca="false">O730-N730</f>
        <v>8.39166666666667</v>
      </c>
      <c r="S730" s="32" t="n">
        <f aca="false">Raw!L730</f>
        <v>5.6</v>
      </c>
      <c r="T730" s="32" t="n">
        <f aca="false">O730-M730</f>
        <v>5.6</v>
      </c>
      <c r="U730" s="0" t="str">
        <f aca="false">IF(ABS(T730-S730)&lt;0.01,"OK","MISMATCH")</f>
        <v>OK</v>
      </c>
      <c r="V730" s="33" t="n">
        <f aca="false">Raw!M730</f>
        <v>1</v>
      </c>
      <c r="W730" s="0" t="str">
        <f aca="false">IF((S730&gt;0)=(V730=1),"OK","MISMATCH")</f>
        <v>OK</v>
      </c>
      <c r="X730" s="0" t="str">
        <f aca="false">_xlfn.IFS(S730&lt;=0,"Early/On time",S730&lt;=2,"Minor (up to 2 days)",S730&lt;=5,"Moderate (2-5 days)",TRUE(),"Severe (over 5 days)")</f>
        <v>Severe (over 5 days)</v>
      </c>
      <c r="Y730" s="0" t="str">
        <f aca="false">YEAR(K730)&amp;"-"&amp;TEXT(MONTH(K730),"00")</f>
        <v>2025-05</v>
      </c>
      <c r="Z730" s="0" t="str">
        <f aca="false">C730&amp;" → "&amp;D730</f>
        <v>Gujarat → Surat</v>
      </c>
      <c r="AA730" s="0" t="str">
        <f aca="false">Raw!Q730</f>
        <v>VRL Cargo</v>
      </c>
      <c r="AB730" s="0" t="str">
        <f aca="false">Raw!R730</f>
        <v>Yes</v>
      </c>
      <c r="AC730" s="0" t="str">
        <f aca="false">Raw!S730</f>
        <v>Expedited</v>
      </c>
      <c r="AD730" s="29" t="n">
        <f aca="false">Raw!N730</f>
        <v>8792.06</v>
      </c>
      <c r="AE730" s="29" t="n">
        <f aca="false">Raw!O730</f>
        <v>2474.81</v>
      </c>
      <c r="AF730" s="29" t="n">
        <f aca="false">Raw!P730</f>
        <v>1190.03</v>
      </c>
      <c r="AG730" s="29" t="n">
        <f aca="false">AD730/J730</f>
        <v>487.635052689961</v>
      </c>
    </row>
    <row r="731" customFormat="false" ht="15" hidden="false" customHeight="false" outlineLevel="0" collapsed="false">
      <c r="A731" s="0" t="str">
        <f aca="false">Raw!A731</f>
        <v>SHP0730</v>
      </c>
      <c r="B731" s="0" t="str">
        <f aca="false">Raw!B731</f>
        <v>Outbound</v>
      </c>
      <c r="C731" s="0" t="str">
        <f aca="false">Raw!C731</f>
        <v>Surat</v>
      </c>
      <c r="D731" s="0" t="str">
        <f aca="false">Raw!D731</f>
        <v>Uttarakhand</v>
      </c>
      <c r="E731" s="0" t="str">
        <f aca="false">IFERROR(INDEX(Location_Map!$B$2:$B$15,MATCH(C731,Location_Map!$A$2:$A$15,0)),"UNMAPPED")</f>
        <v>Gujarat</v>
      </c>
      <c r="F731" s="0" t="str">
        <f aca="false">IFERROR(INDEX(Location_Map!$C$2:$C$15,MATCH(C731,Location_Map!$A$2:$A$15,0)),"UNMAPPED")</f>
        <v>West</v>
      </c>
      <c r="G731" s="0" t="str">
        <f aca="false">IFERROR(INDEX(Location_Map!$B$2:$B$15,MATCH(D731,Location_Map!$A$2:$A$15,0)),"UNMAPPED")</f>
        <v>Uttarakhand</v>
      </c>
      <c r="H731" s="0" t="str">
        <f aca="false">IFERROR(INDEX(Location_Map!$C$2:$C$15,MATCH(D731,Location_Map!$A$2:$A$15,0)),"UNMAPPED")</f>
        <v>North</v>
      </c>
      <c r="I731" s="0" t="str">
        <f aca="false">Raw!E731</f>
        <v>Semi-Processed Yarn</v>
      </c>
      <c r="J731" s="28" t="n">
        <f aca="false">Raw!F731</f>
        <v>8.36</v>
      </c>
      <c r="K731" s="30" t="n">
        <f aca="false">DATE(LEFT(Raw!G731,4),MID(Raw!G731,6,2),MID(Raw!G731,9,2))</f>
        <v>45761</v>
      </c>
      <c r="L731" s="30" t="n">
        <f aca="false">DATE(LEFT(Raw!H731,4),MID(Raw!H731,6,2),MID(Raw!H731,9,2))</f>
        <v>45765</v>
      </c>
      <c r="M731" s="30" t="n">
        <f aca="false">DATE(LEFT(Raw!I731,4),MID(Raw!I731,6,2),MID(Raw!I731,9,2))</f>
        <v>45770</v>
      </c>
      <c r="N731" s="31" t="n">
        <f aca="false">DATE(LEFT(Raw!J731,4),MID(Raw!J731,6,2),MID(Raw!J731,9,2))+TIME(MID(Raw!J731,12,2),MID(Raw!J731,15,2),MID(Raw!J731,18,2))</f>
        <v>45765.3333333333</v>
      </c>
      <c r="O731" s="31" t="n">
        <f aca="false">DATE(LEFT(Raw!K731,4),MID(Raw!K731,6,2),MID(Raw!K731,9,2))+TIME(MID(Raw!K731,12,2),MID(Raw!K731,15,2),MID(Raw!K731,18,2))</f>
        <v>45769</v>
      </c>
      <c r="P731" s="32" t="n">
        <f aca="false">L731-K731</f>
        <v>4</v>
      </c>
      <c r="Q731" s="32" t="n">
        <f aca="false">M731-L731</f>
        <v>5</v>
      </c>
      <c r="R731" s="32" t="n">
        <f aca="false">O731-N731</f>
        <v>3.66666666666667</v>
      </c>
      <c r="S731" s="32" t="n">
        <f aca="false">Raw!L731</f>
        <v>-1</v>
      </c>
      <c r="T731" s="32" t="n">
        <f aca="false">O731-M731</f>
        <v>-1</v>
      </c>
      <c r="U731" s="0" t="str">
        <f aca="false">IF(ABS(T731-S731)&lt;0.01,"OK","MISMATCH")</f>
        <v>OK</v>
      </c>
      <c r="V731" s="33" t="n">
        <f aca="false">Raw!M731</f>
        <v>0</v>
      </c>
      <c r="W731" s="0" t="str">
        <f aca="false">IF((S731&gt;0)=(V731=1),"OK","MISMATCH")</f>
        <v>OK</v>
      </c>
      <c r="X731" s="0" t="str">
        <f aca="false">_xlfn.IFS(S731&lt;=0,"Early/On time",S731&lt;=2,"Minor (up to 2 days)",S731&lt;=5,"Moderate (2-5 days)",TRUE(),"Severe (over 5 days)")</f>
        <v>Early/On time</v>
      </c>
      <c r="Y731" s="0" t="str">
        <f aca="false">YEAR(K731)&amp;"-"&amp;TEXT(MONTH(K731),"00")</f>
        <v>2025-04</v>
      </c>
      <c r="Z731" s="0" t="str">
        <f aca="false">C731&amp;" → "&amp;D731</f>
        <v>Surat → Uttarakhand</v>
      </c>
      <c r="AA731" s="0" t="str">
        <f aca="false">Raw!Q731</f>
        <v>VRL Cargo</v>
      </c>
      <c r="AB731" s="0" t="str">
        <f aca="false">Raw!R731</f>
        <v>No</v>
      </c>
      <c r="AC731" s="0" t="str">
        <f aca="false">Raw!S731</f>
        <v>Held at warehouse</v>
      </c>
      <c r="AD731" s="29" t="n">
        <f aca="false">Raw!N731</f>
        <v>3115.47</v>
      </c>
      <c r="AE731" s="29" t="n">
        <f aca="false">Raw!O731</f>
        <v>4223.62</v>
      </c>
      <c r="AF731" s="29" t="n">
        <f aca="false">Raw!P731</f>
        <v>779.67</v>
      </c>
      <c r="AG731" s="29" t="n">
        <f aca="false">AD731/J731</f>
        <v>372.663875598086</v>
      </c>
    </row>
    <row r="732" customFormat="false" ht="15" hidden="false" customHeight="false" outlineLevel="0" collapsed="false">
      <c r="A732" s="0" t="str">
        <f aca="false">Raw!A732</f>
        <v>SHP0731</v>
      </c>
      <c r="B732" s="0" t="str">
        <f aca="false">Raw!B732</f>
        <v>Outbound</v>
      </c>
      <c r="C732" s="0" t="str">
        <f aca="false">Raw!C732</f>
        <v>Surat</v>
      </c>
      <c r="D732" s="0" t="str">
        <f aca="false">Raw!D732</f>
        <v>Mumbai</v>
      </c>
      <c r="E732" s="0" t="str">
        <f aca="false">IFERROR(INDEX(Location_Map!$B$2:$B$15,MATCH(C732,Location_Map!$A$2:$A$15,0)),"UNMAPPED")</f>
        <v>Gujarat</v>
      </c>
      <c r="F732" s="0" t="str">
        <f aca="false">IFERROR(INDEX(Location_Map!$C$2:$C$15,MATCH(C732,Location_Map!$A$2:$A$15,0)),"UNMAPPED")</f>
        <v>West</v>
      </c>
      <c r="G732" s="0" t="str">
        <f aca="false">IFERROR(INDEX(Location_Map!$B$2:$B$15,MATCH(D732,Location_Map!$A$2:$A$15,0)),"UNMAPPED")</f>
        <v>Maharashtra</v>
      </c>
      <c r="H732" s="0" t="str">
        <f aca="false">IFERROR(INDEX(Location_Map!$C$2:$C$15,MATCH(D732,Location_Map!$A$2:$A$15,0)),"UNMAPPED")</f>
        <v>West</v>
      </c>
      <c r="I732" s="0" t="str">
        <f aca="false">Raw!E732</f>
        <v>Finished Yarn</v>
      </c>
      <c r="J732" s="28" t="n">
        <f aca="false">Raw!F732</f>
        <v>4.64</v>
      </c>
      <c r="K732" s="30" t="n">
        <f aca="false">DATE(LEFT(Raw!G732,4),MID(Raw!G732,6,2),MID(Raw!G732,9,2))</f>
        <v>45809</v>
      </c>
      <c r="L732" s="30" t="n">
        <f aca="false">DATE(LEFT(Raw!H732,4),MID(Raw!H732,6,2),MID(Raw!H732,9,2))</f>
        <v>45813</v>
      </c>
      <c r="M732" s="30" t="n">
        <f aca="false">DATE(LEFT(Raw!I732,4),MID(Raw!I732,6,2),MID(Raw!I732,9,2))</f>
        <v>45815</v>
      </c>
      <c r="N732" s="31" t="n">
        <f aca="false">DATE(LEFT(Raw!J732,4),MID(Raw!J732,6,2),MID(Raw!J732,9,2))+TIME(MID(Raw!J732,12,2),MID(Raw!J732,15,2),MID(Raw!J732,18,2))</f>
        <v>45812.9166666667</v>
      </c>
      <c r="O732" s="31" t="n">
        <f aca="false">DATE(LEFT(Raw!K732,4),MID(Raw!K732,6,2),MID(Raw!K732,9,2))+TIME(MID(Raw!K732,12,2),MID(Raw!K732,15,2),MID(Raw!K732,18,2))</f>
        <v>45816.3</v>
      </c>
      <c r="P732" s="32" t="n">
        <f aca="false">L732-K732</f>
        <v>4</v>
      </c>
      <c r="Q732" s="32" t="n">
        <f aca="false">M732-L732</f>
        <v>2</v>
      </c>
      <c r="R732" s="32" t="n">
        <f aca="false">O732-N732</f>
        <v>3.38333333333333</v>
      </c>
      <c r="S732" s="32" t="n">
        <f aca="false">Raw!L732</f>
        <v>1.3</v>
      </c>
      <c r="T732" s="32" t="n">
        <f aca="false">O732-M732</f>
        <v>1.3</v>
      </c>
      <c r="U732" s="0" t="str">
        <f aca="false">IF(ABS(T732-S732)&lt;0.01,"OK","MISMATCH")</f>
        <v>OK</v>
      </c>
      <c r="V732" s="33" t="n">
        <f aca="false">Raw!M732</f>
        <v>1</v>
      </c>
      <c r="W732" s="0" t="str">
        <f aca="false">IF((S732&gt;0)=(V732=1),"OK","MISMATCH")</f>
        <v>OK</v>
      </c>
      <c r="X732" s="0" t="str">
        <f aca="false">_xlfn.IFS(S732&lt;=0,"Early/On time",S732&lt;=2,"Minor (up to 2 days)",S732&lt;=5,"Moderate (2-5 days)",TRUE(),"Severe (over 5 days)")</f>
        <v>Minor (up to 2 days)</v>
      </c>
      <c r="Y732" s="0" t="str">
        <f aca="false">YEAR(K732)&amp;"-"&amp;TEXT(MONTH(K732),"00")</f>
        <v>2025-06</v>
      </c>
      <c r="Z732" s="0" t="str">
        <f aca="false">C732&amp;" → "&amp;D732</f>
        <v>Surat → Mumbai</v>
      </c>
      <c r="AA732" s="0" t="str">
        <f aca="false">Raw!Q732</f>
        <v>Delhivery</v>
      </c>
      <c r="AB732" s="0" t="str">
        <f aca="false">Raw!R732</f>
        <v>Yes</v>
      </c>
      <c r="AC732" s="0" t="str">
        <f aca="false">Raw!S732</f>
        <v>Normal</v>
      </c>
      <c r="AD732" s="29" t="n">
        <f aca="false">Raw!N732</f>
        <v>4510.77</v>
      </c>
      <c r="AE732" s="29" t="n">
        <f aca="false">Raw!O732</f>
        <v>4170.65</v>
      </c>
      <c r="AF732" s="29" t="n">
        <f aca="false">Raw!P732</f>
        <v>1103.8</v>
      </c>
      <c r="AG732" s="29" t="n">
        <f aca="false">AD732/J732</f>
        <v>972.148706896552</v>
      </c>
    </row>
    <row r="733" customFormat="false" ht="15" hidden="false" customHeight="false" outlineLevel="0" collapsed="false">
      <c r="A733" s="0" t="str">
        <f aca="false">Raw!A733</f>
        <v>SHP0732</v>
      </c>
      <c r="B733" s="0" t="str">
        <f aca="false">Raw!B733</f>
        <v>Inbound</v>
      </c>
      <c r="C733" s="0" t="str">
        <f aca="false">Raw!C733</f>
        <v>Uttar Pradesh</v>
      </c>
      <c r="D733" s="0" t="str">
        <f aca="false">Raw!D733</f>
        <v>Surat</v>
      </c>
      <c r="E733" s="0" t="str">
        <f aca="false">IFERROR(INDEX(Location_Map!$B$2:$B$15,MATCH(C733,Location_Map!$A$2:$A$15,0)),"UNMAPPED")</f>
        <v>Uttar Pradesh</v>
      </c>
      <c r="F733" s="0" t="str">
        <f aca="false">IFERROR(INDEX(Location_Map!$C$2:$C$15,MATCH(C733,Location_Map!$A$2:$A$15,0)),"UNMAPPED")</f>
        <v>North</v>
      </c>
      <c r="G733" s="0" t="str">
        <f aca="false">IFERROR(INDEX(Location_Map!$B$2:$B$15,MATCH(D733,Location_Map!$A$2:$A$15,0)),"UNMAPPED")</f>
        <v>Gujarat</v>
      </c>
      <c r="H733" s="0" t="str">
        <f aca="false">IFERROR(INDEX(Location_Map!$C$2:$C$15,MATCH(D733,Location_Map!$A$2:$A$15,0)),"UNMAPPED")</f>
        <v>West</v>
      </c>
      <c r="I733" s="0" t="str">
        <f aca="false">Raw!E733</f>
        <v>Finished Yarn</v>
      </c>
      <c r="J733" s="28" t="n">
        <f aca="false">Raw!F733</f>
        <v>10.37</v>
      </c>
      <c r="K733" s="30" t="n">
        <f aca="false">DATE(LEFT(Raw!G733,4),MID(Raw!G733,6,2),MID(Raw!G733,9,2))</f>
        <v>45670</v>
      </c>
      <c r="L733" s="30" t="n">
        <f aca="false">DATE(LEFT(Raw!H733,4),MID(Raw!H733,6,2),MID(Raw!H733,9,2))</f>
        <v>45674</v>
      </c>
      <c r="M733" s="30" t="n">
        <f aca="false">DATE(LEFT(Raw!I733,4),MID(Raw!I733,6,2),MID(Raw!I733,9,2))</f>
        <v>45676</v>
      </c>
      <c r="N733" s="31" t="n">
        <f aca="false">DATE(LEFT(Raw!J733,4),MID(Raw!J733,6,2),MID(Raw!J733,9,2))+TIME(MID(Raw!J733,12,2),MID(Raw!J733,15,2),MID(Raw!J733,18,2))</f>
        <v>45674.0833333333</v>
      </c>
      <c r="O733" s="31" t="n">
        <f aca="false">DATE(LEFT(Raw!K733,4),MID(Raw!K733,6,2),MID(Raw!K733,9,2))+TIME(MID(Raw!K733,12,2),MID(Raw!K733,15,2),MID(Raw!K733,18,2))</f>
        <v>45679</v>
      </c>
      <c r="P733" s="32" t="n">
        <f aca="false">L733-K733</f>
        <v>4</v>
      </c>
      <c r="Q733" s="32" t="n">
        <f aca="false">M733-L733</f>
        <v>2</v>
      </c>
      <c r="R733" s="32" t="n">
        <f aca="false">O733-N733</f>
        <v>4.91666666666667</v>
      </c>
      <c r="S733" s="32" t="n">
        <f aca="false">Raw!L733</f>
        <v>3</v>
      </c>
      <c r="T733" s="32" t="n">
        <f aca="false">O733-M733</f>
        <v>3</v>
      </c>
      <c r="U733" s="0" t="str">
        <f aca="false">IF(ABS(T733-S733)&lt;0.01,"OK","MISMATCH")</f>
        <v>OK</v>
      </c>
      <c r="V733" s="33" t="n">
        <f aca="false">Raw!M733</f>
        <v>1</v>
      </c>
      <c r="W733" s="0" t="str">
        <f aca="false">IF((S733&gt;0)=(V733=1),"OK","MISMATCH")</f>
        <v>OK</v>
      </c>
      <c r="X733" s="0" t="str">
        <f aca="false">_xlfn.IFS(S733&lt;=0,"Early/On time",S733&lt;=2,"Minor (up to 2 days)",S733&lt;=5,"Moderate (2-5 days)",TRUE(),"Severe (over 5 days)")</f>
        <v>Moderate (2-5 days)</v>
      </c>
      <c r="Y733" s="0" t="str">
        <f aca="false">YEAR(K733)&amp;"-"&amp;TEXT(MONTH(K733),"00")</f>
        <v>2025-01</v>
      </c>
      <c r="Z733" s="0" t="str">
        <f aca="false">C733&amp;" → "&amp;D733</f>
        <v>Uttar Pradesh → Surat</v>
      </c>
      <c r="AA733" s="0" t="str">
        <f aca="false">Raw!Q733</f>
        <v>TCI Express</v>
      </c>
      <c r="AB733" s="0" t="str">
        <f aca="false">Raw!R733</f>
        <v>Yes</v>
      </c>
      <c r="AC733" s="0" t="str">
        <f aca="false">Raw!S733</f>
        <v>Held at warehouse</v>
      </c>
      <c r="AD733" s="29" t="n">
        <f aca="false">Raw!N733</f>
        <v>4493.71</v>
      </c>
      <c r="AE733" s="29" t="n">
        <f aca="false">Raw!O733</f>
        <v>2137.15</v>
      </c>
      <c r="AF733" s="29" t="n">
        <f aca="false">Raw!P733</f>
        <v>1085.78</v>
      </c>
      <c r="AG733" s="29" t="n">
        <f aca="false">AD733/J733</f>
        <v>433.337512054002</v>
      </c>
    </row>
    <row r="734" customFormat="false" ht="15" hidden="false" customHeight="false" outlineLevel="0" collapsed="false">
      <c r="A734" s="0" t="str">
        <f aca="false">Raw!A734</f>
        <v>SHP0733</v>
      </c>
      <c r="B734" s="0" t="str">
        <f aca="false">Raw!B734</f>
        <v>Inbound</v>
      </c>
      <c r="C734" s="0" t="str">
        <f aca="false">Raw!C734</f>
        <v>Punjab</v>
      </c>
      <c r="D734" s="0" t="str">
        <f aca="false">Raw!D734</f>
        <v>Surat</v>
      </c>
      <c r="E734" s="0" t="str">
        <f aca="false">IFERROR(INDEX(Location_Map!$B$2:$B$15,MATCH(C734,Location_Map!$A$2:$A$15,0)),"UNMAPPED")</f>
        <v>Punjab</v>
      </c>
      <c r="F734" s="0" t="str">
        <f aca="false">IFERROR(INDEX(Location_Map!$C$2:$C$15,MATCH(C734,Location_Map!$A$2:$A$15,0)),"UNMAPPED")</f>
        <v>North</v>
      </c>
      <c r="G734" s="0" t="str">
        <f aca="false">IFERROR(INDEX(Location_Map!$B$2:$B$15,MATCH(D734,Location_Map!$A$2:$A$15,0)),"UNMAPPED")</f>
        <v>Gujarat</v>
      </c>
      <c r="H734" s="0" t="str">
        <f aca="false">IFERROR(INDEX(Location_Map!$C$2:$C$15,MATCH(D734,Location_Map!$A$2:$A$15,0)),"UNMAPPED")</f>
        <v>West</v>
      </c>
      <c r="I734" s="0" t="str">
        <f aca="false">Raw!E734</f>
        <v>Raw Yarn</v>
      </c>
      <c r="J734" s="28" t="n">
        <f aca="false">Raw!F734</f>
        <v>12.15</v>
      </c>
      <c r="K734" s="30" t="n">
        <f aca="false">DATE(LEFT(Raw!G734,4),MID(Raw!G734,6,2),MID(Raw!G734,9,2))</f>
        <v>45791</v>
      </c>
      <c r="L734" s="30" t="n">
        <f aca="false">DATE(LEFT(Raw!H734,4),MID(Raw!H734,6,2),MID(Raw!H734,9,2))</f>
        <v>45795</v>
      </c>
      <c r="M734" s="30" t="n">
        <f aca="false">DATE(LEFT(Raw!I734,4),MID(Raw!I734,6,2),MID(Raw!I734,9,2))</f>
        <v>45798</v>
      </c>
      <c r="N734" s="31" t="n">
        <f aca="false">DATE(LEFT(Raw!J734,4),MID(Raw!J734,6,2),MID(Raw!J734,9,2))+TIME(MID(Raw!J734,12,2),MID(Raw!J734,15,2),MID(Raw!J734,18,2))</f>
        <v>45794.9583333333</v>
      </c>
      <c r="O734" s="31" t="n">
        <f aca="false">DATE(LEFT(Raw!K734,4),MID(Raw!K734,6,2),MID(Raw!K734,9,2))+TIME(MID(Raw!K734,12,2),MID(Raw!K734,15,2),MID(Raw!K734,18,2))</f>
        <v>45798.8</v>
      </c>
      <c r="P734" s="32" t="n">
        <f aca="false">L734-K734</f>
        <v>4</v>
      </c>
      <c r="Q734" s="32" t="n">
        <f aca="false">M734-L734</f>
        <v>3</v>
      </c>
      <c r="R734" s="32" t="n">
        <f aca="false">O734-N734</f>
        <v>3.84166666666667</v>
      </c>
      <c r="S734" s="32" t="n">
        <f aca="false">Raw!L734</f>
        <v>0.8</v>
      </c>
      <c r="T734" s="32" t="n">
        <f aca="false">O734-M734</f>
        <v>0.8</v>
      </c>
      <c r="U734" s="0" t="str">
        <f aca="false">IF(ABS(T734-S734)&lt;0.01,"OK","MISMATCH")</f>
        <v>OK</v>
      </c>
      <c r="V734" s="33" t="n">
        <f aca="false">Raw!M734</f>
        <v>1</v>
      </c>
      <c r="W734" s="0" t="str">
        <f aca="false">IF((S734&gt;0)=(V734=1),"OK","MISMATCH")</f>
        <v>OK</v>
      </c>
      <c r="X734" s="0" t="str">
        <f aca="false">_xlfn.IFS(S734&lt;=0,"Early/On time",S734&lt;=2,"Minor (up to 2 days)",S734&lt;=5,"Moderate (2-5 days)",TRUE(),"Severe (over 5 days)")</f>
        <v>Minor (up to 2 days)</v>
      </c>
      <c r="Y734" s="0" t="str">
        <f aca="false">YEAR(K734)&amp;"-"&amp;TEXT(MONTH(K734),"00")</f>
        <v>2025-05</v>
      </c>
      <c r="Z734" s="0" t="str">
        <f aca="false">C734&amp;" → "&amp;D734</f>
        <v>Punjab → Surat</v>
      </c>
      <c r="AA734" s="0" t="str">
        <f aca="false">Raw!Q734</f>
        <v>TCI Express</v>
      </c>
      <c r="AB734" s="0" t="str">
        <f aca="false">Raw!R734</f>
        <v>Yes</v>
      </c>
      <c r="AC734" s="0" t="str">
        <f aca="false">Raw!S734</f>
        <v>Expedited</v>
      </c>
      <c r="AD734" s="29" t="n">
        <f aca="false">Raw!N734</f>
        <v>6097.21</v>
      </c>
      <c r="AE734" s="29" t="n">
        <f aca="false">Raw!O734</f>
        <v>1602.44</v>
      </c>
      <c r="AF734" s="29" t="n">
        <f aca="false">Raw!P734</f>
        <v>1432.65</v>
      </c>
      <c r="AG734" s="29" t="n">
        <f aca="false">AD734/J734</f>
        <v>501.827983539095</v>
      </c>
    </row>
    <row r="735" customFormat="false" ht="15" hidden="false" customHeight="false" outlineLevel="0" collapsed="false">
      <c r="A735" s="0" t="str">
        <f aca="false">Raw!A735</f>
        <v>SHP0734</v>
      </c>
      <c r="B735" s="0" t="str">
        <f aca="false">Raw!B735</f>
        <v>Inbound</v>
      </c>
      <c r="C735" s="0" t="str">
        <f aca="false">Raw!C735</f>
        <v>Uttar Pradesh</v>
      </c>
      <c r="D735" s="0" t="str">
        <f aca="false">Raw!D735</f>
        <v>Surat</v>
      </c>
      <c r="E735" s="0" t="str">
        <f aca="false">IFERROR(INDEX(Location_Map!$B$2:$B$15,MATCH(C735,Location_Map!$A$2:$A$15,0)),"UNMAPPED")</f>
        <v>Uttar Pradesh</v>
      </c>
      <c r="F735" s="0" t="str">
        <f aca="false">IFERROR(INDEX(Location_Map!$C$2:$C$15,MATCH(C735,Location_Map!$A$2:$A$15,0)),"UNMAPPED")</f>
        <v>North</v>
      </c>
      <c r="G735" s="0" t="str">
        <f aca="false">IFERROR(INDEX(Location_Map!$B$2:$B$15,MATCH(D735,Location_Map!$A$2:$A$15,0)),"UNMAPPED")</f>
        <v>Gujarat</v>
      </c>
      <c r="H735" s="0" t="str">
        <f aca="false">IFERROR(INDEX(Location_Map!$C$2:$C$15,MATCH(D735,Location_Map!$A$2:$A$15,0)),"UNMAPPED")</f>
        <v>West</v>
      </c>
      <c r="I735" s="0" t="str">
        <f aca="false">Raw!E735</f>
        <v>Semi-Processed Yarn</v>
      </c>
      <c r="J735" s="28" t="n">
        <f aca="false">Raw!F735</f>
        <v>8.28</v>
      </c>
      <c r="K735" s="30" t="n">
        <f aca="false">DATE(LEFT(Raw!G735,4),MID(Raw!G735,6,2),MID(Raw!G735,9,2))</f>
        <v>45876</v>
      </c>
      <c r="L735" s="30" t="n">
        <f aca="false">DATE(LEFT(Raw!H735,4),MID(Raw!H735,6,2),MID(Raw!H735,9,2))</f>
        <v>45877</v>
      </c>
      <c r="M735" s="30" t="n">
        <f aca="false">DATE(LEFT(Raw!I735,4),MID(Raw!I735,6,2),MID(Raw!I735,9,2))</f>
        <v>45879</v>
      </c>
      <c r="N735" s="31" t="n">
        <f aca="false">DATE(LEFT(Raw!J735,4),MID(Raw!J735,6,2),MID(Raw!J735,9,2))+TIME(MID(Raw!J735,12,2),MID(Raw!J735,15,2),MID(Raw!J735,18,2))</f>
        <v>45876.7916666667</v>
      </c>
      <c r="O735" s="31" t="n">
        <f aca="false">DATE(LEFT(Raw!K735,4),MID(Raw!K735,6,2),MID(Raw!K735,9,2))+TIME(MID(Raw!K735,12,2),MID(Raw!K735,15,2),MID(Raw!K735,18,2))</f>
        <v>45882.9</v>
      </c>
      <c r="P735" s="32" t="n">
        <f aca="false">L735-K735</f>
        <v>1</v>
      </c>
      <c r="Q735" s="32" t="n">
        <f aca="false">M735-L735</f>
        <v>2</v>
      </c>
      <c r="R735" s="32" t="n">
        <f aca="false">O735-N735</f>
        <v>6.10833333333333</v>
      </c>
      <c r="S735" s="32" t="n">
        <f aca="false">Raw!L735</f>
        <v>3.9</v>
      </c>
      <c r="T735" s="32" t="n">
        <f aca="false">O735-M735</f>
        <v>3.9</v>
      </c>
      <c r="U735" s="0" t="str">
        <f aca="false">IF(ABS(T735-S735)&lt;0.01,"OK","MISMATCH")</f>
        <v>OK</v>
      </c>
      <c r="V735" s="33" t="n">
        <f aca="false">Raw!M735</f>
        <v>1</v>
      </c>
      <c r="W735" s="0" t="str">
        <f aca="false">IF((S735&gt;0)=(V735=1),"OK","MISMATCH")</f>
        <v>OK</v>
      </c>
      <c r="X735" s="0" t="str">
        <f aca="false">_xlfn.IFS(S735&lt;=0,"Early/On time",S735&lt;=2,"Minor (up to 2 days)",S735&lt;=5,"Moderate (2-5 days)",TRUE(),"Severe (over 5 days)")</f>
        <v>Moderate (2-5 days)</v>
      </c>
      <c r="Y735" s="0" t="str">
        <f aca="false">YEAR(K735)&amp;"-"&amp;TEXT(MONTH(K735),"00")</f>
        <v>2025-08</v>
      </c>
      <c r="Z735" s="0" t="str">
        <f aca="false">C735&amp;" → "&amp;D735</f>
        <v>Uttar Pradesh → Surat</v>
      </c>
      <c r="AA735" s="0" t="str">
        <f aca="false">Raw!Q735</f>
        <v>VRL Cargo</v>
      </c>
      <c r="AB735" s="0" t="str">
        <f aca="false">Raw!R735</f>
        <v>Yes</v>
      </c>
      <c r="AC735" s="0" t="str">
        <f aca="false">Raw!S735</f>
        <v>Expedited</v>
      </c>
      <c r="AD735" s="29" t="n">
        <f aca="false">Raw!N735</f>
        <v>5469.4</v>
      </c>
      <c r="AE735" s="29" t="n">
        <f aca="false">Raw!O735</f>
        <v>3109.02</v>
      </c>
      <c r="AF735" s="29" t="n">
        <f aca="false">Raw!P735</f>
        <v>1429.87</v>
      </c>
      <c r="AG735" s="29" t="n">
        <f aca="false">AD735/J735</f>
        <v>660.555555555556</v>
      </c>
    </row>
    <row r="736" customFormat="false" ht="15" hidden="false" customHeight="false" outlineLevel="0" collapsed="false">
      <c r="A736" s="0" t="str">
        <f aca="false">Raw!A736</f>
        <v>SHP0735</v>
      </c>
      <c r="B736" s="0" t="str">
        <f aca="false">Raw!B736</f>
        <v>Outbound</v>
      </c>
      <c r="C736" s="0" t="str">
        <f aca="false">Raw!C736</f>
        <v>Surat</v>
      </c>
      <c r="D736" s="0" t="str">
        <f aca="false">Raw!D736</f>
        <v>Mumbai</v>
      </c>
      <c r="E736" s="0" t="str">
        <f aca="false">IFERROR(INDEX(Location_Map!$B$2:$B$15,MATCH(C736,Location_Map!$A$2:$A$15,0)),"UNMAPPED")</f>
        <v>Gujarat</v>
      </c>
      <c r="F736" s="0" t="str">
        <f aca="false">IFERROR(INDEX(Location_Map!$C$2:$C$15,MATCH(C736,Location_Map!$A$2:$A$15,0)),"UNMAPPED")</f>
        <v>West</v>
      </c>
      <c r="G736" s="0" t="str">
        <f aca="false">IFERROR(INDEX(Location_Map!$B$2:$B$15,MATCH(D736,Location_Map!$A$2:$A$15,0)),"UNMAPPED")</f>
        <v>Maharashtra</v>
      </c>
      <c r="H736" s="0" t="str">
        <f aca="false">IFERROR(INDEX(Location_Map!$C$2:$C$15,MATCH(D736,Location_Map!$A$2:$A$15,0)),"UNMAPPED")</f>
        <v>West</v>
      </c>
      <c r="I736" s="0" t="str">
        <f aca="false">Raw!E736</f>
        <v>Finished Yarn</v>
      </c>
      <c r="J736" s="28" t="n">
        <f aca="false">Raw!F736</f>
        <v>10.19</v>
      </c>
      <c r="K736" s="30" t="n">
        <f aca="false">DATE(LEFT(Raw!G736,4),MID(Raw!G736,6,2),MID(Raw!G736,9,2))</f>
        <v>45805</v>
      </c>
      <c r="L736" s="30" t="n">
        <f aca="false">DATE(LEFT(Raw!H736,4),MID(Raw!H736,6,2),MID(Raw!H736,9,2))</f>
        <v>45806</v>
      </c>
      <c r="M736" s="30" t="n">
        <f aca="false">DATE(LEFT(Raw!I736,4),MID(Raw!I736,6,2),MID(Raw!I736,9,2))</f>
        <v>45808</v>
      </c>
      <c r="N736" s="31" t="n">
        <f aca="false">DATE(LEFT(Raw!J736,4),MID(Raw!J736,6,2),MID(Raw!J736,9,2))+TIME(MID(Raw!J736,12,2),MID(Raw!J736,15,2),MID(Raw!J736,18,2))</f>
        <v>45806.1666666667</v>
      </c>
      <c r="O736" s="31" t="n">
        <f aca="false">DATE(LEFT(Raw!K736,4),MID(Raw!K736,6,2),MID(Raw!K736,9,2))+TIME(MID(Raw!K736,12,2),MID(Raw!K736,15,2),MID(Raw!K736,18,2))</f>
        <v>45816.5</v>
      </c>
      <c r="P736" s="32" t="n">
        <f aca="false">L736-K736</f>
        <v>1</v>
      </c>
      <c r="Q736" s="32" t="n">
        <f aca="false">M736-L736</f>
        <v>2</v>
      </c>
      <c r="R736" s="32" t="n">
        <f aca="false">O736-N736</f>
        <v>10.3333333333333</v>
      </c>
      <c r="S736" s="32" t="n">
        <f aca="false">Raw!L736</f>
        <v>8.5</v>
      </c>
      <c r="T736" s="32" t="n">
        <f aca="false">O736-M736</f>
        <v>8.5</v>
      </c>
      <c r="U736" s="0" t="str">
        <f aca="false">IF(ABS(T736-S736)&lt;0.01,"OK","MISMATCH")</f>
        <v>OK</v>
      </c>
      <c r="V736" s="33" t="n">
        <f aca="false">Raw!M736</f>
        <v>1</v>
      </c>
      <c r="W736" s="0" t="str">
        <f aca="false">IF((S736&gt;0)=(V736=1),"OK","MISMATCH")</f>
        <v>OK</v>
      </c>
      <c r="X736" s="0" t="str">
        <f aca="false">_xlfn.IFS(S736&lt;=0,"Early/On time",S736&lt;=2,"Minor (up to 2 days)",S736&lt;=5,"Moderate (2-5 days)",TRUE(),"Severe (over 5 days)")</f>
        <v>Severe (over 5 days)</v>
      </c>
      <c r="Y736" s="0" t="str">
        <f aca="false">YEAR(K736)&amp;"-"&amp;TEXT(MONTH(K736),"00")</f>
        <v>2025-05</v>
      </c>
      <c r="Z736" s="0" t="str">
        <f aca="false">C736&amp;" → "&amp;D736</f>
        <v>Surat → Mumbai</v>
      </c>
      <c r="AA736" s="0" t="str">
        <f aca="false">Raw!Q736</f>
        <v>TCI Express</v>
      </c>
      <c r="AB736" s="0" t="str">
        <f aca="false">Raw!R736</f>
        <v>Yes</v>
      </c>
      <c r="AC736" s="0" t="str">
        <f aca="false">Raw!S736</f>
        <v>Held at warehouse</v>
      </c>
      <c r="AD736" s="29" t="n">
        <f aca="false">Raw!N736</f>
        <v>8502.54</v>
      </c>
      <c r="AE736" s="29" t="n">
        <f aca="false">Raw!O736</f>
        <v>3080.92</v>
      </c>
      <c r="AF736" s="29" t="n">
        <f aca="false">Raw!P736</f>
        <v>1177.09</v>
      </c>
      <c r="AG736" s="29" t="n">
        <f aca="false">AD736/J736</f>
        <v>834.400392541708</v>
      </c>
    </row>
    <row r="737" customFormat="false" ht="15" hidden="false" customHeight="false" outlineLevel="0" collapsed="false">
      <c r="A737" s="0" t="str">
        <f aca="false">Raw!A737</f>
        <v>SHP0736</v>
      </c>
      <c r="B737" s="0" t="str">
        <f aca="false">Raw!B737</f>
        <v>Outbound</v>
      </c>
      <c r="C737" s="0" t="str">
        <f aca="false">Raw!C737</f>
        <v>Surat</v>
      </c>
      <c r="D737" s="0" t="str">
        <f aca="false">Raw!D737</f>
        <v>Kerala</v>
      </c>
      <c r="E737" s="0" t="str">
        <f aca="false">IFERROR(INDEX(Location_Map!$B$2:$B$15,MATCH(C737,Location_Map!$A$2:$A$15,0)),"UNMAPPED")</f>
        <v>Gujarat</v>
      </c>
      <c r="F737" s="0" t="str">
        <f aca="false">IFERROR(INDEX(Location_Map!$C$2:$C$15,MATCH(C737,Location_Map!$A$2:$A$15,0)),"UNMAPPED")</f>
        <v>West</v>
      </c>
      <c r="G737" s="0" t="str">
        <f aca="false">IFERROR(INDEX(Location_Map!$B$2:$B$15,MATCH(D737,Location_Map!$A$2:$A$15,0)),"UNMAPPED")</f>
        <v>Kerala</v>
      </c>
      <c r="H737" s="0" t="str">
        <f aca="false">IFERROR(INDEX(Location_Map!$C$2:$C$15,MATCH(D737,Location_Map!$A$2:$A$15,0)),"UNMAPPED")</f>
        <v>South</v>
      </c>
      <c r="I737" s="0" t="str">
        <f aca="false">Raw!E737</f>
        <v>Raw Yarn</v>
      </c>
      <c r="J737" s="28" t="n">
        <f aca="false">Raw!F737</f>
        <v>15.79</v>
      </c>
      <c r="K737" s="30" t="n">
        <f aca="false">DATE(LEFT(Raw!G737,4),MID(Raw!G737,6,2),MID(Raw!G737,9,2))</f>
        <v>45697</v>
      </c>
      <c r="L737" s="30" t="n">
        <f aca="false">DATE(LEFT(Raw!H737,4),MID(Raw!H737,6,2),MID(Raw!H737,9,2))</f>
        <v>45700</v>
      </c>
      <c r="M737" s="30" t="n">
        <f aca="false">DATE(LEFT(Raw!I737,4),MID(Raw!I737,6,2),MID(Raw!I737,9,2))</f>
        <v>45704</v>
      </c>
      <c r="N737" s="31" t="n">
        <f aca="false">DATE(LEFT(Raw!J737,4),MID(Raw!J737,6,2),MID(Raw!J737,9,2))+TIME(MID(Raw!J737,12,2),MID(Raw!J737,15,2),MID(Raw!J737,18,2))</f>
        <v>45700.0833333333</v>
      </c>
      <c r="O737" s="31" t="n">
        <f aca="false">DATE(LEFT(Raw!K737,4),MID(Raw!K737,6,2),MID(Raw!K737,9,2))+TIME(MID(Raw!K737,12,2),MID(Raw!K737,15,2),MID(Raw!K737,18,2))</f>
        <v>45703</v>
      </c>
      <c r="P737" s="32" t="n">
        <f aca="false">L737-K737</f>
        <v>3</v>
      </c>
      <c r="Q737" s="32" t="n">
        <f aca="false">M737-L737</f>
        <v>4</v>
      </c>
      <c r="R737" s="32" t="n">
        <f aca="false">O737-N737</f>
        <v>2.91666666666667</v>
      </c>
      <c r="S737" s="32" t="n">
        <f aca="false">Raw!L737</f>
        <v>-1</v>
      </c>
      <c r="T737" s="32" t="n">
        <f aca="false">O737-M737</f>
        <v>-1</v>
      </c>
      <c r="U737" s="0" t="str">
        <f aca="false">IF(ABS(T737-S737)&lt;0.01,"OK","MISMATCH")</f>
        <v>OK</v>
      </c>
      <c r="V737" s="33" t="n">
        <f aca="false">Raw!M737</f>
        <v>0</v>
      </c>
      <c r="W737" s="0" t="str">
        <f aca="false">IF((S737&gt;0)=(V737=1),"OK","MISMATCH")</f>
        <v>OK</v>
      </c>
      <c r="X737" s="0" t="str">
        <f aca="false">_xlfn.IFS(S737&lt;=0,"Early/On time",S737&lt;=2,"Minor (up to 2 days)",S737&lt;=5,"Moderate (2-5 days)",TRUE(),"Severe (over 5 days)")</f>
        <v>Early/On time</v>
      </c>
      <c r="Y737" s="0" t="str">
        <f aca="false">YEAR(K737)&amp;"-"&amp;TEXT(MONTH(K737),"00")</f>
        <v>2025-02</v>
      </c>
      <c r="Z737" s="0" t="str">
        <f aca="false">C737&amp;" → "&amp;D737</f>
        <v>Surat → Kerala</v>
      </c>
      <c r="AA737" s="0" t="str">
        <f aca="false">Raw!Q737</f>
        <v>VRL Cargo</v>
      </c>
      <c r="AB737" s="0" t="str">
        <f aca="false">Raw!R737</f>
        <v>No</v>
      </c>
      <c r="AC737" s="0" t="str">
        <f aca="false">Raw!S737</f>
        <v>Held at warehouse</v>
      </c>
      <c r="AD737" s="29" t="n">
        <f aca="false">Raw!N737</f>
        <v>5918.13</v>
      </c>
      <c r="AE737" s="29" t="n">
        <f aca="false">Raw!O737</f>
        <v>1731.69</v>
      </c>
      <c r="AF737" s="29" t="n">
        <f aca="false">Raw!P737</f>
        <v>865.05</v>
      </c>
      <c r="AG737" s="29" t="n">
        <f aca="false">AD737/J737</f>
        <v>374.802406586447</v>
      </c>
    </row>
    <row r="738" customFormat="false" ht="15" hidden="false" customHeight="false" outlineLevel="0" collapsed="false">
      <c r="A738" s="0" t="str">
        <f aca="false">Raw!A738</f>
        <v>SHP0737</v>
      </c>
      <c r="B738" s="0" t="str">
        <f aca="false">Raw!B738</f>
        <v>Inbound</v>
      </c>
      <c r="C738" s="0" t="str">
        <f aca="false">Raw!C738</f>
        <v>Chennai</v>
      </c>
      <c r="D738" s="0" t="str">
        <f aca="false">Raw!D738</f>
        <v>Surat</v>
      </c>
      <c r="E738" s="0" t="str">
        <f aca="false">IFERROR(INDEX(Location_Map!$B$2:$B$15,MATCH(C738,Location_Map!$A$2:$A$15,0)),"UNMAPPED")</f>
        <v>Tamil Nadu</v>
      </c>
      <c r="F738" s="0" t="str">
        <f aca="false">IFERROR(INDEX(Location_Map!$C$2:$C$15,MATCH(C738,Location_Map!$A$2:$A$15,0)),"UNMAPPED")</f>
        <v>South</v>
      </c>
      <c r="G738" s="0" t="str">
        <f aca="false">IFERROR(INDEX(Location_Map!$B$2:$B$15,MATCH(D738,Location_Map!$A$2:$A$15,0)),"UNMAPPED")</f>
        <v>Gujarat</v>
      </c>
      <c r="H738" s="0" t="str">
        <f aca="false">IFERROR(INDEX(Location_Map!$C$2:$C$15,MATCH(D738,Location_Map!$A$2:$A$15,0)),"UNMAPPED")</f>
        <v>West</v>
      </c>
      <c r="I738" s="0" t="str">
        <f aca="false">Raw!E738</f>
        <v>Raw Yarn</v>
      </c>
      <c r="J738" s="28" t="n">
        <f aca="false">Raw!F738</f>
        <v>9.22</v>
      </c>
      <c r="K738" s="30" t="n">
        <f aca="false">DATE(LEFT(Raw!G738,4),MID(Raw!G738,6,2),MID(Raw!G738,9,2))</f>
        <v>45844</v>
      </c>
      <c r="L738" s="30" t="n">
        <f aca="false">DATE(LEFT(Raw!H738,4),MID(Raw!H738,6,2),MID(Raw!H738,9,2))</f>
        <v>45845</v>
      </c>
      <c r="M738" s="30" t="n">
        <f aca="false">DATE(LEFT(Raw!I738,4),MID(Raw!I738,6,2),MID(Raw!I738,9,2))</f>
        <v>45848</v>
      </c>
      <c r="N738" s="31" t="n">
        <f aca="false">DATE(LEFT(Raw!J738,4),MID(Raw!J738,6,2),MID(Raw!J738,9,2))+TIME(MID(Raw!J738,12,2),MID(Raw!J738,15,2),MID(Raw!J738,18,2))</f>
        <v>45844.9166666667</v>
      </c>
      <c r="O738" s="31" t="n">
        <f aca="false">DATE(LEFT(Raw!K738,4),MID(Raw!K738,6,2),MID(Raw!K738,9,2))+TIME(MID(Raw!K738,12,2),MID(Raw!K738,15,2),MID(Raw!K738,18,2))</f>
        <v>45849.5</v>
      </c>
      <c r="P738" s="32" t="n">
        <f aca="false">L738-K738</f>
        <v>1</v>
      </c>
      <c r="Q738" s="32" t="n">
        <f aca="false">M738-L738</f>
        <v>3</v>
      </c>
      <c r="R738" s="32" t="n">
        <f aca="false">O738-N738</f>
        <v>4.58333333333333</v>
      </c>
      <c r="S738" s="32" t="n">
        <f aca="false">Raw!L738</f>
        <v>1.5</v>
      </c>
      <c r="T738" s="32" t="n">
        <f aca="false">O738-M738</f>
        <v>1.5</v>
      </c>
      <c r="U738" s="0" t="str">
        <f aca="false">IF(ABS(T738-S738)&lt;0.01,"OK","MISMATCH")</f>
        <v>OK</v>
      </c>
      <c r="V738" s="33" t="n">
        <f aca="false">Raw!M738</f>
        <v>1</v>
      </c>
      <c r="W738" s="0" t="str">
        <f aca="false">IF((S738&gt;0)=(V738=1),"OK","MISMATCH")</f>
        <v>OK</v>
      </c>
      <c r="X738" s="0" t="str">
        <f aca="false">_xlfn.IFS(S738&lt;=0,"Early/On time",S738&lt;=2,"Minor (up to 2 days)",S738&lt;=5,"Moderate (2-5 days)",TRUE(),"Severe (over 5 days)")</f>
        <v>Minor (up to 2 days)</v>
      </c>
      <c r="Y738" s="0" t="str">
        <f aca="false">YEAR(K738)&amp;"-"&amp;TEXT(MONTH(K738),"00")</f>
        <v>2025-07</v>
      </c>
      <c r="Z738" s="0" t="str">
        <f aca="false">C738&amp;" → "&amp;D738</f>
        <v>Chennai → Surat</v>
      </c>
      <c r="AA738" s="0" t="str">
        <f aca="false">Raw!Q738</f>
        <v>BlueDart</v>
      </c>
      <c r="AB738" s="0" t="str">
        <f aca="false">Raw!R738</f>
        <v>Yes</v>
      </c>
      <c r="AC738" s="0" t="str">
        <f aca="false">Raw!S738</f>
        <v>Expedited</v>
      </c>
      <c r="AD738" s="29" t="n">
        <f aca="false">Raw!N738</f>
        <v>4602.45</v>
      </c>
      <c r="AE738" s="29" t="n">
        <f aca="false">Raw!O738</f>
        <v>3592.41</v>
      </c>
      <c r="AF738" s="29" t="n">
        <f aca="false">Raw!P738</f>
        <v>518.36</v>
      </c>
      <c r="AG738" s="29" t="n">
        <f aca="false">AD738/J738</f>
        <v>499.181127982646</v>
      </c>
    </row>
    <row r="739" customFormat="false" ht="15" hidden="false" customHeight="false" outlineLevel="0" collapsed="false">
      <c r="A739" s="0" t="str">
        <f aca="false">Raw!A739</f>
        <v>SHP0738</v>
      </c>
      <c r="B739" s="0" t="str">
        <f aca="false">Raw!B739</f>
        <v>Inbound</v>
      </c>
      <c r="C739" s="0" t="str">
        <f aca="false">Raw!C739</f>
        <v>Rajasthan</v>
      </c>
      <c r="D739" s="0" t="str">
        <f aca="false">Raw!D739</f>
        <v>Surat</v>
      </c>
      <c r="E739" s="0" t="str">
        <f aca="false">IFERROR(INDEX(Location_Map!$B$2:$B$15,MATCH(C739,Location_Map!$A$2:$A$15,0)),"UNMAPPED")</f>
        <v>Rajasthan</v>
      </c>
      <c r="F739" s="0" t="str">
        <f aca="false">IFERROR(INDEX(Location_Map!$C$2:$C$15,MATCH(C739,Location_Map!$A$2:$A$15,0)),"UNMAPPED")</f>
        <v>North</v>
      </c>
      <c r="G739" s="0" t="str">
        <f aca="false">IFERROR(INDEX(Location_Map!$B$2:$B$15,MATCH(D739,Location_Map!$A$2:$A$15,0)),"UNMAPPED")</f>
        <v>Gujarat</v>
      </c>
      <c r="H739" s="0" t="str">
        <f aca="false">IFERROR(INDEX(Location_Map!$C$2:$C$15,MATCH(D739,Location_Map!$A$2:$A$15,0)),"UNMAPPED")</f>
        <v>West</v>
      </c>
      <c r="I739" s="0" t="str">
        <f aca="false">Raw!E739</f>
        <v>Semi-Processed Yarn</v>
      </c>
      <c r="J739" s="28" t="n">
        <f aca="false">Raw!F739</f>
        <v>13.43</v>
      </c>
      <c r="K739" s="30" t="n">
        <f aca="false">DATE(LEFT(Raw!G739,4),MID(Raw!G739,6,2),MID(Raw!G739,9,2))</f>
        <v>45843</v>
      </c>
      <c r="L739" s="30" t="n">
        <f aca="false">DATE(LEFT(Raw!H739,4),MID(Raw!H739,6,2),MID(Raw!H739,9,2))</f>
        <v>45845</v>
      </c>
      <c r="M739" s="30" t="n">
        <f aca="false">DATE(LEFT(Raw!I739,4),MID(Raw!I739,6,2),MID(Raw!I739,9,2))</f>
        <v>45847</v>
      </c>
      <c r="N739" s="31" t="n">
        <f aca="false">DATE(LEFT(Raw!J739,4),MID(Raw!J739,6,2),MID(Raw!J739,9,2))+TIME(MID(Raw!J739,12,2),MID(Raw!J739,15,2),MID(Raw!J739,18,2))</f>
        <v>45845.2083333333</v>
      </c>
      <c r="O739" s="31" t="n">
        <f aca="false">DATE(LEFT(Raw!K739,4),MID(Raw!K739,6,2),MID(Raw!K739,9,2))+TIME(MID(Raw!K739,12,2),MID(Raw!K739,15,2),MID(Raw!K739,18,2))</f>
        <v>45849.1</v>
      </c>
      <c r="P739" s="32" t="n">
        <f aca="false">L739-K739</f>
        <v>2</v>
      </c>
      <c r="Q739" s="32" t="n">
        <f aca="false">M739-L739</f>
        <v>2</v>
      </c>
      <c r="R739" s="32" t="n">
        <f aca="false">O739-N739</f>
        <v>3.89166666666667</v>
      </c>
      <c r="S739" s="32" t="n">
        <f aca="false">Raw!L739</f>
        <v>2.1</v>
      </c>
      <c r="T739" s="32" t="n">
        <f aca="false">O739-M739</f>
        <v>2.1</v>
      </c>
      <c r="U739" s="0" t="str">
        <f aca="false">IF(ABS(T739-S739)&lt;0.01,"OK","MISMATCH")</f>
        <v>OK</v>
      </c>
      <c r="V739" s="33" t="n">
        <f aca="false">Raw!M739</f>
        <v>1</v>
      </c>
      <c r="W739" s="0" t="str">
        <f aca="false">IF((S739&gt;0)=(V739=1),"OK","MISMATCH")</f>
        <v>OK</v>
      </c>
      <c r="X739" s="0" t="str">
        <f aca="false">_xlfn.IFS(S739&lt;=0,"Early/On time",S739&lt;=2,"Minor (up to 2 days)",S739&lt;=5,"Moderate (2-5 days)",TRUE(),"Severe (over 5 days)")</f>
        <v>Moderate (2-5 days)</v>
      </c>
      <c r="Y739" s="0" t="str">
        <f aca="false">YEAR(K739)&amp;"-"&amp;TEXT(MONTH(K739),"00")</f>
        <v>2025-07</v>
      </c>
      <c r="Z739" s="0" t="str">
        <f aca="false">C739&amp;" → "&amp;D739</f>
        <v>Rajasthan → Surat</v>
      </c>
      <c r="AA739" s="0" t="str">
        <f aca="false">Raw!Q739</f>
        <v>Delhivery</v>
      </c>
      <c r="AB739" s="0" t="str">
        <f aca="false">Raw!R739</f>
        <v>No</v>
      </c>
      <c r="AC739" s="0" t="str">
        <f aca="false">Raw!S739</f>
        <v>Returned</v>
      </c>
      <c r="AD739" s="29" t="n">
        <f aca="false">Raw!N739</f>
        <v>5860.78</v>
      </c>
      <c r="AE739" s="29" t="n">
        <f aca="false">Raw!O739</f>
        <v>3757.12</v>
      </c>
      <c r="AF739" s="29" t="n">
        <f aca="false">Raw!P739</f>
        <v>627.1</v>
      </c>
      <c r="AG739" s="29" t="n">
        <f aca="false">AD739/J739</f>
        <v>436.394638868206</v>
      </c>
    </row>
    <row r="740" customFormat="false" ht="15" hidden="false" customHeight="false" outlineLevel="0" collapsed="false">
      <c r="A740" s="0" t="str">
        <f aca="false">Raw!A740</f>
        <v>SHP0739</v>
      </c>
      <c r="B740" s="0" t="str">
        <f aca="false">Raw!B740</f>
        <v>Inbound</v>
      </c>
      <c r="C740" s="0" t="str">
        <f aca="false">Raw!C740</f>
        <v>Uttar Pradesh</v>
      </c>
      <c r="D740" s="0" t="str">
        <f aca="false">Raw!D740</f>
        <v>Surat</v>
      </c>
      <c r="E740" s="0" t="str">
        <f aca="false">IFERROR(INDEX(Location_Map!$B$2:$B$15,MATCH(C740,Location_Map!$A$2:$A$15,0)),"UNMAPPED")</f>
        <v>Uttar Pradesh</v>
      </c>
      <c r="F740" s="0" t="str">
        <f aca="false">IFERROR(INDEX(Location_Map!$C$2:$C$15,MATCH(C740,Location_Map!$A$2:$A$15,0)),"UNMAPPED")</f>
        <v>North</v>
      </c>
      <c r="G740" s="0" t="str">
        <f aca="false">IFERROR(INDEX(Location_Map!$B$2:$B$15,MATCH(D740,Location_Map!$A$2:$A$15,0)),"UNMAPPED")</f>
        <v>Gujarat</v>
      </c>
      <c r="H740" s="0" t="str">
        <f aca="false">IFERROR(INDEX(Location_Map!$C$2:$C$15,MATCH(D740,Location_Map!$A$2:$A$15,0)),"UNMAPPED")</f>
        <v>West</v>
      </c>
      <c r="I740" s="0" t="str">
        <f aca="false">Raw!E740</f>
        <v>Semi-Processed Yarn</v>
      </c>
      <c r="J740" s="28" t="n">
        <f aca="false">Raw!F740</f>
        <v>7.78</v>
      </c>
      <c r="K740" s="30" t="n">
        <f aca="false">DATE(LEFT(Raw!G740,4),MID(Raw!G740,6,2),MID(Raw!G740,9,2))</f>
        <v>45835</v>
      </c>
      <c r="L740" s="30" t="n">
        <f aca="false">DATE(LEFT(Raw!H740,4),MID(Raw!H740,6,2),MID(Raw!H740,9,2))</f>
        <v>45839</v>
      </c>
      <c r="M740" s="30" t="n">
        <f aca="false">DATE(LEFT(Raw!I740,4),MID(Raw!I740,6,2),MID(Raw!I740,9,2))</f>
        <v>45842</v>
      </c>
      <c r="N740" s="31" t="n">
        <f aca="false">DATE(LEFT(Raw!J740,4),MID(Raw!J740,6,2),MID(Raw!J740,9,2))+TIME(MID(Raw!J740,12,2),MID(Raw!J740,15,2),MID(Raw!J740,18,2))</f>
        <v>45839</v>
      </c>
      <c r="O740" s="31" t="n">
        <f aca="false">DATE(LEFT(Raw!K740,4),MID(Raw!K740,6,2),MID(Raw!K740,9,2))+TIME(MID(Raw!K740,12,2),MID(Raw!K740,15,2),MID(Raw!K740,18,2))</f>
        <v>45841</v>
      </c>
      <c r="P740" s="32" t="n">
        <f aca="false">L740-K740</f>
        <v>4</v>
      </c>
      <c r="Q740" s="32" t="n">
        <f aca="false">M740-L740</f>
        <v>3</v>
      </c>
      <c r="R740" s="32" t="n">
        <f aca="false">O740-N740</f>
        <v>2</v>
      </c>
      <c r="S740" s="32" t="n">
        <f aca="false">Raw!L740</f>
        <v>-1</v>
      </c>
      <c r="T740" s="32" t="n">
        <f aca="false">O740-M740</f>
        <v>-1</v>
      </c>
      <c r="U740" s="0" t="str">
        <f aca="false">IF(ABS(T740-S740)&lt;0.01,"OK","MISMATCH")</f>
        <v>OK</v>
      </c>
      <c r="V740" s="33" t="n">
        <f aca="false">Raw!M740</f>
        <v>0</v>
      </c>
      <c r="W740" s="0" t="str">
        <f aca="false">IF((S740&gt;0)=(V740=1),"OK","MISMATCH")</f>
        <v>OK</v>
      </c>
      <c r="X740" s="0" t="str">
        <f aca="false">_xlfn.IFS(S740&lt;=0,"Early/On time",S740&lt;=2,"Minor (up to 2 days)",S740&lt;=5,"Moderate (2-5 days)",TRUE(),"Severe (over 5 days)")</f>
        <v>Early/On time</v>
      </c>
      <c r="Y740" s="0" t="str">
        <f aca="false">YEAR(K740)&amp;"-"&amp;TEXT(MONTH(K740),"00")</f>
        <v>2025-06</v>
      </c>
      <c r="Z740" s="0" t="str">
        <f aca="false">C740&amp;" → "&amp;D740</f>
        <v>Uttar Pradesh → Surat</v>
      </c>
      <c r="AA740" s="0" t="str">
        <f aca="false">Raw!Q740</f>
        <v>BlueDart</v>
      </c>
      <c r="AB740" s="0" t="str">
        <f aca="false">Raw!R740</f>
        <v>No</v>
      </c>
      <c r="AC740" s="0" t="str">
        <f aca="false">Raw!S740</f>
        <v>Expedited</v>
      </c>
      <c r="AD740" s="29" t="n">
        <f aca="false">Raw!N740</f>
        <v>2425.27</v>
      </c>
      <c r="AE740" s="29" t="n">
        <f aca="false">Raw!O740</f>
        <v>4836.1</v>
      </c>
      <c r="AF740" s="29" t="n">
        <f aca="false">Raw!P740</f>
        <v>1113.4</v>
      </c>
      <c r="AG740" s="29" t="n">
        <f aca="false">AD740/J740</f>
        <v>311.731362467866</v>
      </c>
    </row>
    <row r="741" customFormat="false" ht="15" hidden="false" customHeight="false" outlineLevel="0" collapsed="false">
      <c r="A741" s="0" t="str">
        <f aca="false">Raw!A741</f>
        <v>SHP0740</v>
      </c>
      <c r="B741" s="0" t="str">
        <f aca="false">Raw!B741</f>
        <v>Inbound</v>
      </c>
      <c r="C741" s="0" t="str">
        <f aca="false">Raw!C741</f>
        <v>Chennai</v>
      </c>
      <c r="D741" s="0" t="str">
        <f aca="false">Raw!D741</f>
        <v>Surat</v>
      </c>
      <c r="E741" s="0" t="str">
        <f aca="false">IFERROR(INDEX(Location_Map!$B$2:$B$15,MATCH(C741,Location_Map!$A$2:$A$15,0)),"UNMAPPED")</f>
        <v>Tamil Nadu</v>
      </c>
      <c r="F741" s="0" t="str">
        <f aca="false">IFERROR(INDEX(Location_Map!$C$2:$C$15,MATCH(C741,Location_Map!$A$2:$A$15,0)),"UNMAPPED")</f>
        <v>South</v>
      </c>
      <c r="G741" s="0" t="str">
        <f aca="false">IFERROR(INDEX(Location_Map!$B$2:$B$15,MATCH(D741,Location_Map!$A$2:$A$15,0)),"UNMAPPED")</f>
        <v>Gujarat</v>
      </c>
      <c r="H741" s="0" t="str">
        <f aca="false">IFERROR(INDEX(Location_Map!$C$2:$C$15,MATCH(D741,Location_Map!$A$2:$A$15,0)),"UNMAPPED")</f>
        <v>West</v>
      </c>
      <c r="I741" s="0" t="str">
        <f aca="false">Raw!E741</f>
        <v>Raw Yarn</v>
      </c>
      <c r="J741" s="28" t="n">
        <f aca="false">Raw!F741</f>
        <v>5.97</v>
      </c>
      <c r="K741" s="30" t="n">
        <f aca="false">DATE(LEFT(Raw!G741,4),MID(Raw!G741,6,2),MID(Raw!G741,9,2))</f>
        <v>45678</v>
      </c>
      <c r="L741" s="30" t="n">
        <f aca="false">DATE(LEFT(Raw!H741,4),MID(Raw!H741,6,2),MID(Raw!H741,9,2))</f>
        <v>45679</v>
      </c>
      <c r="M741" s="30" t="n">
        <f aca="false">DATE(LEFT(Raw!I741,4),MID(Raw!I741,6,2),MID(Raw!I741,9,2))</f>
        <v>45682</v>
      </c>
      <c r="N741" s="31" t="n">
        <f aca="false">DATE(LEFT(Raw!J741,4),MID(Raw!J741,6,2),MID(Raw!J741,9,2))+TIME(MID(Raw!J741,12,2),MID(Raw!J741,15,2),MID(Raw!J741,18,2))</f>
        <v>45679.1666666667</v>
      </c>
      <c r="O741" s="31" t="n">
        <f aca="false">DATE(LEFT(Raw!K741,4),MID(Raw!K741,6,2),MID(Raw!K741,9,2))+TIME(MID(Raw!K741,12,2),MID(Raw!K741,15,2),MID(Raw!K741,18,2))</f>
        <v>45686.6</v>
      </c>
      <c r="P741" s="32" t="n">
        <f aca="false">L741-K741</f>
        <v>1</v>
      </c>
      <c r="Q741" s="32" t="n">
        <f aca="false">M741-L741</f>
        <v>3</v>
      </c>
      <c r="R741" s="32" t="n">
        <f aca="false">O741-N741</f>
        <v>7.43333333333333</v>
      </c>
      <c r="S741" s="32" t="n">
        <f aca="false">Raw!L741</f>
        <v>4.6</v>
      </c>
      <c r="T741" s="32" t="n">
        <f aca="false">O741-M741</f>
        <v>4.6</v>
      </c>
      <c r="U741" s="0" t="str">
        <f aca="false">IF(ABS(T741-S741)&lt;0.01,"OK","MISMATCH")</f>
        <v>OK</v>
      </c>
      <c r="V741" s="33" t="n">
        <f aca="false">Raw!M741</f>
        <v>1</v>
      </c>
      <c r="W741" s="0" t="str">
        <f aca="false">IF((S741&gt;0)=(V741=1),"OK","MISMATCH")</f>
        <v>OK</v>
      </c>
      <c r="X741" s="0" t="str">
        <f aca="false">_xlfn.IFS(S741&lt;=0,"Early/On time",S741&lt;=2,"Minor (up to 2 days)",S741&lt;=5,"Moderate (2-5 days)",TRUE(),"Severe (over 5 days)")</f>
        <v>Moderate (2-5 days)</v>
      </c>
      <c r="Y741" s="0" t="str">
        <f aca="false">YEAR(K741)&amp;"-"&amp;TEXT(MONTH(K741),"00")</f>
        <v>2025-01</v>
      </c>
      <c r="Z741" s="0" t="str">
        <f aca="false">C741&amp;" → "&amp;D741</f>
        <v>Chennai → Surat</v>
      </c>
      <c r="AA741" s="0" t="str">
        <f aca="false">Raw!Q741</f>
        <v>TCI Express</v>
      </c>
      <c r="AB741" s="0" t="str">
        <f aca="false">Raw!R741</f>
        <v>No</v>
      </c>
      <c r="AC741" s="0" t="str">
        <f aca="false">Raw!S741</f>
        <v>Held at warehouse</v>
      </c>
      <c r="AD741" s="29" t="n">
        <f aca="false">Raw!N741</f>
        <v>4116.59</v>
      </c>
      <c r="AE741" s="29" t="n">
        <f aca="false">Raw!O741</f>
        <v>3881.33</v>
      </c>
      <c r="AF741" s="29" t="n">
        <f aca="false">Raw!P741</f>
        <v>1418.29</v>
      </c>
      <c r="AG741" s="29" t="n">
        <f aca="false">AD741/J741</f>
        <v>689.546063651591</v>
      </c>
    </row>
    <row r="742" customFormat="false" ht="15" hidden="false" customHeight="false" outlineLevel="0" collapsed="false">
      <c r="A742" s="0" t="str">
        <f aca="false">Raw!A742</f>
        <v>SHP0741</v>
      </c>
      <c r="B742" s="0" t="str">
        <f aca="false">Raw!B742</f>
        <v>Inbound</v>
      </c>
      <c r="C742" s="0" t="str">
        <f aca="false">Raw!C742</f>
        <v>Punjab</v>
      </c>
      <c r="D742" s="0" t="str">
        <f aca="false">Raw!D742</f>
        <v>Surat</v>
      </c>
      <c r="E742" s="0" t="str">
        <f aca="false">IFERROR(INDEX(Location_Map!$B$2:$B$15,MATCH(C742,Location_Map!$A$2:$A$15,0)),"UNMAPPED")</f>
        <v>Punjab</v>
      </c>
      <c r="F742" s="0" t="str">
        <f aca="false">IFERROR(INDEX(Location_Map!$C$2:$C$15,MATCH(C742,Location_Map!$A$2:$A$15,0)),"UNMAPPED")</f>
        <v>North</v>
      </c>
      <c r="G742" s="0" t="str">
        <f aca="false">IFERROR(INDEX(Location_Map!$B$2:$B$15,MATCH(D742,Location_Map!$A$2:$A$15,0)),"UNMAPPED")</f>
        <v>Gujarat</v>
      </c>
      <c r="H742" s="0" t="str">
        <f aca="false">IFERROR(INDEX(Location_Map!$C$2:$C$15,MATCH(D742,Location_Map!$A$2:$A$15,0)),"UNMAPPED")</f>
        <v>West</v>
      </c>
      <c r="I742" s="0" t="str">
        <f aca="false">Raw!E742</f>
        <v>Semi-Processed Yarn</v>
      </c>
      <c r="J742" s="28" t="n">
        <f aca="false">Raw!F742</f>
        <v>8.75</v>
      </c>
      <c r="K742" s="30" t="n">
        <f aca="false">DATE(LEFT(Raw!G742,4),MID(Raw!G742,6,2),MID(Raw!G742,9,2))</f>
        <v>45715</v>
      </c>
      <c r="L742" s="30" t="n">
        <f aca="false">DATE(LEFT(Raw!H742,4),MID(Raw!H742,6,2),MID(Raw!H742,9,2))</f>
        <v>45718</v>
      </c>
      <c r="M742" s="30" t="n">
        <f aca="false">DATE(LEFT(Raw!I742,4),MID(Raw!I742,6,2),MID(Raw!I742,9,2))</f>
        <v>45723</v>
      </c>
      <c r="N742" s="31" t="n">
        <f aca="false">DATE(LEFT(Raw!J742,4),MID(Raw!J742,6,2),MID(Raw!J742,9,2))+TIME(MID(Raw!J742,12,2),MID(Raw!J742,15,2),MID(Raw!J742,18,2))</f>
        <v>45718.375</v>
      </c>
      <c r="O742" s="31" t="n">
        <f aca="false">DATE(LEFT(Raw!K742,4),MID(Raw!K742,6,2),MID(Raw!K742,9,2))+TIME(MID(Raw!K742,12,2),MID(Raw!K742,15,2),MID(Raw!K742,18,2))</f>
        <v>45727</v>
      </c>
      <c r="P742" s="32" t="n">
        <f aca="false">L742-K742</f>
        <v>3</v>
      </c>
      <c r="Q742" s="32" t="n">
        <f aca="false">M742-L742</f>
        <v>5</v>
      </c>
      <c r="R742" s="32" t="n">
        <f aca="false">O742-N742</f>
        <v>8.625</v>
      </c>
      <c r="S742" s="32" t="n">
        <f aca="false">Raw!L742</f>
        <v>4</v>
      </c>
      <c r="T742" s="32" t="n">
        <f aca="false">O742-M742</f>
        <v>4</v>
      </c>
      <c r="U742" s="0" t="str">
        <f aca="false">IF(ABS(T742-S742)&lt;0.01,"OK","MISMATCH")</f>
        <v>OK</v>
      </c>
      <c r="V742" s="33" t="n">
        <f aca="false">Raw!M742</f>
        <v>1</v>
      </c>
      <c r="W742" s="0" t="str">
        <f aca="false">IF((S742&gt;0)=(V742=1),"OK","MISMATCH")</f>
        <v>OK</v>
      </c>
      <c r="X742" s="0" t="str">
        <f aca="false">_xlfn.IFS(S742&lt;=0,"Early/On time",S742&lt;=2,"Minor (up to 2 days)",S742&lt;=5,"Moderate (2-5 days)",TRUE(),"Severe (over 5 days)")</f>
        <v>Moderate (2-5 days)</v>
      </c>
      <c r="Y742" s="0" t="str">
        <f aca="false">YEAR(K742)&amp;"-"&amp;TEXT(MONTH(K742),"00")</f>
        <v>2025-02</v>
      </c>
      <c r="Z742" s="0" t="str">
        <f aca="false">C742&amp;" → "&amp;D742</f>
        <v>Punjab → Surat</v>
      </c>
      <c r="AA742" s="0" t="str">
        <f aca="false">Raw!Q742</f>
        <v>TCI Express</v>
      </c>
      <c r="AB742" s="0" t="str">
        <f aca="false">Raw!R742</f>
        <v>No</v>
      </c>
      <c r="AC742" s="0" t="str">
        <f aca="false">Raw!S742</f>
        <v>Held at warehouse</v>
      </c>
      <c r="AD742" s="29" t="n">
        <f aca="false">Raw!N742</f>
        <v>5468.43</v>
      </c>
      <c r="AE742" s="29" t="n">
        <f aca="false">Raw!O742</f>
        <v>4137.12</v>
      </c>
      <c r="AF742" s="29" t="n">
        <f aca="false">Raw!P742</f>
        <v>1083.93</v>
      </c>
      <c r="AG742" s="29" t="n">
        <f aca="false">AD742/J742</f>
        <v>624.963428571429</v>
      </c>
    </row>
    <row r="743" customFormat="false" ht="15" hidden="false" customHeight="false" outlineLevel="0" collapsed="false">
      <c r="A743" s="0" t="str">
        <f aca="false">Raw!A743</f>
        <v>SHP0742</v>
      </c>
      <c r="B743" s="0" t="str">
        <f aca="false">Raw!B743</f>
        <v>Outbound</v>
      </c>
      <c r="C743" s="0" t="str">
        <f aca="false">Raw!C743</f>
        <v>Surat</v>
      </c>
      <c r="D743" s="0" t="str">
        <f aca="false">Raw!D743</f>
        <v>Jaipur</v>
      </c>
      <c r="E743" s="0" t="str">
        <f aca="false">IFERROR(INDEX(Location_Map!$B$2:$B$15,MATCH(C743,Location_Map!$A$2:$A$15,0)),"UNMAPPED")</f>
        <v>Gujarat</v>
      </c>
      <c r="F743" s="0" t="str">
        <f aca="false">IFERROR(INDEX(Location_Map!$C$2:$C$15,MATCH(C743,Location_Map!$A$2:$A$15,0)),"UNMAPPED")</f>
        <v>West</v>
      </c>
      <c r="G743" s="0" t="str">
        <f aca="false">IFERROR(INDEX(Location_Map!$B$2:$B$15,MATCH(D743,Location_Map!$A$2:$A$15,0)),"UNMAPPED")</f>
        <v>Rajasthan</v>
      </c>
      <c r="H743" s="0" t="str">
        <f aca="false">IFERROR(INDEX(Location_Map!$C$2:$C$15,MATCH(D743,Location_Map!$A$2:$A$15,0)),"UNMAPPED")</f>
        <v>North</v>
      </c>
      <c r="I743" s="0" t="str">
        <f aca="false">Raw!E743</f>
        <v>Finished Yarn</v>
      </c>
      <c r="J743" s="28" t="n">
        <f aca="false">Raw!F743</f>
        <v>2.57</v>
      </c>
      <c r="K743" s="30" t="n">
        <f aca="false">DATE(LEFT(Raw!G743,4),MID(Raw!G743,6,2),MID(Raw!G743,9,2))</f>
        <v>45887</v>
      </c>
      <c r="L743" s="30" t="n">
        <f aca="false">DATE(LEFT(Raw!H743,4),MID(Raw!H743,6,2),MID(Raw!H743,9,2))</f>
        <v>45888</v>
      </c>
      <c r="M743" s="30" t="n">
        <f aca="false">DATE(LEFT(Raw!I743,4),MID(Raw!I743,6,2),MID(Raw!I743,9,2))</f>
        <v>45890</v>
      </c>
      <c r="N743" s="31" t="n">
        <f aca="false">DATE(LEFT(Raw!J743,4),MID(Raw!J743,6,2),MID(Raw!J743,9,2))+TIME(MID(Raw!J743,12,2),MID(Raw!J743,15,2),MID(Raw!J743,18,2))</f>
        <v>45888.3333333333</v>
      </c>
      <c r="O743" s="31" t="n">
        <f aca="false">DATE(LEFT(Raw!K743,4),MID(Raw!K743,6,2),MID(Raw!K743,9,2))+TIME(MID(Raw!K743,12,2),MID(Raw!K743,15,2),MID(Raw!K743,18,2))</f>
        <v>45897.3</v>
      </c>
      <c r="P743" s="32" t="n">
        <f aca="false">L743-K743</f>
        <v>1</v>
      </c>
      <c r="Q743" s="32" t="n">
        <f aca="false">M743-L743</f>
        <v>2</v>
      </c>
      <c r="R743" s="32" t="n">
        <f aca="false">O743-N743</f>
        <v>8.96666666666667</v>
      </c>
      <c r="S743" s="32" t="n">
        <f aca="false">Raw!L743</f>
        <v>7.3</v>
      </c>
      <c r="T743" s="32" t="n">
        <f aca="false">O743-M743</f>
        <v>7.3</v>
      </c>
      <c r="U743" s="0" t="str">
        <f aca="false">IF(ABS(T743-S743)&lt;0.01,"OK","MISMATCH")</f>
        <v>OK</v>
      </c>
      <c r="V743" s="33" t="n">
        <f aca="false">Raw!M743</f>
        <v>1</v>
      </c>
      <c r="W743" s="0" t="str">
        <f aca="false">IF((S743&gt;0)=(V743=1),"OK","MISMATCH")</f>
        <v>OK</v>
      </c>
      <c r="X743" s="0" t="str">
        <f aca="false">_xlfn.IFS(S743&lt;=0,"Early/On time",S743&lt;=2,"Minor (up to 2 days)",S743&lt;=5,"Moderate (2-5 days)",TRUE(),"Severe (over 5 days)")</f>
        <v>Severe (over 5 days)</v>
      </c>
      <c r="Y743" s="0" t="str">
        <f aca="false">YEAR(K743)&amp;"-"&amp;TEXT(MONTH(K743),"00")</f>
        <v>2025-08</v>
      </c>
      <c r="Z743" s="0" t="str">
        <f aca="false">C743&amp;" → "&amp;D743</f>
        <v>Surat → Jaipur</v>
      </c>
      <c r="AA743" s="0" t="str">
        <f aca="false">Raw!Q743</f>
        <v>GATI Logistics</v>
      </c>
      <c r="AB743" s="0" t="str">
        <f aca="false">Raw!R743</f>
        <v>Yes</v>
      </c>
      <c r="AC743" s="0" t="str">
        <f aca="false">Raw!S743</f>
        <v>Returned</v>
      </c>
      <c r="AD743" s="29" t="n">
        <f aca="false">Raw!N743</f>
        <v>2184.81</v>
      </c>
      <c r="AE743" s="29" t="n">
        <f aca="false">Raw!O743</f>
        <v>4646.36</v>
      </c>
      <c r="AF743" s="29" t="n">
        <f aca="false">Raw!P743</f>
        <v>1054.13</v>
      </c>
      <c r="AG743" s="29" t="n">
        <f aca="false">AD743/J743</f>
        <v>850.120622568093</v>
      </c>
    </row>
    <row r="744" customFormat="false" ht="15" hidden="false" customHeight="false" outlineLevel="0" collapsed="false">
      <c r="A744" s="0" t="str">
        <f aca="false">Raw!A744</f>
        <v>SHP0743</v>
      </c>
      <c r="B744" s="0" t="str">
        <f aca="false">Raw!B744</f>
        <v>Inbound</v>
      </c>
      <c r="C744" s="0" t="str">
        <f aca="false">Raw!C744</f>
        <v>Punjab</v>
      </c>
      <c r="D744" s="0" t="str">
        <f aca="false">Raw!D744</f>
        <v>Surat</v>
      </c>
      <c r="E744" s="0" t="str">
        <f aca="false">IFERROR(INDEX(Location_Map!$B$2:$B$15,MATCH(C744,Location_Map!$A$2:$A$15,0)),"UNMAPPED")</f>
        <v>Punjab</v>
      </c>
      <c r="F744" s="0" t="str">
        <f aca="false">IFERROR(INDEX(Location_Map!$C$2:$C$15,MATCH(C744,Location_Map!$A$2:$A$15,0)),"UNMAPPED")</f>
        <v>North</v>
      </c>
      <c r="G744" s="0" t="str">
        <f aca="false">IFERROR(INDEX(Location_Map!$B$2:$B$15,MATCH(D744,Location_Map!$A$2:$A$15,0)),"UNMAPPED")</f>
        <v>Gujarat</v>
      </c>
      <c r="H744" s="0" t="str">
        <f aca="false">IFERROR(INDEX(Location_Map!$C$2:$C$15,MATCH(D744,Location_Map!$A$2:$A$15,0)),"UNMAPPED")</f>
        <v>West</v>
      </c>
      <c r="I744" s="0" t="str">
        <f aca="false">Raw!E744</f>
        <v>Raw Yarn</v>
      </c>
      <c r="J744" s="28" t="n">
        <f aca="false">Raw!F744</f>
        <v>11.02</v>
      </c>
      <c r="K744" s="30" t="n">
        <f aca="false">DATE(LEFT(Raw!G744,4),MID(Raw!G744,6,2),MID(Raw!G744,9,2))</f>
        <v>45887</v>
      </c>
      <c r="L744" s="30" t="n">
        <f aca="false">DATE(LEFT(Raw!H744,4),MID(Raw!H744,6,2),MID(Raw!H744,9,2))</f>
        <v>45888</v>
      </c>
      <c r="M744" s="30" t="n">
        <f aca="false">DATE(LEFT(Raw!I744,4),MID(Raw!I744,6,2),MID(Raw!I744,9,2))</f>
        <v>45892</v>
      </c>
      <c r="N744" s="31" t="n">
        <f aca="false">DATE(LEFT(Raw!J744,4),MID(Raw!J744,6,2),MID(Raw!J744,9,2))+TIME(MID(Raw!J744,12,2),MID(Raw!J744,15,2),MID(Raw!J744,18,2))</f>
        <v>45888.0416666667</v>
      </c>
      <c r="O744" s="31" t="n">
        <f aca="false">DATE(LEFT(Raw!K744,4),MID(Raw!K744,6,2),MID(Raw!K744,9,2))+TIME(MID(Raw!K744,12,2),MID(Raw!K744,15,2),MID(Raw!K744,18,2))</f>
        <v>45895</v>
      </c>
      <c r="P744" s="32" t="n">
        <f aca="false">L744-K744</f>
        <v>1</v>
      </c>
      <c r="Q744" s="32" t="n">
        <f aca="false">M744-L744</f>
        <v>4</v>
      </c>
      <c r="R744" s="32" t="n">
        <f aca="false">O744-N744</f>
        <v>6.95833333333333</v>
      </c>
      <c r="S744" s="32" t="n">
        <f aca="false">Raw!L744</f>
        <v>3</v>
      </c>
      <c r="T744" s="32" t="n">
        <f aca="false">O744-M744</f>
        <v>3</v>
      </c>
      <c r="U744" s="0" t="str">
        <f aca="false">IF(ABS(T744-S744)&lt;0.01,"OK","MISMATCH")</f>
        <v>OK</v>
      </c>
      <c r="V744" s="33" t="n">
        <f aca="false">Raw!M744</f>
        <v>1</v>
      </c>
      <c r="W744" s="0" t="str">
        <f aca="false">IF((S744&gt;0)=(V744=1),"OK","MISMATCH")</f>
        <v>OK</v>
      </c>
      <c r="X744" s="0" t="str">
        <f aca="false">_xlfn.IFS(S744&lt;=0,"Early/On time",S744&lt;=2,"Minor (up to 2 days)",S744&lt;=5,"Moderate (2-5 days)",TRUE(),"Severe (over 5 days)")</f>
        <v>Moderate (2-5 days)</v>
      </c>
      <c r="Y744" s="0" t="str">
        <f aca="false">YEAR(K744)&amp;"-"&amp;TEXT(MONTH(K744),"00")</f>
        <v>2025-08</v>
      </c>
      <c r="Z744" s="0" t="str">
        <f aca="false">C744&amp;" → "&amp;D744</f>
        <v>Punjab → Surat</v>
      </c>
      <c r="AA744" s="0" t="str">
        <f aca="false">Raw!Q744</f>
        <v>Delhivery</v>
      </c>
      <c r="AB744" s="0" t="str">
        <f aca="false">Raw!R744</f>
        <v>Yes</v>
      </c>
      <c r="AC744" s="0" t="str">
        <f aca="false">Raw!S744</f>
        <v>Held at warehouse</v>
      </c>
      <c r="AD744" s="29" t="n">
        <f aca="false">Raw!N744</f>
        <v>7566.13</v>
      </c>
      <c r="AE744" s="29" t="n">
        <f aca="false">Raw!O744</f>
        <v>3624.81</v>
      </c>
      <c r="AF744" s="29" t="n">
        <f aca="false">Raw!P744</f>
        <v>971.66</v>
      </c>
      <c r="AG744" s="29" t="n">
        <f aca="false">AD744/J744</f>
        <v>686.58166969147</v>
      </c>
    </row>
    <row r="745" customFormat="false" ht="15" hidden="false" customHeight="false" outlineLevel="0" collapsed="false">
      <c r="A745" s="0" t="str">
        <f aca="false">Raw!A745</f>
        <v>SHP0744</v>
      </c>
      <c r="B745" s="0" t="str">
        <f aca="false">Raw!B745</f>
        <v>Outbound</v>
      </c>
      <c r="C745" s="0" t="str">
        <f aca="false">Raw!C745</f>
        <v>Surat</v>
      </c>
      <c r="D745" s="0" t="str">
        <f aca="false">Raw!D745</f>
        <v>Madhya Pradesh</v>
      </c>
      <c r="E745" s="0" t="str">
        <f aca="false">IFERROR(INDEX(Location_Map!$B$2:$B$15,MATCH(C745,Location_Map!$A$2:$A$15,0)),"UNMAPPED")</f>
        <v>Gujarat</v>
      </c>
      <c r="F745" s="0" t="str">
        <f aca="false">IFERROR(INDEX(Location_Map!$C$2:$C$15,MATCH(C745,Location_Map!$A$2:$A$15,0)),"UNMAPPED")</f>
        <v>West</v>
      </c>
      <c r="G745" s="0" t="str">
        <f aca="false">IFERROR(INDEX(Location_Map!$B$2:$B$15,MATCH(D745,Location_Map!$A$2:$A$15,0)),"UNMAPPED")</f>
        <v>Madhya Pradesh</v>
      </c>
      <c r="H745" s="0" t="str">
        <f aca="false">IFERROR(INDEX(Location_Map!$C$2:$C$15,MATCH(D745,Location_Map!$A$2:$A$15,0)),"UNMAPPED")</f>
        <v>Central</v>
      </c>
      <c r="I745" s="0" t="str">
        <f aca="false">Raw!E745</f>
        <v>Finished Yarn</v>
      </c>
      <c r="J745" s="28" t="n">
        <f aca="false">Raw!F745</f>
        <v>11.86</v>
      </c>
      <c r="K745" s="30" t="n">
        <f aca="false">DATE(LEFT(Raw!G745,4),MID(Raw!G745,6,2),MID(Raw!G745,9,2))</f>
        <v>45671</v>
      </c>
      <c r="L745" s="30" t="n">
        <f aca="false">DATE(LEFT(Raw!H745,4),MID(Raw!H745,6,2),MID(Raw!H745,9,2))</f>
        <v>45674</v>
      </c>
      <c r="M745" s="30" t="n">
        <f aca="false">DATE(LEFT(Raw!I745,4),MID(Raw!I745,6,2),MID(Raw!I745,9,2))</f>
        <v>45680</v>
      </c>
      <c r="N745" s="31" t="n">
        <f aca="false">DATE(LEFT(Raw!J745,4),MID(Raw!J745,6,2),MID(Raw!J745,9,2))+TIME(MID(Raw!J745,12,2),MID(Raw!J745,15,2),MID(Raw!J745,18,2))</f>
        <v>45673.9583333333</v>
      </c>
      <c r="O745" s="31" t="n">
        <f aca="false">DATE(LEFT(Raw!K745,4),MID(Raw!K745,6,2),MID(Raw!K745,9,2))+TIME(MID(Raw!K745,12,2),MID(Raw!K745,15,2),MID(Raw!K745,18,2))</f>
        <v>45684.9</v>
      </c>
      <c r="P745" s="32" t="n">
        <f aca="false">L745-K745</f>
        <v>3</v>
      </c>
      <c r="Q745" s="32" t="n">
        <f aca="false">M745-L745</f>
        <v>6</v>
      </c>
      <c r="R745" s="32" t="n">
        <f aca="false">O745-N745</f>
        <v>10.9416666666667</v>
      </c>
      <c r="S745" s="32" t="n">
        <f aca="false">Raw!L745</f>
        <v>4.9</v>
      </c>
      <c r="T745" s="32" t="n">
        <f aca="false">O745-M745</f>
        <v>4.9</v>
      </c>
      <c r="U745" s="0" t="str">
        <f aca="false">IF(ABS(T745-S745)&lt;0.01,"OK","MISMATCH")</f>
        <v>OK</v>
      </c>
      <c r="V745" s="33" t="n">
        <f aca="false">Raw!M745</f>
        <v>1</v>
      </c>
      <c r="W745" s="0" t="str">
        <f aca="false">IF((S745&gt;0)=(V745=1),"OK","MISMATCH")</f>
        <v>OK</v>
      </c>
      <c r="X745" s="0" t="str">
        <f aca="false">_xlfn.IFS(S745&lt;=0,"Early/On time",S745&lt;=2,"Minor (up to 2 days)",S745&lt;=5,"Moderate (2-5 days)",TRUE(),"Severe (over 5 days)")</f>
        <v>Moderate (2-5 days)</v>
      </c>
      <c r="Y745" s="0" t="str">
        <f aca="false">YEAR(K745)&amp;"-"&amp;TEXT(MONTH(K745),"00")</f>
        <v>2025-01</v>
      </c>
      <c r="Z745" s="0" t="str">
        <f aca="false">C745&amp;" → "&amp;D745</f>
        <v>Surat → Madhya Pradesh</v>
      </c>
      <c r="AA745" s="0" t="str">
        <f aca="false">Raw!Q745</f>
        <v>GATI Logistics</v>
      </c>
      <c r="AB745" s="0" t="str">
        <f aca="false">Raw!R745</f>
        <v>Yes</v>
      </c>
      <c r="AC745" s="0" t="str">
        <f aca="false">Raw!S745</f>
        <v>Returned</v>
      </c>
      <c r="AD745" s="29" t="n">
        <f aca="false">Raw!N745</f>
        <v>7458.37</v>
      </c>
      <c r="AE745" s="29" t="n">
        <f aca="false">Raw!O745</f>
        <v>1415.84</v>
      </c>
      <c r="AF745" s="29" t="n">
        <f aca="false">Raw!P745</f>
        <v>1462.37</v>
      </c>
      <c r="AG745" s="29" t="n">
        <f aca="false">AD745/J745</f>
        <v>628.867622259697</v>
      </c>
    </row>
    <row r="746" customFormat="false" ht="15" hidden="false" customHeight="false" outlineLevel="0" collapsed="false">
      <c r="A746" s="0" t="str">
        <f aca="false">Raw!A746</f>
        <v>SHP0745</v>
      </c>
      <c r="B746" s="0" t="str">
        <f aca="false">Raw!B746</f>
        <v>Outbound</v>
      </c>
      <c r="C746" s="0" t="str">
        <f aca="false">Raw!C746</f>
        <v>Surat</v>
      </c>
      <c r="D746" s="0" t="str">
        <f aca="false">Raw!D746</f>
        <v>Karnataka</v>
      </c>
      <c r="E746" s="0" t="str">
        <f aca="false">IFERROR(INDEX(Location_Map!$B$2:$B$15,MATCH(C746,Location_Map!$A$2:$A$15,0)),"UNMAPPED")</f>
        <v>Gujarat</v>
      </c>
      <c r="F746" s="0" t="str">
        <f aca="false">IFERROR(INDEX(Location_Map!$C$2:$C$15,MATCH(C746,Location_Map!$A$2:$A$15,0)),"UNMAPPED")</f>
        <v>West</v>
      </c>
      <c r="G746" s="0" t="str">
        <f aca="false">IFERROR(INDEX(Location_Map!$B$2:$B$15,MATCH(D746,Location_Map!$A$2:$A$15,0)),"UNMAPPED")</f>
        <v>Karnataka</v>
      </c>
      <c r="H746" s="0" t="str">
        <f aca="false">IFERROR(INDEX(Location_Map!$C$2:$C$15,MATCH(D746,Location_Map!$A$2:$A$15,0)),"UNMAPPED")</f>
        <v>South</v>
      </c>
      <c r="I746" s="0" t="str">
        <f aca="false">Raw!E746</f>
        <v>Finished Yarn</v>
      </c>
      <c r="J746" s="28" t="n">
        <f aca="false">Raw!F746</f>
        <v>17.91</v>
      </c>
      <c r="K746" s="30" t="n">
        <f aca="false">DATE(LEFT(Raw!G746,4),MID(Raw!G746,6,2),MID(Raw!G746,9,2))</f>
        <v>45739</v>
      </c>
      <c r="L746" s="30" t="n">
        <f aca="false">DATE(LEFT(Raw!H746,4),MID(Raw!H746,6,2),MID(Raw!H746,9,2))</f>
        <v>45743</v>
      </c>
      <c r="M746" s="30" t="n">
        <f aca="false">DATE(LEFT(Raw!I746,4),MID(Raw!I746,6,2),MID(Raw!I746,9,2))</f>
        <v>45747</v>
      </c>
      <c r="N746" s="31" t="n">
        <f aca="false">DATE(LEFT(Raw!J746,4),MID(Raw!J746,6,2),MID(Raw!J746,9,2))+TIME(MID(Raw!J746,12,2),MID(Raw!J746,15,2),MID(Raw!J746,18,2))</f>
        <v>45743.125</v>
      </c>
      <c r="O746" s="31" t="n">
        <f aca="false">DATE(LEFT(Raw!K746,4),MID(Raw!K746,6,2),MID(Raw!K746,9,2))+TIME(MID(Raw!K746,12,2),MID(Raw!K746,15,2),MID(Raw!K746,18,2))</f>
        <v>45752.4</v>
      </c>
      <c r="P746" s="32" t="n">
        <f aca="false">L746-K746</f>
        <v>4</v>
      </c>
      <c r="Q746" s="32" t="n">
        <f aca="false">M746-L746</f>
        <v>4</v>
      </c>
      <c r="R746" s="32" t="n">
        <f aca="false">O746-N746</f>
        <v>9.275</v>
      </c>
      <c r="S746" s="32" t="n">
        <f aca="false">Raw!L746</f>
        <v>5.4</v>
      </c>
      <c r="T746" s="32" t="n">
        <f aca="false">O746-M746</f>
        <v>5.4</v>
      </c>
      <c r="U746" s="0" t="str">
        <f aca="false">IF(ABS(T746-S746)&lt;0.01,"OK","MISMATCH")</f>
        <v>OK</v>
      </c>
      <c r="V746" s="33" t="n">
        <f aca="false">Raw!M746</f>
        <v>1</v>
      </c>
      <c r="W746" s="0" t="str">
        <f aca="false">IF((S746&gt;0)=(V746=1),"OK","MISMATCH")</f>
        <v>OK</v>
      </c>
      <c r="X746" s="0" t="str">
        <f aca="false">_xlfn.IFS(S746&lt;=0,"Early/On time",S746&lt;=2,"Minor (up to 2 days)",S746&lt;=5,"Moderate (2-5 days)",TRUE(),"Severe (over 5 days)")</f>
        <v>Severe (over 5 days)</v>
      </c>
      <c r="Y746" s="0" t="str">
        <f aca="false">YEAR(K746)&amp;"-"&amp;TEXT(MONTH(K746),"00")</f>
        <v>2025-03</v>
      </c>
      <c r="Z746" s="0" t="str">
        <f aca="false">C746&amp;" → "&amp;D746</f>
        <v>Surat → Karnataka</v>
      </c>
      <c r="AA746" s="0" t="str">
        <f aca="false">Raw!Q746</f>
        <v>VRL Cargo</v>
      </c>
      <c r="AB746" s="0" t="str">
        <f aca="false">Raw!R746</f>
        <v>Yes</v>
      </c>
      <c r="AC746" s="0" t="str">
        <f aca="false">Raw!S746</f>
        <v>Returned</v>
      </c>
      <c r="AD746" s="29" t="n">
        <f aca="false">Raw!N746</f>
        <v>10098.75</v>
      </c>
      <c r="AE746" s="29" t="n">
        <f aca="false">Raw!O746</f>
        <v>2643.73</v>
      </c>
      <c r="AF746" s="29" t="n">
        <f aca="false">Raw!P746</f>
        <v>1129.22</v>
      </c>
      <c r="AG746" s="29" t="n">
        <f aca="false">AD746/J746</f>
        <v>563.860971524288</v>
      </c>
    </row>
    <row r="747" customFormat="false" ht="15" hidden="false" customHeight="false" outlineLevel="0" collapsed="false">
      <c r="A747" s="0" t="str">
        <f aca="false">Raw!A747</f>
        <v>SHP0746</v>
      </c>
      <c r="B747" s="0" t="str">
        <f aca="false">Raw!B747</f>
        <v>Inbound</v>
      </c>
      <c r="C747" s="0" t="str">
        <f aca="false">Raw!C747</f>
        <v>Uttar Pradesh</v>
      </c>
      <c r="D747" s="0" t="str">
        <f aca="false">Raw!D747</f>
        <v>Surat</v>
      </c>
      <c r="E747" s="0" t="str">
        <f aca="false">IFERROR(INDEX(Location_Map!$B$2:$B$15,MATCH(C747,Location_Map!$A$2:$A$15,0)),"UNMAPPED")</f>
        <v>Uttar Pradesh</v>
      </c>
      <c r="F747" s="0" t="str">
        <f aca="false">IFERROR(INDEX(Location_Map!$C$2:$C$15,MATCH(C747,Location_Map!$A$2:$A$15,0)),"UNMAPPED")</f>
        <v>North</v>
      </c>
      <c r="G747" s="0" t="str">
        <f aca="false">IFERROR(INDEX(Location_Map!$B$2:$B$15,MATCH(D747,Location_Map!$A$2:$A$15,0)),"UNMAPPED")</f>
        <v>Gujarat</v>
      </c>
      <c r="H747" s="0" t="str">
        <f aca="false">IFERROR(INDEX(Location_Map!$C$2:$C$15,MATCH(D747,Location_Map!$A$2:$A$15,0)),"UNMAPPED")</f>
        <v>West</v>
      </c>
      <c r="I747" s="0" t="str">
        <f aca="false">Raw!E747</f>
        <v>Semi-Processed Yarn</v>
      </c>
      <c r="J747" s="28" t="n">
        <f aca="false">Raw!F747</f>
        <v>14.29</v>
      </c>
      <c r="K747" s="30" t="n">
        <f aca="false">DATE(LEFT(Raw!G747,4),MID(Raw!G747,6,2),MID(Raw!G747,9,2))</f>
        <v>45871</v>
      </c>
      <c r="L747" s="30" t="n">
        <f aca="false">DATE(LEFT(Raw!H747,4),MID(Raw!H747,6,2),MID(Raw!H747,9,2))</f>
        <v>45872</v>
      </c>
      <c r="M747" s="30" t="n">
        <f aca="false">DATE(LEFT(Raw!I747,4),MID(Raw!I747,6,2),MID(Raw!I747,9,2))</f>
        <v>45876</v>
      </c>
      <c r="N747" s="31" t="n">
        <f aca="false">DATE(LEFT(Raw!J747,4),MID(Raw!J747,6,2),MID(Raw!J747,9,2))+TIME(MID(Raw!J747,12,2),MID(Raw!J747,15,2),MID(Raw!J747,18,2))</f>
        <v>45872</v>
      </c>
      <c r="O747" s="31" t="n">
        <f aca="false">DATE(LEFT(Raw!K747,4),MID(Raw!K747,6,2),MID(Raw!K747,9,2))+TIME(MID(Raw!K747,12,2),MID(Raw!K747,15,2),MID(Raw!K747,18,2))</f>
        <v>45875.3</v>
      </c>
      <c r="P747" s="32" t="n">
        <f aca="false">L747-K747</f>
        <v>1</v>
      </c>
      <c r="Q747" s="32" t="n">
        <f aca="false">M747-L747</f>
        <v>4</v>
      </c>
      <c r="R747" s="32" t="n">
        <f aca="false">O747-N747</f>
        <v>3.3</v>
      </c>
      <c r="S747" s="32" t="n">
        <f aca="false">Raw!L747</f>
        <v>-0.7</v>
      </c>
      <c r="T747" s="32" t="n">
        <f aca="false">O747-M747</f>
        <v>-0.7</v>
      </c>
      <c r="U747" s="0" t="str">
        <f aca="false">IF(ABS(T747-S747)&lt;0.01,"OK","MISMATCH")</f>
        <v>OK</v>
      </c>
      <c r="V747" s="33" t="n">
        <f aca="false">Raw!M747</f>
        <v>0</v>
      </c>
      <c r="W747" s="0" t="str">
        <f aca="false">IF((S747&gt;0)=(V747=1),"OK","MISMATCH")</f>
        <v>OK</v>
      </c>
      <c r="X747" s="0" t="str">
        <f aca="false">_xlfn.IFS(S747&lt;=0,"Early/On time",S747&lt;=2,"Minor (up to 2 days)",S747&lt;=5,"Moderate (2-5 days)",TRUE(),"Severe (over 5 days)")</f>
        <v>Early/On time</v>
      </c>
      <c r="Y747" s="0" t="str">
        <f aca="false">YEAR(K747)&amp;"-"&amp;TEXT(MONTH(K747),"00")</f>
        <v>2025-08</v>
      </c>
      <c r="Z747" s="0" t="str">
        <f aca="false">C747&amp;" → "&amp;D747</f>
        <v>Uttar Pradesh → Surat</v>
      </c>
      <c r="AA747" s="0" t="str">
        <f aca="false">Raw!Q747</f>
        <v>VRL Cargo</v>
      </c>
      <c r="AB747" s="0" t="str">
        <f aca="false">Raw!R747</f>
        <v>No</v>
      </c>
      <c r="AC747" s="0" t="str">
        <f aca="false">Raw!S747</f>
        <v>Damaged</v>
      </c>
      <c r="AD747" s="29" t="n">
        <f aca="false">Raw!N747</f>
        <v>7051.34</v>
      </c>
      <c r="AE747" s="29" t="n">
        <f aca="false">Raw!O747</f>
        <v>4619.85</v>
      </c>
      <c r="AF747" s="29" t="n">
        <f aca="false">Raw!P747</f>
        <v>1317.85</v>
      </c>
      <c r="AG747" s="29" t="n">
        <f aca="false">AD747/J747</f>
        <v>493.445766270119</v>
      </c>
    </row>
    <row r="748" customFormat="false" ht="15" hidden="false" customHeight="false" outlineLevel="0" collapsed="false">
      <c r="A748" s="0" t="str">
        <f aca="false">Raw!A748</f>
        <v>SHP0747</v>
      </c>
      <c r="B748" s="0" t="str">
        <f aca="false">Raw!B748</f>
        <v>Inbound</v>
      </c>
      <c r="C748" s="0" t="str">
        <f aca="false">Raw!C748</f>
        <v>Uttar Pradesh</v>
      </c>
      <c r="D748" s="0" t="str">
        <f aca="false">Raw!D748</f>
        <v>Surat</v>
      </c>
      <c r="E748" s="0" t="str">
        <f aca="false">IFERROR(INDEX(Location_Map!$B$2:$B$15,MATCH(C748,Location_Map!$A$2:$A$15,0)),"UNMAPPED")</f>
        <v>Uttar Pradesh</v>
      </c>
      <c r="F748" s="0" t="str">
        <f aca="false">IFERROR(INDEX(Location_Map!$C$2:$C$15,MATCH(C748,Location_Map!$A$2:$A$15,0)),"UNMAPPED")</f>
        <v>North</v>
      </c>
      <c r="G748" s="0" t="str">
        <f aca="false">IFERROR(INDEX(Location_Map!$B$2:$B$15,MATCH(D748,Location_Map!$A$2:$A$15,0)),"UNMAPPED")</f>
        <v>Gujarat</v>
      </c>
      <c r="H748" s="0" t="str">
        <f aca="false">IFERROR(INDEX(Location_Map!$C$2:$C$15,MATCH(D748,Location_Map!$A$2:$A$15,0)),"UNMAPPED")</f>
        <v>West</v>
      </c>
      <c r="I748" s="0" t="str">
        <f aca="false">Raw!E748</f>
        <v>Finished Yarn</v>
      </c>
      <c r="J748" s="28" t="n">
        <f aca="false">Raw!F748</f>
        <v>7.58</v>
      </c>
      <c r="K748" s="30" t="n">
        <f aca="false">DATE(LEFT(Raw!G748,4),MID(Raw!G748,6,2),MID(Raw!G748,9,2))</f>
        <v>45900</v>
      </c>
      <c r="L748" s="30" t="n">
        <f aca="false">DATE(LEFT(Raw!H748,4),MID(Raw!H748,6,2),MID(Raw!H748,9,2))</f>
        <v>45902</v>
      </c>
      <c r="M748" s="30" t="n">
        <f aca="false">DATE(LEFT(Raw!I748,4),MID(Raw!I748,6,2),MID(Raw!I748,9,2))</f>
        <v>45905</v>
      </c>
      <c r="N748" s="31" t="n">
        <f aca="false">DATE(LEFT(Raw!J748,4),MID(Raw!J748,6,2),MID(Raw!J748,9,2))+TIME(MID(Raw!J748,12,2),MID(Raw!J748,15,2),MID(Raw!J748,18,2))</f>
        <v>45901.8333333333</v>
      </c>
      <c r="O748" s="31" t="n">
        <f aca="false">DATE(LEFT(Raw!K748,4),MID(Raw!K748,6,2),MID(Raw!K748,9,2))+TIME(MID(Raw!K748,12,2),MID(Raw!K748,15,2),MID(Raw!K748,18,2))</f>
        <v>45907.3</v>
      </c>
      <c r="P748" s="32" t="n">
        <f aca="false">L748-K748</f>
        <v>2</v>
      </c>
      <c r="Q748" s="32" t="n">
        <f aca="false">M748-L748</f>
        <v>3</v>
      </c>
      <c r="R748" s="32" t="n">
        <f aca="false">O748-N748</f>
        <v>5.46666666666667</v>
      </c>
      <c r="S748" s="32" t="n">
        <f aca="false">Raw!L748</f>
        <v>2.3</v>
      </c>
      <c r="T748" s="32" t="n">
        <f aca="false">O748-M748</f>
        <v>2.3</v>
      </c>
      <c r="U748" s="0" t="str">
        <f aca="false">IF(ABS(T748-S748)&lt;0.01,"OK","MISMATCH")</f>
        <v>OK</v>
      </c>
      <c r="V748" s="33" t="n">
        <f aca="false">Raw!M748</f>
        <v>1</v>
      </c>
      <c r="W748" s="0" t="str">
        <f aca="false">IF((S748&gt;0)=(V748=1),"OK","MISMATCH")</f>
        <v>OK</v>
      </c>
      <c r="X748" s="0" t="str">
        <f aca="false">_xlfn.IFS(S748&lt;=0,"Early/On time",S748&lt;=2,"Minor (up to 2 days)",S748&lt;=5,"Moderate (2-5 days)",TRUE(),"Severe (over 5 days)")</f>
        <v>Moderate (2-5 days)</v>
      </c>
      <c r="Y748" s="0" t="str">
        <f aca="false">YEAR(K748)&amp;"-"&amp;TEXT(MONTH(K748),"00")</f>
        <v>2025-08</v>
      </c>
      <c r="Z748" s="0" t="str">
        <f aca="false">C748&amp;" → "&amp;D748</f>
        <v>Uttar Pradesh → Surat</v>
      </c>
      <c r="AA748" s="0" t="str">
        <f aca="false">Raw!Q748</f>
        <v>BlueDart</v>
      </c>
      <c r="AB748" s="0" t="str">
        <f aca="false">Raw!R748</f>
        <v>Yes</v>
      </c>
      <c r="AC748" s="0" t="str">
        <f aca="false">Raw!S748</f>
        <v>Damaged</v>
      </c>
      <c r="AD748" s="29" t="n">
        <f aca="false">Raw!N748</f>
        <v>3446.97</v>
      </c>
      <c r="AE748" s="29" t="n">
        <f aca="false">Raw!O748</f>
        <v>1934.5</v>
      </c>
      <c r="AF748" s="29" t="n">
        <f aca="false">Raw!P748</f>
        <v>909.56</v>
      </c>
      <c r="AG748" s="29" t="n">
        <f aca="false">AD748/J748</f>
        <v>454.745382585752</v>
      </c>
    </row>
    <row r="749" customFormat="false" ht="15" hidden="false" customHeight="false" outlineLevel="0" collapsed="false">
      <c r="A749" s="0" t="str">
        <f aca="false">Raw!A749</f>
        <v>SHP0748</v>
      </c>
      <c r="B749" s="0" t="str">
        <f aca="false">Raw!B749</f>
        <v>Inbound</v>
      </c>
      <c r="C749" s="0" t="str">
        <f aca="false">Raw!C749</f>
        <v>Gujarat</v>
      </c>
      <c r="D749" s="0" t="str">
        <f aca="false">Raw!D749</f>
        <v>Surat</v>
      </c>
      <c r="E749" s="0" t="str">
        <f aca="false">IFERROR(INDEX(Location_Map!$B$2:$B$15,MATCH(C749,Location_Map!$A$2:$A$15,0)),"UNMAPPED")</f>
        <v>Gujarat</v>
      </c>
      <c r="F749" s="0" t="str">
        <f aca="false">IFERROR(INDEX(Location_Map!$C$2:$C$15,MATCH(C749,Location_Map!$A$2:$A$15,0)),"UNMAPPED")</f>
        <v>West</v>
      </c>
      <c r="G749" s="0" t="str">
        <f aca="false">IFERROR(INDEX(Location_Map!$B$2:$B$15,MATCH(D749,Location_Map!$A$2:$A$15,0)),"UNMAPPED")</f>
        <v>Gujarat</v>
      </c>
      <c r="H749" s="0" t="str">
        <f aca="false">IFERROR(INDEX(Location_Map!$C$2:$C$15,MATCH(D749,Location_Map!$A$2:$A$15,0)),"UNMAPPED")</f>
        <v>West</v>
      </c>
      <c r="I749" s="0" t="str">
        <f aca="false">Raw!E749</f>
        <v>Semi-Processed Yarn</v>
      </c>
      <c r="J749" s="28" t="n">
        <f aca="false">Raw!F749</f>
        <v>15.82</v>
      </c>
      <c r="K749" s="30" t="n">
        <f aca="false">DATE(LEFT(Raw!G749,4),MID(Raw!G749,6,2),MID(Raw!G749,9,2))</f>
        <v>45889</v>
      </c>
      <c r="L749" s="30" t="n">
        <f aca="false">DATE(LEFT(Raw!H749,4),MID(Raw!H749,6,2),MID(Raw!H749,9,2))</f>
        <v>45890</v>
      </c>
      <c r="M749" s="30" t="n">
        <f aca="false">DATE(LEFT(Raw!I749,4),MID(Raw!I749,6,2),MID(Raw!I749,9,2))</f>
        <v>45894</v>
      </c>
      <c r="N749" s="31" t="n">
        <f aca="false">DATE(LEFT(Raw!J749,4),MID(Raw!J749,6,2),MID(Raw!J749,9,2))+TIME(MID(Raw!J749,12,2),MID(Raw!J749,15,2),MID(Raw!J749,18,2))</f>
        <v>45890.375</v>
      </c>
      <c r="O749" s="31" t="n">
        <f aca="false">DATE(LEFT(Raw!K749,4),MID(Raw!K749,6,2),MID(Raw!K749,9,2))+TIME(MID(Raw!K749,12,2),MID(Raw!K749,15,2),MID(Raw!K749,18,2))</f>
        <v>45896.9</v>
      </c>
      <c r="P749" s="32" t="n">
        <f aca="false">L749-K749</f>
        <v>1</v>
      </c>
      <c r="Q749" s="32" t="n">
        <f aca="false">M749-L749</f>
        <v>4</v>
      </c>
      <c r="R749" s="32" t="n">
        <f aca="false">O749-N749</f>
        <v>6.525</v>
      </c>
      <c r="S749" s="32" t="n">
        <f aca="false">Raw!L749</f>
        <v>2.9</v>
      </c>
      <c r="T749" s="32" t="n">
        <f aca="false">O749-M749</f>
        <v>2.9</v>
      </c>
      <c r="U749" s="0" t="str">
        <f aca="false">IF(ABS(T749-S749)&lt;0.01,"OK","MISMATCH")</f>
        <v>OK</v>
      </c>
      <c r="V749" s="33" t="n">
        <f aca="false">Raw!M749</f>
        <v>1</v>
      </c>
      <c r="W749" s="0" t="str">
        <f aca="false">IF((S749&gt;0)=(V749=1),"OK","MISMATCH")</f>
        <v>OK</v>
      </c>
      <c r="X749" s="0" t="str">
        <f aca="false">_xlfn.IFS(S749&lt;=0,"Early/On time",S749&lt;=2,"Minor (up to 2 days)",S749&lt;=5,"Moderate (2-5 days)",TRUE(),"Severe (over 5 days)")</f>
        <v>Moderate (2-5 days)</v>
      </c>
      <c r="Y749" s="0" t="str">
        <f aca="false">YEAR(K749)&amp;"-"&amp;TEXT(MONTH(K749),"00")</f>
        <v>2025-08</v>
      </c>
      <c r="Z749" s="0" t="str">
        <f aca="false">C749&amp;" → "&amp;D749</f>
        <v>Gujarat → Surat</v>
      </c>
      <c r="AA749" s="0" t="str">
        <f aca="false">Raw!Q749</f>
        <v>BlueDart</v>
      </c>
      <c r="AB749" s="0" t="str">
        <f aca="false">Raw!R749</f>
        <v>Yes</v>
      </c>
      <c r="AC749" s="0" t="str">
        <f aca="false">Raw!S749</f>
        <v>Expedited</v>
      </c>
      <c r="AD749" s="29" t="n">
        <f aca="false">Raw!N749</f>
        <v>4505.7</v>
      </c>
      <c r="AE749" s="29" t="n">
        <f aca="false">Raw!O749</f>
        <v>2019.07</v>
      </c>
      <c r="AF749" s="29" t="n">
        <f aca="false">Raw!P749</f>
        <v>1414.53</v>
      </c>
      <c r="AG749" s="29" t="n">
        <f aca="false">AD749/J749</f>
        <v>284.810366624526</v>
      </c>
    </row>
    <row r="750" customFormat="false" ht="15" hidden="false" customHeight="false" outlineLevel="0" collapsed="false">
      <c r="A750" s="0" t="str">
        <f aca="false">Raw!A750</f>
        <v>SHP0749</v>
      </c>
      <c r="B750" s="0" t="str">
        <f aca="false">Raw!B750</f>
        <v>Outbound</v>
      </c>
      <c r="C750" s="0" t="str">
        <f aca="false">Raw!C750</f>
        <v>Surat</v>
      </c>
      <c r="D750" s="0" t="str">
        <f aca="false">Raw!D750</f>
        <v>Assam</v>
      </c>
      <c r="E750" s="0" t="str">
        <f aca="false">IFERROR(INDEX(Location_Map!$B$2:$B$15,MATCH(C750,Location_Map!$A$2:$A$15,0)),"UNMAPPED")</f>
        <v>Gujarat</v>
      </c>
      <c r="F750" s="0" t="str">
        <f aca="false">IFERROR(INDEX(Location_Map!$C$2:$C$15,MATCH(C750,Location_Map!$A$2:$A$15,0)),"UNMAPPED")</f>
        <v>West</v>
      </c>
      <c r="G750" s="0" t="str">
        <f aca="false">IFERROR(INDEX(Location_Map!$B$2:$B$15,MATCH(D750,Location_Map!$A$2:$A$15,0)),"UNMAPPED")</f>
        <v>Assam</v>
      </c>
      <c r="H750" s="0" t="str">
        <f aca="false">IFERROR(INDEX(Location_Map!$C$2:$C$15,MATCH(D750,Location_Map!$A$2:$A$15,0)),"UNMAPPED")</f>
        <v>North-East</v>
      </c>
      <c r="I750" s="0" t="str">
        <f aca="false">Raw!E750</f>
        <v>Finished Yarn</v>
      </c>
      <c r="J750" s="28" t="n">
        <f aca="false">Raw!F750</f>
        <v>3.15</v>
      </c>
      <c r="K750" s="30" t="n">
        <f aca="false">DATE(LEFT(Raw!G750,4),MID(Raw!G750,6,2),MID(Raw!G750,9,2))</f>
        <v>45885</v>
      </c>
      <c r="L750" s="30" t="n">
        <f aca="false">DATE(LEFT(Raw!H750,4),MID(Raw!H750,6,2),MID(Raw!H750,9,2))</f>
        <v>45889</v>
      </c>
      <c r="M750" s="30" t="n">
        <f aca="false">DATE(LEFT(Raw!I750,4),MID(Raw!I750,6,2),MID(Raw!I750,9,2))</f>
        <v>45893</v>
      </c>
      <c r="N750" s="31" t="n">
        <f aca="false">DATE(LEFT(Raw!J750,4),MID(Raw!J750,6,2),MID(Raw!J750,9,2))+TIME(MID(Raw!J750,12,2),MID(Raw!J750,15,2),MID(Raw!J750,18,2))</f>
        <v>45888.875</v>
      </c>
      <c r="O750" s="31" t="n">
        <f aca="false">DATE(LEFT(Raw!K750,4),MID(Raw!K750,6,2),MID(Raw!K750,9,2))+TIME(MID(Raw!K750,12,2),MID(Raw!K750,15,2),MID(Raw!K750,18,2))</f>
        <v>45892</v>
      </c>
      <c r="P750" s="32" t="n">
        <f aca="false">L750-K750</f>
        <v>4</v>
      </c>
      <c r="Q750" s="32" t="n">
        <f aca="false">M750-L750</f>
        <v>4</v>
      </c>
      <c r="R750" s="32" t="n">
        <f aca="false">O750-N750</f>
        <v>3.125</v>
      </c>
      <c r="S750" s="32" t="n">
        <f aca="false">Raw!L750</f>
        <v>-1</v>
      </c>
      <c r="T750" s="32" t="n">
        <f aca="false">O750-M750</f>
        <v>-1</v>
      </c>
      <c r="U750" s="0" t="str">
        <f aca="false">IF(ABS(T750-S750)&lt;0.01,"OK","MISMATCH")</f>
        <v>OK</v>
      </c>
      <c r="V750" s="33" t="n">
        <f aca="false">Raw!M750</f>
        <v>0</v>
      </c>
      <c r="W750" s="0" t="str">
        <f aca="false">IF((S750&gt;0)=(V750=1),"OK","MISMATCH")</f>
        <v>OK</v>
      </c>
      <c r="X750" s="0" t="str">
        <f aca="false">_xlfn.IFS(S750&lt;=0,"Early/On time",S750&lt;=2,"Minor (up to 2 days)",S750&lt;=5,"Moderate (2-5 days)",TRUE(),"Severe (over 5 days)")</f>
        <v>Early/On time</v>
      </c>
      <c r="Y750" s="0" t="str">
        <f aca="false">YEAR(K750)&amp;"-"&amp;TEXT(MONTH(K750),"00")</f>
        <v>2025-08</v>
      </c>
      <c r="Z750" s="0" t="str">
        <f aca="false">C750&amp;" → "&amp;D750</f>
        <v>Surat → Assam</v>
      </c>
      <c r="AA750" s="0" t="str">
        <f aca="false">Raw!Q750</f>
        <v>VRL Cargo</v>
      </c>
      <c r="AB750" s="0" t="str">
        <f aca="false">Raw!R750</f>
        <v>No</v>
      </c>
      <c r="AC750" s="0" t="str">
        <f aca="false">Raw!S750</f>
        <v>Expedited</v>
      </c>
      <c r="AD750" s="29" t="n">
        <f aca="false">Raw!N750</f>
        <v>2040.02</v>
      </c>
      <c r="AE750" s="29" t="n">
        <f aca="false">Raw!O750</f>
        <v>3937.24</v>
      </c>
      <c r="AF750" s="29" t="n">
        <f aca="false">Raw!P750</f>
        <v>1135.94</v>
      </c>
      <c r="AG750" s="29" t="n">
        <f aca="false">AD750/J750</f>
        <v>647.625396825397</v>
      </c>
    </row>
    <row r="751" customFormat="false" ht="15" hidden="false" customHeight="false" outlineLevel="0" collapsed="false">
      <c r="A751" s="0" t="str">
        <f aca="false">Raw!A751</f>
        <v>SHP0750</v>
      </c>
      <c r="B751" s="0" t="str">
        <f aca="false">Raw!B751</f>
        <v>Inbound</v>
      </c>
      <c r="C751" s="0" t="str">
        <f aca="false">Raw!C751</f>
        <v>Uttar Pradesh</v>
      </c>
      <c r="D751" s="0" t="str">
        <f aca="false">Raw!D751</f>
        <v>Surat</v>
      </c>
      <c r="E751" s="0" t="str">
        <f aca="false">IFERROR(INDEX(Location_Map!$B$2:$B$15,MATCH(C751,Location_Map!$A$2:$A$15,0)),"UNMAPPED")</f>
        <v>Uttar Pradesh</v>
      </c>
      <c r="F751" s="0" t="str">
        <f aca="false">IFERROR(INDEX(Location_Map!$C$2:$C$15,MATCH(C751,Location_Map!$A$2:$A$15,0)),"UNMAPPED")</f>
        <v>North</v>
      </c>
      <c r="G751" s="0" t="str">
        <f aca="false">IFERROR(INDEX(Location_Map!$B$2:$B$15,MATCH(D751,Location_Map!$A$2:$A$15,0)),"UNMAPPED")</f>
        <v>Gujarat</v>
      </c>
      <c r="H751" s="0" t="str">
        <f aca="false">IFERROR(INDEX(Location_Map!$C$2:$C$15,MATCH(D751,Location_Map!$A$2:$A$15,0)),"UNMAPPED")</f>
        <v>West</v>
      </c>
      <c r="I751" s="0" t="str">
        <f aca="false">Raw!E751</f>
        <v>Finished Yarn</v>
      </c>
      <c r="J751" s="28" t="n">
        <f aca="false">Raw!F751</f>
        <v>17.62</v>
      </c>
      <c r="K751" s="30" t="n">
        <f aca="false">DATE(LEFT(Raw!G751,4),MID(Raw!G751,6,2),MID(Raw!G751,9,2))</f>
        <v>45682</v>
      </c>
      <c r="L751" s="30" t="n">
        <f aca="false">DATE(LEFT(Raw!H751,4),MID(Raw!H751,6,2),MID(Raw!H751,9,2))</f>
        <v>45686</v>
      </c>
      <c r="M751" s="30" t="n">
        <f aca="false">DATE(LEFT(Raw!I751,4),MID(Raw!I751,6,2),MID(Raw!I751,9,2))</f>
        <v>45690</v>
      </c>
      <c r="N751" s="31" t="n">
        <f aca="false">DATE(LEFT(Raw!J751,4),MID(Raw!J751,6,2),MID(Raw!J751,9,2))+TIME(MID(Raw!J751,12,2),MID(Raw!J751,15,2),MID(Raw!J751,18,2))</f>
        <v>45686.3333333333</v>
      </c>
      <c r="O751" s="31" t="n">
        <f aca="false">DATE(LEFT(Raw!K751,4),MID(Raw!K751,6,2),MID(Raw!K751,9,2))+TIME(MID(Raw!K751,12,2),MID(Raw!K751,15,2),MID(Raw!K751,18,2))</f>
        <v>45692.4</v>
      </c>
      <c r="P751" s="32" t="n">
        <f aca="false">L751-K751</f>
        <v>4</v>
      </c>
      <c r="Q751" s="32" t="n">
        <f aca="false">M751-L751</f>
        <v>4</v>
      </c>
      <c r="R751" s="32" t="n">
        <f aca="false">O751-N751</f>
        <v>6.06666666666667</v>
      </c>
      <c r="S751" s="32" t="n">
        <f aca="false">Raw!L751</f>
        <v>2.4</v>
      </c>
      <c r="T751" s="32" t="n">
        <f aca="false">O751-M751</f>
        <v>2.4</v>
      </c>
      <c r="U751" s="0" t="str">
        <f aca="false">IF(ABS(T751-S751)&lt;0.01,"OK","MISMATCH")</f>
        <v>OK</v>
      </c>
      <c r="V751" s="33" t="n">
        <f aca="false">Raw!M751</f>
        <v>1</v>
      </c>
      <c r="W751" s="0" t="str">
        <f aca="false">IF((S751&gt;0)=(V751=1),"OK","MISMATCH")</f>
        <v>OK</v>
      </c>
      <c r="X751" s="0" t="str">
        <f aca="false">_xlfn.IFS(S751&lt;=0,"Early/On time",S751&lt;=2,"Minor (up to 2 days)",S751&lt;=5,"Moderate (2-5 days)",TRUE(),"Severe (over 5 days)")</f>
        <v>Moderate (2-5 days)</v>
      </c>
      <c r="Y751" s="0" t="str">
        <f aca="false">YEAR(K751)&amp;"-"&amp;TEXT(MONTH(K751),"00")</f>
        <v>2025-01</v>
      </c>
      <c r="Z751" s="0" t="str">
        <f aca="false">C751&amp;" → "&amp;D751</f>
        <v>Uttar Pradesh → Surat</v>
      </c>
      <c r="AA751" s="0" t="str">
        <f aca="false">Raw!Q751</f>
        <v>VRL Cargo</v>
      </c>
      <c r="AB751" s="0" t="str">
        <f aca="false">Raw!R751</f>
        <v>No</v>
      </c>
      <c r="AC751" s="0" t="str">
        <f aca="false">Raw!S751</f>
        <v>Held at warehouse</v>
      </c>
      <c r="AD751" s="29" t="n">
        <f aca="false">Raw!N751</f>
        <v>7879.62</v>
      </c>
      <c r="AE751" s="29" t="n">
        <f aca="false">Raw!O751</f>
        <v>4041.25</v>
      </c>
      <c r="AF751" s="29" t="n">
        <f aca="false">Raw!P751</f>
        <v>920.33</v>
      </c>
      <c r="AG751" s="29" t="n">
        <f aca="false">AD751/J751</f>
        <v>447.197502837684</v>
      </c>
    </row>
    <row r="752" customFormat="false" ht="15" hidden="false" customHeight="false" outlineLevel="0" collapsed="false">
      <c r="A752" s="0" t="str">
        <f aca="false">Raw!A752</f>
        <v>SHP0751</v>
      </c>
      <c r="B752" s="0" t="str">
        <f aca="false">Raw!B752</f>
        <v>Inbound</v>
      </c>
      <c r="C752" s="0" t="str">
        <f aca="false">Raw!C752</f>
        <v>Rajasthan</v>
      </c>
      <c r="D752" s="0" t="str">
        <f aca="false">Raw!D752</f>
        <v>Surat</v>
      </c>
      <c r="E752" s="0" t="str">
        <f aca="false">IFERROR(INDEX(Location_Map!$B$2:$B$15,MATCH(C752,Location_Map!$A$2:$A$15,0)),"UNMAPPED")</f>
        <v>Rajasthan</v>
      </c>
      <c r="F752" s="0" t="str">
        <f aca="false">IFERROR(INDEX(Location_Map!$C$2:$C$15,MATCH(C752,Location_Map!$A$2:$A$15,0)),"UNMAPPED")</f>
        <v>North</v>
      </c>
      <c r="G752" s="0" t="str">
        <f aca="false">IFERROR(INDEX(Location_Map!$B$2:$B$15,MATCH(D752,Location_Map!$A$2:$A$15,0)),"UNMAPPED")</f>
        <v>Gujarat</v>
      </c>
      <c r="H752" s="0" t="str">
        <f aca="false">IFERROR(INDEX(Location_Map!$C$2:$C$15,MATCH(D752,Location_Map!$A$2:$A$15,0)),"UNMAPPED")</f>
        <v>West</v>
      </c>
      <c r="I752" s="0" t="str">
        <f aca="false">Raw!E752</f>
        <v>Raw Yarn</v>
      </c>
      <c r="J752" s="28" t="n">
        <f aca="false">Raw!F752</f>
        <v>18.93</v>
      </c>
      <c r="K752" s="30" t="n">
        <f aca="false">DATE(LEFT(Raw!G752,4),MID(Raw!G752,6,2),MID(Raw!G752,9,2))</f>
        <v>45928</v>
      </c>
      <c r="L752" s="30" t="n">
        <f aca="false">DATE(LEFT(Raw!H752,4),MID(Raw!H752,6,2),MID(Raw!H752,9,2))</f>
        <v>45932</v>
      </c>
      <c r="M752" s="30" t="n">
        <f aca="false">DATE(LEFT(Raw!I752,4),MID(Raw!I752,6,2),MID(Raw!I752,9,2))</f>
        <v>45938</v>
      </c>
      <c r="N752" s="31" t="n">
        <f aca="false">DATE(LEFT(Raw!J752,4),MID(Raw!J752,6,2),MID(Raw!J752,9,2))+TIME(MID(Raw!J752,12,2),MID(Raw!J752,15,2),MID(Raw!J752,18,2))</f>
        <v>45931.9166666667</v>
      </c>
      <c r="O752" s="31" t="n">
        <f aca="false">DATE(LEFT(Raw!K752,4),MID(Raw!K752,6,2),MID(Raw!K752,9,2))+TIME(MID(Raw!K752,12,2),MID(Raw!K752,15,2),MID(Raw!K752,18,2))</f>
        <v>45937</v>
      </c>
      <c r="P752" s="32" t="n">
        <f aca="false">L752-K752</f>
        <v>4</v>
      </c>
      <c r="Q752" s="32" t="n">
        <f aca="false">M752-L752</f>
        <v>6</v>
      </c>
      <c r="R752" s="32" t="n">
        <f aca="false">O752-N752</f>
        <v>5.08333333333333</v>
      </c>
      <c r="S752" s="32" t="n">
        <f aca="false">Raw!L752</f>
        <v>-1</v>
      </c>
      <c r="T752" s="32" t="n">
        <f aca="false">O752-M752</f>
        <v>-1</v>
      </c>
      <c r="U752" s="0" t="str">
        <f aca="false">IF(ABS(T752-S752)&lt;0.01,"OK","MISMATCH")</f>
        <v>OK</v>
      </c>
      <c r="V752" s="33" t="n">
        <f aca="false">Raw!M752</f>
        <v>0</v>
      </c>
      <c r="W752" s="0" t="str">
        <f aca="false">IF((S752&gt;0)=(V752=1),"OK","MISMATCH")</f>
        <v>OK</v>
      </c>
      <c r="X752" s="0" t="str">
        <f aca="false">_xlfn.IFS(S752&lt;=0,"Early/On time",S752&lt;=2,"Minor (up to 2 days)",S752&lt;=5,"Moderate (2-5 days)",TRUE(),"Severe (over 5 days)")</f>
        <v>Early/On time</v>
      </c>
      <c r="Y752" s="0" t="str">
        <f aca="false">YEAR(K752)&amp;"-"&amp;TEXT(MONTH(K752),"00")</f>
        <v>2025-09</v>
      </c>
      <c r="Z752" s="0" t="str">
        <f aca="false">C752&amp;" → "&amp;D752</f>
        <v>Rajasthan → Surat</v>
      </c>
      <c r="AA752" s="0" t="str">
        <f aca="false">Raw!Q752</f>
        <v>GATI Logistics</v>
      </c>
      <c r="AB752" s="0" t="str">
        <f aca="false">Raw!R752</f>
        <v>No</v>
      </c>
      <c r="AC752" s="0" t="str">
        <f aca="false">Raw!S752</f>
        <v>Held at warehouse</v>
      </c>
      <c r="AD752" s="29" t="n">
        <f aca="false">Raw!N752</f>
        <v>4703.14</v>
      </c>
      <c r="AE752" s="29" t="n">
        <f aca="false">Raw!O752</f>
        <v>1404.66</v>
      </c>
      <c r="AF752" s="29" t="n">
        <f aca="false">Raw!P752</f>
        <v>511.33</v>
      </c>
      <c r="AG752" s="29" t="n">
        <f aca="false">AD752/J752</f>
        <v>248.449022715267</v>
      </c>
    </row>
    <row r="753" customFormat="false" ht="15" hidden="false" customHeight="false" outlineLevel="0" collapsed="false">
      <c r="A753" s="0" t="str">
        <f aca="false">Raw!A753</f>
        <v>SHP0752</v>
      </c>
      <c r="B753" s="0" t="str">
        <f aca="false">Raw!B753</f>
        <v>Inbound</v>
      </c>
      <c r="C753" s="0" t="str">
        <f aca="false">Raw!C753</f>
        <v>Chennai</v>
      </c>
      <c r="D753" s="0" t="str">
        <f aca="false">Raw!D753</f>
        <v>Surat</v>
      </c>
      <c r="E753" s="0" t="str">
        <f aca="false">IFERROR(INDEX(Location_Map!$B$2:$B$15,MATCH(C753,Location_Map!$A$2:$A$15,0)),"UNMAPPED")</f>
        <v>Tamil Nadu</v>
      </c>
      <c r="F753" s="0" t="str">
        <f aca="false">IFERROR(INDEX(Location_Map!$C$2:$C$15,MATCH(C753,Location_Map!$A$2:$A$15,0)),"UNMAPPED")</f>
        <v>South</v>
      </c>
      <c r="G753" s="0" t="str">
        <f aca="false">IFERROR(INDEX(Location_Map!$B$2:$B$15,MATCH(D753,Location_Map!$A$2:$A$15,0)),"UNMAPPED")</f>
        <v>Gujarat</v>
      </c>
      <c r="H753" s="0" t="str">
        <f aca="false">IFERROR(INDEX(Location_Map!$C$2:$C$15,MATCH(D753,Location_Map!$A$2:$A$15,0)),"UNMAPPED")</f>
        <v>West</v>
      </c>
      <c r="I753" s="0" t="str">
        <f aca="false">Raw!E753</f>
        <v>Finished Yarn</v>
      </c>
      <c r="J753" s="28" t="n">
        <f aca="false">Raw!F753</f>
        <v>11.42</v>
      </c>
      <c r="K753" s="30" t="n">
        <f aca="false">DATE(LEFT(Raw!G753,4),MID(Raw!G753,6,2),MID(Raw!G753,9,2))</f>
        <v>45950</v>
      </c>
      <c r="L753" s="30" t="n">
        <f aca="false">DATE(LEFT(Raw!H753,4),MID(Raw!H753,6,2),MID(Raw!H753,9,2))</f>
        <v>45952</v>
      </c>
      <c r="M753" s="30" t="n">
        <f aca="false">DATE(LEFT(Raw!I753,4),MID(Raw!I753,6,2),MID(Raw!I753,9,2))</f>
        <v>45957</v>
      </c>
      <c r="N753" s="31" t="n">
        <f aca="false">DATE(LEFT(Raw!J753,4),MID(Raw!J753,6,2),MID(Raw!J753,9,2))+TIME(MID(Raw!J753,12,2),MID(Raw!J753,15,2),MID(Raw!J753,18,2))</f>
        <v>45952.2916666667</v>
      </c>
      <c r="O753" s="31" t="n">
        <f aca="false">DATE(LEFT(Raw!K753,4),MID(Raw!K753,6,2),MID(Raw!K753,9,2))+TIME(MID(Raw!K753,12,2),MID(Raw!K753,15,2),MID(Raw!K753,18,2))</f>
        <v>45959.1</v>
      </c>
      <c r="P753" s="32" t="n">
        <f aca="false">L753-K753</f>
        <v>2</v>
      </c>
      <c r="Q753" s="32" t="n">
        <f aca="false">M753-L753</f>
        <v>5</v>
      </c>
      <c r="R753" s="32" t="n">
        <f aca="false">O753-N753</f>
        <v>6.80833333333333</v>
      </c>
      <c r="S753" s="32" t="n">
        <f aca="false">Raw!L753</f>
        <v>2.1</v>
      </c>
      <c r="T753" s="32" t="n">
        <f aca="false">O753-M753</f>
        <v>2.1</v>
      </c>
      <c r="U753" s="0" t="str">
        <f aca="false">IF(ABS(T753-S753)&lt;0.01,"OK","MISMATCH")</f>
        <v>OK</v>
      </c>
      <c r="V753" s="33" t="n">
        <f aca="false">Raw!M753</f>
        <v>1</v>
      </c>
      <c r="W753" s="0" t="str">
        <f aca="false">IF((S753&gt;0)=(V753=1),"OK","MISMATCH")</f>
        <v>OK</v>
      </c>
      <c r="X753" s="0" t="str">
        <f aca="false">_xlfn.IFS(S753&lt;=0,"Early/On time",S753&lt;=2,"Minor (up to 2 days)",S753&lt;=5,"Moderate (2-5 days)",TRUE(),"Severe (over 5 days)")</f>
        <v>Moderate (2-5 days)</v>
      </c>
      <c r="Y753" s="0" t="str">
        <f aca="false">YEAR(K753)&amp;"-"&amp;TEXT(MONTH(K753),"00")</f>
        <v>2025-10</v>
      </c>
      <c r="Z753" s="0" t="str">
        <f aca="false">C753&amp;" → "&amp;D753</f>
        <v>Chennai → Surat</v>
      </c>
      <c r="AA753" s="0" t="str">
        <f aca="false">Raw!Q753</f>
        <v>BlueDart</v>
      </c>
      <c r="AB753" s="0" t="str">
        <f aca="false">Raw!R753</f>
        <v>No</v>
      </c>
      <c r="AC753" s="0" t="str">
        <f aca="false">Raw!S753</f>
        <v>Damaged</v>
      </c>
      <c r="AD753" s="29" t="n">
        <f aca="false">Raw!N753</f>
        <v>6459.2</v>
      </c>
      <c r="AE753" s="29" t="n">
        <f aca="false">Raw!O753</f>
        <v>4433.88</v>
      </c>
      <c r="AF753" s="29" t="n">
        <f aca="false">Raw!P753</f>
        <v>1046.39</v>
      </c>
      <c r="AG753" s="29" t="n">
        <f aca="false">AD753/J753</f>
        <v>565.604203152364</v>
      </c>
    </row>
    <row r="754" customFormat="false" ht="15" hidden="false" customHeight="false" outlineLevel="0" collapsed="false">
      <c r="A754" s="0" t="str">
        <f aca="false">Raw!A754</f>
        <v>SHP0753</v>
      </c>
      <c r="B754" s="0" t="str">
        <f aca="false">Raw!B754</f>
        <v>Outbound</v>
      </c>
      <c r="C754" s="0" t="str">
        <f aca="false">Raw!C754</f>
        <v>Surat</v>
      </c>
      <c r="D754" s="0" t="str">
        <f aca="false">Raw!D754</f>
        <v>Mumbai</v>
      </c>
      <c r="E754" s="0" t="str">
        <f aca="false">IFERROR(INDEX(Location_Map!$B$2:$B$15,MATCH(C754,Location_Map!$A$2:$A$15,0)),"UNMAPPED")</f>
        <v>Gujarat</v>
      </c>
      <c r="F754" s="0" t="str">
        <f aca="false">IFERROR(INDEX(Location_Map!$C$2:$C$15,MATCH(C754,Location_Map!$A$2:$A$15,0)),"UNMAPPED")</f>
        <v>West</v>
      </c>
      <c r="G754" s="0" t="str">
        <f aca="false">IFERROR(INDEX(Location_Map!$B$2:$B$15,MATCH(D754,Location_Map!$A$2:$A$15,0)),"UNMAPPED")</f>
        <v>Maharashtra</v>
      </c>
      <c r="H754" s="0" t="str">
        <f aca="false">IFERROR(INDEX(Location_Map!$C$2:$C$15,MATCH(D754,Location_Map!$A$2:$A$15,0)),"UNMAPPED")</f>
        <v>West</v>
      </c>
      <c r="I754" s="0" t="str">
        <f aca="false">Raw!E754</f>
        <v>Raw Yarn</v>
      </c>
      <c r="J754" s="28" t="n">
        <f aca="false">Raw!F754</f>
        <v>11.82</v>
      </c>
      <c r="K754" s="30" t="n">
        <f aca="false">DATE(LEFT(Raw!G754,4),MID(Raw!G754,6,2),MID(Raw!G754,9,2))</f>
        <v>45760</v>
      </c>
      <c r="L754" s="30" t="n">
        <f aca="false">DATE(LEFT(Raw!H754,4),MID(Raw!H754,6,2),MID(Raw!H754,9,2))</f>
        <v>45763</v>
      </c>
      <c r="M754" s="30" t="n">
        <f aca="false">DATE(LEFT(Raw!I754,4),MID(Raw!I754,6,2),MID(Raw!I754,9,2))</f>
        <v>45765</v>
      </c>
      <c r="N754" s="31" t="n">
        <f aca="false">DATE(LEFT(Raw!J754,4),MID(Raw!J754,6,2),MID(Raw!J754,9,2))+TIME(MID(Raw!J754,12,2),MID(Raw!J754,15,2),MID(Raw!J754,18,2))</f>
        <v>45763.125</v>
      </c>
      <c r="O754" s="31" t="n">
        <f aca="false">DATE(LEFT(Raw!K754,4),MID(Raw!K754,6,2),MID(Raw!K754,9,2))+TIME(MID(Raw!K754,12,2),MID(Raw!K754,15,2),MID(Raw!K754,18,2))</f>
        <v>45765.2</v>
      </c>
      <c r="P754" s="32" t="n">
        <f aca="false">L754-K754</f>
        <v>3</v>
      </c>
      <c r="Q754" s="32" t="n">
        <f aca="false">M754-L754</f>
        <v>2</v>
      </c>
      <c r="R754" s="32" t="n">
        <f aca="false">O754-N754</f>
        <v>2.075</v>
      </c>
      <c r="S754" s="32" t="n">
        <f aca="false">Raw!L754</f>
        <v>0.2</v>
      </c>
      <c r="T754" s="32" t="n">
        <f aca="false">O754-M754</f>
        <v>0.2</v>
      </c>
      <c r="U754" s="0" t="str">
        <f aca="false">IF(ABS(T754-S754)&lt;0.01,"OK","MISMATCH")</f>
        <v>OK</v>
      </c>
      <c r="V754" s="33" t="n">
        <f aca="false">Raw!M754</f>
        <v>1</v>
      </c>
      <c r="W754" s="0" t="str">
        <f aca="false">IF((S754&gt;0)=(V754=1),"OK","MISMATCH")</f>
        <v>OK</v>
      </c>
      <c r="X754" s="0" t="str">
        <f aca="false">_xlfn.IFS(S754&lt;=0,"Early/On time",S754&lt;=2,"Minor (up to 2 days)",S754&lt;=5,"Moderate (2-5 days)",TRUE(),"Severe (over 5 days)")</f>
        <v>Minor (up to 2 days)</v>
      </c>
      <c r="Y754" s="0" t="str">
        <f aca="false">YEAR(K754)&amp;"-"&amp;TEXT(MONTH(K754),"00")</f>
        <v>2025-04</v>
      </c>
      <c r="Z754" s="0" t="str">
        <f aca="false">C754&amp;" → "&amp;D754</f>
        <v>Surat → Mumbai</v>
      </c>
      <c r="AA754" s="0" t="str">
        <f aca="false">Raw!Q754</f>
        <v>BlueDart</v>
      </c>
      <c r="AB754" s="0" t="str">
        <f aca="false">Raw!R754</f>
        <v>Yes</v>
      </c>
      <c r="AC754" s="0" t="str">
        <f aca="false">Raw!S754</f>
        <v>Returned</v>
      </c>
      <c r="AD754" s="29" t="n">
        <f aca="false">Raw!N754</f>
        <v>6885.84</v>
      </c>
      <c r="AE754" s="29" t="n">
        <f aca="false">Raw!O754</f>
        <v>1571.3</v>
      </c>
      <c r="AF754" s="29" t="n">
        <f aca="false">Raw!P754</f>
        <v>1195.88</v>
      </c>
      <c r="AG754" s="29" t="n">
        <f aca="false">AD754/J754</f>
        <v>582.558375634518</v>
      </c>
    </row>
    <row r="755" customFormat="false" ht="15" hidden="false" customHeight="false" outlineLevel="0" collapsed="false">
      <c r="A755" s="0" t="str">
        <f aca="false">Raw!A755</f>
        <v>SHP0754</v>
      </c>
      <c r="B755" s="0" t="str">
        <f aca="false">Raw!B755</f>
        <v>Outbound</v>
      </c>
      <c r="C755" s="0" t="str">
        <f aca="false">Raw!C755</f>
        <v>Surat</v>
      </c>
      <c r="D755" s="0" t="str">
        <f aca="false">Raw!D755</f>
        <v>Kerala</v>
      </c>
      <c r="E755" s="0" t="str">
        <f aca="false">IFERROR(INDEX(Location_Map!$B$2:$B$15,MATCH(C755,Location_Map!$A$2:$A$15,0)),"UNMAPPED")</f>
        <v>Gujarat</v>
      </c>
      <c r="F755" s="0" t="str">
        <f aca="false">IFERROR(INDEX(Location_Map!$C$2:$C$15,MATCH(C755,Location_Map!$A$2:$A$15,0)),"UNMAPPED")</f>
        <v>West</v>
      </c>
      <c r="G755" s="0" t="str">
        <f aca="false">IFERROR(INDEX(Location_Map!$B$2:$B$15,MATCH(D755,Location_Map!$A$2:$A$15,0)),"UNMAPPED")</f>
        <v>Kerala</v>
      </c>
      <c r="H755" s="0" t="str">
        <f aca="false">IFERROR(INDEX(Location_Map!$C$2:$C$15,MATCH(D755,Location_Map!$A$2:$A$15,0)),"UNMAPPED")</f>
        <v>South</v>
      </c>
      <c r="I755" s="0" t="str">
        <f aca="false">Raw!E755</f>
        <v>Finished Yarn</v>
      </c>
      <c r="J755" s="28" t="n">
        <f aca="false">Raw!F755</f>
        <v>4.13</v>
      </c>
      <c r="K755" s="30" t="n">
        <f aca="false">DATE(LEFT(Raw!G755,4),MID(Raw!G755,6,2),MID(Raw!G755,9,2))</f>
        <v>45884</v>
      </c>
      <c r="L755" s="30" t="n">
        <f aca="false">DATE(LEFT(Raw!H755,4),MID(Raw!H755,6,2),MID(Raw!H755,9,2))</f>
        <v>45888</v>
      </c>
      <c r="M755" s="30" t="n">
        <f aca="false">DATE(LEFT(Raw!I755,4),MID(Raw!I755,6,2),MID(Raw!I755,9,2))</f>
        <v>45893</v>
      </c>
      <c r="N755" s="31" t="n">
        <f aca="false">DATE(LEFT(Raw!J755,4),MID(Raw!J755,6,2),MID(Raw!J755,9,2))+TIME(MID(Raw!J755,12,2),MID(Raw!J755,15,2),MID(Raw!J755,18,2))</f>
        <v>45887.8333333333</v>
      </c>
      <c r="O755" s="31" t="n">
        <f aca="false">DATE(LEFT(Raw!K755,4),MID(Raw!K755,6,2),MID(Raw!K755,9,2))+TIME(MID(Raw!K755,12,2),MID(Raw!K755,15,2),MID(Raw!K755,18,2))</f>
        <v>45894.8</v>
      </c>
      <c r="P755" s="32" t="n">
        <f aca="false">L755-K755</f>
        <v>4</v>
      </c>
      <c r="Q755" s="32" t="n">
        <f aca="false">M755-L755</f>
        <v>5</v>
      </c>
      <c r="R755" s="32" t="n">
        <f aca="false">O755-N755</f>
        <v>6.96666666666667</v>
      </c>
      <c r="S755" s="32" t="n">
        <f aca="false">Raw!L755</f>
        <v>1.8</v>
      </c>
      <c r="T755" s="32" t="n">
        <f aca="false">O755-M755</f>
        <v>1.8</v>
      </c>
      <c r="U755" s="0" t="str">
        <f aca="false">IF(ABS(T755-S755)&lt;0.01,"OK","MISMATCH")</f>
        <v>OK</v>
      </c>
      <c r="V755" s="33" t="n">
        <f aca="false">Raw!M755</f>
        <v>1</v>
      </c>
      <c r="W755" s="0" t="str">
        <f aca="false">IF((S755&gt;0)=(V755=1),"OK","MISMATCH")</f>
        <v>OK</v>
      </c>
      <c r="X755" s="0" t="str">
        <f aca="false">_xlfn.IFS(S755&lt;=0,"Early/On time",S755&lt;=2,"Minor (up to 2 days)",S755&lt;=5,"Moderate (2-5 days)",TRUE(),"Severe (over 5 days)")</f>
        <v>Minor (up to 2 days)</v>
      </c>
      <c r="Y755" s="0" t="str">
        <f aca="false">YEAR(K755)&amp;"-"&amp;TEXT(MONTH(K755),"00")</f>
        <v>2025-08</v>
      </c>
      <c r="Z755" s="0" t="str">
        <f aca="false">C755&amp;" → "&amp;D755</f>
        <v>Surat → Kerala</v>
      </c>
      <c r="AA755" s="0" t="str">
        <f aca="false">Raw!Q755</f>
        <v>BlueDart</v>
      </c>
      <c r="AB755" s="0" t="str">
        <f aca="false">Raw!R755</f>
        <v>Yes</v>
      </c>
      <c r="AC755" s="0" t="str">
        <f aca="false">Raw!S755</f>
        <v>Damaged</v>
      </c>
      <c r="AD755" s="29" t="n">
        <f aca="false">Raw!N755</f>
        <v>3703.05</v>
      </c>
      <c r="AE755" s="29" t="n">
        <f aca="false">Raw!O755</f>
        <v>1224.01</v>
      </c>
      <c r="AF755" s="29" t="n">
        <f aca="false">Raw!P755</f>
        <v>980.11</v>
      </c>
      <c r="AG755" s="29" t="n">
        <f aca="false">AD755/J755</f>
        <v>896.622276029056</v>
      </c>
    </row>
    <row r="756" customFormat="false" ht="15" hidden="false" customHeight="false" outlineLevel="0" collapsed="false">
      <c r="A756" s="0" t="str">
        <f aca="false">Raw!A756</f>
        <v>SHP0755</v>
      </c>
      <c r="B756" s="0" t="str">
        <f aca="false">Raw!B756</f>
        <v>Outbound</v>
      </c>
      <c r="C756" s="0" t="str">
        <f aca="false">Raw!C756</f>
        <v>Surat</v>
      </c>
      <c r="D756" s="0" t="str">
        <f aca="false">Raw!D756</f>
        <v>West Bengal</v>
      </c>
      <c r="E756" s="0" t="str">
        <f aca="false">IFERROR(INDEX(Location_Map!$B$2:$B$15,MATCH(C756,Location_Map!$A$2:$A$15,0)),"UNMAPPED")</f>
        <v>Gujarat</v>
      </c>
      <c r="F756" s="0" t="str">
        <f aca="false">IFERROR(INDEX(Location_Map!$C$2:$C$15,MATCH(C756,Location_Map!$A$2:$A$15,0)),"UNMAPPED")</f>
        <v>West</v>
      </c>
      <c r="G756" s="0" t="str">
        <f aca="false">IFERROR(INDEX(Location_Map!$B$2:$B$15,MATCH(D756,Location_Map!$A$2:$A$15,0)),"UNMAPPED")</f>
        <v>West Bengal</v>
      </c>
      <c r="H756" s="0" t="str">
        <f aca="false">IFERROR(INDEX(Location_Map!$C$2:$C$15,MATCH(D756,Location_Map!$A$2:$A$15,0)),"UNMAPPED")</f>
        <v>East</v>
      </c>
      <c r="I756" s="0" t="str">
        <f aca="false">Raw!E756</f>
        <v>Finished Yarn</v>
      </c>
      <c r="J756" s="28" t="n">
        <f aca="false">Raw!F756</f>
        <v>11.17</v>
      </c>
      <c r="K756" s="30" t="n">
        <f aca="false">DATE(LEFT(Raw!G756,4),MID(Raw!G756,6,2),MID(Raw!G756,9,2))</f>
        <v>45708</v>
      </c>
      <c r="L756" s="30" t="n">
        <f aca="false">DATE(LEFT(Raw!H756,4),MID(Raw!H756,6,2),MID(Raw!H756,9,2))</f>
        <v>45710</v>
      </c>
      <c r="M756" s="30" t="n">
        <f aca="false">DATE(LEFT(Raw!I756,4),MID(Raw!I756,6,2),MID(Raw!I756,9,2))</f>
        <v>45712</v>
      </c>
      <c r="N756" s="31" t="n">
        <f aca="false">DATE(LEFT(Raw!J756,4),MID(Raw!J756,6,2),MID(Raw!J756,9,2))+TIME(MID(Raw!J756,12,2),MID(Raw!J756,15,2),MID(Raw!J756,18,2))</f>
        <v>45710</v>
      </c>
      <c r="O756" s="31" t="n">
        <f aca="false">DATE(LEFT(Raw!K756,4),MID(Raw!K756,6,2),MID(Raw!K756,9,2))+TIME(MID(Raw!K756,12,2),MID(Raw!K756,15,2),MID(Raw!K756,18,2))</f>
        <v>45713.3</v>
      </c>
      <c r="P756" s="32" t="n">
        <f aca="false">L756-K756</f>
        <v>2</v>
      </c>
      <c r="Q756" s="32" t="n">
        <f aca="false">M756-L756</f>
        <v>2</v>
      </c>
      <c r="R756" s="32" t="n">
        <f aca="false">O756-N756</f>
        <v>3.3</v>
      </c>
      <c r="S756" s="32" t="n">
        <f aca="false">Raw!L756</f>
        <v>1.3</v>
      </c>
      <c r="T756" s="32" t="n">
        <f aca="false">O756-M756</f>
        <v>1.3</v>
      </c>
      <c r="U756" s="0" t="str">
        <f aca="false">IF(ABS(T756-S756)&lt;0.01,"OK","MISMATCH")</f>
        <v>OK</v>
      </c>
      <c r="V756" s="33" t="n">
        <f aca="false">Raw!M756</f>
        <v>1</v>
      </c>
      <c r="W756" s="0" t="str">
        <f aca="false">IF((S756&gt;0)=(V756=1),"OK","MISMATCH")</f>
        <v>OK</v>
      </c>
      <c r="X756" s="0" t="str">
        <f aca="false">_xlfn.IFS(S756&lt;=0,"Early/On time",S756&lt;=2,"Minor (up to 2 days)",S756&lt;=5,"Moderate (2-5 days)",TRUE(),"Severe (over 5 days)")</f>
        <v>Minor (up to 2 days)</v>
      </c>
      <c r="Y756" s="0" t="str">
        <f aca="false">YEAR(K756)&amp;"-"&amp;TEXT(MONTH(K756),"00")</f>
        <v>2025-02</v>
      </c>
      <c r="Z756" s="0" t="str">
        <f aca="false">C756&amp;" → "&amp;D756</f>
        <v>Surat → West Bengal</v>
      </c>
      <c r="AA756" s="0" t="str">
        <f aca="false">Raw!Q756</f>
        <v>GATI Logistics</v>
      </c>
      <c r="AB756" s="0" t="str">
        <f aca="false">Raw!R756</f>
        <v>No</v>
      </c>
      <c r="AC756" s="0" t="str">
        <f aca="false">Raw!S756</f>
        <v>Damaged</v>
      </c>
      <c r="AD756" s="29" t="n">
        <f aca="false">Raw!N756</f>
        <v>5748.14</v>
      </c>
      <c r="AE756" s="29" t="n">
        <f aca="false">Raw!O756</f>
        <v>2016.12</v>
      </c>
      <c r="AF756" s="29" t="n">
        <f aca="false">Raw!P756</f>
        <v>1482.14</v>
      </c>
      <c r="AG756" s="29" t="n">
        <f aca="false">AD756/J756</f>
        <v>514.605192479857</v>
      </c>
    </row>
    <row r="757" customFormat="false" ht="15" hidden="false" customHeight="false" outlineLevel="0" collapsed="false">
      <c r="A757" s="0" t="str">
        <f aca="false">Raw!A757</f>
        <v>SHP0756</v>
      </c>
      <c r="B757" s="0" t="str">
        <f aca="false">Raw!B757</f>
        <v>Outbound</v>
      </c>
      <c r="C757" s="0" t="str">
        <f aca="false">Raw!C757</f>
        <v>Surat</v>
      </c>
      <c r="D757" s="0" t="str">
        <f aca="false">Raw!D757</f>
        <v>Gujarat</v>
      </c>
      <c r="E757" s="0" t="str">
        <f aca="false">IFERROR(INDEX(Location_Map!$B$2:$B$15,MATCH(C757,Location_Map!$A$2:$A$15,0)),"UNMAPPED")</f>
        <v>Gujarat</v>
      </c>
      <c r="F757" s="0" t="str">
        <f aca="false">IFERROR(INDEX(Location_Map!$C$2:$C$15,MATCH(C757,Location_Map!$A$2:$A$15,0)),"UNMAPPED")</f>
        <v>West</v>
      </c>
      <c r="G757" s="0" t="str">
        <f aca="false">IFERROR(INDEX(Location_Map!$B$2:$B$15,MATCH(D757,Location_Map!$A$2:$A$15,0)),"UNMAPPED")</f>
        <v>Gujarat</v>
      </c>
      <c r="H757" s="0" t="str">
        <f aca="false">IFERROR(INDEX(Location_Map!$C$2:$C$15,MATCH(D757,Location_Map!$A$2:$A$15,0)),"UNMAPPED")</f>
        <v>West</v>
      </c>
      <c r="I757" s="0" t="str">
        <f aca="false">Raw!E757</f>
        <v>Finished Yarn</v>
      </c>
      <c r="J757" s="28" t="n">
        <f aca="false">Raw!F757</f>
        <v>19.68</v>
      </c>
      <c r="K757" s="30" t="n">
        <f aca="false">DATE(LEFT(Raw!G757,4),MID(Raw!G757,6,2),MID(Raw!G757,9,2))</f>
        <v>45935</v>
      </c>
      <c r="L757" s="30" t="n">
        <f aca="false">DATE(LEFT(Raw!H757,4),MID(Raw!H757,6,2),MID(Raw!H757,9,2))</f>
        <v>45939</v>
      </c>
      <c r="M757" s="30" t="n">
        <f aca="false">DATE(LEFT(Raw!I757,4),MID(Raw!I757,6,2),MID(Raw!I757,9,2))</f>
        <v>45943</v>
      </c>
      <c r="N757" s="31" t="n">
        <f aca="false">DATE(LEFT(Raw!J757,4),MID(Raw!J757,6,2),MID(Raw!J757,9,2))+TIME(MID(Raw!J757,12,2),MID(Raw!J757,15,2),MID(Raw!J757,18,2))</f>
        <v>45939</v>
      </c>
      <c r="O757" s="31" t="n">
        <f aca="false">DATE(LEFT(Raw!K757,4),MID(Raw!K757,6,2),MID(Raw!K757,9,2))+TIME(MID(Raw!K757,12,2),MID(Raw!K757,15,2),MID(Raw!K757,18,2))</f>
        <v>45946.2</v>
      </c>
      <c r="P757" s="32" t="n">
        <f aca="false">L757-K757</f>
        <v>4</v>
      </c>
      <c r="Q757" s="32" t="n">
        <f aca="false">M757-L757</f>
        <v>4</v>
      </c>
      <c r="R757" s="32" t="n">
        <f aca="false">O757-N757</f>
        <v>7.2</v>
      </c>
      <c r="S757" s="32" t="n">
        <f aca="false">Raw!L757</f>
        <v>3.2</v>
      </c>
      <c r="T757" s="32" t="n">
        <f aca="false">O757-M757</f>
        <v>3.2</v>
      </c>
      <c r="U757" s="0" t="str">
        <f aca="false">IF(ABS(T757-S757)&lt;0.01,"OK","MISMATCH")</f>
        <v>OK</v>
      </c>
      <c r="V757" s="33" t="n">
        <f aca="false">Raw!M757</f>
        <v>1</v>
      </c>
      <c r="W757" s="0" t="str">
        <f aca="false">IF((S757&gt;0)=(V757=1),"OK","MISMATCH")</f>
        <v>OK</v>
      </c>
      <c r="X757" s="0" t="str">
        <f aca="false">_xlfn.IFS(S757&lt;=0,"Early/On time",S757&lt;=2,"Minor (up to 2 days)",S757&lt;=5,"Moderate (2-5 days)",TRUE(),"Severe (over 5 days)")</f>
        <v>Moderate (2-5 days)</v>
      </c>
      <c r="Y757" s="0" t="str">
        <f aca="false">YEAR(K757)&amp;"-"&amp;TEXT(MONTH(K757),"00")</f>
        <v>2025-10</v>
      </c>
      <c r="Z757" s="0" t="str">
        <f aca="false">C757&amp;" → "&amp;D757</f>
        <v>Surat → Gujarat</v>
      </c>
      <c r="AA757" s="0" t="str">
        <f aca="false">Raw!Q757</f>
        <v>TCI Express</v>
      </c>
      <c r="AB757" s="0" t="str">
        <f aca="false">Raw!R757</f>
        <v>No</v>
      </c>
      <c r="AC757" s="0" t="str">
        <f aca="false">Raw!S757</f>
        <v>Held at warehouse</v>
      </c>
      <c r="AD757" s="29" t="n">
        <f aca="false">Raw!N757</f>
        <v>10600.41</v>
      </c>
      <c r="AE757" s="29" t="n">
        <f aca="false">Raw!O757</f>
        <v>2307.09</v>
      </c>
      <c r="AF757" s="29" t="n">
        <f aca="false">Raw!P757</f>
        <v>1244.87</v>
      </c>
      <c r="AG757" s="29" t="n">
        <f aca="false">AD757/J757</f>
        <v>538.638719512195</v>
      </c>
    </row>
    <row r="758" customFormat="false" ht="15" hidden="false" customHeight="false" outlineLevel="0" collapsed="false">
      <c r="A758" s="0" t="str">
        <f aca="false">Raw!A758</f>
        <v>SHP0757</v>
      </c>
      <c r="B758" s="0" t="str">
        <f aca="false">Raw!B758</f>
        <v>Inbound</v>
      </c>
      <c r="C758" s="0" t="str">
        <f aca="false">Raw!C758</f>
        <v>Rajasthan</v>
      </c>
      <c r="D758" s="0" t="str">
        <f aca="false">Raw!D758</f>
        <v>Surat</v>
      </c>
      <c r="E758" s="0" t="str">
        <f aca="false">IFERROR(INDEX(Location_Map!$B$2:$B$15,MATCH(C758,Location_Map!$A$2:$A$15,0)),"UNMAPPED")</f>
        <v>Rajasthan</v>
      </c>
      <c r="F758" s="0" t="str">
        <f aca="false">IFERROR(INDEX(Location_Map!$C$2:$C$15,MATCH(C758,Location_Map!$A$2:$A$15,0)),"UNMAPPED")</f>
        <v>North</v>
      </c>
      <c r="G758" s="0" t="str">
        <f aca="false">IFERROR(INDEX(Location_Map!$B$2:$B$15,MATCH(D758,Location_Map!$A$2:$A$15,0)),"UNMAPPED")</f>
        <v>Gujarat</v>
      </c>
      <c r="H758" s="0" t="str">
        <f aca="false">IFERROR(INDEX(Location_Map!$C$2:$C$15,MATCH(D758,Location_Map!$A$2:$A$15,0)),"UNMAPPED")</f>
        <v>West</v>
      </c>
      <c r="I758" s="0" t="str">
        <f aca="false">Raw!E758</f>
        <v>Finished Yarn</v>
      </c>
      <c r="J758" s="28" t="n">
        <f aca="false">Raw!F758</f>
        <v>2.51</v>
      </c>
      <c r="K758" s="30" t="n">
        <f aca="false">DATE(LEFT(Raw!G758,4),MID(Raw!G758,6,2),MID(Raw!G758,9,2))</f>
        <v>45672</v>
      </c>
      <c r="L758" s="30" t="n">
        <f aca="false">DATE(LEFT(Raw!H758,4),MID(Raw!H758,6,2),MID(Raw!H758,9,2))</f>
        <v>45674</v>
      </c>
      <c r="M758" s="30" t="n">
        <f aca="false">DATE(LEFT(Raw!I758,4),MID(Raw!I758,6,2),MID(Raw!I758,9,2))</f>
        <v>45677</v>
      </c>
      <c r="N758" s="31" t="n">
        <f aca="false">DATE(LEFT(Raw!J758,4),MID(Raw!J758,6,2),MID(Raw!J758,9,2))+TIME(MID(Raw!J758,12,2),MID(Raw!J758,15,2),MID(Raw!J758,18,2))</f>
        <v>45673.8333333333</v>
      </c>
      <c r="O758" s="31" t="n">
        <f aca="false">DATE(LEFT(Raw!K758,4),MID(Raw!K758,6,2),MID(Raw!K758,9,2))+TIME(MID(Raw!K758,12,2),MID(Raw!K758,15,2),MID(Raw!K758,18,2))</f>
        <v>45679.4</v>
      </c>
      <c r="P758" s="32" t="n">
        <f aca="false">L758-K758</f>
        <v>2</v>
      </c>
      <c r="Q758" s="32" t="n">
        <f aca="false">M758-L758</f>
        <v>3</v>
      </c>
      <c r="R758" s="32" t="n">
        <f aca="false">O758-N758</f>
        <v>5.56666666666667</v>
      </c>
      <c r="S758" s="32" t="n">
        <f aca="false">Raw!L758</f>
        <v>2.4</v>
      </c>
      <c r="T758" s="32" t="n">
        <f aca="false">O758-M758</f>
        <v>2.4</v>
      </c>
      <c r="U758" s="0" t="str">
        <f aca="false">IF(ABS(T758-S758)&lt;0.01,"OK","MISMATCH")</f>
        <v>OK</v>
      </c>
      <c r="V758" s="33" t="n">
        <f aca="false">Raw!M758</f>
        <v>1</v>
      </c>
      <c r="W758" s="0" t="str">
        <f aca="false">IF((S758&gt;0)=(V758=1),"OK","MISMATCH")</f>
        <v>OK</v>
      </c>
      <c r="X758" s="0" t="str">
        <f aca="false">_xlfn.IFS(S758&lt;=0,"Early/On time",S758&lt;=2,"Minor (up to 2 days)",S758&lt;=5,"Moderate (2-5 days)",TRUE(),"Severe (over 5 days)")</f>
        <v>Moderate (2-5 days)</v>
      </c>
      <c r="Y758" s="0" t="str">
        <f aca="false">YEAR(K758)&amp;"-"&amp;TEXT(MONTH(K758),"00")</f>
        <v>2025-01</v>
      </c>
      <c r="Z758" s="0" t="str">
        <f aca="false">C758&amp;" → "&amp;D758</f>
        <v>Rajasthan → Surat</v>
      </c>
      <c r="AA758" s="0" t="str">
        <f aca="false">Raw!Q758</f>
        <v>GATI Logistics</v>
      </c>
      <c r="AB758" s="0" t="str">
        <f aca="false">Raw!R758</f>
        <v>Yes</v>
      </c>
      <c r="AC758" s="0" t="str">
        <f aca="false">Raw!S758</f>
        <v>Damaged</v>
      </c>
      <c r="AD758" s="29" t="n">
        <f aca="false">Raw!N758</f>
        <v>1324</v>
      </c>
      <c r="AE758" s="29" t="n">
        <f aca="false">Raw!O758</f>
        <v>1286.93</v>
      </c>
      <c r="AF758" s="29" t="n">
        <f aca="false">Raw!P758</f>
        <v>1159.87</v>
      </c>
      <c r="AG758" s="29" t="n">
        <f aca="false">AD758/J758</f>
        <v>527.490039840638</v>
      </c>
    </row>
    <row r="759" customFormat="false" ht="15" hidden="false" customHeight="false" outlineLevel="0" collapsed="false">
      <c r="A759" s="0" t="str">
        <f aca="false">Raw!A759</f>
        <v>SHP0758</v>
      </c>
      <c r="B759" s="0" t="str">
        <f aca="false">Raw!B759</f>
        <v>Inbound</v>
      </c>
      <c r="C759" s="0" t="str">
        <f aca="false">Raw!C759</f>
        <v>Gujarat</v>
      </c>
      <c r="D759" s="0" t="str">
        <f aca="false">Raw!D759</f>
        <v>Surat</v>
      </c>
      <c r="E759" s="0" t="str">
        <f aca="false">IFERROR(INDEX(Location_Map!$B$2:$B$15,MATCH(C759,Location_Map!$A$2:$A$15,0)),"UNMAPPED")</f>
        <v>Gujarat</v>
      </c>
      <c r="F759" s="0" t="str">
        <f aca="false">IFERROR(INDEX(Location_Map!$C$2:$C$15,MATCH(C759,Location_Map!$A$2:$A$15,0)),"UNMAPPED")</f>
        <v>West</v>
      </c>
      <c r="G759" s="0" t="str">
        <f aca="false">IFERROR(INDEX(Location_Map!$B$2:$B$15,MATCH(D759,Location_Map!$A$2:$A$15,0)),"UNMAPPED")</f>
        <v>Gujarat</v>
      </c>
      <c r="H759" s="0" t="str">
        <f aca="false">IFERROR(INDEX(Location_Map!$C$2:$C$15,MATCH(D759,Location_Map!$A$2:$A$15,0)),"UNMAPPED")</f>
        <v>West</v>
      </c>
      <c r="I759" s="0" t="str">
        <f aca="false">Raw!E759</f>
        <v>Finished Yarn</v>
      </c>
      <c r="J759" s="28" t="n">
        <f aca="false">Raw!F759</f>
        <v>9.2</v>
      </c>
      <c r="K759" s="30" t="n">
        <f aca="false">DATE(LEFT(Raw!G759,4),MID(Raw!G759,6,2),MID(Raw!G759,9,2))</f>
        <v>45887</v>
      </c>
      <c r="L759" s="30" t="n">
        <f aca="false">DATE(LEFT(Raw!H759,4),MID(Raw!H759,6,2),MID(Raw!H759,9,2))</f>
        <v>45891</v>
      </c>
      <c r="M759" s="30" t="n">
        <f aca="false">DATE(LEFT(Raw!I759,4),MID(Raw!I759,6,2),MID(Raw!I759,9,2))</f>
        <v>45893</v>
      </c>
      <c r="N759" s="31" t="n">
        <f aca="false">DATE(LEFT(Raw!J759,4),MID(Raw!J759,6,2),MID(Raw!J759,9,2))+TIME(MID(Raw!J759,12,2),MID(Raw!J759,15,2),MID(Raw!J759,18,2))</f>
        <v>45891</v>
      </c>
      <c r="O759" s="31" t="n">
        <f aca="false">DATE(LEFT(Raw!K759,4),MID(Raw!K759,6,2),MID(Raw!K759,9,2))+TIME(MID(Raw!K759,12,2),MID(Raw!K759,15,2),MID(Raw!K759,18,2))</f>
        <v>45894.8</v>
      </c>
      <c r="P759" s="32" t="n">
        <f aca="false">L759-K759</f>
        <v>4</v>
      </c>
      <c r="Q759" s="32" t="n">
        <f aca="false">M759-L759</f>
        <v>2</v>
      </c>
      <c r="R759" s="32" t="n">
        <f aca="false">O759-N759</f>
        <v>3.8</v>
      </c>
      <c r="S759" s="32" t="n">
        <f aca="false">Raw!L759</f>
        <v>1.8</v>
      </c>
      <c r="T759" s="32" t="n">
        <f aca="false">O759-M759</f>
        <v>1.8</v>
      </c>
      <c r="U759" s="0" t="str">
        <f aca="false">IF(ABS(T759-S759)&lt;0.01,"OK","MISMATCH")</f>
        <v>OK</v>
      </c>
      <c r="V759" s="33" t="n">
        <f aca="false">Raw!M759</f>
        <v>1</v>
      </c>
      <c r="W759" s="0" t="str">
        <f aca="false">IF((S759&gt;0)=(V759=1),"OK","MISMATCH")</f>
        <v>OK</v>
      </c>
      <c r="X759" s="0" t="str">
        <f aca="false">_xlfn.IFS(S759&lt;=0,"Early/On time",S759&lt;=2,"Minor (up to 2 days)",S759&lt;=5,"Moderate (2-5 days)",TRUE(),"Severe (over 5 days)")</f>
        <v>Minor (up to 2 days)</v>
      </c>
      <c r="Y759" s="0" t="str">
        <f aca="false">YEAR(K759)&amp;"-"&amp;TEXT(MONTH(K759),"00")</f>
        <v>2025-08</v>
      </c>
      <c r="Z759" s="0" t="str">
        <f aca="false">C759&amp;" → "&amp;D759</f>
        <v>Gujarat → Surat</v>
      </c>
      <c r="AA759" s="0" t="str">
        <f aca="false">Raw!Q759</f>
        <v>BlueDart</v>
      </c>
      <c r="AB759" s="0" t="str">
        <f aca="false">Raw!R759</f>
        <v>Yes</v>
      </c>
      <c r="AC759" s="0" t="str">
        <f aca="false">Raw!S759</f>
        <v>Expedited</v>
      </c>
      <c r="AD759" s="29" t="n">
        <f aca="false">Raw!N759</f>
        <v>2601.47</v>
      </c>
      <c r="AE759" s="29" t="n">
        <f aca="false">Raw!O759</f>
        <v>4524.02</v>
      </c>
      <c r="AF759" s="29" t="n">
        <f aca="false">Raw!P759</f>
        <v>1027.5</v>
      </c>
      <c r="AG759" s="29" t="n">
        <f aca="false">AD759/J759</f>
        <v>282.76847826087</v>
      </c>
    </row>
    <row r="760" customFormat="false" ht="15" hidden="false" customHeight="false" outlineLevel="0" collapsed="false">
      <c r="A760" s="0" t="str">
        <f aca="false">Raw!A760</f>
        <v>SHP0759</v>
      </c>
      <c r="B760" s="0" t="str">
        <f aca="false">Raw!B760</f>
        <v>Inbound</v>
      </c>
      <c r="C760" s="0" t="str">
        <f aca="false">Raw!C760</f>
        <v>Punjab</v>
      </c>
      <c r="D760" s="0" t="str">
        <f aca="false">Raw!D760</f>
        <v>Surat</v>
      </c>
      <c r="E760" s="0" t="str">
        <f aca="false">IFERROR(INDEX(Location_Map!$B$2:$B$15,MATCH(C760,Location_Map!$A$2:$A$15,0)),"UNMAPPED")</f>
        <v>Punjab</v>
      </c>
      <c r="F760" s="0" t="str">
        <f aca="false">IFERROR(INDEX(Location_Map!$C$2:$C$15,MATCH(C760,Location_Map!$A$2:$A$15,0)),"UNMAPPED")</f>
        <v>North</v>
      </c>
      <c r="G760" s="0" t="str">
        <f aca="false">IFERROR(INDEX(Location_Map!$B$2:$B$15,MATCH(D760,Location_Map!$A$2:$A$15,0)),"UNMAPPED")</f>
        <v>Gujarat</v>
      </c>
      <c r="H760" s="0" t="str">
        <f aca="false">IFERROR(INDEX(Location_Map!$C$2:$C$15,MATCH(D760,Location_Map!$A$2:$A$15,0)),"UNMAPPED")</f>
        <v>West</v>
      </c>
      <c r="I760" s="0" t="str">
        <f aca="false">Raw!E760</f>
        <v>Finished Yarn</v>
      </c>
      <c r="J760" s="28" t="n">
        <f aca="false">Raw!F760</f>
        <v>16.67</v>
      </c>
      <c r="K760" s="30" t="n">
        <f aca="false">DATE(LEFT(Raw!G760,4),MID(Raw!G760,6,2),MID(Raw!G760,9,2))</f>
        <v>45914</v>
      </c>
      <c r="L760" s="30" t="n">
        <f aca="false">DATE(LEFT(Raw!H760,4),MID(Raw!H760,6,2),MID(Raw!H760,9,2))</f>
        <v>45918</v>
      </c>
      <c r="M760" s="30" t="n">
        <f aca="false">DATE(LEFT(Raw!I760,4),MID(Raw!I760,6,2),MID(Raw!I760,9,2))</f>
        <v>45920</v>
      </c>
      <c r="N760" s="31" t="n">
        <f aca="false">DATE(LEFT(Raw!J760,4),MID(Raw!J760,6,2),MID(Raw!J760,9,2))+TIME(MID(Raw!J760,12,2),MID(Raw!J760,15,2),MID(Raw!J760,18,2))</f>
        <v>45918.125</v>
      </c>
      <c r="O760" s="31" t="n">
        <f aca="false">DATE(LEFT(Raw!K760,4),MID(Raw!K760,6,2),MID(Raw!K760,9,2))+TIME(MID(Raw!K760,12,2),MID(Raw!K760,15,2),MID(Raw!K760,18,2))</f>
        <v>45920.8</v>
      </c>
      <c r="P760" s="32" t="n">
        <f aca="false">L760-K760</f>
        <v>4</v>
      </c>
      <c r="Q760" s="32" t="n">
        <f aca="false">M760-L760</f>
        <v>2</v>
      </c>
      <c r="R760" s="32" t="n">
        <f aca="false">O760-N760</f>
        <v>2.675</v>
      </c>
      <c r="S760" s="32" t="n">
        <f aca="false">Raw!L760</f>
        <v>0.8</v>
      </c>
      <c r="T760" s="32" t="n">
        <f aca="false">O760-M760</f>
        <v>0.8</v>
      </c>
      <c r="U760" s="0" t="str">
        <f aca="false">IF(ABS(T760-S760)&lt;0.01,"OK","MISMATCH")</f>
        <v>OK</v>
      </c>
      <c r="V760" s="33" t="n">
        <f aca="false">Raw!M760</f>
        <v>1</v>
      </c>
      <c r="W760" s="0" t="str">
        <f aca="false">IF((S760&gt;0)=(V760=1),"OK","MISMATCH")</f>
        <v>OK</v>
      </c>
      <c r="X760" s="0" t="str">
        <f aca="false">_xlfn.IFS(S760&lt;=0,"Early/On time",S760&lt;=2,"Minor (up to 2 days)",S760&lt;=5,"Moderate (2-5 days)",TRUE(),"Severe (over 5 days)")</f>
        <v>Minor (up to 2 days)</v>
      </c>
      <c r="Y760" s="0" t="str">
        <f aca="false">YEAR(K760)&amp;"-"&amp;TEXT(MONTH(K760),"00")</f>
        <v>2025-09</v>
      </c>
      <c r="Z760" s="0" t="str">
        <f aca="false">C760&amp;" → "&amp;D760</f>
        <v>Punjab → Surat</v>
      </c>
      <c r="AA760" s="0" t="str">
        <f aca="false">Raw!Q760</f>
        <v>GATI Logistics</v>
      </c>
      <c r="AB760" s="0" t="str">
        <f aca="false">Raw!R760</f>
        <v>Yes</v>
      </c>
      <c r="AC760" s="0" t="str">
        <f aca="false">Raw!S760</f>
        <v>Damaged</v>
      </c>
      <c r="AD760" s="29" t="n">
        <f aca="false">Raw!N760</f>
        <v>5818.9</v>
      </c>
      <c r="AE760" s="29" t="n">
        <f aca="false">Raw!O760</f>
        <v>3350.74</v>
      </c>
      <c r="AF760" s="29" t="n">
        <f aca="false">Raw!P760</f>
        <v>1395.79</v>
      </c>
      <c r="AG760" s="29" t="n">
        <f aca="false">AD760/J760</f>
        <v>349.064187162567</v>
      </c>
    </row>
    <row r="761" customFormat="false" ht="15" hidden="false" customHeight="false" outlineLevel="0" collapsed="false">
      <c r="A761" s="0" t="str">
        <f aca="false">Raw!A761</f>
        <v>SHP0760</v>
      </c>
      <c r="B761" s="0" t="str">
        <f aca="false">Raw!B761</f>
        <v>Outbound</v>
      </c>
      <c r="C761" s="0" t="str">
        <f aca="false">Raw!C761</f>
        <v>Surat</v>
      </c>
      <c r="D761" s="0" t="str">
        <f aca="false">Raw!D761</f>
        <v>Madhya Pradesh</v>
      </c>
      <c r="E761" s="0" t="str">
        <f aca="false">IFERROR(INDEX(Location_Map!$B$2:$B$15,MATCH(C761,Location_Map!$A$2:$A$15,0)),"UNMAPPED")</f>
        <v>Gujarat</v>
      </c>
      <c r="F761" s="0" t="str">
        <f aca="false">IFERROR(INDEX(Location_Map!$C$2:$C$15,MATCH(C761,Location_Map!$A$2:$A$15,0)),"UNMAPPED")</f>
        <v>West</v>
      </c>
      <c r="G761" s="0" t="str">
        <f aca="false">IFERROR(INDEX(Location_Map!$B$2:$B$15,MATCH(D761,Location_Map!$A$2:$A$15,0)),"UNMAPPED")</f>
        <v>Madhya Pradesh</v>
      </c>
      <c r="H761" s="0" t="str">
        <f aca="false">IFERROR(INDEX(Location_Map!$C$2:$C$15,MATCH(D761,Location_Map!$A$2:$A$15,0)),"UNMAPPED")</f>
        <v>Central</v>
      </c>
      <c r="I761" s="0" t="str">
        <f aca="false">Raw!E761</f>
        <v>Semi-Processed Yarn</v>
      </c>
      <c r="J761" s="28" t="n">
        <f aca="false">Raw!F761</f>
        <v>13.41</v>
      </c>
      <c r="K761" s="30" t="n">
        <f aca="false">DATE(LEFT(Raw!G761,4),MID(Raw!G761,6,2),MID(Raw!G761,9,2))</f>
        <v>45762</v>
      </c>
      <c r="L761" s="30" t="n">
        <f aca="false">DATE(LEFT(Raw!H761,4),MID(Raw!H761,6,2),MID(Raw!H761,9,2))</f>
        <v>45766</v>
      </c>
      <c r="M761" s="30" t="n">
        <f aca="false">DATE(LEFT(Raw!I761,4),MID(Raw!I761,6,2),MID(Raw!I761,9,2))</f>
        <v>45768</v>
      </c>
      <c r="N761" s="31" t="n">
        <f aca="false">DATE(LEFT(Raw!J761,4),MID(Raw!J761,6,2),MID(Raw!J761,9,2))+TIME(MID(Raw!J761,12,2),MID(Raw!J761,15,2),MID(Raw!J761,18,2))</f>
        <v>45766.0833333333</v>
      </c>
      <c r="O761" s="31" t="n">
        <f aca="false">DATE(LEFT(Raw!K761,4),MID(Raw!K761,6,2),MID(Raw!K761,9,2))+TIME(MID(Raw!K761,12,2),MID(Raw!K761,15,2),MID(Raw!K761,18,2))</f>
        <v>45770.6</v>
      </c>
      <c r="P761" s="32" t="n">
        <f aca="false">L761-K761</f>
        <v>4</v>
      </c>
      <c r="Q761" s="32" t="n">
        <f aca="false">M761-L761</f>
        <v>2</v>
      </c>
      <c r="R761" s="32" t="n">
        <f aca="false">O761-N761</f>
        <v>4.51666666666667</v>
      </c>
      <c r="S761" s="32" t="n">
        <f aca="false">Raw!L761</f>
        <v>2.6</v>
      </c>
      <c r="T761" s="32" t="n">
        <f aca="false">O761-M761</f>
        <v>2.6</v>
      </c>
      <c r="U761" s="0" t="str">
        <f aca="false">IF(ABS(T761-S761)&lt;0.01,"OK","MISMATCH")</f>
        <v>OK</v>
      </c>
      <c r="V761" s="33" t="n">
        <f aca="false">Raw!M761</f>
        <v>1</v>
      </c>
      <c r="W761" s="0" t="str">
        <f aca="false">IF((S761&gt;0)=(V761=1),"OK","MISMATCH")</f>
        <v>OK</v>
      </c>
      <c r="X761" s="0" t="str">
        <f aca="false">_xlfn.IFS(S761&lt;=0,"Early/On time",S761&lt;=2,"Minor (up to 2 days)",S761&lt;=5,"Moderate (2-5 days)",TRUE(),"Severe (over 5 days)")</f>
        <v>Moderate (2-5 days)</v>
      </c>
      <c r="Y761" s="0" t="str">
        <f aca="false">YEAR(K761)&amp;"-"&amp;TEXT(MONTH(K761),"00")</f>
        <v>2025-04</v>
      </c>
      <c r="Z761" s="0" t="str">
        <f aca="false">C761&amp;" → "&amp;D761</f>
        <v>Surat → Madhya Pradesh</v>
      </c>
      <c r="AA761" s="0" t="str">
        <f aca="false">Raw!Q761</f>
        <v>TCI Express</v>
      </c>
      <c r="AB761" s="0" t="str">
        <f aca="false">Raw!R761</f>
        <v>No</v>
      </c>
      <c r="AC761" s="0" t="str">
        <f aca="false">Raw!S761</f>
        <v>Expedited</v>
      </c>
      <c r="AD761" s="29" t="n">
        <f aca="false">Raw!N761</f>
        <v>6249.56</v>
      </c>
      <c r="AE761" s="29" t="n">
        <f aca="false">Raw!O761</f>
        <v>2494.16</v>
      </c>
      <c r="AF761" s="29" t="n">
        <f aca="false">Raw!P761</f>
        <v>1169.97</v>
      </c>
      <c r="AG761" s="29" t="n">
        <f aca="false">AD761/J761</f>
        <v>466.037285607755</v>
      </c>
    </row>
    <row r="762" customFormat="false" ht="15" hidden="false" customHeight="false" outlineLevel="0" collapsed="false">
      <c r="A762" s="0" t="str">
        <f aca="false">Raw!A762</f>
        <v>SHP0761</v>
      </c>
      <c r="B762" s="0" t="str">
        <f aca="false">Raw!B762</f>
        <v>Inbound</v>
      </c>
      <c r="C762" s="0" t="str">
        <f aca="false">Raw!C762</f>
        <v>Rajasthan</v>
      </c>
      <c r="D762" s="0" t="str">
        <f aca="false">Raw!D762</f>
        <v>Surat</v>
      </c>
      <c r="E762" s="0" t="str">
        <f aca="false">IFERROR(INDEX(Location_Map!$B$2:$B$15,MATCH(C762,Location_Map!$A$2:$A$15,0)),"UNMAPPED")</f>
        <v>Rajasthan</v>
      </c>
      <c r="F762" s="0" t="str">
        <f aca="false">IFERROR(INDEX(Location_Map!$C$2:$C$15,MATCH(C762,Location_Map!$A$2:$A$15,0)),"UNMAPPED")</f>
        <v>North</v>
      </c>
      <c r="G762" s="0" t="str">
        <f aca="false">IFERROR(INDEX(Location_Map!$B$2:$B$15,MATCH(D762,Location_Map!$A$2:$A$15,0)),"UNMAPPED")</f>
        <v>Gujarat</v>
      </c>
      <c r="H762" s="0" t="str">
        <f aca="false">IFERROR(INDEX(Location_Map!$C$2:$C$15,MATCH(D762,Location_Map!$A$2:$A$15,0)),"UNMAPPED")</f>
        <v>West</v>
      </c>
      <c r="I762" s="0" t="str">
        <f aca="false">Raw!E762</f>
        <v>Raw Yarn</v>
      </c>
      <c r="J762" s="28" t="n">
        <f aca="false">Raw!F762</f>
        <v>2.37</v>
      </c>
      <c r="K762" s="30" t="n">
        <f aca="false">DATE(LEFT(Raw!G762,4),MID(Raw!G762,6,2),MID(Raw!G762,9,2))</f>
        <v>45735</v>
      </c>
      <c r="L762" s="30" t="n">
        <f aca="false">DATE(LEFT(Raw!H762,4),MID(Raw!H762,6,2),MID(Raw!H762,9,2))</f>
        <v>45738</v>
      </c>
      <c r="M762" s="30" t="n">
        <f aca="false">DATE(LEFT(Raw!I762,4),MID(Raw!I762,6,2),MID(Raw!I762,9,2))</f>
        <v>45741</v>
      </c>
      <c r="N762" s="31" t="n">
        <f aca="false">DATE(LEFT(Raw!J762,4),MID(Raw!J762,6,2),MID(Raw!J762,9,2))+TIME(MID(Raw!J762,12,2),MID(Raw!J762,15,2),MID(Raw!J762,18,2))</f>
        <v>45738.2083333333</v>
      </c>
      <c r="O762" s="31" t="n">
        <f aca="false">DATE(LEFT(Raw!K762,4),MID(Raw!K762,6,2),MID(Raw!K762,9,2))+TIME(MID(Raw!K762,12,2),MID(Raw!K762,15,2),MID(Raw!K762,18,2))</f>
        <v>45743.1</v>
      </c>
      <c r="P762" s="32" t="n">
        <f aca="false">L762-K762</f>
        <v>3</v>
      </c>
      <c r="Q762" s="32" t="n">
        <f aca="false">M762-L762</f>
        <v>3</v>
      </c>
      <c r="R762" s="32" t="n">
        <f aca="false">O762-N762</f>
        <v>4.89166666666667</v>
      </c>
      <c r="S762" s="32" t="n">
        <f aca="false">Raw!L762</f>
        <v>2.1</v>
      </c>
      <c r="T762" s="32" t="n">
        <f aca="false">O762-M762</f>
        <v>2.1</v>
      </c>
      <c r="U762" s="0" t="str">
        <f aca="false">IF(ABS(T762-S762)&lt;0.01,"OK","MISMATCH")</f>
        <v>OK</v>
      </c>
      <c r="V762" s="33" t="n">
        <f aca="false">Raw!M762</f>
        <v>1</v>
      </c>
      <c r="W762" s="0" t="str">
        <f aca="false">IF((S762&gt;0)=(V762=1),"OK","MISMATCH")</f>
        <v>OK</v>
      </c>
      <c r="X762" s="0" t="str">
        <f aca="false">_xlfn.IFS(S762&lt;=0,"Early/On time",S762&lt;=2,"Minor (up to 2 days)",S762&lt;=5,"Moderate (2-5 days)",TRUE(),"Severe (over 5 days)")</f>
        <v>Moderate (2-5 days)</v>
      </c>
      <c r="Y762" s="0" t="str">
        <f aca="false">YEAR(K762)&amp;"-"&amp;TEXT(MONTH(K762),"00")</f>
        <v>2025-03</v>
      </c>
      <c r="Z762" s="0" t="str">
        <f aca="false">C762&amp;" → "&amp;D762</f>
        <v>Rajasthan → Surat</v>
      </c>
      <c r="AA762" s="0" t="str">
        <f aca="false">Raw!Q762</f>
        <v>VRL Cargo</v>
      </c>
      <c r="AB762" s="0" t="str">
        <f aca="false">Raw!R762</f>
        <v>Yes</v>
      </c>
      <c r="AC762" s="0" t="str">
        <f aca="false">Raw!S762</f>
        <v>Expedited</v>
      </c>
      <c r="AD762" s="29" t="n">
        <f aca="false">Raw!N762</f>
        <v>1465.94</v>
      </c>
      <c r="AE762" s="29" t="n">
        <f aca="false">Raw!O762</f>
        <v>4957.4</v>
      </c>
      <c r="AF762" s="29" t="n">
        <f aca="false">Raw!P762</f>
        <v>539.29</v>
      </c>
      <c r="AG762" s="29" t="n">
        <f aca="false">AD762/J762</f>
        <v>618.540084388186</v>
      </c>
    </row>
    <row r="763" customFormat="false" ht="15" hidden="false" customHeight="false" outlineLevel="0" collapsed="false">
      <c r="A763" s="0" t="str">
        <f aca="false">Raw!A763</f>
        <v>SHP0762</v>
      </c>
      <c r="B763" s="0" t="str">
        <f aca="false">Raw!B763</f>
        <v>Inbound</v>
      </c>
      <c r="C763" s="0" t="str">
        <f aca="false">Raw!C763</f>
        <v>Chennai</v>
      </c>
      <c r="D763" s="0" t="str">
        <f aca="false">Raw!D763</f>
        <v>Surat</v>
      </c>
      <c r="E763" s="0" t="str">
        <f aca="false">IFERROR(INDEX(Location_Map!$B$2:$B$15,MATCH(C763,Location_Map!$A$2:$A$15,0)),"UNMAPPED")</f>
        <v>Tamil Nadu</v>
      </c>
      <c r="F763" s="0" t="str">
        <f aca="false">IFERROR(INDEX(Location_Map!$C$2:$C$15,MATCH(C763,Location_Map!$A$2:$A$15,0)),"UNMAPPED")</f>
        <v>South</v>
      </c>
      <c r="G763" s="0" t="str">
        <f aca="false">IFERROR(INDEX(Location_Map!$B$2:$B$15,MATCH(D763,Location_Map!$A$2:$A$15,0)),"UNMAPPED")</f>
        <v>Gujarat</v>
      </c>
      <c r="H763" s="0" t="str">
        <f aca="false">IFERROR(INDEX(Location_Map!$C$2:$C$15,MATCH(D763,Location_Map!$A$2:$A$15,0)),"UNMAPPED")</f>
        <v>West</v>
      </c>
      <c r="I763" s="0" t="str">
        <f aca="false">Raw!E763</f>
        <v>Raw Yarn</v>
      </c>
      <c r="J763" s="28" t="n">
        <f aca="false">Raw!F763</f>
        <v>13.44</v>
      </c>
      <c r="K763" s="30" t="n">
        <f aca="false">DATE(LEFT(Raw!G763,4),MID(Raw!G763,6,2),MID(Raw!G763,9,2))</f>
        <v>45790</v>
      </c>
      <c r="L763" s="30" t="n">
        <f aca="false">DATE(LEFT(Raw!H763,4),MID(Raw!H763,6,2),MID(Raw!H763,9,2))</f>
        <v>45794</v>
      </c>
      <c r="M763" s="30" t="n">
        <f aca="false">DATE(LEFT(Raw!I763,4),MID(Raw!I763,6,2),MID(Raw!I763,9,2))</f>
        <v>45799</v>
      </c>
      <c r="N763" s="31" t="n">
        <f aca="false">DATE(LEFT(Raw!J763,4),MID(Raw!J763,6,2),MID(Raw!J763,9,2))+TIME(MID(Raw!J763,12,2),MID(Raw!J763,15,2),MID(Raw!J763,18,2))</f>
        <v>45793.7916666667</v>
      </c>
      <c r="O763" s="31" t="n">
        <f aca="false">DATE(LEFT(Raw!K763,4),MID(Raw!K763,6,2),MID(Raw!K763,9,2))+TIME(MID(Raw!K763,12,2),MID(Raw!K763,15,2),MID(Raw!K763,18,2))</f>
        <v>45802.5</v>
      </c>
      <c r="P763" s="32" t="n">
        <f aca="false">L763-K763</f>
        <v>4</v>
      </c>
      <c r="Q763" s="32" t="n">
        <f aca="false">M763-L763</f>
        <v>5</v>
      </c>
      <c r="R763" s="32" t="n">
        <f aca="false">O763-N763</f>
        <v>8.70833333333333</v>
      </c>
      <c r="S763" s="32" t="n">
        <f aca="false">Raw!L763</f>
        <v>3.5</v>
      </c>
      <c r="T763" s="32" t="n">
        <f aca="false">O763-M763</f>
        <v>3.5</v>
      </c>
      <c r="U763" s="0" t="str">
        <f aca="false">IF(ABS(T763-S763)&lt;0.01,"OK","MISMATCH")</f>
        <v>OK</v>
      </c>
      <c r="V763" s="33" t="n">
        <f aca="false">Raw!M763</f>
        <v>1</v>
      </c>
      <c r="W763" s="0" t="str">
        <f aca="false">IF((S763&gt;0)=(V763=1),"OK","MISMATCH")</f>
        <v>OK</v>
      </c>
      <c r="X763" s="0" t="str">
        <f aca="false">_xlfn.IFS(S763&lt;=0,"Early/On time",S763&lt;=2,"Minor (up to 2 days)",S763&lt;=5,"Moderate (2-5 days)",TRUE(),"Severe (over 5 days)")</f>
        <v>Moderate (2-5 days)</v>
      </c>
      <c r="Y763" s="0" t="str">
        <f aca="false">YEAR(K763)&amp;"-"&amp;TEXT(MONTH(K763),"00")</f>
        <v>2025-05</v>
      </c>
      <c r="Z763" s="0" t="str">
        <f aca="false">C763&amp;" → "&amp;D763</f>
        <v>Chennai → Surat</v>
      </c>
      <c r="AA763" s="0" t="str">
        <f aca="false">Raw!Q763</f>
        <v>Delhivery</v>
      </c>
      <c r="AB763" s="0" t="str">
        <f aca="false">Raw!R763</f>
        <v>Yes</v>
      </c>
      <c r="AC763" s="0" t="str">
        <f aca="false">Raw!S763</f>
        <v>Returned</v>
      </c>
      <c r="AD763" s="29" t="n">
        <f aca="false">Raw!N763</f>
        <v>6640.77</v>
      </c>
      <c r="AE763" s="29" t="n">
        <f aca="false">Raw!O763</f>
        <v>1831.37</v>
      </c>
      <c r="AF763" s="29" t="n">
        <f aca="false">Raw!P763</f>
        <v>1313.41</v>
      </c>
      <c r="AG763" s="29" t="n">
        <f aca="false">AD763/J763</f>
        <v>494.104910714286</v>
      </c>
    </row>
    <row r="764" customFormat="false" ht="15" hidden="false" customHeight="false" outlineLevel="0" collapsed="false">
      <c r="A764" s="0" t="str">
        <f aca="false">Raw!A764</f>
        <v>SHP0763</v>
      </c>
      <c r="B764" s="0" t="str">
        <f aca="false">Raw!B764</f>
        <v>Inbound</v>
      </c>
      <c r="C764" s="0" t="str">
        <f aca="false">Raw!C764</f>
        <v>Chennai</v>
      </c>
      <c r="D764" s="0" t="str">
        <f aca="false">Raw!D764</f>
        <v>Surat</v>
      </c>
      <c r="E764" s="0" t="str">
        <f aca="false">IFERROR(INDEX(Location_Map!$B$2:$B$15,MATCH(C764,Location_Map!$A$2:$A$15,0)),"UNMAPPED")</f>
        <v>Tamil Nadu</v>
      </c>
      <c r="F764" s="0" t="str">
        <f aca="false">IFERROR(INDEX(Location_Map!$C$2:$C$15,MATCH(C764,Location_Map!$A$2:$A$15,0)),"UNMAPPED")</f>
        <v>South</v>
      </c>
      <c r="G764" s="0" t="str">
        <f aca="false">IFERROR(INDEX(Location_Map!$B$2:$B$15,MATCH(D764,Location_Map!$A$2:$A$15,0)),"UNMAPPED")</f>
        <v>Gujarat</v>
      </c>
      <c r="H764" s="0" t="str">
        <f aca="false">IFERROR(INDEX(Location_Map!$C$2:$C$15,MATCH(D764,Location_Map!$A$2:$A$15,0)),"UNMAPPED")</f>
        <v>West</v>
      </c>
      <c r="I764" s="0" t="str">
        <f aca="false">Raw!E764</f>
        <v>Semi-Processed Yarn</v>
      </c>
      <c r="J764" s="28" t="n">
        <f aca="false">Raw!F764</f>
        <v>15.11</v>
      </c>
      <c r="K764" s="30" t="n">
        <f aca="false">DATE(LEFT(Raw!G764,4),MID(Raw!G764,6,2),MID(Raw!G764,9,2))</f>
        <v>45856</v>
      </c>
      <c r="L764" s="30" t="n">
        <f aca="false">DATE(LEFT(Raw!H764,4),MID(Raw!H764,6,2),MID(Raw!H764,9,2))</f>
        <v>45857</v>
      </c>
      <c r="M764" s="30" t="n">
        <f aca="false">DATE(LEFT(Raw!I764,4),MID(Raw!I764,6,2),MID(Raw!I764,9,2))</f>
        <v>45862</v>
      </c>
      <c r="N764" s="31" t="n">
        <f aca="false">DATE(LEFT(Raw!J764,4),MID(Raw!J764,6,2),MID(Raw!J764,9,2))+TIME(MID(Raw!J764,12,2),MID(Raw!J764,15,2),MID(Raw!J764,18,2))</f>
        <v>45857.125</v>
      </c>
      <c r="O764" s="31" t="n">
        <f aca="false">DATE(LEFT(Raw!K764,4),MID(Raw!K764,6,2),MID(Raw!K764,9,2))+TIME(MID(Raw!K764,12,2),MID(Raw!K764,15,2),MID(Raw!K764,18,2))</f>
        <v>45861</v>
      </c>
      <c r="P764" s="32" t="n">
        <f aca="false">L764-K764</f>
        <v>1</v>
      </c>
      <c r="Q764" s="32" t="n">
        <f aca="false">M764-L764</f>
        <v>5</v>
      </c>
      <c r="R764" s="32" t="n">
        <f aca="false">O764-N764</f>
        <v>3.875</v>
      </c>
      <c r="S764" s="32" t="n">
        <f aca="false">Raw!L764</f>
        <v>-1</v>
      </c>
      <c r="T764" s="32" t="n">
        <f aca="false">O764-M764</f>
        <v>-1</v>
      </c>
      <c r="U764" s="0" t="str">
        <f aca="false">IF(ABS(T764-S764)&lt;0.01,"OK","MISMATCH")</f>
        <v>OK</v>
      </c>
      <c r="V764" s="33" t="n">
        <f aca="false">Raw!M764</f>
        <v>0</v>
      </c>
      <c r="W764" s="0" t="str">
        <f aca="false">IF((S764&gt;0)=(V764=1),"OK","MISMATCH")</f>
        <v>OK</v>
      </c>
      <c r="X764" s="0" t="str">
        <f aca="false">_xlfn.IFS(S764&lt;=0,"Early/On time",S764&lt;=2,"Minor (up to 2 days)",S764&lt;=5,"Moderate (2-5 days)",TRUE(),"Severe (over 5 days)")</f>
        <v>Early/On time</v>
      </c>
      <c r="Y764" s="0" t="str">
        <f aca="false">YEAR(K764)&amp;"-"&amp;TEXT(MONTH(K764),"00")</f>
        <v>2025-07</v>
      </c>
      <c r="Z764" s="0" t="str">
        <f aca="false">C764&amp;" → "&amp;D764</f>
        <v>Chennai → Surat</v>
      </c>
      <c r="AA764" s="0" t="str">
        <f aca="false">Raw!Q764</f>
        <v>VRL Cargo</v>
      </c>
      <c r="AB764" s="0" t="str">
        <f aca="false">Raw!R764</f>
        <v>No</v>
      </c>
      <c r="AC764" s="0" t="str">
        <f aca="false">Raw!S764</f>
        <v>Returned</v>
      </c>
      <c r="AD764" s="29" t="n">
        <f aca="false">Raw!N764</f>
        <v>4092.74</v>
      </c>
      <c r="AE764" s="29" t="n">
        <f aca="false">Raw!O764</f>
        <v>1322.83</v>
      </c>
      <c r="AF764" s="29" t="n">
        <f aca="false">Raw!P764</f>
        <v>1492.77</v>
      </c>
      <c r="AG764" s="29" t="n">
        <f aca="false">AD764/J764</f>
        <v>270.863004632694</v>
      </c>
    </row>
    <row r="765" customFormat="false" ht="15" hidden="false" customHeight="false" outlineLevel="0" collapsed="false">
      <c r="A765" s="0" t="str">
        <f aca="false">Raw!A765</f>
        <v>SHP0764</v>
      </c>
      <c r="B765" s="0" t="str">
        <f aca="false">Raw!B765</f>
        <v>Outbound</v>
      </c>
      <c r="C765" s="0" t="str">
        <f aca="false">Raw!C765</f>
        <v>Surat</v>
      </c>
      <c r="D765" s="0" t="str">
        <f aca="false">Raw!D765</f>
        <v>Mumbai</v>
      </c>
      <c r="E765" s="0" t="str">
        <f aca="false">IFERROR(INDEX(Location_Map!$B$2:$B$15,MATCH(C765,Location_Map!$A$2:$A$15,0)),"UNMAPPED")</f>
        <v>Gujarat</v>
      </c>
      <c r="F765" s="0" t="str">
        <f aca="false">IFERROR(INDEX(Location_Map!$C$2:$C$15,MATCH(C765,Location_Map!$A$2:$A$15,0)),"UNMAPPED")</f>
        <v>West</v>
      </c>
      <c r="G765" s="0" t="str">
        <f aca="false">IFERROR(INDEX(Location_Map!$B$2:$B$15,MATCH(D765,Location_Map!$A$2:$A$15,0)),"UNMAPPED")</f>
        <v>Maharashtra</v>
      </c>
      <c r="H765" s="0" t="str">
        <f aca="false">IFERROR(INDEX(Location_Map!$C$2:$C$15,MATCH(D765,Location_Map!$A$2:$A$15,0)),"UNMAPPED")</f>
        <v>West</v>
      </c>
      <c r="I765" s="0" t="str">
        <f aca="false">Raw!E765</f>
        <v>Finished Yarn</v>
      </c>
      <c r="J765" s="28" t="n">
        <f aca="false">Raw!F765</f>
        <v>15.89</v>
      </c>
      <c r="K765" s="30" t="n">
        <f aca="false">DATE(LEFT(Raw!G765,4),MID(Raw!G765,6,2),MID(Raw!G765,9,2))</f>
        <v>45934</v>
      </c>
      <c r="L765" s="30" t="n">
        <f aca="false">DATE(LEFT(Raw!H765,4),MID(Raw!H765,6,2),MID(Raw!H765,9,2))</f>
        <v>45935</v>
      </c>
      <c r="M765" s="30" t="n">
        <f aca="false">DATE(LEFT(Raw!I765,4),MID(Raw!I765,6,2),MID(Raw!I765,9,2))</f>
        <v>45937</v>
      </c>
      <c r="N765" s="31" t="n">
        <f aca="false">DATE(LEFT(Raw!J765,4),MID(Raw!J765,6,2),MID(Raw!J765,9,2))+TIME(MID(Raw!J765,12,2),MID(Raw!J765,15,2),MID(Raw!J765,18,2))</f>
        <v>45935.375</v>
      </c>
      <c r="O765" s="31" t="n">
        <f aca="false">DATE(LEFT(Raw!K765,4),MID(Raw!K765,6,2),MID(Raw!K765,9,2))+TIME(MID(Raw!K765,12,2),MID(Raw!K765,15,2),MID(Raw!K765,18,2))</f>
        <v>45940.1</v>
      </c>
      <c r="P765" s="32" t="n">
        <f aca="false">L765-K765</f>
        <v>1</v>
      </c>
      <c r="Q765" s="32" t="n">
        <f aca="false">M765-L765</f>
        <v>2</v>
      </c>
      <c r="R765" s="32" t="n">
        <f aca="false">O765-N765</f>
        <v>4.725</v>
      </c>
      <c r="S765" s="32" t="n">
        <f aca="false">Raw!L765</f>
        <v>3.1</v>
      </c>
      <c r="T765" s="32" t="n">
        <f aca="false">O765-M765</f>
        <v>3.1</v>
      </c>
      <c r="U765" s="0" t="str">
        <f aca="false">IF(ABS(T765-S765)&lt;0.01,"OK","MISMATCH")</f>
        <v>OK</v>
      </c>
      <c r="V765" s="33" t="n">
        <f aca="false">Raw!M765</f>
        <v>1</v>
      </c>
      <c r="W765" s="0" t="str">
        <f aca="false">IF((S765&gt;0)=(V765=1),"OK","MISMATCH")</f>
        <v>OK</v>
      </c>
      <c r="X765" s="0" t="str">
        <f aca="false">_xlfn.IFS(S765&lt;=0,"Early/On time",S765&lt;=2,"Minor (up to 2 days)",S765&lt;=5,"Moderate (2-5 days)",TRUE(),"Severe (over 5 days)")</f>
        <v>Moderate (2-5 days)</v>
      </c>
      <c r="Y765" s="0" t="str">
        <f aca="false">YEAR(K765)&amp;"-"&amp;TEXT(MONTH(K765),"00")</f>
        <v>2025-10</v>
      </c>
      <c r="Z765" s="0" t="str">
        <f aca="false">C765&amp;" → "&amp;D765</f>
        <v>Surat → Mumbai</v>
      </c>
      <c r="AA765" s="0" t="str">
        <f aca="false">Raw!Q765</f>
        <v>BlueDart</v>
      </c>
      <c r="AB765" s="0" t="str">
        <f aca="false">Raw!R765</f>
        <v>Yes</v>
      </c>
      <c r="AC765" s="0" t="str">
        <f aca="false">Raw!S765</f>
        <v>Expedited</v>
      </c>
      <c r="AD765" s="29" t="n">
        <f aca="false">Raw!N765</f>
        <v>5617.62</v>
      </c>
      <c r="AE765" s="29" t="n">
        <f aca="false">Raw!O765</f>
        <v>4318.78</v>
      </c>
      <c r="AF765" s="29" t="n">
        <f aca="false">Raw!P765</f>
        <v>849.8</v>
      </c>
      <c r="AG765" s="29" t="n">
        <f aca="false">AD765/J765</f>
        <v>353.531780994336</v>
      </c>
    </row>
    <row r="766" customFormat="false" ht="15" hidden="false" customHeight="false" outlineLevel="0" collapsed="false">
      <c r="A766" s="0" t="str">
        <f aca="false">Raw!A766</f>
        <v>SHP0765</v>
      </c>
      <c r="B766" s="0" t="str">
        <f aca="false">Raw!B766</f>
        <v>Inbound</v>
      </c>
      <c r="C766" s="0" t="str">
        <f aca="false">Raw!C766</f>
        <v>Rajasthan</v>
      </c>
      <c r="D766" s="0" t="str">
        <f aca="false">Raw!D766</f>
        <v>Surat</v>
      </c>
      <c r="E766" s="0" t="str">
        <f aca="false">IFERROR(INDEX(Location_Map!$B$2:$B$15,MATCH(C766,Location_Map!$A$2:$A$15,0)),"UNMAPPED")</f>
        <v>Rajasthan</v>
      </c>
      <c r="F766" s="0" t="str">
        <f aca="false">IFERROR(INDEX(Location_Map!$C$2:$C$15,MATCH(C766,Location_Map!$A$2:$A$15,0)),"UNMAPPED")</f>
        <v>North</v>
      </c>
      <c r="G766" s="0" t="str">
        <f aca="false">IFERROR(INDEX(Location_Map!$B$2:$B$15,MATCH(D766,Location_Map!$A$2:$A$15,0)),"UNMAPPED")</f>
        <v>Gujarat</v>
      </c>
      <c r="H766" s="0" t="str">
        <f aca="false">IFERROR(INDEX(Location_Map!$C$2:$C$15,MATCH(D766,Location_Map!$A$2:$A$15,0)),"UNMAPPED")</f>
        <v>West</v>
      </c>
      <c r="I766" s="0" t="str">
        <f aca="false">Raw!E766</f>
        <v>Semi-Processed Yarn</v>
      </c>
      <c r="J766" s="28" t="n">
        <f aca="false">Raw!F766</f>
        <v>9.07</v>
      </c>
      <c r="K766" s="30" t="n">
        <f aca="false">DATE(LEFT(Raw!G766,4),MID(Raw!G766,6,2),MID(Raw!G766,9,2))</f>
        <v>45696</v>
      </c>
      <c r="L766" s="30" t="n">
        <f aca="false">DATE(LEFT(Raw!H766,4),MID(Raw!H766,6,2),MID(Raw!H766,9,2))</f>
        <v>45697</v>
      </c>
      <c r="M766" s="30" t="n">
        <f aca="false">DATE(LEFT(Raw!I766,4),MID(Raw!I766,6,2),MID(Raw!I766,9,2))</f>
        <v>45703</v>
      </c>
      <c r="N766" s="31" t="n">
        <f aca="false">DATE(LEFT(Raw!J766,4),MID(Raw!J766,6,2),MID(Raw!J766,9,2))+TIME(MID(Raw!J766,12,2),MID(Raw!J766,15,2),MID(Raw!J766,18,2))</f>
        <v>45696.9583333333</v>
      </c>
      <c r="O766" s="31" t="n">
        <f aca="false">DATE(LEFT(Raw!K766,4),MID(Raw!K766,6,2),MID(Raw!K766,9,2))+TIME(MID(Raw!K766,12,2),MID(Raw!K766,15,2),MID(Raw!K766,18,2))</f>
        <v>45705.9</v>
      </c>
      <c r="P766" s="32" t="n">
        <f aca="false">L766-K766</f>
        <v>1</v>
      </c>
      <c r="Q766" s="32" t="n">
        <f aca="false">M766-L766</f>
        <v>6</v>
      </c>
      <c r="R766" s="32" t="n">
        <f aca="false">O766-N766</f>
        <v>8.94166666666667</v>
      </c>
      <c r="S766" s="32" t="n">
        <f aca="false">Raw!L766</f>
        <v>2.9</v>
      </c>
      <c r="T766" s="32" t="n">
        <f aca="false">O766-M766</f>
        <v>2.9</v>
      </c>
      <c r="U766" s="0" t="str">
        <f aca="false">IF(ABS(T766-S766)&lt;0.01,"OK","MISMATCH")</f>
        <v>OK</v>
      </c>
      <c r="V766" s="33" t="n">
        <f aca="false">Raw!M766</f>
        <v>1</v>
      </c>
      <c r="W766" s="0" t="str">
        <f aca="false">IF((S766&gt;0)=(V766=1),"OK","MISMATCH")</f>
        <v>OK</v>
      </c>
      <c r="X766" s="0" t="str">
        <f aca="false">_xlfn.IFS(S766&lt;=0,"Early/On time",S766&lt;=2,"Minor (up to 2 days)",S766&lt;=5,"Moderate (2-5 days)",TRUE(),"Severe (over 5 days)")</f>
        <v>Moderate (2-5 days)</v>
      </c>
      <c r="Y766" s="0" t="str">
        <f aca="false">YEAR(K766)&amp;"-"&amp;TEXT(MONTH(K766),"00")</f>
        <v>2025-02</v>
      </c>
      <c r="Z766" s="0" t="str">
        <f aca="false">C766&amp;" → "&amp;D766</f>
        <v>Rajasthan → Surat</v>
      </c>
      <c r="AA766" s="0" t="str">
        <f aca="false">Raw!Q766</f>
        <v>VRL Cargo</v>
      </c>
      <c r="AB766" s="0" t="str">
        <f aca="false">Raw!R766</f>
        <v>Yes</v>
      </c>
      <c r="AC766" s="0" t="str">
        <f aca="false">Raw!S766</f>
        <v>Damaged</v>
      </c>
      <c r="AD766" s="29" t="n">
        <f aca="false">Raw!N766</f>
        <v>3700.14</v>
      </c>
      <c r="AE766" s="29" t="n">
        <f aca="false">Raw!O766</f>
        <v>1648.68</v>
      </c>
      <c r="AF766" s="29" t="n">
        <f aca="false">Raw!P766</f>
        <v>1484.91</v>
      </c>
      <c r="AG766" s="29" t="n">
        <f aca="false">AD766/J766</f>
        <v>407.953693495039</v>
      </c>
    </row>
    <row r="767" customFormat="false" ht="15" hidden="false" customHeight="false" outlineLevel="0" collapsed="false">
      <c r="A767" s="0" t="str">
        <f aca="false">Raw!A767</f>
        <v>SHP0766</v>
      </c>
      <c r="B767" s="0" t="str">
        <f aca="false">Raw!B767</f>
        <v>Outbound</v>
      </c>
      <c r="C767" s="0" t="str">
        <f aca="false">Raw!C767</f>
        <v>Surat</v>
      </c>
      <c r="D767" s="0" t="str">
        <f aca="false">Raw!D767</f>
        <v>Assam</v>
      </c>
      <c r="E767" s="0" t="str">
        <f aca="false">IFERROR(INDEX(Location_Map!$B$2:$B$15,MATCH(C767,Location_Map!$A$2:$A$15,0)),"UNMAPPED")</f>
        <v>Gujarat</v>
      </c>
      <c r="F767" s="0" t="str">
        <f aca="false">IFERROR(INDEX(Location_Map!$C$2:$C$15,MATCH(C767,Location_Map!$A$2:$A$15,0)),"UNMAPPED")</f>
        <v>West</v>
      </c>
      <c r="G767" s="0" t="str">
        <f aca="false">IFERROR(INDEX(Location_Map!$B$2:$B$15,MATCH(D767,Location_Map!$A$2:$A$15,0)),"UNMAPPED")</f>
        <v>Assam</v>
      </c>
      <c r="H767" s="0" t="str">
        <f aca="false">IFERROR(INDEX(Location_Map!$C$2:$C$15,MATCH(D767,Location_Map!$A$2:$A$15,0)),"UNMAPPED")</f>
        <v>North-East</v>
      </c>
      <c r="I767" s="0" t="str">
        <f aca="false">Raw!E767</f>
        <v>Finished Yarn</v>
      </c>
      <c r="J767" s="28" t="n">
        <f aca="false">Raw!F767</f>
        <v>2.44</v>
      </c>
      <c r="K767" s="30" t="n">
        <f aca="false">DATE(LEFT(Raw!G767,4),MID(Raw!G767,6,2),MID(Raw!G767,9,2))</f>
        <v>45861</v>
      </c>
      <c r="L767" s="30" t="n">
        <f aca="false">DATE(LEFT(Raw!H767,4),MID(Raw!H767,6,2),MID(Raw!H767,9,2))</f>
        <v>45862</v>
      </c>
      <c r="M767" s="30" t="n">
        <f aca="false">DATE(LEFT(Raw!I767,4),MID(Raw!I767,6,2),MID(Raw!I767,9,2))</f>
        <v>45865</v>
      </c>
      <c r="N767" s="31" t="n">
        <f aca="false">DATE(LEFT(Raw!J767,4),MID(Raw!J767,6,2),MID(Raw!J767,9,2))+TIME(MID(Raw!J767,12,2),MID(Raw!J767,15,2),MID(Raw!J767,18,2))</f>
        <v>45862</v>
      </c>
      <c r="O767" s="31" t="n">
        <f aca="false">DATE(LEFT(Raw!K767,4),MID(Raw!K767,6,2),MID(Raw!K767,9,2))+TIME(MID(Raw!K767,12,2),MID(Raw!K767,15,2),MID(Raw!K767,18,2))</f>
        <v>45867.4</v>
      </c>
      <c r="P767" s="32" t="n">
        <f aca="false">L767-K767</f>
        <v>1</v>
      </c>
      <c r="Q767" s="32" t="n">
        <f aca="false">M767-L767</f>
        <v>3</v>
      </c>
      <c r="R767" s="32" t="n">
        <f aca="false">O767-N767</f>
        <v>5.4</v>
      </c>
      <c r="S767" s="32" t="n">
        <f aca="false">Raw!L767</f>
        <v>2.4</v>
      </c>
      <c r="T767" s="32" t="n">
        <f aca="false">O767-M767</f>
        <v>2.4</v>
      </c>
      <c r="U767" s="0" t="str">
        <f aca="false">IF(ABS(T767-S767)&lt;0.01,"OK","MISMATCH")</f>
        <v>OK</v>
      </c>
      <c r="V767" s="33" t="n">
        <f aca="false">Raw!M767</f>
        <v>1</v>
      </c>
      <c r="W767" s="0" t="str">
        <f aca="false">IF((S767&gt;0)=(V767=1),"OK","MISMATCH")</f>
        <v>OK</v>
      </c>
      <c r="X767" s="0" t="str">
        <f aca="false">_xlfn.IFS(S767&lt;=0,"Early/On time",S767&lt;=2,"Minor (up to 2 days)",S767&lt;=5,"Moderate (2-5 days)",TRUE(),"Severe (over 5 days)")</f>
        <v>Moderate (2-5 days)</v>
      </c>
      <c r="Y767" s="0" t="str">
        <f aca="false">YEAR(K767)&amp;"-"&amp;TEXT(MONTH(K767),"00")</f>
        <v>2025-07</v>
      </c>
      <c r="Z767" s="0" t="str">
        <f aca="false">C767&amp;" → "&amp;D767</f>
        <v>Surat → Assam</v>
      </c>
      <c r="AA767" s="0" t="str">
        <f aca="false">Raw!Q767</f>
        <v>Delhivery</v>
      </c>
      <c r="AB767" s="0" t="str">
        <f aca="false">Raw!R767</f>
        <v>No</v>
      </c>
      <c r="AC767" s="0" t="str">
        <f aca="false">Raw!S767</f>
        <v>Expedited</v>
      </c>
      <c r="AD767" s="29" t="n">
        <f aca="false">Raw!N767</f>
        <v>1932.49</v>
      </c>
      <c r="AE767" s="29" t="n">
        <f aca="false">Raw!O767</f>
        <v>2078.54</v>
      </c>
      <c r="AF767" s="29" t="n">
        <f aca="false">Raw!P767</f>
        <v>1154.77</v>
      </c>
      <c r="AG767" s="29" t="n">
        <f aca="false">AD767/J767</f>
        <v>792.004098360656</v>
      </c>
    </row>
    <row r="768" customFormat="false" ht="15" hidden="false" customHeight="false" outlineLevel="0" collapsed="false">
      <c r="A768" s="0" t="str">
        <f aca="false">Raw!A768</f>
        <v>SHP0767</v>
      </c>
      <c r="B768" s="0" t="str">
        <f aca="false">Raw!B768</f>
        <v>Outbound</v>
      </c>
      <c r="C768" s="0" t="str">
        <f aca="false">Raw!C768</f>
        <v>Surat</v>
      </c>
      <c r="D768" s="0" t="str">
        <f aca="false">Raw!D768</f>
        <v>West Bengal</v>
      </c>
      <c r="E768" s="0" t="str">
        <f aca="false">IFERROR(INDEX(Location_Map!$B$2:$B$15,MATCH(C768,Location_Map!$A$2:$A$15,0)),"UNMAPPED")</f>
        <v>Gujarat</v>
      </c>
      <c r="F768" s="0" t="str">
        <f aca="false">IFERROR(INDEX(Location_Map!$C$2:$C$15,MATCH(C768,Location_Map!$A$2:$A$15,0)),"UNMAPPED")</f>
        <v>West</v>
      </c>
      <c r="G768" s="0" t="str">
        <f aca="false">IFERROR(INDEX(Location_Map!$B$2:$B$15,MATCH(D768,Location_Map!$A$2:$A$15,0)),"UNMAPPED")</f>
        <v>West Bengal</v>
      </c>
      <c r="H768" s="0" t="str">
        <f aca="false">IFERROR(INDEX(Location_Map!$C$2:$C$15,MATCH(D768,Location_Map!$A$2:$A$15,0)),"UNMAPPED")</f>
        <v>East</v>
      </c>
      <c r="I768" s="0" t="str">
        <f aca="false">Raw!E768</f>
        <v>Semi-Processed Yarn</v>
      </c>
      <c r="J768" s="28" t="n">
        <f aca="false">Raw!F768</f>
        <v>8.41</v>
      </c>
      <c r="K768" s="30" t="n">
        <f aca="false">DATE(LEFT(Raw!G768,4),MID(Raw!G768,6,2),MID(Raw!G768,9,2))</f>
        <v>45716</v>
      </c>
      <c r="L768" s="30" t="n">
        <f aca="false">DATE(LEFT(Raw!H768,4),MID(Raw!H768,6,2),MID(Raw!H768,9,2))</f>
        <v>45719</v>
      </c>
      <c r="M768" s="30" t="n">
        <f aca="false">DATE(LEFT(Raw!I768,4),MID(Raw!I768,6,2),MID(Raw!I768,9,2))</f>
        <v>45725</v>
      </c>
      <c r="N768" s="31" t="n">
        <f aca="false">DATE(LEFT(Raw!J768,4),MID(Raw!J768,6,2),MID(Raw!J768,9,2))+TIME(MID(Raw!J768,12,2),MID(Raw!J768,15,2),MID(Raw!J768,18,2))</f>
        <v>45719.2916666667</v>
      </c>
      <c r="O768" s="31" t="n">
        <f aca="false">DATE(LEFT(Raw!K768,4),MID(Raw!K768,6,2),MID(Raw!K768,9,2))+TIME(MID(Raw!K768,12,2),MID(Raw!K768,15,2),MID(Raw!K768,18,2))</f>
        <v>45735.1</v>
      </c>
      <c r="P768" s="32" t="n">
        <f aca="false">L768-K768</f>
        <v>3</v>
      </c>
      <c r="Q768" s="32" t="n">
        <f aca="false">M768-L768</f>
        <v>6</v>
      </c>
      <c r="R768" s="32" t="n">
        <f aca="false">O768-N768</f>
        <v>15.8083333333333</v>
      </c>
      <c r="S768" s="32" t="n">
        <f aca="false">Raw!L768</f>
        <v>10.1</v>
      </c>
      <c r="T768" s="32" t="n">
        <f aca="false">O768-M768</f>
        <v>10.1</v>
      </c>
      <c r="U768" s="0" t="str">
        <f aca="false">IF(ABS(T768-S768)&lt;0.01,"OK","MISMATCH")</f>
        <v>OK</v>
      </c>
      <c r="V768" s="33" t="n">
        <f aca="false">Raw!M768</f>
        <v>1</v>
      </c>
      <c r="W768" s="0" t="str">
        <f aca="false">IF((S768&gt;0)=(V768=1),"OK","MISMATCH")</f>
        <v>OK</v>
      </c>
      <c r="X768" s="0" t="str">
        <f aca="false">_xlfn.IFS(S768&lt;=0,"Early/On time",S768&lt;=2,"Minor (up to 2 days)",S768&lt;=5,"Moderate (2-5 days)",TRUE(),"Severe (over 5 days)")</f>
        <v>Severe (over 5 days)</v>
      </c>
      <c r="Y768" s="0" t="str">
        <f aca="false">YEAR(K768)&amp;"-"&amp;TEXT(MONTH(K768),"00")</f>
        <v>2025-02</v>
      </c>
      <c r="Z768" s="0" t="str">
        <f aca="false">C768&amp;" → "&amp;D768</f>
        <v>Surat → West Bengal</v>
      </c>
      <c r="AA768" s="0" t="str">
        <f aca="false">Raw!Q768</f>
        <v>Delhivery</v>
      </c>
      <c r="AB768" s="0" t="str">
        <f aca="false">Raw!R768</f>
        <v>Yes</v>
      </c>
      <c r="AC768" s="0" t="str">
        <f aca="false">Raw!S768</f>
        <v>Expedited</v>
      </c>
      <c r="AD768" s="29" t="n">
        <f aca="false">Raw!N768</f>
        <v>3791.57</v>
      </c>
      <c r="AE768" s="29" t="n">
        <f aca="false">Raw!O768</f>
        <v>3076.65</v>
      </c>
      <c r="AF768" s="29" t="n">
        <f aca="false">Raw!P768</f>
        <v>798.06</v>
      </c>
      <c r="AG768" s="29" t="n">
        <f aca="false">AD768/J768</f>
        <v>450.84066587396</v>
      </c>
    </row>
    <row r="769" customFormat="false" ht="15" hidden="false" customHeight="false" outlineLevel="0" collapsed="false">
      <c r="A769" s="0" t="str">
        <f aca="false">Raw!A769</f>
        <v>SHP0768</v>
      </c>
      <c r="B769" s="0" t="str">
        <f aca="false">Raw!B769</f>
        <v>Inbound</v>
      </c>
      <c r="C769" s="0" t="str">
        <f aca="false">Raw!C769</f>
        <v>Chennai</v>
      </c>
      <c r="D769" s="0" t="str">
        <f aca="false">Raw!D769</f>
        <v>Surat</v>
      </c>
      <c r="E769" s="0" t="str">
        <f aca="false">IFERROR(INDEX(Location_Map!$B$2:$B$15,MATCH(C769,Location_Map!$A$2:$A$15,0)),"UNMAPPED")</f>
        <v>Tamil Nadu</v>
      </c>
      <c r="F769" s="0" t="str">
        <f aca="false">IFERROR(INDEX(Location_Map!$C$2:$C$15,MATCH(C769,Location_Map!$A$2:$A$15,0)),"UNMAPPED")</f>
        <v>South</v>
      </c>
      <c r="G769" s="0" t="str">
        <f aca="false">IFERROR(INDEX(Location_Map!$B$2:$B$15,MATCH(D769,Location_Map!$A$2:$A$15,0)),"UNMAPPED")</f>
        <v>Gujarat</v>
      </c>
      <c r="H769" s="0" t="str">
        <f aca="false">IFERROR(INDEX(Location_Map!$C$2:$C$15,MATCH(D769,Location_Map!$A$2:$A$15,0)),"UNMAPPED")</f>
        <v>West</v>
      </c>
      <c r="I769" s="0" t="str">
        <f aca="false">Raw!E769</f>
        <v>Raw Yarn</v>
      </c>
      <c r="J769" s="28" t="n">
        <f aca="false">Raw!F769</f>
        <v>9.03</v>
      </c>
      <c r="K769" s="30" t="n">
        <f aca="false">DATE(LEFT(Raw!G769,4),MID(Raw!G769,6,2),MID(Raw!G769,9,2))</f>
        <v>45747</v>
      </c>
      <c r="L769" s="30" t="n">
        <f aca="false">DATE(LEFT(Raw!H769,4),MID(Raw!H769,6,2),MID(Raw!H769,9,2))</f>
        <v>45749</v>
      </c>
      <c r="M769" s="30" t="n">
        <f aca="false">DATE(LEFT(Raw!I769,4),MID(Raw!I769,6,2),MID(Raw!I769,9,2))</f>
        <v>45753</v>
      </c>
      <c r="N769" s="31" t="n">
        <f aca="false">DATE(LEFT(Raw!J769,4),MID(Raw!J769,6,2),MID(Raw!J769,9,2))+TIME(MID(Raw!J769,12,2),MID(Raw!J769,15,2),MID(Raw!J769,18,2))</f>
        <v>45749.3333333333</v>
      </c>
      <c r="O769" s="31" t="n">
        <f aca="false">DATE(LEFT(Raw!K769,4),MID(Raw!K769,6,2),MID(Raw!K769,9,2))+TIME(MID(Raw!K769,12,2),MID(Raw!K769,15,2),MID(Raw!K769,18,2))</f>
        <v>45754.3</v>
      </c>
      <c r="P769" s="32" t="n">
        <f aca="false">L769-K769</f>
        <v>2</v>
      </c>
      <c r="Q769" s="32" t="n">
        <f aca="false">M769-L769</f>
        <v>4</v>
      </c>
      <c r="R769" s="32" t="n">
        <f aca="false">O769-N769</f>
        <v>4.96666666666667</v>
      </c>
      <c r="S769" s="32" t="n">
        <f aca="false">Raw!L769</f>
        <v>1.3</v>
      </c>
      <c r="T769" s="32" t="n">
        <f aca="false">O769-M769</f>
        <v>1.3</v>
      </c>
      <c r="U769" s="0" t="str">
        <f aca="false">IF(ABS(T769-S769)&lt;0.01,"OK","MISMATCH")</f>
        <v>OK</v>
      </c>
      <c r="V769" s="33" t="n">
        <f aca="false">Raw!M769</f>
        <v>1</v>
      </c>
      <c r="W769" s="0" t="str">
        <f aca="false">IF((S769&gt;0)=(V769=1),"OK","MISMATCH")</f>
        <v>OK</v>
      </c>
      <c r="X769" s="0" t="str">
        <f aca="false">_xlfn.IFS(S769&lt;=0,"Early/On time",S769&lt;=2,"Minor (up to 2 days)",S769&lt;=5,"Moderate (2-5 days)",TRUE(),"Severe (over 5 days)")</f>
        <v>Minor (up to 2 days)</v>
      </c>
      <c r="Y769" s="0" t="str">
        <f aca="false">YEAR(K769)&amp;"-"&amp;TEXT(MONTH(K769),"00")</f>
        <v>2025-03</v>
      </c>
      <c r="Z769" s="0" t="str">
        <f aca="false">C769&amp;" → "&amp;D769</f>
        <v>Chennai → Surat</v>
      </c>
      <c r="AA769" s="0" t="str">
        <f aca="false">Raw!Q769</f>
        <v>GATI Logistics</v>
      </c>
      <c r="AB769" s="0" t="str">
        <f aca="false">Raw!R769</f>
        <v>Yes</v>
      </c>
      <c r="AC769" s="0" t="str">
        <f aca="false">Raw!S769</f>
        <v>Returned</v>
      </c>
      <c r="AD769" s="29" t="n">
        <f aca="false">Raw!N769</f>
        <v>4723.99</v>
      </c>
      <c r="AE769" s="29" t="n">
        <f aca="false">Raw!O769</f>
        <v>1356.89</v>
      </c>
      <c r="AF769" s="29" t="n">
        <f aca="false">Raw!P769</f>
        <v>930.98</v>
      </c>
      <c r="AG769" s="29" t="n">
        <f aca="false">AD769/J769</f>
        <v>523.143964562569</v>
      </c>
    </row>
    <row r="770" customFormat="false" ht="15" hidden="false" customHeight="false" outlineLevel="0" collapsed="false">
      <c r="A770" s="0" t="str">
        <f aca="false">Raw!A770</f>
        <v>SHP0769</v>
      </c>
      <c r="B770" s="0" t="str">
        <f aca="false">Raw!B770</f>
        <v>Outbound</v>
      </c>
      <c r="C770" s="0" t="str">
        <f aca="false">Raw!C770</f>
        <v>Surat</v>
      </c>
      <c r="D770" s="0" t="str">
        <f aca="false">Raw!D770</f>
        <v>Uttarakhand</v>
      </c>
      <c r="E770" s="0" t="str">
        <f aca="false">IFERROR(INDEX(Location_Map!$B$2:$B$15,MATCH(C770,Location_Map!$A$2:$A$15,0)),"UNMAPPED")</f>
        <v>Gujarat</v>
      </c>
      <c r="F770" s="0" t="str">
        <f aca="false">IFERROR(INDEX(Location_Map!$C$2:$C$15,MATCH(C770,Location_Map!$A$2:$A$15,0)),"UNMAPPED")</f>
        <v>West</v>
      </c>
      <c r="G770" s="0" t="str">
        <f aca="false">IFERROR(INDEX(Location_Map!$B$2:$B$15,MATCH(D770,Location_Map!$A$2:$A$15,0)),"UNMAPPED")</f>
        <v>Uttarakhand</v>
      </c>
      <c r="H770" s="0" t="str">
        <f aca="false">IFERROR(INDEX(Location_Map!$C$2:$C$15,MATCH(D770,Location_Map!$A$2:$A$15,0)),"UNMAPPED")</f>
        <v>North</v>
      </c>
      <c r="I770" s="0" t="str">
        <f aca="false">Raw!E770</f>
        <v>Finished Yarn</v>
      </c>
      <c r="J770" s="28" t="n">
        <f aca="false">Raw!F770</f>
        <v>4.32</v>
      </c>
      <c r="K770" s="30" t="n">
        <f aca="false">DATE(LEFT(Raw!G770,4),MID(Raw!G770,6,2),MID(Raw!G770,9,2))</f>
        <v>45954</v>
      </c>
      <c r="L770" s="30" t="n">
        <f aca="false">DATE(LEFT(Raw!H770,4),MID(Raw!H770,6,2),MID(Raw!H770,9,2))</f>
        <v>45957</v>
      </c>
      <c r="M770" s="30" t="n">
        <f aca="false">DATE(LEFT(Raw!I770,4),MID(Raw!I770,6,2),MID(Raw!I770,9,2))</f>
        <v>45960</v>
      </c>
      <c r="N770" s="31" t="n">
        <f aca="false">DATE(LEFT(Raw!J770,4),MID(Raw!J770,6,2),MID(Raw!J770,9,2))+TIME(MID(Raw!J770,12,2),MID(Raw!J770,15,2),MID(Raw!J770,18,2))</f>
        <v>45957.3333333333</v>
      </c>
      <c r="O770" s="31" t="n">
        <f aca="false">DATE(LEFT(Raw!K770,4),MID(Raw!K770,6,2),MID(Raw!K770,9,2))+TIME(MID(Raw!K770,12,2),MID(Raw!K770,15,2),MID(Raw!K770,18,2))</f>
        <v>45959</v>
      </c>
      <c r="P770" s="32" t="n">
        <f aca="false">L770-K770</f>
        <v>3</v>
      </c>
      <c r="Q770" s="32" t="n">
        <f aca="false">M770-L770</f>
        <v>3</v>
      </c>
      <c r="R770" s="32" t="n">
        <f aca="false">O770-N770</f>
        <v>1.66666666666667</v>
      </c>
      <c r="S770" s="32" t="n">
        <f aca="false">Raw!L770</f>
        <v>-1</v>
      </c>
      <c r="T770" s="32" t="n">
        <f aca="false">O770-M770</f>
        <v>-1</v>
      </c>
      <c r="U770" s="0" t="str">
        <f aca="false">IF(ABS(T770-S770)&lt;0.01,"OK","MISMATCH")</f>
        <v>OK</v>
      </c>
      <c r="V770" s="33" t="n">
        <f aca="false">Raw!M770</f>
        <v>0</v>
      </c>
      <c r="W770" s="0" t="str">
        <f aca="false">IF((S770&gt;0)=(V770=1),"OK","MISMATCH")</f>
        <v>OK</v>
      </c>
      <c r="X770" s="0" t="str">
        <f aca="false">_xlfn.IFS(S770&lt;=0,"Early/On time",S770&lt;=2,"Minor (up to 2 days)",S770&lt;=5,"Moderate (2-5 days)",TRUE(),"Severe (over 5 days)")</f>
        <v>Early/On time</v>
      </c>
      <c r="Y770" s="0" t="str">
        <f aca="false">YEAR(K770)&amp;"-"&amp;TEXT(MONTH(K770),"00")</f>
        <v>2025-10</v>
      </c>
      <c r="Z770" s="0" t="str">
        <f aca="false">C770&amp;" → "&amp;D770</f>
        <v>Surat → Uttarakhand</v>
      </c>
      <c r="AA770" s="0" t="str">
        <f aca="false">Raw!Q770</f>
        <v>TCI Express</v>
      </c>
      <c r="AB770" s="0" t="str">
        <f aca="false">Raw!R770</f>
        <v>Yes</v>
      </c>
      <c r="AC770" s="0" t="str">
        <f aca="false">Raw!S770</f>
        <v>Returned</v>
      </c>
      <c r="AD770" s="29" t="n">
        <f aca="false">Raw!N770</f>
        <v>3129.92</v>
      </c>
      <c r="AE770" s="29" t="n">
        <f aca="false">Raw!O770</f>
        <v>2695.23</v>
      </c>
      <c r="AF770" s="29" t="n">
        <f aca="false">Raw!P770</f>
        <v>1149.86</v>
      </c>
      <c r="AG770" s="29" t="n">
        <f aca="false">AD770/J770</f>
        <v>724.518518518519</v>
      </c>
    </row>
    <row r="771" customFormat="false" ht="15" hidden="false" customHeight="false" outlineLevel="0" collapsed="false">
      <c r="A771" s="0" t="str">
        <f aca="false">Raw!A771</f>
        <v>SHP0770</v>
      </c>
      <c r="B771" s="0" t="str">
        <f aca="false">Raw!B771</f>
        <v>Inbound</v>
      </c>
      <c r="C771" s="0" t="str">
        <f aca="false">Raw!C771</f>
        <v>Rajasthan</v>
      </c>
      <c r="D771" s="0" t="str">
        <f aca="false">Raw!D771</f>
        <v>Surat</v>
      </c>
      <c r="E771" s="0" t="str">
        <f aca="false">IFERROR(INDEX(Location_Map!$B$2:$B$15,MATCH(C771,Location_Map!$A$2:$A$15,0)),"UNMAPPED")</f>
        <v>Rajasthan</v>
      </c>
      <c r="F771" s="0" t="str">
        <f aca="false">IFERROR(INDEX(Location_Map!$C$2:$C$15,MATCH(C771,Location_Map!$A$2:$A$15,0)),"UNMAPPED")</f>
        <v>North</v>
      </c>
      <c r="G771" s="0" t="str">
        <f aca="false">IFERROR(INDEX(Location_Map!$B$2:$B$15,MATCH(D771,Location_Map!$A$2:$A$15,0)),"UNMAPPED")</f>
        <v>Gujarat</v>
      </c>
      <c r="H771" s="0" t="str">
        <f aca="false">IFERROR(INDEX(Location_Map!$C$2:$C$15,MATCH(D771,Location_Map!$A$2:$A$15,0)),"UNMAPPED")</f>
        <v>West</v>
      </c>
      <c r="I771" s="0" t="str">
        <f aca="false">Raw!E771</f>
        <v>Finished Yarn</v>
      </c>
      <c r="J771" s="28" t="n">
        <f aca="false">Raw!F771</f>
        <v>1.47</v>
      </c>
      <c r="K771" s="30" t="n">
        <f aca="false">DATE(LEFT(Raw!G771,4),MID(Raw!G771,6,2),MID(Raw!G771,9,2))</f>
        <v>45901</v>
      </c>
      <c r="L771" s="30" t="n">
        <f aca="false">DATE(LEFT(Raw!H771,4),MID(Raw!H771,6,2),MID(Raw!H771,9,2))</f>
        <v>45904</v>
      </c>
      <c r="M771" s="30" t="n">
        <f aca="false">DATE(LEFT(Raw!I771,4),MID(Raw!I771,6,2),MID(Raw!I771,9,2))</f>
        <v>45909</v>
      </c>
      <c r="N771" s="31" t="n">
        <f aca="false">DATE(LEFT(Raw!J771,4),MID(Raw!J771,6,2),MID(Raw!J771,9,2))+TIME(MID(Raw!J771,12,2),MID(Raw!J771,15,2),MID(Raw!J771,18,2))</f>
        <v>45903.9583333333</v>
      </c>
      <c r="O771" s="31" t="n">
        <f aca="false">DATE(LEFT(Raw!K771,4),MID(Raw!K771,6,2),MID(Raw!K771,9,2))+TIME(MID(Raw!K771,12,2),MID(Raw!K771,15,2),MID(Raw!K771,18,2))</f>
        <v>45913.4</v>
      </c>
      <c r="P771" s="32" t="n">
        <f aca="false">L771-K771</f>
        <v>3</v>
      </c>
      <c r="Q771" s="32" t="n">
        <f aca="false">M771-L771</f>
        <v>5</v>
      </c>
      <c r="R771" s="32" t="n">
        <f aca="false">O771-N771</f>
        <v>9.44166666666667</v>
      </c>
      <c r="S771" s="32" t="n">
        <f aca="false">Raw!L771</f>
        <v>4.4</v>
      </c>
      <c r="T771" s="32" t="n">
        <f aca="false">O771-M771</f>
        <v>4.4</v>
      </c>
      <c r="U771" s="0" t="str">
        <f aca="false">IF(ABS(T771-S771)&lt;0.01,"OK","MISMATCH")</f>
        <v>OK</v>
      </c>
      <c r="V771" s="33" t="n">
        <f aca="false">Raw!M771</f>
        <v>1</v>
      </c>
      <c r="W771" s="0" t="str">
        <f aca="false">IF((S771&gt;0)=(V771=1),"OK","MISMATCH")</f>
        <v>OK</v>
      </c>
      <c r="X771" s="0" t="str">
        <f aca="false">_xlfn.IFS(S771&lt;=0,"Early/On time",S771&lt;=2,"Minor (up to 2 days)",S771&lt;=5,"Moderate (2-5 days)",TRUE(),"Severe (over 5 days)")</f>
        <v>Moderate (2-5 days)</v>
      </c>
      <c r="Y771" s="0" t="str">
        <f aca="false">YEAR(K771)&amp;"-"&amp;TEXT(MONTH(K771),"00")</f>
        <v>2025-09</v>
      </c>
      <c r="Z771" s="0" t="str">
        <f aca="false">C771&amp;" → "&amp;D771</f>
        <v>Rajasthan → Surat</v>
      </c>
      <c r="AA771" s="0" t="str">
        <f aca="false">Raw!Q771</f>
        <v>Delhivery</v>
      </c>
      <c r="AB771" s="0" t="str">
        <f aca="false">Raw!R771</f>
        <v>Yes</v>
      </c>
      <c r="AC771" s="0" t="str">
        <f aca="false">Raw!S771</f>
        <v>Returned</v>
      </c>
      <c r="AD771" s="29" t="n">
        <f aca="false">Raw!N771</f>
        <v>1207.22</v>
      </c>
      <c r="AE771" s="29" t="n">
        <f aca="false">Raw!O771</f>
        <v>4580.14</v>
      </c>
      <c r="AF771" s="29" t="n">
        <f aca="false">Raw!P771</f>
        <v>1186.02</v>
      </c>
      <c r="AG771" s="29" t="n">
        <f aca="false">AD771/J771</f>
        <v>821.238095238095</v>
      </c>
    </row>
    <row r="772" customFormat="false" ht="15" hidden="false" customHeight="false" outlineLevel="0" collapsed="false">
      <c r="A772" s="0" t="str">
        <f aca="false">Raw!A772</f>
        <v>SHP0771</v>
      </c>
      <c r="B772" s="0" t="str">
        <f aca="false">Raw!B772</f>
        <v>Inbound</v>
      </c>
      <c r="C772" s="0" t="str">
        <f aca="false">Raw!C772</f>
        <v>Gujarat</v>
      </c>
      <c r="D772" s="0" t="str">
        <f aca="false">Raw!D772</f>
        <v>Surat</v>
      </c>
      <c r="E772" s="0" t="str">
        <f aca="false">IFERROR(INDEX(Location_Map!$B$2:$B$15,MATCH(C772,Location_Map!$A$2:$A$15,0)),"UNMAPPED")</f>
        <v>Gujarat</v>
      </c>
      <c r="F772" s="0" t="str">
        <f aca="false">IFERROR(INDEX(Location_Map!$C$2:$C$15,MATCH(C772,Location_Map!$A$2:$A$15,0)),"UNMAPPED")</f>
        <v>West</v>
      </c>
      <c r="G772" s="0" t="str">
        <f aca="false">IFERROR(INDEX(Location_Map!$B$2:$B$15,MATCH(D772,Location_Map!$A$2:$A$15,0)),"UNMAPPED")</f>
        <v>Gujarat</v>
      </c>
      <c r="H772" s="0" t="str">
        <f aca="false">IFERROR(INDEX(Location_Map!$C$2:$C$15,MATCH(D772,Location_Map!$A$2:$A$15,0)),"UNMAPPED")</f>
        <v>West</v>
      </c>
      <c r="I772" s="0" t="str">
        <f aca="false">Raw!E772</f>
        <v>Raw Yarn</v>
      </c>
      <c r="J772" s="28" t="n">
        <f aca="false">Raw!F772</f>
        <v>5.75</v>
      </c>
      <c r="K772" s="30" t="n">
        <f aca="false">DATE(LEFT(Raw!G772,4),MID(Raw!G772,6,2),MID(Raw!G772,9,2))</f>
        <v>45677</v>
      </c>
      <c r="L772" s="30" t="n">
        <f aca="false">DATE(LEFT(Raw!H772,4),MID(Raw!H772,6,2),MID(Raw!H772,9,2))</f>
        <v>45680</v>
      </c>
      <c r="M772" s="30" t="n">
        <f aca="false">DATE(LEFT(Raw!I772,4),MID(Raw!I772,6,2),MID(Raw!I772,9,2))</f>
        <v>45686</v>
      </c>
      <c r="N772" s="31" t="n">
        <f aca="false">DATE(LEFT(Raw!J772,4),MID(Raw!J772,6,2),MID(Raw!J772,9,2))+TIME(MID(Raw!J772,12,2),MID(Raw!J772,15,2),MID(Raw!J772,18,2))</f>
        <v>45679.875</v>
      </c>
      <c r="O772" s="31" t="n">
        <f aca="false">DATE(LEFT(Raw!K772,4),MID(Raw!K772,6,2),MID(Raw!K772,9,2))+TIME(MID(Raw!K772,12,2),MID(Raw!K772,15,2),MID(Raw!K772,18,2))</f>
        <v>45689.2</v>
      </c>
      <c r="P772" s="32" t="n">
        <f aca="false">L772-K772</f>
        <v>3</v>
      </c>
      <c r="Q772" s="32" t="n">
        <f aca="false">M772-L772</f>
        <v>6</v>
      </c>
      <c r="R772" s="32" t="n">
        <f aca="false">O772-N772</f>
        <v>9.325</v>
      </c>
      <c r="S772" s="32" t="n">
        <f aca="false">Raw!L772</f>
        <v>3.2</v>
      </c>
      <c r="T772" s="32" t="n">
        <f aca="false">O772-M772</f>
        <v>3.2</v>
      </c>
      <c r="U772" s="0" t="str">
        <f aca="false">IF(ABS(T772-S772)&lt;0.01,"OK","MISMATCH")</f>
        <v>OK</v>
      </c>
      <c r="V772" s="33" t="n">
        <f aca="false">Raw!M772</f>
        <v>1</v>
      </c>
      <c r="W772" s="0" t="str">
        <f aca="false">IF((S772&gt;0)=(V772=1),"OK","MISMATCH")</f>
        <v>OK</v>
      </c>
      <c r="X772" s="0" t="str">
        <f aca="false">_xlfn.IFS(S772&lt;=0,"Early/On time",S772&lt;=2,"Minor (up to 2 days)",S772&lt;=5,"Moderate (2-5 days)",TRUE(),"Severe (over 5 days)")</f>
        <v>Moderate (2-5 days)</v>
      </c>
      <c r="Y772" s="0" t="str">
        <f aca="false">YEAR(K772)&amp;"-"&amp;TEXT(MONTH(K772),"00")</f>
        <v>2025-01</v>
      </c>
      <c r="Z772" s="0" t="str">
        <f aca="false">C772&amp;" → "&amp;D772</f>
        <v>Gujarat → Surat</v>
      </c>
      <c r="AA772" s="0" t="str">
        <f aca="false">Raw!Q772</f>
        <v>TCI Express</v>
      </c>
      <c r="AB772" s="0" t="str">
        <f aca="false">Raw!R772</f>
        <v>Yes</v>
      </c>
      <c r="AC772" s="0" t="str">
        <f aca="false">Raw!S772</f>
        <v>Returned</v>
      </c>
      <c r="AD772" s="29" t="n">
        <f aca="false">Raw!N772</f>
        <v>3529.93</v>
      </c>
      <c r="AE772" s="29" t="n">
        <f aca="false">Raw!O772</f>
        <v>3388.47</v>
      </c>
      <c r="AF772" s="29" t="n">
        <f aca="false">Raw!P772</f>
        <v>924.19</v>
      </c>
      <c r="AG772" s="29" t="n">
        <f aca="false">AD772/J772</f>
        <v>613.900869565217</v>
      </c>
    </row>
    <row r="773" customFormat="false" ht="15" hidden="false" customHeight="false" outlineLevel="0" collapsed="false">
      <c r="A773" s="0" t="str">
        <f aca="false">Raw!A773</f>
        <v>SHP0772</v>
      </c>
      <c r="B773" s="0" t="str">
        <f aca="false">Raw!B773</f>
        <v>Inbound</v>
      </c>
      <c r="C773" s="0" t="str">
        <f aca="false">Raw!C773</f>
        <v>Gujarat</v>
      </c>
      <c r="D773" s="0" t="str">
        <f aca="false">Raw!D773</f>
        <v>Surat</v>
      </c>
      <c r="E773" s="0" t="str">
        <f aca="false">IFERROR(INDEX(Location_Map!$B$2:$B$15,MATCH(C773,Location_Map!$A$2:$A$15,0)),"UNMAPPED")</f>
        <v>Gujarat</v>
      </c>
      <c r="F773" s="0" t="str">
        <f aca="false">IFERROR(INDEX(Location_Map!$C$2:$C$15,MATCH(C773,Location_Map!$A$2:$A$15,0)),"UNMAPPED")</f>
        <v>West</v>
      </c>
      <c r="G773" s="0" t="str">
        <f aca="false">IFERROR(INDEX(Location_Map!$B$2:$B$15,MATCH(D773,Location_Map!$A$2:$A$15,0)),"UNMAPPED")</f>
        <v>Gujarat</v>
      </c>
      <c r="H773" s="0" t="str">
        <f aca="false">IFERROR(INDEX(Location_Map!$C$2:$C$15,MATCH(D773,Location_Map!$A$2:$A$15,0)),"UNMAPPED")</f>
        <v>West</v>
      </c>
      <c r="I773" s="0" t="str">
        <f aca="false">Raw!E773</f>
        <v>Finished Yarn</v>
      </c>
      <c r="J773" s="28" t="n">
        <f aca="false">Raw!F773</f>
        <v>9.49</v>
      </c>
      <c r="K773" s="30" t="n">
        <f aca="false">DATE(LEFT(Raw!G773,4),MID(Raw!G773,6,2),MID(Raw!G773,9,2))</f>
        <v>45734</v>
      </c>
      <c r="L773" s="30" t="n">
        <f aca="false">DATE(LEFT(Raw!H773,4),MID(Raw!H773,6,2),MID(Raw!H773,9,2))</f>
        <v>45738</v>
      </c>
      <c r="M773" s="30" t="n">
        <f aca="false">DATE(LEFT(Raw!I773,4),MID(Raw!I773,6,2),MID(Raw!I773,9,2))</f>
        <v>45744</v>
      </c>
      <c r="N773" s="31" t="n">
        <f aca="false">DATE(LEFT(Raw!J773,4),MID(Raw!J773,6,2),MID(Raw!J773,9,2))+TIME(MID(Raw!J773,12,2),MID(Raw!J773,15,2),MID(Raw!J773,18,2))</f>
        <v>45737.9166666667</v>
      </c>
      <c r="O773" s="31" t="n">
        <f aca="false">DATE(LEFT(Raw!K773,4),MID(Raw!K773,6,2),MID(Raw!K773,9,2))+TIME(MID(Raw!K773,12,2),MID(Raw!K773,15,2),MID(Raw!K773,18,2))</f>
        <v>45753.9</v>
      </c>
      <c r="P773" s="32" t="n">
        <f aca="false">L773-K773</f>
        <v>4</v>
      </c>
      <c r="Q773" s="32" t="n">
        <f aca="false">M773-L773</f>
        <v>6</v>
      </c>
      <c r="R773" s="32" t="n">
        <f aca="false">O773-N773</f>
        <v>15.9833333333333</v>
      </c>
      <c r="S773" s="32" t="n">
        <f aca="false">Raw!L773</f>
        <v>9.9</v>
      </c>
      <c r="T773" s="32" t="n">
        <f aca="false">O773-M773</f>
        <v>9.9</v>
      </c>
      <c r="U773" s="0" t="str">
        <f aca="false">IF(ABS(T773-S773)&lt;0.01,"OK","MISMATCH")</f>
        <v>OK</v>
      </c>
      <c r="V773" s="33" t="n">
        <f aca="false">Raw!M773</f>
        <v>1</v>
      </c>
      <c r="W773" s="0" t="str">
        <f aca="false">IF((S773&gt;0)=(V773=1),"OK","MISMATCH")</f>
        <v>OK</v>
      </c>
      <c r="X773" s="0" t="str">
        <f aca="false">_xlfn.IFS(S773&lt;=0,"Early/On time",S773&lt;=2,"Minor (up to 2 days)",S773&lt;=5,"Moderate (2-5 days)",TRUE(),"Severe (over 5 days)")</f>
        <v>Severe (over 5 days)</v>
      </c>
      <c r="Y773" s="0" t="str">
        <f aca="false">YEAR(K773)&amp;"-"&amp;TEXT(MONTH(K773),"00")</f>
        <v>2025-03</v>
      </c>
      <c r="Z773" s="0" t="str">
        <f aca="false">C773&amp;" → "&amp;D773</f>
        <v>Gujarat → Surat</v>
      </c>
      <c r="AA773" s="0" t="str">
        <f aca="false">Raw!Q773</f>
        <v>TCI Express</v>
      </c>
      <c r="AB773" s="0" t="str">
        <f aca="false">Raw!R773</f>
        <v>No</v>
      </c>
      <c r="AC773" s="0" t="str">
        <f aca="false">Raw!S773</f>
        <v>Held at warehouse</v>
      </c>
      <c r="AD773" s="29" t="n">
        <f aca="false">Raw!N773</f>
        <v>4504.34</v>
      </c>
      <c r="AE773" s="29" t="n">
        <f aca="false">Raw!O773</f>
        <v>1727.23</v>
      </c>
      <c r="AF773" s="29" t="n">
        <f aca="false">Raw!P773</f>
        <v>585.91</v>
      </c>
      <c r="AG773" s="29" t="n">
        <f aca="false">AD773/J773</f>
        <v>474.640674394099</v>
      </c>
    </row>
    <row r="774" customFormat="false" ht="15" hidden="false" customHeight="false" outlineLevel="0" collapsed="false">
      <c r="A774" s="0" t="str">
        <f aca="false">Raw!A774</f>
        <v>SHP0773</v>
      </c>
      <c r="B774" s="0" t="str">
        <f aca="false">Raw!B774</f>
        <v>Outbound</v>
      </c>
      <c r="C774" s="0" t="str">
        <f aca="false">Raw!C774</f>
        <v>Surat</v>
      </c>
      <c r="D774" s="0" t="str">
        <f aca="false">Raw!D774</f>
        <v>Uttarakhand</v>
      </c>
      <c r="E774" s="0" t="str">
        <f aca="false">IFERROR(INDEX(Location_Map!$B$2:$B$15,MATCH(C774,Location_Map!$A$2:$A$15,0)),"UNMAPPED")</f>
        <v>Gujarat</v>
      </c>
      <c r="F774" s="0" t="str">
        <f aca="false">IFERROR(INDEX(Location_Map!$C$2:$C$15,MATCH(C774,Location_Map!$A$2:$A$15,0)),"UNMAPPED")</f>
        <v>West</v>
      </c>
      <c r="G774" s="0" t="str">
        <f aca="false">IFERROR(INDEX(Location_Map!$B$2:$B$15,MATCH(D774,Location_Map!$A$2:$A$15,0)),"UNMAPPED")</f>
        <v>Uttarakhand</v>
      </c>
      <c r="H774" s="0" t="str">
        <f aca="false">IFERROR(INDEX(Location_Map!$C$2:$C$15,MATCH(D774,Location_Map!$A$2:$A$15,0)),"UNMAPPED")</f>
        <v>North</v>
      </c>
      <c r="I774" s="0" t="str">
        <f aca="false">Raw!E774</f>
        <v>Semi-Processed Yarn</v>
      </c>
      <c r="J774" s="28" t="n">
        <f aca="false">Raw!F774</f>
        <v>14.57</v>
      </c>
      <c r="K774" s="30" t="n">
        <f aca="false">DATE(LEFT(Raw!G774,4),MID(Raw!G774,6,2),MID(Raw!G774,9,2))</f>
        <v>45716</v>
      </c>
      <c r="L774" s="30" t="n">
        <f aca="false">DATE(LEFT(Raw!H774,4),MID(Raw!H774,6,2),MID(Raw!H774,9,2))</f>
        <v>45719</v>
      </c>
      <c r="M774" s="30" t="n">
        <f aca="false">DATE(LEFT(Raw!I774,4),MID(Raw!I774,6,2),MID(Raw!I774,9,2))</f>
        <v>45722</v>
      </c>
      <c r="N774" s="31" t="n">
        <f aca="false">DATE(LEFT(Raw!J774,4),MID(Raw!J774,6,2),MID(Raw!J774,9,2))+TIME(MID(Raw!J774,12,2),MID(Raw!J774,15,2),MID(Raw!J774,18,2))</f>
        <v>45718.9583333333</v>
      </c>
      <c r="O774" s="31" t="n">
        <f aca="false">DATE(LEFT(Raw!K774,4),MID(Raw!K774,6,2),MID(Raw!K774,9,2))+TIME(MID(Raw!K774,12,2),MID(Raw!K774,15,2),MID(Raw!K774,18,2))</f>
        <v>45721.2</v>
      </c>
      <c r="P774" s="32" t="n">
        <f aca="false">L774-K774</f>
        <v>3</v>
      </c>
      <c r="Q774" s="32" t="n">
        <f aca="false">M774-L774</f>
        <v>3</v>
      </c>
      <c r="R774" s="32" t="n">
        <f aca="false">O774-N774</f>
        <v>2.24166666666667</v>
      </c>
      <c r="S774" s="32" t="n">
        <f aca="false">Raw!L774</f>
        <v>-0.8</v>
      </c>
      <c r="T774" s="32" t="n">
        <f aca="false">O774-M774</f>
        <v>-0.800000000005833</v>
      </c>
      <c r="U774" s="0" t="str">
        <f aca="false">IF(ABS(T774-S774)&lt;0.01,"OK","MISMATCH")</f>
        <v>OK</v>
      </c>
      <c r="V774" s="33" t="n">
        <f aca="false">Raw!M774</f>
        <v>0</v>
      </c>
      <c r="W774" s="0" t="str">
        <f aca="false">IF((S774&gt;0)=(V774=1),"OK","MISMATCH")</f>
        <v>OK</v>
      </c>
      <c r="X774" s="0" t="str">
        <f aca="false">_xlfn.IFS(S774&lt;=0,"Early/On time",S774&lt;=2,"Minor (up to 2 days)",S774&lt;=5,"Moderate (2-5 days)",TRUE(),"Severe (over 5 days)")</f>
        <v>Early/On time</v>
      </c>
      <c r="Y774" s="0" t="str">
        <f aca="false">YEAR(K774)&amp;"-"&amp;TEXT(MONTH(K774),"00")</f>
        <v>2025-02</v>
      </c>
      <c r="Z774" s="0" t="str">
        <f aca="false">C774&amp;" → "&amp;D774</f>
        <v>Surat → Uttarakhand</v>
      </c>
      <c r="AA774" s="0" t="str">
        <f aca="false">Raw!Q774</f>
        <v>VRL Cargo</v>
      </c>
      <c r="AB774" s="0" t="str">
        <f aca="false">Raw!R774</f>
        <v>No</v>
      </c>
      <c r="AC774" s="0" t="str">
        <f aca="false">Raw!S774</f>
        <v>Damaged</v>
      </c>
      <c r="AD774" s="29" t="n">
        <f aca="false">Raw!N774</f>
        <v>4805.89</v>
      </c>
      <c r="AE774" s="29" t="n">
        <f aca="false">Raw!O774</f>
        <v>2238.53</v>
      </c>
      <c r="AF774" s="29" t="n">
        <f aca="false">Raw!P774</f>
        <v>1163.73</v>
      </c>
      <c r="AG774" s="29" t="n">
        <f aca="false">AD774/J774</f>
        <v>329.848318462594</v>
      </c>
    </row>
    <row r="775" customFormat="false" ht="15" hidden="false" customHeight="false" outlineLevel="0" collapsed="false">
      <c r="A775" s="0" t="str">
        <f aca="false">Raw!A775</f>
        <v>SHP0774</v>
      </c>
      <c r="B775" s="0" t="str">
        <f aca="false">Raw!B775</f>
        <v>Inbound</v>
      </c>
      <c r="C775" s="0" t="str">
        <f aca="false">Raw!C775</f>
        <v>Uttar Pradesh</v>
      </c>
      <c r="D775" s="0" t="str">
        <f aca="false">Raw!D775</f>
        <v>Surat</v>
      </c>
      <c r="E775" s="0" t="str">
        <f aca="false">IFERROR(INDEX(Location_Map!$B$2:$B$15,MATCH(C775,Location_Map!$A$2:$A$15,0)),"UNMAPPED")</f>
        <v>Uttar Pradesh</v>
      </c>
      <c r="F775" s="0" t="str">
        <f aca="false">IFERROR(INDEX(Location_Map!$C$2:$C$15,MATCH(C775,Location_Map!$A$2:$A$15,0)),"UNMAPPED")</f>
        <v>North</v>
      </c>
      <c r="G775" s="0" t="str">
        <f aca="false">IFERROR(INDEX(Location_Map!$B$2:$B$15,MATCH(D775,Location_Map!$A$2:$A$15,0)),"UNMAPPED")</f>
        <v>Gujarat</v>
      </c>
      <c r="H775" s="0" t="str">
        <f aca="false">IFERROR(INDEX(Location_Map!$C$2:$C$15,MATCH(D775,Location_Map!$A$2:$A$15,0)),"UNMAPPED")</f>
        <v>West</v>
      </c>
      <c r="I775" s="0" t="str">
        <f aca="false">Raw!E775</f>
        <v>Raw Yarn</v>
      </c>
      <c r="J775" s="28" t="n">
        <f aca="false">Raw!F775</f>
        <v>13.65</v>
      </c>
      <c r="K775" s="30" t="n">
        <f aca="false">DATE(LEFT(Raw!G775,4),MID(Raw!G775,6,2),MID(Raw!G775,9,2))</f>
        <v>45743</v>
      </c>
      <c r="L775" s="30" t="n">
        <f aca="false">DATE(LEFT(Raw!H775,4),MID(Raw!H775,6,2),MID(Raw!H775,9,2))</f>
        <v>45745</v>
      </c>
      <c r="M775" s="30" t="n">
        <f aca="false">DATE(LEFT(Raw!I775,4),MID(Raw!I775,6,2),MID(Raw!I775,9,2))</f>
        <v>45751</v>
      </c>
      <c r="N775" s="31" t="n">
        <f aca="false">DATE(LEFT(Raw!J775,4),MID(Raw!J775,6,2),MID(Raw!J775,9,2))+TIME(MID(Raw!J775,12,2),MID(Raw!J775,15,2),MID(Raw!J775,18,2))</f>
        <v>45745.1666666667</v>
      </c>
      <c r="O775" s="31" t="n">
        <f aca="false">DATE(LEFT(Raw!K775,4),MID(Raw!K775,6,2),MID(Raw!K775,9,2))+TIME(MID(Raw!K775,12,2),MID(Raw!K775,15,2),MID(Raw!K775,18,2))</f>
        <v>45754.2</v>
      </c>
      <c r="P775" s="32" t="n">
        <f aca="false">L775-K775</f>
        <v>2</v>
      </c>
      <c r="Q775" s="32" t="n">
        <f aca="false">M775-L775</f>
        <v>6</v>
      </c>
      <c r="R775" s="32" t="n">
        <f aca="false">O775-N775</f>
        <v>9.03333333333333</v>
      </c>
      <c r="S775" s="32" t="n">
        <f aca="false">Raw!L775</f>
        <v>3.2</v>
      </c>
      <c r="T775" s="32" t="n">
        <f aca="false">O775-M775</f>
        <v>3.2</v>
      </c>
      <c r="U775" s="0" t="str">
        <f aca="false">IF(ABS(T775-S775)&lt;0.01,"OK","MISMATCH")</f>
        <v>OK</v>
      </c>
      <c r="V775" s="33" t="n">
        <f aca="false">Raw!M775</f>
        <v>1</v>
      </c>
      <c r="W775" s="0" t="str">
        <f aca="false">IF((S775&gt;0)=(V775=1),"OK","MISMATCH")</f>
        <v>OK</v>
      </c>
      <c r="X775" s="0" t="str">
        <f aca="false">_xlfn.IFS(S775&lt;=0,"Early/On time",S775&lt;=2,"Minor (up to 2 days)",S775&lt;=5,"Moderate (2-5 days)",TRUE(),"Severe (over 5 days)")</f>
        <v>Moderate (2-5 days)</v>
      </c>
      <c r="Y775" s="0" t="str">
        <f aca="false">YEAR(K775)&amp;"-"&amp;TEXT(MONTH(K775),"00")</f>
        <v>2025-03</v>
      </c>
      <c r="Z775" s="0" t="str">
        <f aca="false">C775&amp;" → "&amp;D775</f>
        <v>Uttar Pradesh → Surat</v>
      </c>
      <c r="AA775" s="0" t="str">
        <f aca="false">Raw!Q775</f>
        <v>TCI Express</v>
      </c>
      <c r="AB775" s="0" t="str">
        <f aca="false">Raw!R775</f>
        <v>Yes</v>
      </c>
      <c r="AC775" s="0" t="str">
        <f aca="false">Raw!S775</f>
        <v>Held at warehouse</v>
      </c>
      <c r="AD775" s="29" t="n">
        <f aca="false">Raw!N775</f>
        <v>3747.25</v>
      </c>
      <c r="AE775" s="29" t="n">
        <f aca="false">Raw!O775</f>
        <v>4586.99</v>
      </c>
      <c r="AF775" s="29" t="n">
        <f aca="false">Raw!P775</f>
        <v>710.71</v>
      </c>
      <c r="AG775" s="29" t="n">
        <f aca="false">AD775/J775</f>
        <v>274.52380952381</v>
      </c>
    </row>
    <row r="776" customFormat="false" ht="15" hidden="false" customHeight="false" outlineLevel="0" collapsed="false">
      <c r="A776" s="0" t="str">
        <f aca="false">Raw!A776</f>
        <v>SHP0775</v>
      </c>
      <c r="B776" s="0" t="str">
        <f aca="false">Raw!B776</f>
        <v>Inbound</v>
      </c>
      <c r="C776" s="0" t="str">
        <f aca="false">Raw!C776</f>
        <v>Chennai</v>
      </c>
      <c r="D776" s="0" t="str">
        <f aca="false">Raw!D776</f>
        <v>Surat</v>
      </c>
      <c r="E776" s="0" t="str">
        <f aca="false">IFERROR(INDEX(Location_Map!$B$2:$B$15,MATCH(C776,Location_Map!$A$2:$A$15,0)),"UNMAPPED")</f>
        <v>Tamil Nadu</v>
      </c>
      <c r="F776" s="0" t="str">
        <f aca="false">IFERROR(INDEX(Location_Map!$C$2:$C$15,MATCH(C776,Location_Map!$A$2:$A$15,0)),"UNMAPPED")</f>
        <v>South</v>
      </c>
      <c r="G776" s="0" t="str">
        <f aca="false">IFERROR(INDEX(Location_Map!$B$2:$B$15,MATCH(D776,Location_Map!$A$2:$A$15,0)),"UNMAPPED")</f>
        <v>Gujarat</v>
      </c>
      <c r="H776" s="0" t="str">
        <f aca="false">IFERROR(INDEX(Location_Map!$C$2:$C$15,MATCH(D776,Location_Map!$A$2:$A$15,0)),"UNMAPPED")</f>
        <v>West</v>
      </c>
      <c r="I776" s="0" t="str">
        <f aca="false">Raw!E776</f>
        <v>Raw Yarn</v>
      </c>
      <c r="J776" s="28" t="n">
        <f aca="false">Raw!F776</f>
        <v>5.32</v>
      </c>
      <c r="K776" s="30" t="n">
        <f aca="false">DATE(LEFT(Raw!G776,4),MID(Raw!G776,6,2),MID(Raw!G776,9,2))</f>
        <v>45741</v>
      </c>
      <c r="L776" s="30" t="n">
        <f aca="false">DATE(LEFT(Raw!H776,4),MID(Raw!H776,6,2),MID(Raw!H776,9,2))</f>
        <v>45742</v>
      </c>
      <c r="M776" s="30" t="n">
        <f aca="false">DATE(LEFT(Raw!I776,4),MID(Raw!I776,6,2),MID(Raw!I776,9,2))</f>
        <v>45745</v>
      </c>
      <c r="N776" s="31" t="n">
        <f aca="false">DATE(LEFT(Raw!J776,4),MID(Raw!J776,6,2),MID(Raw!J776,9,2))+TIME(MID(Raw!J776,12,2),MID(Raw!J776,15,2),MID(Raw!J776,18,2))</f>
        <v>45741.8333333333</v>
      </c>
      <c r="O776" s="31" t="n">
        <f aca="false">DATE(LEFT(Raw!K776,4),MID(Raw!K776,6,2),MID(Raw!K776,9,2))+TIME(MID(Raw!K776,12,2),MID(Raw!K776,15,2),MID(Raw!K776,18,2))</f>
        <v>45746.2</v>
      </c>
      <c r="P776" s="32" t="n">
        <f aca="false">L776-K776</f>
        <v>1</v>
      </c>
      <c r="Q776" s="32" t="n">
        <f aca="false">M776-L776</f>
        <v>3</v>
      </c>
      <c r="R776" s="32" t="n">
        <f aca="false">O776-N776</f>
        <v>4.36666666666667</v>
      </c>
      <c r="S776" s="32" t="n">
        <f aca="false">Raw!L776</f>
        <v>1.2</v>
      </c>
      <c r="T776" s="32" t="n">
        <f aca="false">O776-M776</f>
        <v>1.2</v>
      </c>
      <c r="U776" s="0" t="str">
        <f aca="false">IF(ABS(T776-S776)&lt;0.01,"OK","MISMATCH")</f>
        <v>OK</v>
      </c>
      <c r="V776" s="33" t="n">
        <f aca="false">Raw!M776</f>
        <v>1</v>
      </c>
      <c r="W776" s="0" t="str">
        <f aca="false">IF((S776&gt;0)=(V776=1),"OK","MISMATCH")</f>
        <v>OK</v>
      </c>
      <c r="X776" s="0" t="str">
        <f aca="false">_xlfn.IFS(S776&lt;=0,"Early/On time",S776&lt;=2,"Minor (up to 2 days)",S776&lt;=5,"Moderate (2-5 days)",TRUE(),"Severe (over 5 days)")</f>
        <v>Minor (up to 2 days)</v>
      </c>
      <c r="Y776" s="0" t="str">
        <f aca="false">YEAR(K776)&amp;"-"&amp;TEXT(MONTH(K776),"00")</f>
        <v>2025-03</v>
      </c>
      <c r="Z776" s="0" t="str">
        <f aca="false">C776&amp;" → "&amp;D776</f>
        <v>Chennai → Surat</v>
      </c>
      <c r="AA776" s="0" t="str">
        <f aca="false">Raw!Q776</f>
        <v>BlueDart</v>
      </c>
      <c r="AB776" s="0" t="str">
        <f aca="false">Raw!R776</f>
        <v>No</v>
      </c>
      <c r="AC776" s="0" t="str">
        <f aca="false">Raw!S776</f>
        <v>Held at warehouse</v>
      </c>
      <c r="AD776" s="29" t="n">
        <f aca="false">Raw!N776</f>
        <v>3209.83</v>
      </c>
      <c r="AE776" s="29" t="n">
        <f aca="false">Raw!O776</f>
        <v>3831.79</v>
      </c>
      <c r="AF776" s="29" t="n">
        <f aca="false">Raw!P776</f>
        <v>1057.42</v>
      </c>
      <c r="AG776" s="29" t="n">
        <f aca="false">AD776/J776</f>
        <v>603.351503759399</v>
      </c>
    </row>
    <row r="777" customFormat="false" ht="15" hidden="false" customHeight="false" outlineLevel="0" collapsed="false">
      <c r="A777" s="0" t="str">
        <f aca="false">Raw!A777</f>
        <v>SHP0776</v>
      </c>
      <c r="B777" s="0" t="str">
        <f aca="false">Raw!B777</f>
        <v>Inbound</v>
      </c>
      <c r="C777" s="0" t="str">
        <f aca="false">Raw!C777</f>
        <v>Gujarat</v>
      </c>
      <c r="D777" s="0" t="str">
        <f aca="false">Raw!D777</f>
        <v>Surat</v>
      </c>
      <c r="E777" s="0" t="str">
        <f aca="false">IFERROR(INDEX(Location_Map!$B$2:$B$15,MATCH(C777,Location_Map!$A$2:$A$15,0)),"UNMAPPED")</f>
        <v>Gujarat</v>
      </c>
      <c r="F777" s="0" t="str">
        <f aca="false">IFERROR(INDEX(Location_Map!$C$2:$C$15,MATCH(C777,Location_Map!$A$2:$A$15,0)),"UNMAPPED")</f>
        <v>West</v>
      </c>
      <c r="G777" s="0" t="str">
        <f aca="false">IFERROR(INDEX(Location_Map!$B$2:$B$15,MATCH(D777,Location_Map!$A$2:$A$15,0)),"UNMAPPED")</f>
        <v>Gujarat</v>
      </c>
      <c r="H777" s="0" t="str">
        <f aca="false">IFERROR(INDEX(Location_Map!$C$2:$C$15,MATCH(D777,Location_Map!$A$2:$A$15,0)),"UNMAPPED")</f>
        <v>West</v>
      </c>
      <c r="I777" s="0" t="str">
        <f aca="false">Raw!E777</f>
        <v>Finished Yarn</v>
      </c>
      <c r="J777" s="28" t="n">
        <f aca="false">Raw!F777</f>
        <v>5.86</v>
      </c>
      <c r="K777" s="30" t="n">
        <f aca="false">DATE(LEFT(Raw!G777,4),MID(Raw!G777,6,2),MID(Raw!G777,9,2))</f>
        <v>45853</v>
      </c>
      <c r="L777" s="30" t="n">
        <f aca="false">DATE(LEFT(Raw!H777,4),MID(Raw!H777,6,2),MID(Raw!H777,9,2))</f>
        <v>45854</v>
      </c>
      <c r="M777" s="30" t="n">
        <f aca="false">DATE(LEFT(Raw!I777,4),MID(Raw!I777,6,2),MID(Raw!I777,9,2))</f>
        <v>45860</v>
      </c>
      <c r="N777" s="31" t="n">
        <f aca="false">DATE(LEFT(Raw!J777,4),MID(Raw!J777,6,2),MID(Raw!J777,9,2))+TIME(MID(Raw!J777,12,2),MID(Raw!J777,15,2),MID(Raw!J777,18,2))</f>
        <v>45854.1666666667</v>
      </c>
      <c r="O777" s="31" t="n">
        <f aca="false">DATE(LEFT(Raw!K777,4),MID(Raw!K777,6,2),MID(Raw!K777,9,2))+TIME(MID(Raw!K777,12,2),MID(Raw!K777,15,2),MID(Raw!K777,18,2))</f>
        <v>45866.5</v>
      </c>
      <c r="P777" s="32" t="n">
        <f aca="false">L777-K777</f>
        <v>1</v>
      </c>
      <c r="Q777" s="32" t="n">
        <f aca="false">M777-L777</f>
        <v>6</v>
      </c>
      <c r="R777" s="32" t="n">
        <f aca="false">O777-N777</f>
        <v>12.3333333333333</v>
      </c>
      <c r="S777" s="32" t="n">
        <f aca="false">Raw!L777</f>
        <v>6.5</v>
      </c>
      <c r="T777" s="32" t="n">
        <f aca="false">O777-M777</f>
        <v>6.5</v>
      </c>
      <c r="U777" s="0" t="str">
        <f aca="false">IF(ABS(T777-S777)&lt;0.01,"OK","MISMATCH")</f>
        <v>OK</v>
      </c>
      <c r="V777" s="33" t="n">
        <f aca="false">Raw!M777</f>
        <v>1</v>
      </c>
      <c r="W777" s="0" t="str">
        <f aca="false">IF((S777&gt;0)=(V777=1),"OK","MISMATCH")</f>
        <v>OK</v>
      </c>
      <c r="X777" s="0" t="str">
        <f aca="false">_xlfn.IFS(S777&lt;=0,"Early/On time",S777&lt;=2,"Minor (up to 2 days)",S777&lt;=5,"Moderate (2-5 days)",TRUE(),"Severe (over 5 days)")</f>
        <v>Severe (over 5 days)</v>
      </c>
      <c r="Y777" s="0" t="str">
        <f aca="false">YEAR(K777)&amp;"-"&amp;TEXT(MONTH(K777),"00")</f>
        <v>2025-07</v>
      </c>
      <c r="Z777" s="0" t="str">
        <f aca="false">C777&amp;" → "&amp;D777</f>
        <v>Gujarat → Surat</v>
      </c>
      <c r="AA777" s="0" t="str">
        <f aca="false">Raw!Q777</f>
        <v>Delhivery</v>
      </c>
      <c r="AB777" s="0" t="str">
        <f aca="false">Raw!R777</f>
        <v>Yes</v>
      </c>
      <c r="AC777" s="0" t="str">
        <f aca="false">Raw!S777</f>
        <v>Returned</v>
      </c>
      <c r="AD777" s="29" t="n">
        <f aca="false">Raw!N777</f>
        <v>2903.78</v>
      </c>
      <c r="AE777" s="29" t="n">
        <f aca="false">Raw!O777</f>
        <v>3416.02</v>
      </c>
      <c r="AF777" s="29" t="n">
        <f aca="false">Raw!P777</f>
        <v>1371.33</v>
      </c>
      <c r="AG777" s="29" t="n">
        <f aca="false">AD777/J777</f>
        <v>495.525597269625</v>
      </c>
    </row>
    <row r="778" customFormat="false" ht="15" hidden="false" customHeight="false" outlineLevel="0" collapsed="false">
      <c r="A778" s="0" t="str">
        <f aca="false">Raw!A778</f>
        <v>SHP0777</v>
      </c>
      <c r="B778" s="0" t="str">
        <f aca="false">Raw!B778</f>
        <v>Inbound</v>
      </c>
      <c r="C778" s="0" t="str">
        <f aca="false">Raw!C778</f>
        <v>Chennai</v>
      </c>
      <c r="D778" s="0" t="str">
        <f aca="false">Raw!D778</f>
        <v>Surat</v>
      </c>
      <c r="E778" s="0" t="str">
        <f aca="false">IFERROR(INDEX(Location_Map!$B$2:$B$15,MATCH(C778,Location_Map!$A$2:$A$15,0)),"UNMAPPED")</f>
        <v>Tamil Nadu</v>
      </c>
      <c r="F778" s="0" t="str">
        <f aca="false">IFERROR(INDEX(Location_Map!$C$2:$C$15,MATCH(C778,Location_Map!$A$2:$A$15,0)),"UNMAPPED")</f>
        <v>South</v>
      </c>
      <c r="G778" s="0" t="str">
        <f aca="false">IFERROR(INDEX(Location_Map!$B$2:$B$15,MATCH(D778,Location_Map!$A$2:$A$15,0)),"UNMAPPED")</f>
        <v>Gujarat</v>
      </c>
      <c r="H778" s="0" t="str">
        <f aca="false">IFERROR(INDEX(Location_Map!$C$2:$C$15,MATCH(D778,Location_Map!$A$2:$A$15,0)),"UNMAPPED")</f>
        <v>West</v>
      </c>
      <c r="I778" s="0" t="str">
        <f aca="false">Raw!E778</f>
        <v>Finished Yarn</v>
      </c>
      <c r="J778" s="28" t="n">
        <f aca="false">Raw!F778</f>
        <v>19.98</v>
      </c>
      <c r="K778" s="30" t="n">
        <f aca="false">DATE(LEFT(Raw!G778,4),MID(Raw!G778,6,2),MID(Raw!G778,9,2))</f>
        <v>45840</v>
      </c>
      <c r="L778" s="30" t="n">
        <f aca="false">DATE(LEFT(Raw!H778,4),MID(Raw!H778,6,2),MID(Raw!H778,9,2))</f>
        <v>45842</v>
      </c>
      <c r="M778" s="30" t="n">
        <f aca="false">DATE(LEFT(Raw!I778,4),MID(Raw!I778,6,2),MID(Raw!I778,9,2))</f>
        <v>45848</v>
      </c>
      <c r="N778" s="31" t="n">
        <f aca="false">DATE(LEFT(Raw!J778,4),MID(Raw!J778,6,2),MID(Raw!J778,9,2))+TIME(MID(Raw!J778,12,2),MID(Raw!J778,15,2),MID(Raw!J778,18,2))</f>
        <v>45842.2083333333</v>
      </c>
      <c r="O778" s="31" t="n">
        <f aca="false">DATE(LEFT(Raw!K778,4),MID(Raw!K778,6,2),MID(Raw!K778,9,2))+TIME(MID(Raw!K778,12,2),MID(Raw!K778,15,2),MID(Raw!K778,18,2))</f>
        <v>45851</v>
      </c>
      <c r="P778" s="32" t="n">
        <f aca="false">L778-K778</f>
        <v>2</v>
      </c>
      <c r="Q778" s="32" t="n">
        <f aca="false">M778-L778</f>
        <v>6</v>
      </c>
      <c r="R778" s="32" t="n">
        <f aca="false">O778-N778</f>
        <v>8.79166666666667</v>
      </c>
      <c r="S778" s="32" t="n">
        <f aca="false">Raw!L778</f>
        <v>3</v>
      </c>
      <c r="T778" s="32" t="n">
        <f aca="false">O778-M778</f>
        <v>3</v>
      </c>
      <c r="U778" s="0" t="str">
        <f aca="false">IF(ABS(T778-S778)&lt;0.01,"OK","MISMATCH")</f>
        <v>OK</v>
      </c>
      <c r="V778" s="33" t="n">
        <f aca="false">Raw!M778</f>
        <v>1</v>
      </c>
      <c r="W778" s="0" t="str">
        <f aca="false">IF((S778&gt;0)=(V778=1),"OK","MISMATCH")</f>
        <v>OK</v>
      </c>
      <c r="X778" s="0" t="str">
        <f aca="false">_xlfn.IFS(S778&lt;=0,"Early/On time",S778&lt;=2,"Minor (up to 2 days)",S778&lt;=5,"Moderate (2-5 days)",TRUE(),"Severe (over 5 days)")</f>
        <v>Moderate (2-5 days)</v>
      </c>
      <c r="Y778" s="0" t="str">
        <f aca="false">YEAR(K778)&amp;"-"&amp;TEXT(MONTH(K778),"00")</f>
        <v>2025-07</v>
      </c>
      <c r="Z778" s="0" t="str">
        <f aca="false">C778&amp;" → "&amp;D778</f>
        <v>Chennai → Surat</v>
      </c>
      <c r="AA778" s="0" t="str">
        <f aca="false">Raw!Q778</f>
        <v>BlueDart</v>
      </c>
      <c r="AB778" s="0" t="str">
        <f aca="false">Raw!R778</f>
        <v>No</v>
      </c>
      <c r="AC778" s="0" t="str">
        <f aca="false">Raw!S778</f>
        <v>Held at warehouse</v>
      </c>
      <c r="AD778" s="29" t="n">
        <f aca="false">Raw!N778</f>
        <v>7645.94</v>
      </c>
      <c r="AE778" s="29" t="n">
        <f aca="false">Raw!O778</f>
        <v>2534.14</v>
      </c>
      <c r="AF778" s="29" t="n">
        <f aca="false">Raw!P778</f>
        <v>1336.62</v>
      </c>
      <c r="AG778" s="29" t="n">
        <f aca="false">AD778/J778</f>
        <v>382.67967967968</v>
      </c>
    </row>
    <row r="779" customFormat="false" ht="15" hidden="false" customHeight="false" outlineLevel="0" collapsed="false">
      <c r="A779" s="0" t="str">
        <f aca="false">Raw!A779</f>
        <v>SHP0778</v>
      </c>
      <c r="B779" s="0" t="str">
        <f aca="false">Raw!B779</f>
        <v>Inbound</v>
      </c>
      <c r="C779" s="0" t="str">
        <f aca="false">Raw!C779</f>
        <v>Rajasthan</v>
      </c>
      <c r="D779" s="0" t="str">
        <f aca="false">Raw!D779</f>
        <v>Surat</v>
      </c>
      <c r="E779" s="0" t="str">
        <f aca="false">IFERROR(INDEX(Location_Map!$B$2:$B$15,MATCH(C779,Location_Map!$A$2:$A$15,0)),"UNMAPPED")</f>
        <v>Rajasthan</v>
      </c>
      <c r="F779" s="0" t="str">
        <f aca="false">IFERROR(INDEX(Location_Map!$C$2:$C$15,MATCH(C779,Location_Map!$A$2:$A$15,0)),"UNMAPPED")</f>
        <v>North</v>
      </c>
      <c r="G779" s="0" t="str">
        <f aca="false">IFERROR(INDEX(Location_Map!$B$2:$B$15,MATCH(D779,Location_Map!$A$2:$A$15,0)),"UNMAPPED")</f>
        <v>Gujarat</v>
      </c>
      <c r="H779" s="0" t="str">
        <f aca="false">IFERROR(INDEX(Location_Map!$C$2:$C$15,MATCH(D779,Location_Map!$A$2:$A$15,0)),"UNMAPPED")</f>
        <v>West</v>
      </c>
      <c r="I779" s="0" t="str">
        <f aca="false">Raw!E779</f>
        <v>Finished Yarn</v>
      </c>
      <c r="J779" s="28" t="n">
        <f aca="false">Raw!F779</f>
        <v>13.36</v>
      </c>
      <c r="K779" s="30" t="n">
        <f aca="false">DATE(LEFT(Raw!G779,4),MID(Raw!G779,6,2),MID(Raw!G779,9,2))</f>
        <v>45842</v>
      </c>
      <c r="L779" s="30" t="n">
        <f aca="false">DATE(LEFT(Raw!H779,4),MID(Raw!H779,6,2),MID(Raw!H779,9,2))</f>
        <v>45844</v>
      </c>
      <c r="M779" s="30" t="n">
        <f aca="false">DATE(LEFT(Raw!I779,4),MID(Raw!I779,6,2),MID(Raw!I779,9,2))</f>
        <v>45850</v>
      </c>
      <c r="N779" s="31" t="n">
        <f aca="false">DATE(LEFT(Raw!J779,4),MID(Raw!J779,6,2),MID(Raw!J779,9,2))+TIME(MID(Raw!J779,12,2),MID(Raw!J779,15,2),MID(Raw!J779,18,2))</f>
        <v>45843.9583333333</v>
      </c>
      <c r="O779" s="31" t="n">
        <f aca="false">DATE(LEFT(Raw!K779,4),MID(Raw!K779,6,2),MID(Raw!K779,9,2))+TIME(MID(Raw!K779,12,2),MID(Raw!K779,15,2),MID(Raw!K779,18,2))</f>
        <v>45855.2</v>
      </c>
      <c r="P779" s="32" t="n">
        <f aca="false">L779-K779</f>
        <v>2</v>
      </c>
      <c r="Q779" s="32" t="n">
        <f aca="false">M779-L779</f>
        <v>6</v>
      </c>
      <c r="R779" s="32" t="n">
        <f aca="false">O779-N779</f>
        <v>11.2416666666667</v>
      </c>
      <c r="S779" s="32" t="n">
        <f aca="false">Raw!L779</f>
        <v>5.2</v>
      </c>
      <c r="T779" s="32" t="n">
        <f aca="false">O779-M779</f>
        <v>5.2</v>
      </c>
      <c r="U779" s="0" t="str">
        <f aca="false">IF(ABS(T779-S779)&lt;0.01,"OK","MISMATCH")</f>
        <v>OK</v>
      </c>
      <c r="V779" s="33" t="n">
        <f aca="false">Raw!M779</f>
        <v>1</v>
      </c>
      <c r="W779" s="0" t="str">
        <f aca="false">IF((S779&gt;0)=(V779=1),"OK","MISMATCH")</f>
        <v>OK</v>
      </c>
      <c r="X779" s="0" t="str">
        <f aca="false">_xlfn.IFS(S779&lt;=0,"Early/On time",S779&lt;=2,"Minor (up to 2 days)",S779&lt;=5,"Moderate (2-5 days)",TRUE(),"Severe (over 5 days)")</f>
        <v>Severe (over 5 days)</v>
      </c>
      <c r="Y779" s="0" t="str">
        <f aca="false">YEAR(K779)&amp;"-"&amp;TEXT(MONTH(K779),"00")</f>
        <v>2025-07</v>
      </c>
      <c r="Z779" s="0" t="str">
        <f aca="false">C779&amp;" → "&amp;D779</f>
        <v>Rajasthan → Surat</v>
      </c>
      <c r="AA779" s="0" t="str">
        <f aca="false">Raw!Q779</f>
        <v>Delhivery</v>
      </c>
      <c r="AB779" s="0" t="str">
        <f aca="false">Raw!R779</f>
        <v>No</v>
      </c>
      <c r="AC779" s="0" t="str">
        <f aca="false">Raw!S779</f>
        <v>Held at warehouse</v>
      </c>
      <c r="AD779" s="29" t="n">
        <f aca="false">Raw!N779</f>
        <v>5392.63</v>
      </c>
      <c r="AE779" s="29" t="n">
        <f aca="false">Raw!O779</f>
        <v>3051</v>
      </c>
      <c r="AF779" s="29" t="n">
        <f aca="false">Raw!P779</f>
        <v>898.25</v>
      </c>
      <c r="AG779" s="29" t="n">
        <f aca="false">AD779/J779</f>
        <v>403.63997005988</v>
      </c>
    </row>
    <row r="780" customFormat="false" ht="15" hidden="false" customHeight="false" outlineLevel="0" collapsed="false">
      <c r="A780" s="0" t="str">
        <f aca="false">Raw!A780</f>
        <v>SHP0779</v>
      </c>
      <c r="B780" s="0" t="str">
        <f aca="false">Raw!B780</f>
        <v>Outbound</v>
      </c>
      <c r="C780" s="0" t="str">
        <f aca="false">Raw!C780</f>
        <v>Surat</v>
      </c>
      <c r="D780" s="0" t="str">
        <f aca="false">Raw!D780</f>
        <v>Karnataka</v>
      </c>
      <c r="E780" s="0" t="str">
        <f aca="false">IFERROR(INDEX(Location_Map!$B$2:$B$15,MATCH(C780,Location_Map!$A$2:$A$15,0)),"UNMAPPED")</f>
        <v>Gujarat</v>
      </c>
      <c r="F780" s="0" t="str">
        <f aca="false">IFERROR(INDEX(Location_Map!$C$2:$C$15,MATCH(C780,Location_Map!$A$2:$A$15,0)),"UNMAPPED")</f>
        <v>West</v>
      </c>
      <c r="G780" s="0" t="str">
        <f aca="false">IFERROR(INDEX(Location_Map!$B$2:$B$15,MATCH(D780,Location_Map!$A$2:$A$15,0)),"UNMAPPED")</f>
        <v>Karnataka</v>
      </c>
      <c r="H780" s="0" t="str">
        <f aca="false">IFERROR(INDEX(Location_Map!$C$2:$C$15,MATCH(D780,Location_Map!$A$2:$A$15,0)),"UNMAPPED")</f>
        <v>South</v>
      </c>
      <c r="I780" s="0" t="str">
        <f aca="false">Raw!E780</f>
        <v>Finished Yarn</v>
      </c>
      <c r="J780" s="28" t="n">
        <f aca="false">Raw!F780</f>
        <v>10.45</v>
      </c>
      <c r="K780" s="30" t="n">
        <f aca="false">DATE(LEFT(Raw!G780,4),MID(Raw!G780,6,2),MID(Raw!G780,9,2))</f>
        <v>45858</v>
      </c>
      <c r="L780" s="30" t="n">
        <f aca="false">DATE(LEFT(Raw!H780,4),MID(Raw!H780,6,2),MID(Raw!H780,9,2))</f>
        <v>45859</v>
      </c>
      <c r="M780" s="30" t="n">
        <f aca="false">DATE(LEFT(Raw!I780,4),MID(Raw!I780,6,2),MID(Raw!I780,9,2))</f>
        <v>45865</v>
      </c>
      <c r="N780" s="31" t="n">
        <f aca="false">DATE(LEFT(Raw!J780,4),MID(Raw!J780,6,2),MID(Raw!J780,9,2))+TIME(MID(Raw!J780,12,2),MID(Raw!J780,15,2),MID(Raw!J780,18,2))</f>
        <v>45858.8333333333</v>
      </c>
      <c r="O780" s="31" t="n">
        <f aca="false">DATE(LEFT(Raw!K780,4),MID(Raw!K780,6,2),MID(Raw!K780,9,2))+TIME(MID(Raw!K780,12,2),MID(Raw!K780,15,2),MID(Raw!K780,18,2))</f>
        <v>45864</v>
      </c>
      <c r="P780" s="32" t="n">
        <f aca="false">L780-K780</f>
        <v>1</v>
      </c>
      <c r="Q780" s="32" t="n">
        <f aca="false">M780-L780</f>
        <v>6</v>
      </c>
      <c r="R780" s="32" t="n">
        <f aca="false">O780-N780</f>
        <v>5.16666666666667</v>
      </c>
      <c r="S780" s="32" t="n">
        <f aca="false">Raw!L780</f>
        <v>-1</v>
      </c>
      <c r="T780" s="32" t="n">
        <f aca="false">O780-M780</f>
        <v>-1</v>
      </c>
      <c r="U780" s="0" t="str">
        <f aca="false">IF(ABS(T780-S780)&lt;0.01,"OK","MISMATCH")</f>
        <v>OK</v>
      </c>
      <c r="V780" s="33" t="n">
        <f aca="false">Raw!M780</f>
        <v>0</v>
      </c>
      <c r="W780" s="0" t="str">
        <f aca="false">IF((S780&gt;0)=(V780=1),"OK","MISMATCH")</f>
        <v>OK</v>
      </c>
      <c r="X780" s="0" t="str">
        <f aca="false">_xlfn.IFS(S780&lt;=0,"Early/On time",S780&lt;=2,"Minor (up to 2 days)",S780&lt;=5,"Moderate (2-5 days)",TRUE(),"Severe (over 5 days)")</f>
        <v>Early/On time</v>
      </c>
      <c r="Y780" s="0" t="str">
        <f aca="false">YEAR(K780)&amp;"-"&amp;TEXT(MONTH(K780),"00")</f>
        <v>2025-07</v>
      </c>
      <c r="Z780" s="0" t="str">
        <f aca="false">C780&amp;" → "&amp;D780</f>
        <v>Surat → Karnataka</v>
      </c>
      <c r="AA780" s="0" t="str">
        <f aca="false">Raw!Q780</f>
        <v>BlueDart</v>
      </c>
      <c r="AB780" s="0" t="str">
        <f aca="false">Raw!R780</f>
        <v>No</v>
      </c>
      <c r="AC780" s="0" t="str">
        <f aca="false">Raw!S780</f>
        <v>Damaged</v>
      </c>
      <c r="AD780" s="29" t="n">
        <f aca="false">Raw!N780</f>
        <v>4595.88</v>
      </c>
      <c r="AE780" s="29" t="n">
        <f aca="false">Raw!O780</f>
        <v>3865.81</v>
      </c>
      <c r="AF780" s="29" t="n">
        <f aca="false">Raw!P780</f>
        <v>749.62</v>
      </c>
      <c r="AG780" s="29" t="n">
        <f aca="false">AD780/J780</f>
        <v>439.797129186603</v>
      </c>
    </row>
    <row r="781" customFormat="false" ht="15" hidden="false" customHeight="false" outlineLevel="0" collapsed="false">
      <c r="A781" s="0" t="str">
        <f aca="false">Raw!A781</f>
        <v>SHP0780</v>
      </c>
      <c r="B781" s="0" t="str">
        <f aca="false">Raw!B781</f>
        <v>Outbound</v>
      </c>
      <c r="C781" s="0" t="str">
        <f aca="false">Raw!C781</f>
        <v>Surat</v>
      </c>
      <c r="D781" s="0" t="str">
        <f aca="false">Raw!D781</f>
        <v>Karnataka</v>
      </c>
      <c r="E781" s="0" t="str">
        <f aca="false">IFERROR(INDEX(Location_Map!$B$2:$B$15,MATCH(C781,Location_Map!$A$2:$A$15,0)),"UNMAPPED")</f>
        <v>Gujarat</v>
      </c>
      <c r="F781" s="0" t="str">
        <f aca="false">IFERROR(INDEX(Location_Map!$C$2:$C$15,MATCH(C781,Location_Map!$A$2:$A$15,0)),"UNMAPPED")</f>
        <v>West</v>
      </c>
      <c r="G781" s="0" t="str">
        <f aca="false">IFERROR(INDEX(Location_Map!$B$2:$B$15,MATCH(D781,Location_Map!$A$2:$A$15,0)),"UNMAPPED")</f>
        <v>Karnataka</v>
      </c>
      <c r="H781" s="0" t="str">
        <f aca="false">IFERROR(INDEX(Location_Map!$C$2:$C$15,MATCH(D781,Location_Map!$A$2:$A$15,0)),"UNMAPPED")</f>
        <v>South</v>
      </c>
      <c r="I781" s="0" t="str">
        <f aca="false">Raw!E781</f>
        <v>Finished Yarn</v>
      </c>
      <c r="J781" s="28" t="n">
        <f aca="false">Raw!F781</f>
        <v>17.68</v>
      </c>
      <c r="K781" s="30" t="n">
        <f aca="false">DATE(LEFT(Raw!G781,4),MID(Raw!G781,6,2),MID(Raw!G781,9,2))</f>
        <v>45901</v>
      </c>
      <c r="L781" s="30" t="n">
        <f aca="false">DATE(LEFT(Raw!H781,4),MID(Raw!H781,6,2),MID(Raw!H781,9,2))</f>
        <v>45905</v>
      </c>
      <c r="M781" s="30" t="n">
        <f aca="false">DATE(LEFT(Raw!I781,4),MID(Raw!I781,6,2),MID(Raw!I781,9,2))</f>
        <v>45911</v>
      </c>
      <c r="N781" s="31" t="n">
        <f aca="false">DATE(LEFT(Raw!J781,4),MID(Raw!J781,6,2),MID(Raw!J781,9,2))+TIME(MID(Raw!J781,12,2),MID(Raw!J781,15,2),MID(Raw!J781,18,2))</f>
        <v>45905.25</v>
      </c>
      <c r="O781" s="31" t="n">
        <f aca="false">DATE(LEFT(Raw!K781,4),MID(Raw!K781,6,2),MID(Raw!K781,9,2))+TIME(MID(Raw!K781,12,2),MID(Raw!K781,15,2),MID(Raw!K781,18,2))</f>
        <v>45911</v>
      </c>
      <c r="P781" s="32" t="n">
        <f aca="false">L781-K781</f>
        <v>4</v>
      </c>
      <c r="Q781" s="32" t="n">
        <f aca="false">M781-L781</f>
        <v>6</v>
      </c>
      <c r="R781" s="32" t="n">
        <f aca="false">O781-N781</f>
        <v>5.75</v>
      </c>
      <c r="S781" s="32" t="n">
        <f aca="false">Raw!L781</f>
        <v>-0</v>
      </c>
      <c r="T781" s="32" t="n">
        <f aca="false">O781-M781</f>
        <v>0</v>
      </c>
      <c r="U781" s="0" t="str">
        <f aca="false">IF(ABS(T781-S781)&lt;0.01,"OK","MISMATCH")</f>
        <v>OK</v>
      </c>
      <c r="V781" s="33" t="n">
        <f aca="false">Raw!M781</f>
        <v>0</v>
      </c>
      <c r="W781" s="0" t="str">
        <f aca="false">IF((S781&gt;0)=(V781=1),"OK","MISMATCH")</f>
        <v>OK</v>
      </c>
      <c r="X781" s="0" t="str">
        <f aca="false">_xlfn.IFS(S781&lt;=0,"Early/On time",S781&lt;=2,"Minor (up to 2 days)",S781&lt;=5,"Moderate (2-5 days)",TRUE(),"Severe (over 5 days)")</f>
        <v>Early/On time</v>
      </c>
      <c r="Y781" s="0" t="str">
        <f aca="false">YEAR(K781)&amp;"-"&amp;TEXT(MONTH(K781),"00")</f>
        <v>2025-09</v>
      </c>
      <c r="Z781" s="0" t="str">
        <f aca="false">C781&amp;" → "&amp;D781</f>
        <v>Surat → Karnataka</v>
      </c>
      <c r="AA781" s="0" t="str">
        <f aca="false">Raw!Q781</f>
        <v>Delhivery</v>
      </c>
      <c r="AB781" s="0" t="str">
        <f aca="false">Raw!R781</f>
        <v>No</v>
      </c>
      <c r="AC781" s="0" t="str">
        <f aca="false">Raw!S781</f>
        <v>Expedited</v>
      </c>
      <c r="AD781" s="29" t="n">
        <f aca="false">Raw!N781</f>
        <v>13291.55</v>
      </c>
      <c r="AE781" s="29" t="n">
        <f aca="false">Raw!O781</f>
        <v>3773.53</v>
      </c>
      <c r="AF781" s="29" t="n">
        <f aca="false">Raw!P781</f>
        <v>670.26</v>
      </c>
      <c r="AG781" s="29" t="n">
        <f aca="false">AD781/J781</f>
        <v>751.784502262443</v>
      </c>
    </row>
    <row r="782" customFormat="false" ht="15" hidden="false" customHeight="false" outlineLevel="0" collapsed="false">
      <c r="A782" s="0" t="str">
        <f aca="false">Raw!A782</f>
        <v>SHP0781</v>
      </c>
      <c r="B782" s="0" t="str">
        <f aca="false">Raw!B782</f>
        <v>Inbound</v>
      </c>
      <c r="C782" s="0" t="str">
        <f aca="false">Raw!C782</f>
        <v>Uttar Pradesh</v>
      </c>
      <c r="D782" s="0" t="str">
        <f aca="false">Raw!D782</f>
        <v>Surat</v>
      </c>
      <c r="E782" s="0" t="str">
        <f aca="false">IFERROR(INDEX(Location_Map!$B$2:$B$15,MATCH(C782,Location_Map!$A$2:$A$15,0)),"UNMAPPED")</f>
        <v>Uttar Pradesh</v>
      </c>
      <c r="F782" s="0" t="str">
        <f aca="false">IFERROR(INDEX(Location_Map!$C$2:$C$15,MATCH(C782,Location_Map!$A$2:$A$15,0)),"UNMAPPED")</f>
        <v>North</v>
      </c>
      <c r="G782" s="0" t="str">
        <f aca="false">IFERROR(INDEX(Location_Map!$B$2:$B$15,MATCH(D782,Location_Map!$A$2:$A$15,0)),"UNMAPPED")</f>
        <v>Gujarat</v>
      </c>
      <c r="H782" s="0" t="str">
        <f aca="false">IFERROR(INDEX(Location_Map!$C$2:$C$15,MATCH(D782,Location_Map!$A$2:$A$15,0)),"UNMAPPED")</f>
        <v>West</v>
      </c>
      <c r="I782" s="0" t="str">
        <f aca="false">Raw!E782</f>
        <v>Semi-Processed Yarn</v>
      </c>
      <c r="J782" s="28" t="n">
        <f aca="false">Raw!F782</f>
        <v>6.16</v>
      </c>
      <c r="K782" s="30" t="n">
        <f aca="false">DATE(LEFT(Raw!G782,4),MID(Raw!G782,6,2),MID(Raw!G782,9,2))</f>
        <v>45721</v>
      </c>
      <c r="L782" s="30" t="n">
        <f aca="false">DATE(LEFT(Raw!H782,4),MID(Raw!H782,6,2),MID(Raw!H782,9,2))</f>
        <v>45724</v>
      </c>
      <c r="M782" s="30" t="n">
        <f aca="false">DATE(LEFT(Raw!I782,4),MID(Raw!I782,6,2),MID(Raw!I782,9,2))</f>
        <v>45726</v>
      </c>
      <c r="N782" s="31" t="n">
        <f aca="false">DATE(LEFT(Raw!J782,4),MID(Raw!J782,6,2),MID(Raw!J782,9,2))+TIME(MID(Raw!J782,12,2),MID(Raw!J782,15,2),MID(Raw!J782,18,2))</f>
        <v>45724.0833333333</v>
      </c>
      <c r="O782" s="31" t="n">
        <f aca="false">DATE(LEFT(Raw!K782,4),MID(Raw!K782,6,2),MID(Raw!K782,9,2))+TIME(MID(Raw!K782,12,2),MID(Raw!K782,15,2),MID(Raw!K782,18,2))</f>
        <v>45726.8</v>
      </c>
      <c r="P782" s="32" t="n">
        <f aca="false">L782-K782</f>
        <v>3</v>
      </c>
      <c r="Q782" s="32" t="n">
        <f aca="false">M782-L782</f>
        <v>2</v>
      </c>
      <c r="R782" s="32" t="n">
        <f aca="false">O782-N782</f>
        <v>2.71666666666667</v>
      </c>
      <c r="S782" s="32" t="n">
        <f aca="false">Raw!L782</f>
        <v>0.8</v>
      </c>
      <c r="T782" s="32" t="n">
        <f aca="false">O782-M782</f>
        <v>0.8</v>
      </c>
      <c r="U782" s="0" t="str">
        <f aca="false">IF(ABS(T782-S782)&lt;0.01,"OK","MISMATCH")</f>
        <v>OK</v>
      </c>
      <c r="V782" s="33" t="n">
        <f aca="false">Raw!M782</f>
        <v>1</v>
      </c>
      <c r="W782" s="0" t="str">
        <f aca="false">IF((S782&gt;0)=(V782=1),"OK","MISMATCH")</f>
        <v>OK</v>
      </c>
      <c r="X782" s="0" t="str">
        <f aca="false">_xlfn.IFS(S782&lt;=0,"Early/On time",S782&lt;=2,"Minor (up to 2 days)",S782&lt;=5,"Moderate (2-5 days)",TRUE(),"Severe (over 5 days)")</f>
        <v>Minor (up to 2 days)</v>
      </c>
      <c r="Y782" s="0" t="str">
        <f aca="false">YEAR(K782)&amp;"-"&amp;TEXT(MONTH(K782),"00")</f>
        <v>2025-03</v>
      </c>
      <c r="Z782" s="0" t="str">
        <f aca="false">C782&amp;" → "&amp;D782</f>
        <v>Uttar Pradesh → Surat</v>
      </c>
      <c r="AA782" s="0" t="str">
        <f aca="false">Raw!Q782</f>
        <v>BlueDart</v>
      </c>
      <c r="AB782" s="0" t="str">
        <f aca="false">Raw!R782</f>
        <v>No</v>
      </c>
      <c r="AC782" s="0" t="str">
        <f aca="false">Raw!S782</f>
        <v>Returned</v>
      </c>
      <c r="AD782" s="29" t="n">
        <f aca="false">Raw!N782</f>
        <v>3440.46</v>
      </c>
      <c r="AE782" s="29" t="n">
        <f aca="false">Raw!O782</f>
        <v>4886.07</v>
      </c>
      <c r="AF782" s="29" t="n">
        <f aca="false">Raw!P782</f>
        <v>776.24</v>
      </c>
      <c r="AG782" s="29" t="n">
        <f aca="false">AD782/J782</f>
        <v>558.516233766234</v>
      </c>
    </row>
    <row r="783" customFormat="false" ht="15" hidden="false" customHeight="false" outlineLevel="0" collapsed="false">
      <c r="A783" s="0" t="str">
        <f aca="false">Raw!A783</f>
        <v>SHP0782</v>
      </c>
      <c r="B783" s="0" t="str">
        <f aca="false">Raw!B783</f>
        <v>Inbound</v>
      </c>
      <c r="C783" s="0" t="str">
        <f aca="false">Raw!C783</f>
        <v>Rajasthan</v>
      </c>
      <c r="D783" s="0" t="str">
        <f aca="false">Raw!D783</f>
        <v>Surat</v>
      </c>
      <c r="E783" s="0" t="str">
        <f aca="false">IFERROR(INDEX(Location_Map!$B$2:$B$15,MATCH(C783,Location_Map!$A$2:$A$15,0)),"UNMAPPED")</f>
        <v>Rajasthan</v>
      </c>
      <c r="F783" s="0" t="str">
        <f aca="false">IFERROR(INDEX(Location_Map!$C$2:$C$15,MATCH(C783,Location_Map!$A$2:$A$15,0)),"UNMAPPED")</f>
        <v>North</v>
      </c>
      <c r="G783" s="0" t="str">
        <f aca="false">IFERROR(INDEX(Location_Map!$B$2:$B$15,MATCH(D783,Location_Map!$A$2:$A$15,0)),"UNMAPPED")</f>
        <v>Gujarat</v>
      </c>
      <c r="H783" s="0" t="str">
        <f aca="false">IFERROR(INDEX(Location_Map!$C$2:$C$15,MATCH(D783,Location_Map!$A$2:$A$15,0)),"UNMAPPED")</f>
        <v>West</v>
      </c>
      <c r="I783" s="0" t="str">
        <f aca="false">Raw!E783</f>
        <v>Finished Yarn</v>
      </c>
      <c r="J783" s="28" t="n">
        <f aca="false">Raw!F783</f>
        <v>16.06</v>
      </c>
      <c r="K783" s="30" t="n">
        <f aca="false">DATE(LEFT(Raw!G783,4),MID(Raw!G783,6,2),MID(Raw!G783,9,2))</f>
        <v>45725</v>
      </c>
      <c r="L783" s="30" t="n">
        <f aca="false">DATE(LEFT(Raw!H783,4),MID(Raw!H783,6,2),MID(Raw!H783,9,2))</f>
        <v>45728</v>
      </c>
      <c r="M783" s="30" t="n">
        <f aca="false">DATE(LEFT(Raw!I783,4),MID(Raw!I783,6,2),MID(Raw!I783,9,2))</f>
        <v>45731</v>
      </c>
      <c r="N783" s="31" t="n">
        <f aca="false">DATE(LEFT(Raw!J783,4),MID(Raw!J783,6,2),MID(Raw!J783,9,2))+TIME(MID(Raw!J783,12,2),MID(Raw!J783,15,2),MID(Raw!J783,18,2))</f>
        <v>45727.7916666667</v>
      </c>
      <c r="O783" s="31" t="n">
        <f aca="false">DATE(LEFT(Raw!K783,4),MID(Raw!K783,6,2),MID(Raw!K783,9,2))+TIME(MID(Raw!K783,12,2),MID(Raw!K783,15,2),MID(Raw!K783,18,2))</f>
        <v>45734.5</v>
      </c>
      <c r="P783" s="32" t="n">
        <f aca="false">L783-K783</f>
        <v>3</v>
      </c>
      <c r="Q783" s="32" t="n">
        <f aca="false">M783-L783</f>
        <v>3</v>
      </c>
      <c r="R783" s="32" t="n">
        <f aca="false">O783-N783</f>
        <v>6.70833333333333</v>
      </c>
      <c r="S783" s="32" t="n">
        <f aca="false">Raw!L783</f>
        <v>3.5</v>
      </c>
      <c r="T783" s="32" t="n">
        <f aca="false">O783-M783</f>
        <v>3.5</v>
      </c>
      <c r="U783" s="0" t="str">
        <f aca="false">IF(ABS(T783-S783)&lt;0.01,"OK","MISMATCH")</f>
        <v>OK</v>
      </c>
      <c r="V783" s="33" t="n">
        <f aca="false">Raw!M783</f>
        <v>1</v>
      </c>
      <c r="W783" s="0" t="str">
        <f aca="false">IF((S783&gt;0)=(V783=1),"OK","MISMATCH")</f>
        <v>OK</v>
      </c>
      <c r="X783" s="0" t="str">
        <f aca="false">_xlfn.IFS(S783&lt;=0,"Early/On time",S783&lt;=2,"Minor (up to 2 days)",S783&lt;=5,"Moderate (2-5 days)",TRUE(),"Severe (over 5 days)")</f>
        <v>Moderate (2-5 days)</v>
      </c>
      <c r="Y783" s="0" t="str">
        <f aca="false">YEAR(K783)&amp;"-"&amp;TEXT(MONTH(K783),"00")</f>
        <v>2025-03</v>
      </c>
      <c r="Z783" s="0" t="str">
        <f aca="false">C783&amp;" → "&amp;D783</f>
        <v>Rajasthan → Surat</v>
      </c>
      <c r="AA783" s="0" t="str">
        <f aca="false">Raw!Q783</f>
        <v>VRL Cargo</v>
      </c>
      <c r="AB783" s="0" t="str">
        <f aca="false">Raw!R783</f>
        <v>Yes</v>
      </c>
      <c r="AC783" s="0" t="str">
        <f aca="false">Raw!S783</f>
        <v>Expedited</v>
      </c>
      <c r="AD783" s="29" t="n">
        <f aca="false">Raw!N783</f>
        <v>12049.82</v>
      </c>
      <c r="AE783" s="29" t="n">
        <f aca="false">Raw!O783</f>
        <v>4981.93</v>
      </c>
      <c r="AF783" s="29" t="n">
        <f aca="false">Raw!P783</f>
        <v>522.57</v>
      </c>
      <c r="AG783" s="29" t="n">
        <f aca="false">AD783/J783</f>
        <v>750.300124533001</v>
      </c>
    </row>
    <row r="784" customFormat="false" ht="15" hidden="false" customHeight="false" outlineLevel="0" collapsed="false">
      <c r="A784" s="0" t="str">
        <f aca="false">Raw!A784</f>
        <v>SHP0783</v>
      </c>
      <c r="B784" s="0" t="str">
        <f aca="false">Raw!B784</f>
        <v>Inbound</v>
      </c>
      <c r="C784" s="0" t="str">
        <f aca="false">Raw!C784</f>
        <v>Chennai</v>
      </c>
      <c r="D784" s="0" t="str">
        <f aca="false">Raw!D784</f>
        <v>Surat</v>
      </c>
      <c r="E784" s="0" t="str">
        <f aca="false">IFERROR(INDEX(Location_Map!$B$2:$B$15,MATCH(C784,Location_Map!$A$2:$A$15,0)),"UNMAPPED")</f>
        <v>Tamil Nadu</v>
      </c>
      <c r="F784" s="0" t="str">
        <f aca="false">IFERROR(INDEX(Location_Map!$C$2:$C$15,MATCH(C784,Location_Map!$A$2:$A$15,0)),"UNMAPPED")</f>
        <v>South</v>
      </c>
      <c r="G784" s="0" t="str">
        <f aca="false">IFERROR(INDEX(Location_Map!$B$2:$B$15,MATCH(D784,Location_Map!$A$2:$A$15,0)),"UNMAPPED")</f>
        <v>Gujarat</v>
      </c>
      <c r="H784" s="0" t="str">
        <f aca="false">IFERROR(INDEX(Location_Map!$C$2:$C$15,MATCH(D784,Location_Map!$A$2:$A$15,0)),"UNMAPPED")</f>
        <v>West</v>
      </c>
      <c r="I784" s="0" t="str">
        <f aca="false">Raw!E784</f>
        <v>Raw Yarn</v>
      </c>
      <c r="J784" s="28" t="n">
        <f aca="false">Raw!F784</f>
        <v>3.14</v>
      </c>
      <c r="K784" s="30" t="n">
        <f aca="false">DATE(LEFT(Raw!G784,4),MID(Raw!G784,6,2),MID(Raw!G784,9,2))</f>
        <v>45840</v>
      </c>
      <c r="L784" s="30" t="n">
        <f aca="false">DATE(LEFT(Raw!H784,4),MID(Raw!H784,6,2),MID(Raw!H784,9,2))</f>
        <v>45844</v>
      </c>
      <c r="M784" s="30" t="n">
        <f aca="false">DATE(LEFT(Raw!I784,4),MID(Raw!I784,6,2),MID(Raw!I784,9,2))</f>
        <v>45849</v>
      </c>
      <c r="N784" s="31" t="n">
        <f aca="false">DATE(LEFT(Raw!J784,4),MID(Raw!J784,6,2),MID(Raw!J784,9,2))+TIME(MID(Raw!J784,12,2),MID(Raw!J784,15,2),MID(Raw!J784,18,2))</f>
        <v>45844.125</v>
      </c>
      <c r="O784" s="31" t="n">
        <f aca="false">DATE(LEFT(Raw!K784,4),MID(Raw!K784,6,2),MID(Raw!K784,9,2))+TIME(MID(Raw!K784,12,2),MID(Raw!K784,15,2),MID(Raw!K784,18,2))</f>
        <v>45855.9</v>
      </c>
      <c r="P784" s="32" t="n">
        <f aca="false">L784-K784</f>
        <v>4</v>
      </c>
      <c r="Q784" s="32" t="n">
        <f aca="false">M784-L784</f>
        <v>5</v>
      </c>
      <c r="R784" s="32" t="n">
        <f aca="false">O784-N784</f>
        <v>11.775</v>
      </c>
      <c r="S784" s="32" t="n">
        <f aca="false">Raw!L784</f>
        <v>6.9</v>
      </c>
      <c r="T784" s="32" t="n">
        <f aca="false">O784-M784</f>
        <v>6.9</v>
      </c>
      <c r="U784" s="0" t="str">
        <f aca="false">IF(ABS(T784-S784)&lt;0.01,"OK","MISMATCH")</f>
        <v>OK</v>
      </c>
      <c r="V784" s="33" t="n">
        <f aca="false">Raw!M784</f>
        <v>1</v>
      </c>
      <c r="W784" s="0" t="str">
        <f aca="false">IF((S784&gt;0)=(V784=1),"OK","MISMATCH")</f>
        <v>OK</v>
      </c>
      <c r="X784" s="0" t="str">
        <f aca="false">_xlfn.IFS(S784&lt;=0,"Early/On time",S784&lt;=2,"Minor (up to 2 days)",S784&lt;=5,"Moderate (2-5 days)",TRUE(),"Severe (over 5 days)")</f>
        <v>Severe (over 5 days)</v>
      </c>
      <c r="Y784" s="0" t="str">
        <f aca="false">YEAR(K784)&amp;"-"&amp;TEXT(MONTH(K784),"00")</f>
        <v>2025-07</v>
      </c>
      <c r="Z784" s="0" t="str">
        <f aca="false">C784&amp;" → "&amp;D784</f>
        <v>Chennai → Surat</v>
      </c>
      <c r="AA784" s="0" t="str">
        <f aca="false">Raw!Q784</f>
        <v>VRL Cargo</v>
      </c>
      <c r="AB784" s="0" t="str">
        <f aca="false">Raw!R784</f>
        <v>No</v>
      </c>
      <c r="AC784" s="0" t="str">
        <f aca="false">Raw!S784</f>
        <v>Held at warehouse</v>
      </c>
      <c r="AD784" s="29" t="n">
        <f aca="false">Raw!N784</f>
        <v>1779.57</v>
      </c>
      <c r="AE784" s="29" t="n">
        <f aca="false">Raw!O784</f>
        <v>3023.24</v>
      </c>
      <c r="AF784" s="29" t="n">
        <f aca="false">Raw!P784</f>
        <v>1060.35</v>
      </c>
      <c r="AG784" s="29" t="n">
        <f aca="false">AD784/J784</f>
        <v>566.74203821656</v>
      </c>
    </row>
    <row r="785" customFormat="false" ht="15" hidden="false" customHeight="false" outlineLevel="0" collapsed="false">
      <c r="A785" s="0" t="str">
        <f aca="false">Raw!A785</f>
        <v>SHP0784</v>
      </c>
      <c r="B785" s="0" t="str">
        <f aca="false">Raw!B785</f>
        <v>Outbound</v>
      </c>
      <c r="C785" s="0" t="str">
        <f aca="false">Raw!C785</f>
        <v>Surat</v>
      </c>
      <c r="D785" s="0" t="str">
        <f aca="false">Raw!D785</f>
        <v>Mumbai</v>
      </c>
      <c r="E785" s="0" t="str">
        <f aca="false">IFERROR(INDEX(Location_Map!$B$2:$B$15,MATCH(C785,Location_Map!$A$2:$A$15,0)),"UNMAPPED")</f>
        <v>Gujarat</v>
      </c>
      <c r="F785" s="0" t="str">
        <f aca="false">IFERROR(INDEX(Location_Map!$C$2:$C$15,MATCH(C785,Location_Map!$A$2:$A$15,0)),"UNMAPPED")</f>
        <v>West</v>
      </c>
      <c r="G785" s="0" t="str">
        <f aca="false">IFERROR(INDEX(Location_Map!$B$2:$B$15,MATCH(D785,Location_Map!$A$2:$A$15,0)),"UNMAPPED")</f>
        <v>Maharashtra</v>
      </c>
      <c r="H785" s="0" t="str">
        <f aca="false">IFERROR(INDEX(Location_Map!$C$2:$C$15,MATCH(D785,Location_Map!$A$2:$A$15,0)),"UNMAPPED")</f>
        <v>West</v>
      </c>
      <c r="I785" s="0" t="str">
        <f aca="false">Raw!E785</f>
        <v>Raw Yarn</v>
      </c>
      <c r="J785" s="28" t="n">
        <f aca="false">Raw!F785</f>
        <v>14.84</v>
      </c>
      <c r="K785" s="30" t="n">
        <f aca="false">DATE(LEFT(Raw!G785,4),MID(Raw!G785,6,2),MID(Raw!G785,9,2))</f>
        <v>45764</v>
      </c>
      <c r="L785" s="30" t="n">
        <f aca="false">DATE(LEFT(Raw!H785,4),MID(Raw!H785,6,2),MID(Raw!H785,9,2))</f>
        <v>45767</v>
      </c>
      <c r="M785" s="30" t="n">
        <f aca="false">DATE(LEFT(Raw!I785,4),MID(Raw!I785,6,2),MID(Raw!I785,9,2))</f>
        <v>45769</v>
      </c>
      <c r="N785" s="31" t="n">
        <f aca="false">DATE(LEFT(Raw!J785,4),MID(Raw!J785,6,2),MID(Raw!J785,9,2))+TIME(MID(Raw!J785,12,2),MID(Raw!J785,15,2),MID(Raw!J785,18,2))</f>
        <v>45766.8333333333</v>
      </c>
      <c r="O785" s="31" t="n">
        <f aca="false">DATE(LEFT(Raw!K785,4),MID(Raw!K785,6,2),MID(Raw!K785,9,2))+TIME(MID(Raw!K785,12,2),MID(Raw!K785,15,2),MID(Raw!K785,18,2))</f>
        <v>45772</v>
      </c>
      <c r="P785" s="32" t="n">
        <f aca="false">L785-K785</f>
        <v>3</v>
      </c>
      <c r="Q785" s="32" t="n">
        <f aca="false">M785-L785</f>
        <v>2</v>
      </c>
      <c r="R785" s="32" t="n">
        <f aca="false">O785-N785</f>
        <v>5.16666666666667</v>
      </c>
      <c r="S785" s="32" t="n">
        <f aca="false">Raw!L785</f>
        <v>3</v>
      </c>
      <c r="T785" s="32" t="n">
        <f aca="false">O785-M785</f>
        <v>3</v>
      </c>
      <c r="U785" s="0" t="str">
        <f aca="false">IF(ABS(T785-S785)&lt;0.01,"OK","MISMATCH")</f>
        <v>OK</v>
      </c>
      <c r="V785" s="33" t="n">
        <f aca="false">Raw!M785</f>
        <v>1</v>
      </c>
      <c r="W785" s="0" t="str">
        <f aca="false">IF((S785&gt;0)=(V785=1),"OK","MISMATCH")</f>
        <v>OK</v>
      </c>
      <c r="X785" s="0" t="str">
        <f aca="false">_xlfn.IFS(S785&lt;=0,"Early/On time",S785&lt;=2,"Minor (up to 2 days)",S785&lt;=5,"Moderate (2-5 days)",TRUE(),"Severe (over 5 days)")</f>
        <v>Moderate (2-5 days)</v>
      </c>
      <c r="Y785" s="0" t="str">
        <f aca="false">YEAR(K785)&amp;"-"&amp;TEXT(MONTH(K785),"00")</f>
        <v>2025-04</v>
      </c>
      <c r="Z785" s="0" t="str">
        <f aca="false">C785&amp;" → "&amp;D785</f>
        <v>Surat → Mumbai</v>
      </c>
      <c r="AA785" s="0" t="str">
        <f aca="false">Raw!Q785</f>
        <v>TCI Express</v>
      </c>
      <c r="AB785" s="0" t="str">
        <f aca="false">Raw!R785</f>
        <v>Yes</v>
      </c>
      <c r="AC785" s="0" t="str">
        <f aca="false">Raw!S785</f>
        <v>Normal</v>
      </c>
      <c r="AD785" s="29" t="n">
        <f aca="false">Raw!N785</f>
        <v>7996.84</v>
      </c>
      <c r="AE785" s="29" t="n">
        <f aca="false">Raw!O785</f>
        <v>2037.8</v>
      </c>
      <c r="AF785" s="29" t="n">
        <f aca="false">Raw!P785</f>
        <v>584.65</v>
      </c>
      <c r="AG785" s="29" t="n">
        <f aca="false">AD785/J785</f>
        <v>538.870619946092</v>
      </c>
    </row>
    <row r="786" customFormat="false" ht="15" hidden="false" customHeight="false" outlineLevel="0" collapsed="false">
      <c r="A786" s="0" t="str">
        <f aca="false">Raw!A786</f>
        <v>SHP0785</v>
      </c>
      <c r="B786" s="0" t="str">
        <f aca="false">Raw!B786</f>
        <v>Outbound</v>
      </c>
      <c r="C786" s="0" t="str">
        <f aca="false">Raw!C786</f>
        <v>Surat</v>
      </c>
      <c r="D786" s="0" t="str">
        <f aca="false">Raw!D786</f>
        <v>Jaipur</v>
      </c>
      <c r="E786" s="0" t="str">
        <f aca="false">IFERROR(INDEX(Location_Map!$B$2:$B$15,MATCH(C786,Location_Map!$A$2:$A$15,0)),"UNMAPPED")</f>
        <v>Gujarat</v>
      </c>
      <c r="F786" s="0" t="str">
        <f aca="false">IFERROR(INDEX(Location_Map!$C$2:$C$15,MATCH(C786,Location_Map!$A$2:$A$15,0)),"UNMAPPED")</f>
        <v>West</v>
      </c>
      <c r="G786" s="0" t="str">
        <f aca="false">IFERROR(INDEX(Location_Map!$B$2:$B$15,MATCH(D786,Location_Map!$A$2:$A$15,0)),"UNMAPPED")</f>
        <v>Rajasthan</v>
      </c>
      <c r="H786" s="0" t="str">
        <f aca="false">IFERROR(INDEX(Location_Map!$C$2:$C$15,MATCH(D786,Location_Map!$A$2:$A$15,0)),"UNMAPPED")</f>
        <v>North</v>
      </c>
      <c r="I786" s="0" t="str">
        <f aca="false">Raw!E786</f>
        <v>Finished Yarn</v>
      </c>
      <c r="J786" s="28" t="n">
        <f aca="false">Raw!F786</f>
        <v>3.27</v>
      </c>
      <c r="K786" s="30" t="n">
        <f aca="false">DATE(LEFT(Raw!G786,4),MID(Raw!G786,6,2),MID(Raw!G786,9,2))</f>
        <v>45725</v>
      </c>
      <c r="L786" s="30" t="n">
        <f aca="false">DATE(LEFT(Raw!H786,4),MID(Raw!H786,6,2),MID(Raw!H786,9,2))</f>
        <v>45728</v>
      </c>
      <c r="M786" s="30" t="n">
        <f aca="false">DATE(LEFT(Raw!I786,4),MID(Raw!I786,6,2),MID(Raw!I786,9,2))</f>
        <v>45734</v>
      </c>
      <c r="N786" s="31" t="n">
        <f aca="false">DATE(LEFT(Raw!J786,4),MID(Raw!J786,6,2),MID(Raw!J786,9,2))+TIME(MID(Raw!J786,12,2),MID(Raw!J786,15,2),MID(Raw!J786,18,2))</f>
        <v>45728.1666666667</v>
      </c>
      <c r="O786" s="31" t="n">
        <f aca="false">DATE(LEFT(Raw!K786,4),MID(Raw!K786,6,2),MID(Raw!K786,9,2))+TIME(MID(Raw!K786,12,2),MID(Raw!K786,15,2),MID(Raw!K786,18,2))</f>
        <v>45734.2</v>
      </c>
      <c r="P786" s="32" t="n">
        <f aca="false">L786-K786</f>
        <v>3</v>
      </c>
      <c r="Q786" s="32" t="n">
        <f aca="false">M786-L786</f>
        <v>6</v>
      </c>
      <c r="R786" s="32" t="n">
        <f aca="false">O786-N786</f>
        <v>6.03333333333333</v>
      </c>
      <c r="S786" s="32" t="n">
        <f aca="false">Raw!L786</f>
        <v>0.2</v>
      </c>
      <c r="T786" s="32" t="n">
        <f aca="false">O786-M786</f>
        <v>0.2</v>
      </c>
      <c r="U786" s="0" t="str">
        <f aca="false">IF(ABS(T786-S786)&lt;0.01,"OK","MISMATCH")</f>
        <v>OK</v>
      </c>
      <c r="V786" s="33" t="n">
        <f aca="false">Raw!M786</f>
        <v>1</v>
      </c>
      <c r="W786" s="0" t="str">
        <f aca="false">IF((S786&gt;0)=(V786=1),"OK","MISMATCH")</f>
        <v>OK</v>
      </c>
      <c r="X786" s="0" t="str">
        <f aca="false">_xlfn.IFS(S786&lt;=0,"Early/On time",S786&lt;=2,"Minor (up to 2 days)",S786&lt;=5,"Moderate (2-5 days)",TRUE(),"Severe (over 5 days)")</f>
        <v>Minor (up to 2 days)</v>
      </c>
      <c r="Y786" s="0" t="str">
        <f aca="false">YEAR(K786)&amp;"-"&amp;TEXT(MONTH(K786),"00")</f>
        <v>2025-03</v>
      </c>
      <c r="Z786" s="0" t="str">
        <f aca="false">C786&amp;" → "&amp;D786</f>
        <v>Surat → Jaipur</v>
      </c>
      <c r="AA786" s="0" t="str">
        <f aca="false">Raw!Q786</f>
        <v>TCI Express</v>
      </c>
      <c r="AB786" s="0" t="str">
        <f aca="false">Raw!R786</f>
        <v>Yes</v>
      </c>
      <c r="AC786" s="0" t="str">
        <f aca="false">Raw!S786</f>
        <v>Normal</v>
      </c>
      <c r="AD786" s="29" t="n">
        <f aca="false">Raw!N786</f>
        <v>2480.56</v>
      </c>
      <c r="AE786" s="29" t="n">
        <f aca="false">Raw!O786</f>
        <v>4499.59</v>
      </c>
      <c r="AF786" s="29" t="n">
        <f aca="false">Raw!P786</f>
        <v>1271.78</v>
      </c>
      <c r="AG786" s="29" t="n">
        <f aca="false">AD786/J786</f>
        <v>758.581039755352</v>
      </c>
    </row>
    <row r="787" customFormat="false" ht="15" hidden="false" customHeight="false" outlineLevel="0" collapsed="false">
      <c r="A787" s="0" t="str">
        <f aca="false">Raw!A787</f>
        <v>SHP0786</v>
      </c>
      <c r="B787" s="0" t="str">
        <f aca="false">Raw!B787</f>
        <v>Inbound</v>
      </c>
      <c r="C787" s="0" t="str">
        <f aca="false">Raw!C787</f>
        <v>Punjab</v>
      </c>
      <c r="D787" s="0" t="str">
        <f aca="false">Raw!D787</f>
        <v>Surat</v>
      </c>
      <c r="E787" s="0" t="str">
        <f aca="false">IFERROR(INDEX(Location_Map!$B$2:$B$15,MATCH(C787,Location_Map!$A$2:$A$15,0)),"UNMAPPED")</f>
        <v>Punjab</v>
      </c>
      <c r="F787" s="0" t="str">
        <f aca="false">IFERROR(INDEX(Location_Map!$C$2:$C$15,MATCH(C787,Location_Map!$A$2:$A$15,0)),"UNMAPPED")</f>
        <v>North</v>
      </c>
      <c r="G787" s="0" t="str">
        <f aca="false">IFERROR(INDEX(Location_Map!$B$2:$B$15,MATCH(D787,Location_Map!$A$2:$A$15,0)),"UNMAPPED")</f>
        <v>Gujarat</v>
      </c>
      <c r="H787" s="0" t="str">
        <f aca="false">IFERROR(INDEX(Location_Map!$C$2:$C$15,MATCH(D787,Location_Map!$A$2:$A$15,0)),"UNMAPPED")</f>
        <v>West</v>
      </c>
      <c r="I787" s="0" t="str">
        <f aca="false">Raw!E787</f>
        <v>Raw Yarn</v>
      </c>
      <c r="J787" s="28" t="n">
        <f aca="false">Raw!F787</f>
        <v>8.94</v>
      </c>
      <c r="K787" s="30" t="n">
        <f aca="false">DATE(LEFT(Raw!G787,4),MID(Raw!G787,6,2),MID(Raw!G787,9,2))</f>
        <v>45882</v>
      </c>
      <c r="L787" s="30" t="n">
        <f aca="false">DATE(LEFT(Raw!H787,4),MID(Raw!H787,6,2),MID(Raw!H787,9,2))</f>
        <v>45886</v>
      </c>
      <c r="M787" s="30" t="n">
        <f aca="false">DATE(LEFT(Raw!I787,4),MID(Raw!I787,6,2),MID(Raw!I787,9,2))</f>
        <v>45888</v>
      </c>
      <c r="N787" s="31" t="n">
        <f aca="false">DATE(LEFT(Raw!J787,4),MID(Raw!J787,6,2),MID(Raw!J787,9,2))+TIME(MID(Raw!J787,12,2),MID(Raw!J787,15,2),MID(Raw!J787,18,2))</f>
        <v>45886.25</v>
      </c>
      <c r="O787" s="31" t="n">
        <f aca="false">DATE(LEFT(Raw!K787,4),MID(Raw!K787,6,2),MID(Raw!K787,9,2))+TIME(MID(Raw!K787,12,2),MID(Raw!K787,15,2),MID(Raw!K787,18,2))</f>
        <v>45893.5</v>
      </c>
      <c r="P787" s="32" t="n">
        <f aca="false">L787-K787</f>
        <v>4</v>
      </c>
      <c r="Q787" s="32" t="n">
        <f aca="false">M787-L787</f>
        <v>2</v>
      </c>
      <c r="R787" s="32" t="n">
        <f aca="false">O787-N787</f>
        <v>7.25</v>
      </c>
      <c r="S787" s="32" t="n">
        <f aca="false">Raw!L787</f>
        <v>5.5</v>
      </c>
      <c r="T787" s="32" t="n">
        <f aca="false">O787-M787</f>
        <v>5.5</v>
      </c>
      <c r="U787" s="0" t="str">
        <f aca="false">IF(ABS(T787-S787)&lt;0.01,"OK","MISMATCH")</f>
        <v>OK</v>
      </c>
      <c r="V787" s="33" t="n">
        <f aca="false">Raw!M787</f>
        <v>1</v>
      </c>
      <c r="W787" s="0" t="str">
        <f aca="false">IF((S787&gt;0)=(V787=1),"OK","MISMATCH")</f>
        <v>OK</v>
      </c>
      <c r="X787" s="0" t="str">
        <f aca="false">_xlfn.IFS(S787&lt;=0,"Early/On time",S787&lt;=2,"Minor (up to 2 days)",S787&lt;=5,"Moderate (2-5 days)",TRUE(),"Severe (over 5 days)")</f>
        <v>Severe (over 5 days)</v>
      </c>
      <c r="Y787" s="0" t="str">
        <f aca="false">YEAR(K787)&amp;"-"&amp;TEXT(MONTH(K787),"00")</f>
        <v>2025-08</v>
      </c>
      <c r="Z787" s="0" t="str">
        <f aca="false">C787&amp;" → "&amp;D787</f>
        <v>Punjab → Surat</v>
      </c>
      <c r="AA787" s="0" t="str">
        <f aca="false">Raw!Q787</f>
        <v>Delhivery</v>
      </c>
      <c r="AB787" s="0" t="str">
        <f aca="false">Raw!R787</f>
        <v>Yes</v>
      </c>
      <c r="AC787" s="0" t="str">
        <f aca="false">Raw!S787</f>
        <v>Damaged</v>
      </c>
      <c r="AD787" s="29" t="n">
        <f aca="false">Raw!N787</f>
        <v>5001.6</v>
      </c>
      <c r="AE787" s="29" t="n">
        <f aca="false">Raw!O787</f>
        <v>3414.98</v>
      </c>
      <c r="AF787" s="29" t="n">
        <f aca="false">Raw!P787</f>
        <v>605.27</v>
      </c>
      <c r="AG787" s="29" t="n">
        <f aca="false">AD787/J787</f>
        <v>559.463087248322</v>
      </c>
    </row>
    <row r="788" customFormat="false" ht="15" hidden="false" customHeight="false" outlineLevel="0" collapsed="false">
      <c r="A788" s="0" t="str">
        <f aca="false">Raw!A788</f>
        <v>SHP0787</v>
      </c>
      <c r="B788" s="0" t="str">
        <f aca="false">Raw!B788</f>
        <v>Outbound</v>
      </c>
      <c r="C788" s="0" t="str">
        <f aca="false">Raw!C788</f>
        <v>Surat</v>
      </c>
      <c r="D788" s="0" t="str">
        <f aca="false">Raw!D788</f>
        <v>Karnataka</v>
      </c>
      <c r="E788" s="0" t="str">
        <f aca="false">IFERROR(INDEX(Location_Map!$B$2:$B$15,MATCH(C788,Location_Map!$A$2:$A$15,0)),"UNMAPPED")</f>
        <v>Gujarat</v>
      </c>
      <c r="F788" s="0" t="str">
        <f aca="false">IFERROR(INDEX(Location_Map!$C$2:$C$15,MATCH(C788,Location_Map!$A$2:$A$15,0)),"UNMAPPED")</f>
        <v>West</v>
      </c>
      <c r="G788" s="0" t="str">
        <f aca="false">IFERROR(INDEX(Location_Map!$B$2:$B$15,MATCH(D788,Location_Map!$A$2:$A$15,0)),"UNMAPPED")</f>
        <v>Karnataka</v>
      </c>
      <c r="H788" s="0" t="str">
        <f aca="false">IFERROR(INDEX(Location_Map!$C$2:$C$15,MATCH(D788,Location_Map!$A$2:$A$15,0)),"UNMAPPED")</f>
        <v>South</v>
      </c>
      <c r="I788" s="0" t="str">
        <f aca="false">Raw!E788</f>
        <v>Finished Yarn</v>
      </c>
      <c r="J788" s="28" t="n">
        <f aca="false">Raw!F788</f>
        <v>11.88</v>
      </c>
      <c r="K788" s="30" t="n">
        <f aca="false">DATE(LEFT(Raw!G788,4),MID(Raw!G788,6,2),MID(Raw!G788,9,2))</f>
        <v>45808</v>
      </c>
      <c r="L788" s="30" t="n">
        <f aca="false">DATE(LEFT(Raw!H788,4),MID(Raw!H788,6,2),MID(Raw!H788,9,2))</f>
        <v>45812</v>
      </c>
      <c r="M788" s="30" t="n">
        <f aca="false">DATE(LEFT(Raw!I788,4),MID(Raw!I788,6,2),MID(Raw!I788,9,2))</f>
        <v>45814</v>
      </c>
      <c r="N788" s="31" t="n">
        <f aca="false">DATE(LEFT(Raw!J788,4),MID(Raw!J788,6,2),MID(Raw!J788,9,2))+TIME(MID(Raw!J788,12,2),MID(Raw!J788,15,2),MID(Raw!J788,18,2))</f>
        <v>45811.7916666667</v>
      </c>
      <c r="O788" s="31" t="n">
        <f aca="false">DATE(LEFT(Raw!K788,4),MID(Raw!K788,6,2),MID(Raw!K788,9,2))+TIME(MID(Raw!K788,12,2),MID(Raw!K788,15,2),MID(Raw!K788,18,2))</f>
        <v>45813.6</v>
      </c>
      <c r="P788" s="32" t="n">
        <f aca="false">L788-K788</f>
        <v>4</v>
      </c>
      <c r="Q788" s="32" t="n">
        <f aca="false">M788-L788</f>
        <v>2</v>
      </c>
      <c r="R788" s="32" t="n">
        <f aca="false">O788-N788</f>
        <v>1.80833333333333</v>
      </c>
      <c r="S788" s="32" t="n">
        <f aca="false">Raw!L788</f>
        <v>-0.4</v>
      </c>
      <c r="T788" s="32" t="n">
        <f aca="false">O788-M788</f>
        <v>-0.400000000002917</v>
      </c>
      <c r="U788" s="0" t="str">
        <f aca="false">IF(ABS(T788-S788)&lt;0.01,"OK","MISMATCH")</f>
        <v>OK</v>
      </c>
      <c r="V788" s="33" t="n">
        <f aca="false">Raw!M788</f>
        <v>0</v>
      </c>
      <c r="W788" s="0" t="str">
        <f aca="false">IF((S788&gt;0)=(V788=1),"OK","MISMATCH")</f>
        <v>OK</v>
      </c>
      <c r="X788" s="0" t="str">
        <f aca="false">_xlfn.IFS(S788&lt;=0,"Early/On time",S788&lt;=2,"Minor (up to 2 days)",S788&lt;=5,"Moderate (2-5 days)",TRUE(),"Severe (over 5 days)")</f>
        <v>Early/On time</v>
      </c>
      <c r="Y788" s="0" t="str">
        <f aca="false">YEAR(K788)&amp;"-"&amp;TEXT(MONTH(K788),"00")</f>
        <v>2025-05</v>
      </c>
      <c r="Z788" s="0" t="str">
        <f aca="false">C788&amp;" → "&amp;D788</f>
        <v>Surat → Karnataka</v>
      </c>
      <c r="AA788" s="0" t="str">
        <f aca="false">Raw!Q788</f>
        <v>Delhivery</v>
      </c>
      <c r="AB788" s="0" t="str">
        <f aca="false">Raw!R788</f>
        <v>No</v>
      </c>
      <c r="AC788" s="0" t="str">
        <f aca="false">Raw!S788</f>
        <v>Returned</v>
      </c>
      <c r="AD788" s="29" t="n">
        <f aca="false">Raw!N788</f>
        <v>5113.98</v>
      </c>
      <c r="AE788" s="29" t="n">
        <f aca="false">Raw!O788</f>
        <v>3294.51</v>
      </c>
      <c r="AF788" s="29" t="n">
        <f aca="false">Raw!P788</f>
        <v>1321.54</v>
      </c>
      <c r="AG788" s="29" t="n">
        <f aca="false">AD788/J788</f>
        <v>430.469696969697</v>
      </c>
    </row>
    <row r="789" customFormat="false" ht="15" hidden="false" customHeight="false" outlineLevel="0" collapsed="false">
      <c r="A789" s="0" t="str">
        <f aca="false">Raw!A789</f>
        <v>SHP0788</v>
      </c>
      <c r="B789" s="0" t="str">
        <f aca="false">Raw!B789</f>
        <v>Inbound</v>
      </c>
      <c r="C789" s="0" t="str">
        <f aca="false">Raw!C789</f>
        <v>Chennai</v>
      </c>
      <c r="D789" s="0" t="str">
        <f aca="false">Raw!D789</f>
        <v>Surat</v>
      </c>
      <c r="E789" s="0" t="str">
        <f aca="false">IFERROR(INDEX(Location_Map!$B$2:$B$15,MATCH(C789,Location_Map!$A$2:$A$15,0)),"UNMAPPED")</f>
        <v>Tamil Nadu</v>
      </c>
      <c r="F789" s="0" t="str">
        <f aca="false">IFERROR(INDEX(Location_Map!$C$2:$C$15,MATCH(C789,Location_Map!$A$2:$A$15,0)),"UNMAPPED")</f>
        <v>South</v>
      </c>
      <c r="G789" s="0" t="str">
        <f aca="false">IFERROR(INDEX(Location_Map!$B$2:$B$15,MATCH(D789,Location_Map!$A$2:$A$15,0)),"UNMAPPED")</f>
        <v>Gujarat</v>
      </c>
      <c r="H789" s="0" t="str">
        <f aca="false">IFERROR(INDEX(Location_Map!$C$2:$C$15,MATCH(D789,Location_Map!$A$2:$A$15,0)),"UNMAPPED")</f>
        <v>West</v>
      </c>
      <c r="I789" s="0" t="str">
        <f aca="false">Raw!E789</f>
        <v>Finished Yarn</v>
      </c>
      <c r="J789" s="28" t="n">
        <f aca="false">Raw!F789</f>
        <v>1.54</v>
      </c>
      <c r="K789" s="30" t="n">
        <f aca="false">DATE(LEFT(Raw!G789,4),MID(Raw!G789,6,2),MID(Raw!G789,9,2))</f>
        <v>45847</v>
      </c>
      <c r="L789" s="30" t="n">
        <f aca="false">DATE(LEFT(Raw!H789,4),MID(Raw!H789,6,2),MID(Raw!H789,9,2))</f>
        <v>45849</v>
      </c>
      <c r="M789" s="30" t="n">
        <f aca="false">DATE(LEFT(Raw!I789,4),MID(Raw!I789,6,2),MID(Raw!I789,9,2))</f>
        <v>45855</v>
      </c>
      <c r="N789" s="31" t="n">
        <f aca="false">DATE(LEFT(Raw!J789,4),MID(Raw!J789,6,2),MID(Raw!J789,9,2))+TIME(MID(Raw!J789,12,2),MID(Raw!J789,15,2),MID(Raw!J789,18,2))</f>
        <v>45849.25</v>
      </c>
      <c r="O789" s="31" t="n">
        <f aca="false">DATE(LEFT(Raw!K789,4),MID(Raw!K789,6,2),MID(Raw!K789,9,2))+TIME(MID(Raw!K789,12,2),MID(Raw!K789,15,2),MID(Raw!K789,18,2))</f>
        <v>45863.3</v>
      </c>
      <c r="P789" s="32" t="n">
        <f aca="false">L789-K789</f>
        <v>2</v>
      </c>
      <c r="Q789" s="32" t="n">
        <f aca="false">M789-L789</f>
        <v>6</v>
      </c>
      <c r="R789" s="32" t="n">
        <f aca="false">O789-N789</f>
        <v>14.05</v>
      </c>
      <c r="S789" s="32" t="n">
        <f aca="false">Raw!L789</f>
        <v>8.3</v>
      </c>
      <c r="T789" s="32" t="n">
        <f aca="false">O789-M789</f>
        <v>8.3</v>
      </c>
      <c r="U789" s="0" t="str">
        <f aca="false">IF(ABS(T789-S789)&lt;0.01,"OK","MISMATCH")</f>
        <v>OK</v>
      </c>
      <c r="V789" s="33" t="n">
        <f aca="false">Raw!M789</f>
        <v>1</v>
      </c>
      <c r="W789" s="0" t="str">
        <f aca="false">IF((S789&gt;0)=(V789=1),"OK","MISMATCH")</f>
        <v>OK</v>
      </c>
      <c r="X789" s="0" t="str">
        <f aca="false">_xlfn.IFS(S789&lt;=0,"Early/On time",S789&lt;=2,"Minor (up to 2 days)",S789&lt;=5,"Moderate (2-5 days)",TRUE(),"Severe (over 5 days)")</f>
        <v>Severe (over 5 days)</v>
      </c>
      <c r="Y789" s="0" t="str">
        <f aca="false">YEAR(K789)&amp;"-"&amp;TEXT(MONTH(K789),"00")</f>
        <v>2025-07</v>
      </c>
      <c r="Z789" s="0" t="str">
        <f aca="false">C789&amp;" → "&amp;D789</f>
        <v>Chennai → Surat</v>
      </c>
      <c r="AA789" s="0" t="str">
        <f aca="false">Raw!Q789</f>
        <v>TCI Express</v>
      </c>
      <c r="AB789" s="0" t="str">
        <f aca="false">Raw!R789</f>
        <v>No</v>
      </c>
      <c r="AC789" s="0" t="str">
        <f aca="false">Raw!S789</f>
        <v>Normal</v>
      </c>
      <c r="AD789" s="29" t="n">
        <f aca="false">Raw!N789</f>
        <v>2026.86</v>
      </c>
      <c r="AE789" s="29" t="n">
        <f aca="false">Raw!O789</f>
        <v>2099.19</v>
      </c>
      <c r="AF789" s="29" t="n">
        <f aca="false">Raw!P789</f>
        <v>1233.15</v>
      </c>
      <c r="AG789" s="29" t="n">
        <f aca="false">AD789/J789</f>
        <v>1316.14285714286</v>
      </c>
    </row>
    <row r="790" customFormat="false" ht="15" hidden="false" customHeight="false" outlineLevel="0" collapsed="false">
      <c r="A790" s="0" t="str">
        <f aca="false">Raw!A790</f>
        <v>SHP0789</v>
      </c>
      <c r="B790" s="0" t="str">
        <f aca="false">Raw!B790</f>
        <v>Inbound</v>
      </c>
      <c r="C790" s="0" t="str">
        <f aca="false">Raw!C790</f>
        <v>Uttar Pradesh</v>
      </c>
      <c r="D790" s="0" t="str">
        <f aca="false">Raw!D790</f>
        <v>Surat</v>
      </c>
      <c r="E790" s="0" t="str">
        <f aca="false">IFERROR(INDEX(Location_Map!$B$2:$B$15,MATCH(C790,Location_Map!$A$2:$A$15,0)),"UNMAPPED")</f>
        <v>Uttar Pradesh</v>
      </c>
      <c r="F790" s="0" t="str">
        <f aca="false">IFERROR(INDEX(Location_Map!$C$2:$C$15,MATCH(C790,Location_Map!$A$2:$A$15,0)),"UNMAPPED")</f>
        <v>North</v>
      </c>
      <c r="G790" s="0" t="str">
        <f aca="false">IFERROR(INDEX(Location_Map!$B$2:$B$15,MATCH(D790,Location_Map!$A$2:$A$15,0)),"UNMAPPED")</f>
        <v>Gujarat</v>
      </c>
      <c r="H790" s="0" t="str">
        <f aca="false">IFERROR(INDEX(Location_Map!$C$2:$C$15,MATCH(D790,Location_Map!$A$2:$A$15,0)),"UNMAPPED")</f>
        <v>West</v>
      </c>
      <c r="I790" s="0" t="str">
        <f aca="false">Raw!E790</f>
        <v>Semi-Processed Yarn</v>
      </c>
      <c r="J790" s="28" t="n">
        <f aca="false">Raw!F790</f>
        <v>2.79</v>
      </c>
      <c r="K790" s="30" t="n">
        <f aca="false">DATE(LEFT(Raw!G790,4),MID(Raw!G790,6,2),MID(Raw!G790,9,2))</f>
        <v>45943</v>
      </c>
      <c r="L790" s="30" t="n">
        <f aca="false">DATE(LEFT(Raw!H790,4),MID(Raw!H790,6,2),MID(Raw!H790,9,2))</f>
        <v>45946</v>
      </c>
      <c r="M790" s="30" t="n">
        <f aca="false">DATE(LEFT(Raw!I790,4),MID(Raw!I790,6,2),MID(Raw!I790,9,2))</f>
        <v>45948</v>
      </c>
      <c r="N790" s="31" t="n">
        <f aca="false">DATE(LEFT(Raw!J790,4),MID(Raw!J790,6,2),MID(Raw!J790,9,2))+TIME(MID(Raw!J790,12,2),MID(Raw!J790,15,2),MID(Raw!J790,18,2))</f>
        <v>45946.2916666667</v>
      </c>
      <c r="O790" s="31" t="n">
        <f aca="false">DATE(LEFT(Raw!K790,4),MID(Raw!K790,6,2),MID(Raw!K790,9,2))+TIME(MID(Raw!K790,12,2),MID(Raw!K790,15,2),MID(Raw!K790,18,2))</f>
        <v>45950.9</v>
      </c>
      <c r="P790" s="32" t="n">
        <f aca="false">L790-K790</f>
        <v>3</v>
      </c>
      <c r="Q790" s="32" t="n">
        <f aca="false">M790-L790</f>
        <v>2</v>
      </c>
      <c r="R790" s="32" t="n">
        <f aca="false">O790-N790</f>
        <v>4.60833333333333</v>
      </c>
      <c r="S790" s="32" t="n">
        <f aca="false">Raw!L790</f>
        <v>2.9</v>
      </c>
      <c r="T790" s="32" t="n">
        <f aca="false">O790-M790</f>
        <v>2.9</v>
      </c>
      <c r="U790" s="0" t="str">
        <f aca="false">IF(ABS(T790-S790)&lt;0.01,"OK","MISMATCH")</f>
        <v>OK</v>
      </c>
      <c r="V790" s="33" t="n">
        <f aca="false">Raw!M790</f>
        <v>1</v>
      </c>
      <c r="W790" s="0" t="str">
        <f aca="false">IF((S790&gt;0)=(V790=1),"OK","MISMATCH")</f>
        <v>OK</v>
      </c>
      <c r="X790" s="0" t="str">
        <f aca="false">_xlfn.IFS(S790&lt;=0,"Early/On time",S790&lt;=2,"Minor (up to 2 days)",S790&lt;=5,"Moderate (2-5 days)",TRUE(),"Severe (over 5 days)")</f>
        <v>Moderate (2-5 days)</v>
      </c>
      <c r="Y790" s="0" t="str">
        <f aca="false">YEAR(K790)&amp;"-"&amp;TEXT(MONTH(K790),"00")</f>
        <v>2025-10</v>
      </c>
      <c r="Z790" s="0" t="str">
        <f aca="false">C790&amp;" → "&amp;D790</f>
        <v>Uttar Pradesh → Surat</v>
      </c>
      <c r="AA790" s="0" t="str">
        <f aca="false">Raw!Q790</f>
        <v>VRL Cargo</v>
      </c>
      <c r="AB790" s="0" t="str">
        <f aca="false">Raw!R790</f>
        <v>Yes</v>
      </c>
      <c r="AC790" s="0" t="str">
        <f aca="false">Raw!S790</f>
        <v>Returned</v>
      </c>
      <c r="AD790" s="29" t="n">
        <f aca="false">Raw!N790</f>
        <v>2441.1</v>
      </c>
      <c r="AE790" s="29" t="n">
        <f aca="false">Raw!O790</f>
        <v>3937.09</v>
      </c>
      <c r="AF790" s="29" t="n">
        <f aca="false">Raw!P790</f>
        <v>871.11</v>
      </c>
      <c r="AG790" s="29" t="n">
        <f aca="false">AD790/J790</f>
        <v>874.94623655914</v>
      </c>
    </row>
    <row r="791" customFormat="false" ht="15" hidden="false" customHeight="false" outlineLevel="0" collapsed="false">
      <c r="A791" s="0" t="str">
        <f aca="false">Raw!A791</f>
        <v>SHP0790</v>
      </c>
      <c r="B791" s="0" t="str">
        <f aca="false">Raw!B791</f>
        <v>Inbound</v>
      </c>
      <c r="C791" s="0" t="str">
        <f aca="false">Raw!C791</f>
        <v>Chennai</v>
      </c>
      <c r="D791" s="0" t="str">
        <f aca="false">Raw!D791</f>
        <v>Surat</v>
      </c>
      <c r="E791" s="0" t="str">
        <f aca="false">IFERROR(INDEX(Location_Map!$B$2:$B$15,MATCH(C791,Location_Map!$A$2:$A$15,0)),"UNMAPPED")</f>
        <v>Tamil Nadu</v>
      </c>
      <c r="F791" s="0" t="str">
        <f aca="false">IFERROR(INDEX(Location_Map!$C$2:$C$15,MATCH(C791,Location_Map!$A$2:$A$15,0)),"UNMAPPED")</f>
        <v>South</v>
      </c>
      <c r="G791" s="0" t="str">
        <f aca="false">IFERROR(INDEX(Location_Map!$B$2:$B$15,MATCH(D791,Location_Map!$A$2:$A$15,0)),"UNMAPPED")</f>
        <v>Gujarat</v>
      </c>
      <c r="H791" s="0" t="str">
        <f aca="false">IFERROR(INDEX(Location_Map!$C$2:$C$15,MATCH(D791,Location_Map!$A$2:$A$15,0)),"UNMAPPED")</f>
        <v>West</v>
      </c>
      <c r="I791" s="0" t="str">
        <f aca="false">Raw!E791</f>
        <v>Finished Yarn</v>
      </c>
      <c r="J791" s="28" t="n">
        <f aca="false">Raw!F791</f>
        <v>14.68</v>
      </c>
      <c r="K791" s="30" t="n">
        <f aca="false">DATE(LEFT(Raw!G791,4),MID(Raw!G791,6,2),MID(Raw!G791,9,2))</f>
        <v>45860</v>
      </c>
      <c r="L791" s="30" t="n">
        <f aca="false">DATE(LEFT(Raw!H791,4),MID(Raw!H791,6,2),MID(Raw!H791,9,2))</f>
        <v>45863</v>
      </c>
      <c r="M791" s="30" t="n">
        <f aca="false">DATE(LEFT(Raw!I791,4),MID(Raw!I791,6,2),MID(Raw!I791,9,2))</f>
        <v>45868</v>
      </c>
      <c r="N791" s="31" t="n">
        <f aca="false">DATE(LEFT(Raw!J791,4),MID(Raw!J791,6,2),MID(Raw!J791,9,2))+TIME(MID(Raw!J791,12,2),MID(Raw!J791,15,2),MID(Raw!J791,18,2))</f>
        <v>45863.125</v>
      </c>
      <c r="O791" s="31" t="n">
        <f aca="false">DATE(LEFT(Raw!K791,4),MID(Raw!K791,6,2),MID(Raw!K791,9,2))+TIME(MID(Raw!K791,12,2),MID(Raw!K791,15,2),MID(Raw!K791,18,2))</f>
        <v>45867</v>
      </c>
      <c r="P791" s="32" t="n">
        <f aca="false">L791-K791</f>
        <v>3</v>
      </c>
      <c r="Q791" s="32" t="n">
        <f aca="false">M791-L791</f>
        <v>5</v>
      </c>
      <c r="R791" s="32" t="n">
        <f aca="false">O791-N791</f>
        <v>3.875</v>
      </c>
      <c r="S791" s="32" t="n">
        <f aca="false">Raw!L791</f>
        <v>-1</v>
      </c>
      <c r="T791" s="32" t="n">
        <f aca="false">O791-M791</f>
        <v>-1</v>
      </c>
      <c r="U791" s="0" t="str">
        <f aca="false">IF(ABS(T791-S791)&lt;0.01,"OK","MISMATCH")</f>
        <v>OK</v>
      </c>
      <c r="V791" s="33" t="n">
        <f aca="false">Raw!M791</f>
        <v>0</v>
      </c>
      <c r="W791" s="0" t="str">
        <f aca="false">IF((S791&gt;0)=(V791=1),"OK","MISMATCH")</f>
        <v>OK</v>
      </c>
      <c r="X791" s="0" t="str">
        <f aca="false">_xlfn.IFS(S791&lt;=0,"Early/On time",S791&lt;=2,"Minor (up to 2 days)",S791&lt;=5,"Moderate (2-5 days)",TRUE(),"Severe (over 5 days)")</f>
        <v>Early/On time</v>
      </c>
      <c r="Y791" s="0" t="str">
        <f aca="false">YEAR(K791)&amp;"-"&amp;TEXT(MONTH(K791),"00")</f>
        <v>2025-07</v>
      </c>
      <c r="Z791" s="0" t="str">
        <f aca="false">C791&amp;" → "&amp;D791</f>
        <v>Chennai → Surat</v>
      </c>
      <c r="AA791" s="0" t="str">
        <f aca="false">Raw!Q791</f>
        <v>VRL Cargo</v>
      </c>
      <c r="AB791" s="0" t="str">
        <f aca="false">Raw!R791</f>
        <v>Yes</v>
      </c>
      <c r="AC791" s="0" t="str">
        <f aca="false">Raw!S791</f>
        <v>Held at warehouse</v>
      </c>
      <c r="AD791" s="29" t="n">
        <f aca="false">Raw!N791</f>
        <v>5372.02</v>
      </c>
      <c r="AE791" s="29" t="n">
        <f aca="false">Raw!O791</f>
        <v>4298.51</v>
      </c>
      <c r="AF791" s="29" t="n">
        <f aca="false">Raw!P791</f>
        <v>1108.35</v>
      </c>
      <c r="AG791" s="29" t="n">
        <f aca="false">AD791/J791</f>
        <v>365.941416893733</v>
      </c>
    </row>
    <row r="792" customFormat="false" ht="15" hidden="false" customHeight="false" outlineLevel="0" collapsed="false">
      <c r="A792" s="0" t="str">
        <f aca="false">Raw!A792</f>
        <v>SHP0791</v>
      </c>
      <c r="B792" s="0" t="str">
        <f aca="false">Raw!B792</f>
        <v>Inbound</v>
      </c>
      <c r="C792" s="0" t="str">
        <f aca="false">Raw!C792</f>
        <v>Gujarat</v>
      </c>
      <c r="D792" s="0" t="str">
        <f aca="false">Raw!D792</f>
        <v>Surat</v>
      </c>
      <c r="E792" s="0" t="str">
        <f aca="false">IFERROR(INDEX(Location_Map!$B$2:$B$15,MATCH(C792,Location_Map!$A$2:$A$15,0)),"UNMAPPED")</f>
        <v>Gujarat</v>
      </c>
      <c r="F792" s="0" t="str">
        <f aca="false">IFERROR(INDEX(Location_Map!$C$2:$C$15,MATCH(C792,Location_Map!$A$2:$A$15,0)),"UNMAPPED")</f>
        <v>West</v>
      </c>
      <c r="G792" s="0" t="str">
        <f aca="false">IFERROR(INDEX(Location_Map!$B$2:$B$15,MATCH(D792,Location_Map!$A$2:$A$15,0)),"UNMAPPED")</f>
        <v>Gujarat</v>
      </c>
      <c r="H792" s="0" t="str">
        <f aca="false">IFERROR(INDEX(Location_Map!$C$2:$C$15,MATCH(D792,Location_Map!$A$2:$A$15,0)),"UNMAPPED")</f>
        <v>West</v>
      </c>
      <c r="I792" s="0" t="str">
        <f aca="false">Raw!E792</f>
        <v>Raw Yarn</v>
      </c>
      <c r="J792" s="28" t="n">
        <f aca="false">Raw!F792</f>
        <v>9.44</v>
      </c>
      <c r="K792" s="30" t="n">
        <f aca="false">DATE(LEFT(Raw!G792,4),MID(Raw!G792,6,2),MID(Raw!G792,9,2))</f>
        <v>45941</v>
      </c>
      <c r="L792" s="30" t="n">
        <f aca="false">DATE(LEFT(Raw!H792,4),MID(Raw!H792,6,2),MID(Raw!H792,9,2))</f>
        <v>45942</v>
      </c>
      <c r="M792" s="30" t="n">
        <f aca="false">DATE(LEFT(Raw!I792,4),MID(Raw!I792,6,2),MID(Raw!I792,9,2))</f>
        <v>45945</v>
      </c>
      <c r="N792" s="31" t="n">
        <f aca="false">DATE(LEFT(Raw!J792,4),MID(Raw!J792,6,2),MID(Raw!J792,9,2))+TIME(MID(Raw!J792,12,2),MID(Raw!J792,15,2),MID(Raw!J792,18,2))</f>
        <v>45942.1666666667</v>
      </c>
      <c r="O792" s="31" t="n">
        <f aca="false">DATE(LEFT(Raw!K792,4),MID(Raw!K792,6,2),MID(Raw!K792,9,2))+TIME(MID(Raw!K792,12,2),MID(Raw!K792,15,2),MID(Raw!K792,18,2))</f>
        <v>45945.6</v>
      </c>
      <c r="P792" s="32" t="n">
        <f aca="false">L792-K792</f>
        <v>1</v>
      </c>
      <c r="Q792" s="32" t="n">
        <f aca="false">M792-L792</f>
        <v>3</v>
      </c>
      <c r="R792" s="32" t="n">
        <f aca="false">O792-N792</f>
        <v>3.43333333333333</v>
      </c>
      <c r="S792" s="32" t="n">
        <f aca="false">Raw!L792</f>
        <v>0.6</v>
      </c>
      <c r="T792" s="32" t="n">
        <f aca="false">O792-M792</f>
        <v>0.6</v>
      </c>
      <c r="U792" s="0" t="str">
        <f aca="false">IF(ABS(T792-S792)&lt;0.01,"OK","MISMATCH")</f>
        <v>OK</v>
      </c>
      <c r="V792" s="33" t="n">
        <f aca="false">Raw!M792</f>
        <v>1</v>
      </c>
      <c r="W792" s="0" t="str">
        <f aca="false">IF((S792&gt;0)=(V792=1),"OK","MISMATCH")</f>
        <v>OK</v>
      </c>
      <c r="X792" s="0" t="str">
        <f aca="false">_xlfn.IFS(S792&lt;=0,"Early/On time",S792&lt;=2,"Minor (up to 2 days)",S792&lt;=5,"Moderate (2-5 days)",TRUE(),"Severe (over 5 days)")</f>
        <v>Minor (up to 2 days)</v>
      </c>
      <c r="Y792" s="0" t="str">
        <f aca="false">YEAR(K792)&amp;"-"&amp;TEXT(MONTH(K792),"00")</f>
        <v>2025-10</v>
      </c>
      <c r="Z792" s="0" t="str">
        <f aca="false">C792&amp;" → "&amp;D792</f>
        <v>Gujarat → Surat</v>
      </c>
      <c r="AA792" s="0" t="str">
        <f aca="false">Raw!Q792</f>
        <v>GATI Logistics</v>
      </c>
      <c r="AB792" s="0" t="str">
        <f aca="false">Raw!R792</f>
        <v>No</v>
      </c>
      <c r="AC792" s="0" t="str">
        <f aca="false">Raw!S792</f>
        <v>Damaged</v>
      </c>
      <c r="AD792" s="29" t="n">
        <f aca="false">Raw!N792</f>
        <v>5694.15</v>
      </c>
      <c r="AE792" s="29" t="n">
        <f aca="false">Raw!O792</f>
        <v>3672.08</v>
      </c>
      <c r="AF792" s="29" t="n">
        <f aca="false">Raw!P792</f>
        <v>676.68</v>
      </c>
      <c r="AG792" s="29" t="n">
        <f aca="false">AD792/J792</f>
        <v>603.193855932203</v>
      </c>
    </row>
    <row r="793" customFormat="false" ht="15" hidden="false" customHeight="false" outlineLevel="0" collapsed="false">
      <c r="A793" s="0" t="str">
        <f aca="false">Raw!A793</f>
        <v>SHP0792</v>
      </c>
      <c r="B793" s="0" t="str">
        <f aca="false">Raw!B793</f>
        <v>Inbound</v>
      </c>
      <c r="C793" s="0" t="str">
        <f aca="false">Raw!C793</f>
        <v>Rajasthan</v>
      </c>
      <c r="D793" s="0" t="str">
        <f aca="false">Raw!D793</f>
        <v>Surat</v>
      </c>
      <c r="E793" s="0" t="str">
        <f aca="false">IFERROR(INDEX(Location_Map!$B$2:$B$15,MATCH(C793,Location_Map!$A$2:$A$15,0)),"UNMAPPED")</f>
        <v>Rajasthan</v>
      </c>
      <c r="F793" s="0" t="str">
        <f aca="false">IFERROR(INDEX(Location_Map!$C$2:$C$15,MATCH(C793,Location_Map!$A$2:$A$15,0)),"UNMAPPED")</f>
        <v>North</v>
      </c>
      <c r="G793" s="0" t="str">
        <f aca="false">IFERROR(INDEX(Location_Map!$B$2:$B$15,MATCH(D793,Location_Map!$A$2:$A$15,0)),"UNMAPPED")</f>
        <v>Gujarat</v>
      </c>
      <c r="H793" s="0" t="str">
        <f aca="false">IFERROR(INDEX(Location_Map!$C$2:$C$15,MATCH(D793,Location_Map!$A$2:$A$15,0)),"UNMAPPED")</f>
        <v>West</v>
      </c>
      <c r="I793" s="0" t="str">
        <f aca="false">Raw!E793</f>
        <v>Semi-Processed Yarn</v>
      </c>
      <c r="J793" s="28" t="n">
        <f aca="false">Raw!F793</f>
        <v>12.02</v>
      </c>
      <c r="K793" s="30" t="n">
        <f aca="false">DATE(LEFT(Raw!G793,4),MID(Raw!G793,6,2),MID(Raw!G793,9,2))</f>
        <v>45929</v>
      </c>
      <c r="L793" s="30" t="n">
        <f aca="false">DATE(LEFT(Raw!H793,4),MID(Raw!H793,6,2),MID(Raw!H793,9,2))</f>
        <v>45931</v>
      </c>
      <c r="M793" s="30" t="n">
        <f aca="false">DATE(LEFT(Raw!I793,4),MID(Raw!I793,6,2),MID(Raw!I793,9,2))</f>
        <v>45933</v>
      </c>
      <c r="N793" s="31" t="n">
        <f aca="false">DATE(LEFT(Raw!J793,4),MID(Raw!J793,6,2),MID(Raw!J793,9,2))+TIME(MID(Raw!J793,12,2),MID(Raw!J793,15,2),MID(Raw!J793,18,2))</f>
        <v>45931.0416666667</v>
      </c>
      <c r="O793" s="31" t="n">
        <f aca="false">DATE(LEFT(Raw!K793,4),MID(Raw!K793,6,2),MID(Raw!K793,9,2))+TIME(MID(Raw!K793,12,2),MID(Raw!K793,15,2),MID(Raw!K793,18,2))</f>
        <v>45938.5</v>
      </c>
      <c r="P793" s="32" t="n">
        <f aca="false">L793-K793</f>
        <v>2</v>
      </c>
      <c r="Q793" s="32" t="n">
        <f aca="false">M793-L793</f>
        <v>2</v>
      </c>
      <c r="R793" s="32" t="n">
        <f aca="false">O793-N793</f>
        <v>7.45833333333333</v>
      </c>
      <c r="S793" s="32" t="n">
        <f aca="false">Raw!L793</f>
        <v>5.5</v>
      </c>
      <c r="T793" s="32" t="n">
        <f aca="false">O793-M793</f>
        <v>5.5</v>
      </c>
      <c r="U793" s="0" t="str">
        <f aca="false">IF(ABS(T793-S793)&lt;0.01,"OK","MISMATCH")</f>
        <v>OK</v>
      </c>
      <c r="V793" s="33" t="n">
        <f aca="false">Raw!M793</f>
        <v>1</v>
      </c>
      <c r="W793" s="0" t="str">
        <f aca="false">IF((S793&gt;0)=(V793=1),"OK","MISMATCH")</f>
        <v>OK</v>
      </c>
      <c r="X793" s="0" t="str">
        <f aca="false">_xlfn.IFS(S793&lt;=0,"Early/On time",S793&lt;=2,"Minor (up to 2 days)",S793&lt;=5,"Moderate (2-5 days)",TRUE(),"Severe (over 5 days)")</f>
        <v>Severe (over 5 days)</v>
      </c>
      <c r="Y793" s="0" t="str">
        <f aca="false">YEAR(K793)&amp;"-"&amp;TEXT(MONTH(K793),"00")</f>
        <v>2025-09</v>
      </c>
      <c r="Z793" s="0" t="str">
        <f aca="false">C793&amp;" → "&amp;D793</f>
        <v>Rajasthan → Surat</v>
      </c>
      <c r="AA793" s="0" t="str">
        <f aca="false">Raw!Q793</f>
        <v>Delhivery</v>
      </c>
      <c r="AB793" s="0" t="str">
        <f aca="false">Raw!R793</f>
        <v>Yes</v>
      </c>
      <c r="AC793" s="0" t="str">
        <f aca="false">Raw!S793</f>
        <v>Returned</v>
      </c>
      <c r="AD793" s="29" t="n">
        <f aca="false">Raw!N793</f>
        <v>5050.37</v>
      </c>
      <c r="AE793" s="29" t="n">
        <f aca="false">Raw!O793</f>
        <v>2345.8</v>
      </c>
      <c r="AF793" s="29" t="n">
        <f aca="false">Raw!P793</f>
        <v>711.21</v>
      </c>
      <c r="AG793" s="29" t="n">
        <f aca="false">AD793/J793</f>
        <v>420.163893510815</v>
      </c>
    </row>
    <row r="794" customFormat="false" ht="15" hidden="false" customHeight="false" outlineLevel="0" collapsed="false">
      <c r="A794" s="0" t="str">
        <f aca="false">Raw!A794</f>
        <v>SHP0793</v>
      </c>
      <c r="B794" s="0" t="str">
        <f aca="false">Raw!B794</f>
        <v>Inbound</v>
      </c>
      <c r="C794" s="0" t="str">
        <f aca="false">Raw!C794</f>
        <v>Gujarat</v>
      </c>
      <c r="D794" s="0" t="str">
        <f aca="false">Raw!D794</f>
        <v>Surat</v>
      </c>
      <c r="E794" s="0" t="str">
        <f aca="false">IFERROR(INDEX(Location_Map!$B$2:$B$15,MATCH(C794,Location_Map!$A$2:$A$15,0)),"UNMAPPED")</f>
        <v>Gujarat</v>
      </c>
      <c r="F794" s="0" t="str">
        <f aca="false">IFERROR(INDEX(Location_Map!$C$2:$C$15,MATCH(C794,Location_Map!$A$2:$A$15,0)),"UNMAPPED")</f>
        <v>West</v>
      </c>
      <c r="G794" s="0" t="str">
        <f aca="false">IFERROR(INDEX(Location_Map!$B$2:$B$15,MATCH(D794,Location_Map!$A$2:$A$15,0)),"UNMAPPED")</f>
        <v>Gujarat</v>
      </c>
      <c r="H794" s="0" t="str">
        <f aca="false">IFERROR(INDEX(Location_Map!$C$2:$C$15,MATCH(D794,Location_Map!$A$2:$A$15,0)),"UNMAPPED")</f>
        <v>West</v>
      </c>
      <c r="I794" s="0" t="str">
        <f aca="false">Raw!E794</f>
        <v>Raw Yarn</v>
      </c>
      <c r="J794" s="28" t="n">
        <f aca="false">Raw!F794</f>
        <v>6.95</v>
      </c>
      <c r="K794" s="30" t="n">
        <f aca="false">DATE(LEFT(Raw!G794,4),MID(Raw!G794,6,2),MID(Raw!G794,9,2))</f>
        <v>45711</v>
      </c>
      <c r="L794" s="30" t="n">
        <f aca="false">DATE(LEFT(Raw!H794,4),MID(Raw!H794,6,2),MID(Raw!H794,9,2))</f>
        <v>45715</v>
      </c>
      <c r="M794" s="30" t="n">
        <f aca="false">DATE(LEFT(Raw!I794,4),MID(Raw!I794,6,2),MID(Raw!I794,9,2))</f>
        <v>45719</v>
      </c>
      <c r="N794" s="31" t="n">
        <f aca="false">DATE(LEFT(Raw!J794,4),MID(Raw!J794,6,2),MID(Raw!J794,9,2))+TIME(MID(Raw!J794,12,2),MID(Raw!J794,15,2),MID(Raw!J794,18,2))</f>
        <v>45715.25</v>
      </c>
      <c r="O794" s="31" t="n">
        <f aca="false">DATE(LEFT(Raw!K794,4),MID(Raw!K794,6,2),MID(Raw!K794,9,2))+TIME(MID(Raw!K794,12,2),MID(Raw!K794,15,2),MID(Raw!K794,18,2))</f>
        <v>45721.3</v>
      </c>
      <c r="P794" s="32" t="n">
        <f aca="false">L794-K794</f>
        <v>4</v>
      </c>
      <c r="Q794" s="32" t="n">
        <f aca="false">M794-L794</f>
        <v>4</v>
      </c>
      <c r="R794" s="32" t="n">
        <f aca="false">O794-N794</f>
        <v>6.05</v>
      </c>
      <c r="S794" s="32" t="n">
        <f aca="false">Raw!L794</f>
        <v>2.3</v>
      </c>
      <c r="T794" s="32" t="n">
        <f aca="false">O794-M794</f>
        <v>2.3</v>
      </c>
      <c r="U794" s="0" t="str">
        <f aca="false">IF(ABS(T794-S794)&lt;0.01,"OK","MISMATCH")</f>
        <v>OK</v>
      </c>
      <c r="V794" s="33" t="n">
        <f aca="false">Raw!M794</f>
        <v>1</v>
      </c>
      <c r="W794" s="0" t="str">
        <f aca="false">IF((S794&gt;0)=(V794=1),"OK","MISMATCH")</f>
        <v>OK</v>
      </c>
      <c r="X794" s="0" t="str">
        <f aca="false">_xlfn.IFS(S794&lt;=0,"Early/On time",S794&lt;=2,"Minor (up to 2 days)",S794&lt;=5,"Moderate (2-5 days)",TRUE(),"Severe (over 5 days)")</f>
        <v>Moderate (2-5 days)</v>
      </c>
      <c r="Y794" s="0" t="str">
        <f aca="false">YEAR(K794)&amp;"-"&amp;TEXT(MONTH(K794),"00")</f>
        <v>2025-02</v>
      </c>
      <c r="Z794" s="0" t="str">
        <f aca="false">C794&amp;" → "&amp;D794</f>
        <v>Gujarat → Surat</v>
      </c>
      <c r="AA794" s="0" t="str">
        <f aca="false">Raw!Q794</f>
        <v>Delhivery</v>
      </c>
      <c r="AB794" s="0" t="str">
        <f aca="false">Raw!R794</f>
        <v>No</v>
      </c>
      <c r="AC794" s="0" t="str">
        <f aca="false">Raw!S794</f>
        <v>Returned</v>
      </c>
      <c r="AD794" s="29" t="n">
        <f aca="false">Raw!N794</f>
        <v>5833.75</v>
      </c>
      <c r="AE794" s="29" t="n">
        <f aca="false">Raw!O794</f>
        <v>2752.13</v>
      </c>
      <c r="AF794" s="29" t="n">
        <f aca="false">Raw!P794</f>
        <v>1361.03</v>
      </c>
      <c r="AG794" s="29" t="n">
        <f aca="false">AD794/J794</f>
        <v>839.388489208633</v>
      </c>
    </row>
    <row r="795" customFormat="false" ht="15" hidden="false" customHeight="false" outlineLevel="0" collapsed="false">
      <c r="A795" s="0" t="str">
        <f aca="false">Raw!A795</f>
        <v>SHP0794</v>
      </c>
      <c r="B795" s="0" t="str">
        <f aca="false">Raw!B795</f>
        <v>Outbound</v>
      </c>
      <c r="C795" s="0" t="str">
        <f aca="false">Raw!C795</f>
        <v>Surat</v>
      </c>
      <c r="D795" s="0" t="str">
        <f aca="false">Raw!D795</f>
        <v>West Bengal</v>
      </c>
      <c r="E795" s="0" t="str">
        <f aca="false">IFERROR(INDEX(Location_Map!$B$2:$B$15,MATCH(C795,Location_Map!$A$2:$A$15,0)),"UNMAPPED")</f>
        <v>Gujarat</v>
      </c>
      <c r="F795" s="0" t="str">
        <f aca="false">IFERROR(INDEX(Location_Map!$C$2:$C$15,MATCH(C795,Location_Map!$A$2:$A$15,0)),"UNMAPPED")</f>
        <v>West</v>
      </c>
      <c r="G795" s="0" t="str">
        <f aca="false">IFERROR(INDEX(Location_Map!$B$2:$B$15,MATCH(D795,Location_Map!$A$2:$A$15,0)),"UNMAPPED")</f>
        <v>West Bengal</v>
      </c>
      <c r="H795" s="0" t="str">
        <f aca="false">IFERROR(INDEX(Location_Map!$C$2:$C$15,MATCH(D795,Location_Map!$A$2:$A$15,0)),"UNMAPPED")</f>
        <v>East</v>
      </c>
      <c r="I795" s="0" t="str">
        <f aca="false">Raw!E795</f>
        <v>Semi-Processed Yarn</v>
      </c>
      <c r="J795" s="28" t="n">
        <f aca="false">Raw!F795</f>
        <v>11.75</v>
      </c>
      <c r="K795" s="30" t="n">
        <f aca="false">DATE(LEFT(Raw!G795,4),MID(Raw!G795,6,2),MID(Raw!G795,9,2))</f>
        <v>45705</v>
      </c>
      <c r="L795" s="30" t="n">
        <f aca="false">DATE(LEFT(Raw!H795,4),MID(Raw!H795,6,2),MID(Raw!H795,9,2))</f>
        <v>45708</v>
      </c>
      <c r="M795" s="30" t="n">
        <f aca="false">DATE(LEFT(Raw!I795,4),MID(Raw!I795,6,2),MID(Raw!I795,9,2))</f>
        <v>45710</v>
      </c>
      <c r="N795" s="31" t="n">
        <f aca="false">DATE(LEFT(Raw!J795,4),MID(Raw!J795,6,2),MID(Raw!J795,9,2))+TIME(MID(Raw!J795,12,2),MID(Raw!J795,15,2),MID(Raw!J795,18,2))</f>
        <v>45708</v>
      </c>
      <c r="O795" s="31" t="n">
        <f aca="false">DATE(LEFT(Raw!K795,4),MID(Raw!K795,6,2),MID(Raw!K795,9,2))+TIME(MID(Raw!K795,12,2),MID(Raw!K795,15,2),MID(Raw!K795,18,2))</f>
        <v>45710.9</v>
      </c>
      <c r="P795" s="32" t="n">
        <f aca="false">L795-K795</f>
        <v>3</v>
      </c>
      <c r="Q795" s="32" t="n">
        <f aca="false">M795-L795</f>
        <v>2</v>
      </c>
      <c r="R795" s="32" t="n">
        <f aca="false">O795-N795</f>
        <v>2.9</v>
      </c>
      <c r="S795" s="32" t="n">
        <f aca="false">Raw!L795</f>
        <v>0.9</v>
      </c>
      <c r="T795" s="32" t="n">
        <f aca="false">O795-M795</f>
        <v>0.9</v>
      </c>
      <c r="U795" s="0" t="str">
        <f aca="false">IF(ABS(T795-S795)&lt;0.01,"OK","MISMATCH")</f>
        <v>OK</v>
      </c>
      <c r="V795" s="33" t="n">
        <f aca="false">Raw!M795</f>
        <v>1</v>
      </c>
      <c r="W795" s="0" t="str">
        <f aca="false">IF((S795&gt;0)=(V795=1),"OK","MISMATCH")</f>
        <v>OK</v>
      </c>
      <c r="X795" s="0" t="str">
        <f aca="false">_xlfn.IFS(S795&lt;=0,"Early/On time",S795&lt;=2,"Minor (up to 2 days)",S795&lt;=5,"Moderate (2-5 days)",TRUE(),"Severe (over 5 days)")</f>
        <v>Minor (up to 2 days)</v>
      </c>
      <c r="Y795" s="0" t="str">
        <f aca="false">YEAR(K795)&amp;"-"&amp;TEXT(MONTH(K795),"00")</f>
        <v>2025-02</v>
      </c>
      <c r="Z795" s="0" t="str">
        <f aca="false">C795&amp;" → "&amp;D795</f>
        <v>Surat → West Bengal</v>
      </c>
      <c r="AA795" s="0" t="str">
        <f aca="false">Raw!Q795</f>
        <v>BlueDart</v>
      </c>
      <c r="AB795" s="0" t="str">
        <f aca="false">Raw!R795</f>
        <v>Yes</v>
      </c>
      <c r="AC795" s="0" t="str">
        <f aca="false">Raw!S795</f>
        <v>Returned</v>
      </c>
      <c r="AD795" s="29" t="n">
        <f aca="false">Raw!N795</f>
        <v>8029.31</v>
      </c>
      <c r="AE795" s="29" t="n">
        <f aca="false">Raw!O795</f>
        <v>2761.74</v>
      </c>
      <c r="AF795" s="29" t="n">
        <f aca="false">Raw!P795</f>
        <v>1401.18</v>
      </c>
      <c r="AG795" s="29" t="n">
        <f aca="false">AD795/J795</f>
        <v>683.345531914894</v>
      </c>
    </row>
    <row r="796" customFormat="false" ht="15" hidden="false" customHeight="false" outlineLevel="0" collapsed="false">
      <c r="A796" s="0" t="str">
        <f aca="false">Raw!A796</f>
        <v>SHP0795</v>
      </c>
      <c r="B796" s="0" t="str">
        <f aca="false">Raw!B796</f>
        <v>Outbound</v>
      </c>
      <c r="C796" s="0" t="str">
        <f aca="false">Raw!C796</f>
        <v>Surat</v>
      </c>
      <c r="D796" s="0" t="str">
        <f aca="false">Raw!D796</f>
        <v>Jaipur</v>
      </c>
      <c r="E796" s="0" t="str">
        <f aca="false">IFERROR(INDEX(Location_Map!$B$2:$B$15,MATCH(C796,Location_Map!$A$2:$A$15,0)),"UNMAPPED")</f>
        <v>Gujarat</v>
      </c>
      <c r="F796" s="0" t="str">
        <f aca="false">IFERROR(INDEX(Location_Map!$C$2:$C$15,MATCH(C796,Location_Map!$A$2:$A$15,0)),"UNMAPPED")</f>
        <v>West</v>
      </c>
      <c r="G796" s="0" t="str">
        <f aca="false">IFERROR(INDEX(Location_Map!$B$2:$B$15,MATCH(D796,Location_Map!$A$2:$A$15,0)),"UNMAPPED")</f>
        <v>Rajasthan</v>
      </c>
      <c r="H796" s="0" t="str">
        <f aca="false">IFERROR(INDEX(Location_Map!$C$2:$C$15,MATCH(D796,Location_Map!$A$2:$A$15,0)),"UNMAPPED")</f>
        <v>North</v>
      </c>
      <c r="I796" s="0" t="str">
        <f aca="false">Raw!E796</f>
        <v>Semi-Processed Yarn</v>
      </c>
      <c r="J796" s="28" t="n">
        <f aca="false">Raw!F796</f>
        <v>15.26</v>
      </c>
      <c r="K796" s="30" t="n">
        <f aca="false">DATE(LEFT(Raw!G796,4),MID(Raw!G796,6,2),MID(Raw!G796,9,2))</f>
        <v>45804</v>
      </c>
      <c r="L796" s="30" t="n">
        <f aca="false">DATE(LEFT(Raw!H796,4),MID(Raw!H796,6,2),MID(Raw!H796,9,2))</f>
        <v>45807</v>
      </c>
      <c r="M796" s="30" t="n">
        <f aca="false">DATE(LEFT(Raw!I796,4),MID(Raw!I796,6,2),MID(Raw!I796,9,2))</f>
        <v>45810</v>
      </c>
      <c r="N796" s="31" t="n">
        <f aca="false">DATE(LEFT(Raw!J796,4),MID(Raw!J796,6,2),MID(Raw!J796,9,2))+TIME(MID(Raw!J796,12,2),MID(Raw!J796,15,2),MID(Raw!J796,18,2))</f>
        <v>45807.2916666667</v>
      </c>
      <c r="O796" s="31" t="n">
        <f aca="false">DATE(LEFT(Raw!K796,4),MID(Raw!K796,6,2),MID(Raw!K796,9,2))+TIME(MID(Raw!K796,12,2),MID(Raw!K796,15,2),MID(Raw!K796,18,2))</f>
        <v>45814.8</v>
      </c>
      <c r="P796" s="32" t="n">
        <f aca="false">L796-K796</f>
        <v>3</v>
      </c>
      <c r="Q796" s="32" t="n">
        <f aca="false">M796-L796</f>
        <v>3</v>
      </c>
      <c r="R796" s="32" t="n">
        <f aca="false">O796-N796</f>
        <v>7.50833333333333</v>
      </c>
      <c r="S796" s="32" t="n">
        <f aca="false">Raw!L796</f>
        <v>4.8</v>
      </c>
      <c r="T796" s="32" t="n">
        <f aca="false">O796-M796</f>
        <v>4.8</v>
      </c>
      <c r="U796" s="0" t="str">
        <f aca="false">IF(ABS(T796-S796)&lt;0.01,"OK","MISMATCH")</f>
        <v>OK</v>
      </c>
      <c r="V796" s="33" t="n">
        <f aca="false">Raw!M796</f>
        <v>1</v>
      </c>
      <c r="W796" s="0" t="str">
        <f aca="false">IF((S796&gt;0)=(V796=1),"OK","MISMATCH")</f>
        <v>OK</v>
      </c>
      <c r="X796" s="0" t="str">
        <f aca="false">_xlfn.IFS(S796&lt;=0,"Early/On time",S796&lt;=2,"Minor (up to 2 days)",S796&lt;=5,"Moderate (2-5 days)",TRUE(),"Severe (over 5 days)")</f>
        <v>Moderate (2-5 days)</v>
      </c>
      <c r="Y796" s="0" t="str">
        <f aca="false">YEAR(K796)&amp;"-"&amp;TEXT(MONTH(K796),"00")</f>
        <v>2025-05</v>
      </c>
      <c r="Z796" s="0" t="str">
        <f aca="false">C796&amp;" → "&amp;D796</f>
        <v>Surat → Jaipur</v>
      </c>
      <c r="AA796" s="0" t="str">
        <f aca="false">Raw!Q796</f>
        <v>Delhivery</v>
      </c>
      <c r="AB796" s="0" t="str">
        <f aca="false">Raw!R796</f>
        <v>Yes</v>
      </c>
      <c r="AC796" s="0" t="str">
        <f aca="false">Raw!S796</f>
        <v>Held at warehouse</v>
      </c>
      <c r="AD796" s="29" t="n">
        <f aca="false">Raw!N796</f>
        <v>6170.52</v>
      </c>
      <c r="AE796" s="29" t="n">
        <f aca="false">Raw!O796</f>
        <v>2050.77</v>
      </c>
      <c r="AF796" s="29" t="n">
        <f aca="false">Raw!P796</f>
        <v>664.72</v>
      </c>
      <c r="AG796" s="29" t="n">
        <f aca="false">AD796/J796</f>
        <v>404.359108781127</v>
      </c>
    </row>
    <row r="797" customFormat="false" ht="15" hidden="false" customHeight="false" outlineLevel="0" collapsed="false">
      <c r="A797" s="0" t="str">
        <f aca="false">Raw!A797</f>
        <v>SHP0796</v>
      </c>
      <c r="B797" s="0" t="str">
        <f aca="false">Raw!B797</f>
        <v>Inbound</v>
      </c>
      <c r="C797" s="0" t="str">
        <f aca="false">Raw!C797</f>
        <v>Uttar Pradesh</v>
      </c>
      <c r="D797" s="0" t="str">
        <f aca="false">Raw!D797</f>
        <v>Surat</v>
      </c>
      <c r="E797" s="0" t="str">
        <f aca="false">IFERROR(INDEX(Location_Map!$B$2:$B$15,MATCH(C797,Location_Map!$A$2:$A$15,0)),"UNMAPPED")</f>
        <v>Uttar Pradesh</v>
      </c>
      <c r="F797" s="0" t="str">
        <f aca="false">IFERROR(INDEX(Location_Map!$C$2:$C$15,MATCH(C797,Location_Map!$A$2:$A$15,0)),"UNMAPPED")</f>
        <v>North</v>
      </c>
      <c r="G797" s="0" t="str">
        <f aca="false">IFERROR(INDEX(Location_Map!$B$2:$B$15,MATCH(D797,Location_Map!$A$2:$A$15,0)),"UNMAPPED")</f>
        <v>Gujarat</v>
      </c>
      <c r="H797" s="0" t="str">
        <f aca="false">IFERROR(INDEX(Location_Map!$C$2:$C$15,MATCH(D797,Location_Map!$A$2:$A$15,0)),"UNMAPPED")</f>
        <v>West</v>
      </c>
      <c r="I797" s="0" t="str">
        <f aca="false">Raw!E797</f>
        <v>Raw Yarn</v>
      </c>
      <c r="J797" s="28" t="n">
        <f aca="false">Raw!F797</f>
        <v>14.09</v>
      </c>
      <c r="K797" s="30" t="n">
        <f aca="false">DATE(LEFT(Raw!G797,4),MID(Raw!G797,6,2),MID(Raw!G797,9,2))</f>
        <v>45812</v>
      </c>
      <c r="L797" s="30" t="n">
        <f aca="false">DATE(LEFT(Raw!H797,4),MID(Raw!H797,6,2),MID(Raw!H797,9,2))</f>
        <v>45813</v>
      </c>
      <c r="M797" s="30" t="n">
        <f aca="false">DATE(LEFT(Raw!I797,4),MID(Raw!I797,6,2),MID(Raw!I797,9,2))</f>
        <v>45815</v>
      </c>
      <c r="N797" s="31" t="n">
        <f aca="false">DATE(LEFT(Raw!J797,4),MID(Raw!J797,6,2),MID(Raw!J797,9,2))+TIME(MID(Raw!J797,12,2),MID(Raw!J797,15,2),MID(Raw!J797,18,2))</f>
        <v>45812.9166666667</v>
      </c>
      <c r="O797" s="31" t="n">
        <f aca="false">DATE(LEFT(Raw!K797,4),MID(Raw!K797,6,2),MID(Raw!K797,9,2))+TIME(MID(Raw!K797,12,2),MID(Raw!K797,15,2),MID(Raw!K797,18,2))</f>
        <v>45817.4</v>
      </c>
      <c r="P797" s="32" t="n">
        <f aca="false">L797-K797</f>
        <v>1</v>
      </c>
      <c r="Q797" s="32" t="n">
        <f aca="false">M797-L797</f>
        <v>2</v>
      </c>
      <c r="R797" s="32" t="n">
        <f aca="false">O797-N797</f>
        <v>4.48333333333333</v>
      </c>
      <c r="S797" s="32" t="n">
        <f aca="false">Raw!L797</f>
        <v>2.4</v>
      </c>
      <c r="T797" s="32" t="n">
        <f aca="false">O797-M797</f>
        <v>2.4</v>
      </c>
      <c r="U797" s="0" t="str">
        <f aca="false">IF(ABS(T797-S797)&lt;0.01,"OK","MISMATCH")</f>
        <v>OK</v>
      </c>
      <c r="V797" s="33" t="n">
        <f aca="false">Raw!M797</f>
        <v>1</v>
      </c>
      <c r="W797" s="0" t="str">
        <f aca="false">IF((S797&gt;0)=(V797=1),"OK","MISMATCH")</f>
        <v>OK</v>
      </c>
      <c r="X797" s="0" t="str">
        <f aca="false">_xlfn.IFS(S797&lt;=0,"Early/On time",S797&lt;=2,"Minor (up to 2 days)",S797&lt;=5,"Moderate (2-5 days)",TRUE(),"Severe (over 5 days)")</f>
        <v>Moderate (2-5 days)</v>
      </c>
      <c r="Y797" s="0" t="str">
        <f aca="false">YEAR(K797)&amp;"-"&amp;TEXT(MONTH(K797),"00")</f>
        <v>2025-06</v>
      </c>
      <c r="Z797" s="0" t="str">
        <f aca="false">C797&amp;" → "&amp;D797</f>
        <v>Uttar Pradesh → Surat</v>
      </c>
      <c r="AA797" s="0" t="str">
        <f aca="false">Raw!Q797</f>
        <v>Delhivery</v>
      </c>
      <c r="AB797" s="0" t="str">
        <f aca="false">Raw!R797</f>
        <v>Yes</v>
      </c>
      <c r="AC797" s="0" t="str">
        <f aca="false">Raw!S797</f>
        <v>Returned</v>
      </c>
      <c r="AD797" s="29" t="n">
        <f aca="false">Raw!N797</f>
        <v>5375.18</v>
      </c>
      <c r="AE797" s="29" t="n">
        <f aca="false">Raw!O797</f>
        <v>1589.81</v>
      </c>
      <c r="AF797" s="29" t="n">
        <f aca="false">Raw!P797</f>
        <v>573.25</v>
      </c>
      <c r="AG797" s="29" t="n">
        <f aca="false">AD797/J797</f>
        <v>381.488999290277</v>
      </c>
    </row>
    <row r="798" customFormat="false" ht="15" hidden="false" customHeight="false" outlineLevel="0" collapsed="false">
      <c r="A798" s="0" t="str">
        <f aca="false">Raw!A798</f>
        <v>SHP0797</v>
      </c>
      <c r="B798" s="0" t="str">
        <f aca="false">Raw!B798</f>
        <v>Inbound</v>
      </c>
      <c r="C798" s="0" t="str">
        <f aca="false">Raw!C798</f>
        <v>Gujarat</v>
      </c>
      <c r="D798" s="0" t="str">
        <f aca="false">Raw!D798</f>
        <v>Surat</v>
      </c>
      <c r="E798" s="0" t="str">
        <f aca="false">IFERROR(INDEX(Location_Map!$B$2:$B$15,MATCH(C798,Location_Map!$A$2:$A$15,0)),"UNMAPPED")</f>
        <v>Gujarat</v>
      </c>
      <c r="F798" s="0" t="str">
        <f aca="false">IFERROR(INDEX(Location_Map!$C$2:$C$15,MATCH(C798,Location_Map!$A$2:$A$15,0)),"UNMAPPED")</f>
        <v>West</v>
      </c>
      <c r="G798" s="0" t="str">
        <f aca="false">IFERROR(INDEX(Location_Map!$B$2:$B$15,MATCH(D798,Location_Map!$A$2:$A$15,0)),"UNMAPPED")</f>
        <v>Gujarat</v>
      </c>
      <c r="H798" s="0" t="str">
        <f aca="false">IFERROR(INDEX(Location_Map!$C$2:$C$15,MATCH(D798,Location_Map!$A$2:$A$15,0)),"UNMAPPED")</f>
        <v>West</v>
      </c>
      <c r="I798" s="0" t="str">
        <f aca="false">Raw!E798</f>
        <v>Finished Yarn</v>
      </c>
      <c r="J798" s="28" t="n">
        <f aca="false">Raw!F798</f>
        <v>16.43</v>
      </c>
      <c r="K798" s="30" t="n">
        <f aca="false">DATE(LEFT(Raw!G798,4),MID(Raw!G798,6,2),MID(Raw!G798,9,2))</f>
        <v>45883</v>
      </c>
      <c r="L798" s="30" t="n">
        <f aca="false">DATE(LEFT(Raw!H798,4),MID(Raw!H798,6,2),MID(Raw!H798,9,2))</f>
        <v>45887</v>
      </c>
      <c r="M798" s="30" t="n">
        <f aca="false">DATE(LEFT(Raw!I798,4),MID(Raw!I798,6,2),MID(Raw!I798,9,2))</f>
        <v>45892</v>
      </c>
      <c r="N798" s="31" t="n">
        <f aca="false">DATE(LEFT(Raw!J798,4),MID(Raw!J798,6,2),MID(Raw!J798,9,2))+TIME(MID(Raw!J798,12,2),MID(Raw!J798,15,2),MID(Raw!J798,18,2))</f>
        <v>45887.125</v>
      </c>
      <c r="O798" s="31" t="n">
        <f aca="false">DATE(LEFT(Raw!K798,4),MID(Raw!K798,6,2),MID(Raw!K798,9,2))+TIME(MID(Raw!K798,12,2),MID(Raw!K798,15,2),MID(Raw!K798,18,2))</f>
        <v>45895</v>
      </c>
      <c r="P798" s="32" t="n">
        <f aca="false">L798-K798</f>
        <v>4</v>
      </c>
      <c r="Q798" s="32" t="n">
        <f aca="false">M798-L798</f>
        <v>5</v>
      </c>
      <c r="R798" s="32" t="n">
        <f aca="false">O798-N798</f>
        <v>7.875</v>
      </c>
      <c r="S798" s="32" t="n">
        <f aca="false">Raw!L798</f>
        <v>3</v>
      </c>
      <c r="T798" s="32" t="n">
        <f aca="false">O798-M798</f>
        <v>3</v>
      </c>
      <c r="U798" s="0" t="str">
        <f aca="false">IF(ABS(T798-S798)&lt;0.01,"OK","MISMATCH")</f>
        <v>OK</v>
      </c>
      <c r="V798" s="33" t="n">
        <f aca="false">Raw!M798</f>
        <v>1</v>
      </c>
      <c r="W798" s="0" t="str">
        <f aca="false">IF((S798&gt;0)=(V798=1),"OK","MISMATCH")</f>
        <v>OK</v>
      </c>
      <c r="X798" s="0" t="str">
        <f aca="false">_xlfn.IFS(S798&lt;=0,"Early/On time",S798&lt;=2,"Minor (up to 2 days)",S798&lt;=5,"Moderate (2-5 days)",TRUE(),"Severe (over 5 days)")</f>
        <v>Moderate (2-5 days)</v>
      </c>
      <c r="Y798" s="0" t="str">
        <f aca="false">YEAR(K798)&amp;"-"&amp;TEXT(MONTH(K798),"00")</f>
        <v>2025-08</v>
      </c>
      <c r="Z798" s="0" t="str">
        <f aca="false">C798&amp;" → "&amp;D798</f>
        <v>Gujarat → Surat</v>
      </c>
      <c r="AA798" s="0" t="str">
        <f aca="false">Raw!Q798</f>
        <v>BlueDart</v>
      </c>
      <c r="AB798" s="0" t="str">
        <f aca="false">Raw!R798</f>
        <v>No</v>
      </c>
      <c r="AC798" s="0" t="str">
        <f aca="false">Raw!S798</f>
        <v>Damaged</v>
      </c>
      <c r="AD798" s="29" t="n">
        <f aca="false">Raw!N798</f>
        <v>6161.53</v>
      </c>
      <c r="AE798" s="29" t="n">
        <f aca="false">Raw!O798</f>
        <v>3485.86</v>
      </c>
      <c r="AF798" s="29" t="n">
        <f aca="false">Raw!P798</f>
        <v>1277.88</v>
      </c>
      <c r="AG798" s="29" t="n">
        <f aca="false">AD798/J798</f>
        <v>375.017041996348</v>
      </c>
    </row>
    <row r="799" customFormat="false" ht="15" hidden="false" customHeight="false" outlineLevel="0" collapsed="false">
      <c r="A799" s="0" t="str">
        <f aca="false">Raw!A799</f>
        <v>SHP0798</v>
      </c>
      <c r="B799" s="0" t="str">
        <f aca="false">Raw!B799</f>
        <v>Outbound</v>
      </c>
      <c r="C799" s="0" t="str">
        <f aca="false">Raw!C799</f>
        <v>Surat</v>
      </c>
      <c r="D799" s="0" t="str">
        <f aca="false">Raw!D799</f>
        <v>Jaipur</v>
      </c>
      <c r="E799" s="0" t="str">
        <f aca="false">IFERROR(INDEX(Location_Map!$B$2:$B$15,MATCH(C799,Location_Map!$A$2:$A$15,0)),"UNMAPPED")</f>
        <v>Gujarat</v>
      </c>
      <c r="F799" s="0" t="str">
        <f aca="false">IFERROR(INDEX(Location_Map!$C$2:$C$15,MATCH(C799,Location_Map!$A$2:$A$15,0)),"UNMAPPED")</f>
        <v>West</v>
      </c>
      <c r="G799" s="0" t="str">
        <f aca="false">IFERROR(INDEX(Location_Map!$B$2:$B$15,MATCH(D799,Location_Map!$A$2:$A$15,0)),"UNMAPPED")</f>
        <v>Rajasthan</v>
      </c>
      <c r="H799" s="0" t="str">
        <f aca="false">IFERROR(INDEX(Location_Map!$C$2:$C$15,MATCH(D799,Location_Map!$A$2:$A$15,0)),"UNMAPPED")</f>
        <v>North</v>
      </c>
      <c r="I799" s="0" t="str">
        <f aca="false">Raw!E799</f>
        <v>Raw Yarn</v>
      </c>
      <c r="J799" s="28" t="n">
        <f aca="false">Raw!F799</f>
        <v>10.51</v>
      </c>
      <c r="K799" s="30" t="n">
        <f aca="false">DATE(LEFT(Raw!G799,4),MID(Raw!G799,6,2),MID(Raw!G799,9,2))</f>
        <v>45765</v>
      </c>
      <c r="L799" s="30" t="n">
        <f aca="false">DATE(LEFT(Raw!H799,4),MID(Raw!H799,6,2),MID(Raw!H799,9,2))</f>
        <v>45767</v>
      </c>
      <c r="M799" s="30" t="n">
        <f aca="false">DATE(LEFT(Raw!I799,4),MID(Raw!I799,6,2),MID(Raw!I799,9,2))</f>
        <v>45773</v>
      </c>
      <c r="N799" s="31" t="n">
        <f aca="false">DATE(LEFT(Raw!J799,4),MID(Raw!J799,6,2),MID(Raw!J799,9,2))+TIME(MID(Raw!J799,12,2),MID(Raw!J799,15,2),MID(Raw!J799,18,2))</f>
        <v>45766.8333333333</v>
      </c>
      <c r="O799" s="31" t="n">
        <f aca="false">DATE(LEFT(Raw!K799,4),MID(Raw!K799,6,2),MID(Raw!K799,9,2))+TIME(MID(Raw!K799,12,2),MID(Raw!K799,15,2),MID(Raw!K799,18,2))</f>
        <v>45773.3</v>
      </c>
      <c r="P799" s="32" t="n">
        <f aca="false">L799-K799</f>
        <v>2</v>
      </c>
      <c r="Q799" s="32" t="n">
        <f aca="false">M799-L799</f>
        <v>6</v>
      </c>
      <c r="R799" s="32" t="n">
        <f aca="false">O799-N799</f>
        <v>6.46666666666667</v>
      </c>
      <c r="S799" s="32" t="n">
        <f aca="false">Raw!L799</f>
        <v>0.3</v>
      </c>
      <c r="T799" s="32" t="n">
        <f aca="false">O799-M799</f>
        <v>0.3</v>
      </c>
      <c r="U799" s="0" t="str">
        <f aca="false">IF(ABS(T799-S799)&lt;0.01,"OK","MISMATCH")</f>
        <v>OK</v>
      </c>
      <c r="V799" s="33" t="n">
        <f aca="false">Raw!M799</f>
        <v>1</v>
      </c>
      <c r="W799" s="0" t="str">
        <f aca="false">IF((S799&gt;0)=(V799=1),"OK","MISMATCH")</f>
        <v>OK</v>
      </c>
      <c r="X799" s="0" t="str">
        <f aca="false">_xlfn.IFS(S799&lt;=0,"Early/On time",S799&lt;=2,"Minor (up to 2 days)",S799&lt;=5,"Moderate (2-5 days)",TRUE(),"Severe (over 5 days)")</f>
        <v>Minor (up to 2 days)</v>
      </c>
      <c r="Y799" s="0" t="str">
        <f aca="false">YEAR(K799)&amp;"-"&amp;TEXT(MONTH(K799),"00")</f>
        <v>2025-04</v>
      </c>
      <c r="Z799" s="0" t="str">
        <f aca="false">C799&amp;" → "&amp;D799</f>
        <v>Surat → Jaipur</v>
      </c>
      <c r="AA799" s="0" t="str">
        <f aca="false">Raw!Q799</f>
        <v>BlueDart</v>
      </c>
      <c r="AB799" s="0" t="str">
        <f aca="false">Raw!R799</f>
        <v>No</v>
      </c>
      <c r="AC799" s="0" t="str">
        <f aca="false">Raw!S799</f>
        <v>Damaged</v>
      </c>
      <c r="AD799" s="29" t="n">
        <f aca="false">Raw!N799</f>
        <v>6257.1</v>
      </c>
      <c r="AE799" s="29" t="n">
        <f aca="false">Raw!O799</f>
        <v>4059.52</v>
      </c>
      <c r="AF799" s="29" t="n">
        <f aca="false">Raw!P799</f>
        <v>674.61</v>
      </c>
      <c r="AG799" s="29" t="n">
        <f aca="false">AD799/J799</f>
        <v>595.34728829686</v>
      </c>
    </row>
    <row r="800" customFormat="false" ht="15" hidden="false" customHeight="false" outlineLevel="0" collapsed="false">
      <c r="A800" s="0" t="str">
        <f aca="false">Raw!A800</f>
        <v>SHP0799</v>
      </c>
      <c r="B800" s="0" t="str">
        <f aca="false">Raw!B800</f>
        <v>Outbound</v>
      </c>
      <c r="C800" s="0" t="str">
        <f aca="false">Raw!C800</f>
        <v>Surat</v>
      </c>
      <c r="D800" s="0" t="str">
        <f aca="false">Raw!D800</f>
        <v>Mumbai</v>
      </c>
      <c r="E800" s="0" t="str">
        <f aca="false">IFERROR(INDEX(Location_Map!$B$2:$B$15,MATCH(C800,Location_Map!$A$2:$A$15,0)),"UNMAPPED")</f>
        <v>Gujarat</v>
      </c>
      <c r="F800" s="0" t="str">
        <f aca="false">IFERROR(INDEX(Location_Map!$C$2:$C$15,MATCH(C800,Location_Map!$A$2:$A$15,0)),"UNMAPPED")</f>
        <v>West</v>
      </c>
      <c r="G800" s="0" t="str">
        <f aca="false">IFERROR(INDEX(Location_Map!$B$2:$B$15,MATCH(D800,Location_Map!$A$2:$A$15,0)),"UNMAPPED")</f>
        <v>Maharashtra</v>
      </c>
      <c r="H800" s="0" t="str">
        <f aca="false">IFERROR(INDEX(Location_Map!$C$2:$C$15,MATCH(D800,Location_Map!$A$2:$A$15,0)),"UNMAPPED")</f>
        <v>West</v>
      </c>
      <c r="I800" s="0" t="str">
        <f aca="false">Raw!E800</f>
        <v>Semi-Processed Yarn</v>
      </c>
      <c r="J800" s="28" t="n">
        <f aca="false">Raw!F800</f>
        <v>7.12</v>
      </c>
      <c r="K800" s="30" t="n">
        <f aca="false">DATE(LEFT(Raw!G800,4),MID(Raw!G800,6,2),MID(Raw!G800,9,2))</f>
        <v>45950</v>
      </c>
      <c r="L800" s="30" t="n">
        <f aca="false">DATE(LEFT(Raw!H800,4),MID(Raw!H800,6,2),MID(Raw!H800,9,2))</f>
        <v>45954</v>
      </c>
      <c r="M800" s="30" t="n">
        <f aca="false">DATE(LEFT(Raw!I800,4),MID(Raw!I800,6,2),MID(Raw!I800,9,2))</f>
        <v>45959</v>
      </c>
      <c r="N800" s="31" t="n">
        <f aca="false">DATE(LEFT(Raw!J800,4),MID(Raw!J800,6,2),MID(Raw!J800,9,2))+TIME(MID(Raw!J800,12,2),MID(Raw!J800,15,2),MID(Raw!J800,18,2))</f>
        <v>45954.2916666667</v>
      </c>
      <c r="O800" s="31" t="n">
        <f aca="false">DATE(LEFT(Raw!K800,4),MID(Raw!K800,6,2),MID(Raw!K800,9,2))+TIME(MID(Raw!K800,12,2),MID(Raw!K800,15,2),MID(Raw!K800,18,2))</f>
        <v>45965.6</v>
      </c>
      <c r="P800" s="32" t="n">
        <f aca="false">L800-K800</f>
        <v>4</v>
      </c>
      <c r="Q800" s="32" t="n">
        <f aca="false">M800-L800</f>
        <v>5</v>
      </c>
      <c r="R800" s="32" t="n">
        <f aca="false">O800-N800</f>
        <v>11.3083333333333</v>
      </c>
      <c r="S800" s="32" t="n">
        <f aca="false">Raw!L800</f>
        <v>6.6</v>
      </c>
      <c r="T800" s="32" t="n">
        <f aca="false">O800-M800</f>
        <v>6.6</v>
      </c>
      <c r="U800" s="0" t="str">
        <f aca="false">IF(ABS(T800-S800)&lt;0.01,"OK","MISMATCH")</f>
        <v>OK</v>
      </c>
      <c r="V800" s="33" t="n">
        <f aca="false">Raw!M800</f>
        <v>1</v>
      </c>
      <c r="W800" s="0" t="str">
        <f aca="false">IF((S800&gt;0)=(V800=1),"OK","MISMATCH")</f>
        <v>OK</v>
      </c>
      <c r="X800" s="0" t="str">
        <f aca="false">_xlfn.IFS(S800&lt;=0,"Early/On time",S800&lt;=2,"Minor (up to 2 days)",S800&lt;=5,"Moderate (2-5 days)",TRUE(),"Severe (over 5 days)")</f>
        <v>Severe (over 5 days)</v>
      </c>
      <c r="Y800" s="0" t="str">
        <f aca="false">YEAR(K800)&amp;"-"&amp;TEXT(MONTH(K800),"00")</f>
        <v>2025-10</v>
      </c>
      <c r="Z800" s="0" t="str">
        <f aca="false">C800&amp;" → "&amp;D800</f>
        <v>Surat → Mumbai</v>
      </c>
      <c r="AA800" s="0" t="str">
        <f aca="false">Raw!Q800</f>
        <v>GATI Logistics</v>
      </c>
      <c r="AB800" s="0" t="str">
        <f aca="false">Raw!R800</f>
        <v>No</v>
      </c>
      <c r="AC800" s="0" t="str">
        <f aca="false">Raw!S800</f>
        <v>Normal</v>
      </c>
      <c r="AD800" s="29" t="n">
        <f aca="false">Raw!N800</f>
        <v>3006.7</v>
      </c>
      <c r="AE800" s="29" t="n">
        <f aca="false">Raw!O800</f>
        <v>4718.02</v>
      </c>
      <c r="AF800" s="29" t="n">
        <f aca="false">Raw!P800</f>
        <v>672.45</v>
      </c>
      <c r="AG800" s="29" t="n">
        <f aca="false">AD800/J800</f>
        <v>422.289325842697</v>
      </c>
    </row>
    <row r="801" customFormat="false" ht="15" hidden="false" customHeight="false" outlineLevel="0" collapsed="false">
      <c r="A801" s="0" t="str">
        <f aca="false">Raw!A801</f>
        <v>SHP0800</v>
      </c>
      <c r="B801" s="0" t="str">
        <f aca="false">Raw!B801</f>
        <v>Inbound</v>
      </c>
      <c r="C801" s="0" t="str">
        <f aca="false">Raw!C801</f>
        <v>Chennai</v>
      </c>
      <c r="D801" s="0" t="str">
        <f aca="false">Raw!D801</f>
        <v>Surat</v>
      </c>
      <c r="E801" s="0" t="str">
        <f aca="false">IFERROR(INDEX(Location_Map!$B$2:$B$15,MATCH(C801,Location_Map!$A$2:$A$15,0)),"UNMAPPED")</f>
        <v>Tamil Nadu</v>
      </c>
      <c r="F801" s="0" t="str">
        <f aca="false">IFERROR(INDEX(Location_Map!$C$2:$C$15,MATCH(C801,Location_Map!$A$2:$A$15,0)),"UNMAPPED")</f>
        <v>South</v>
      </c>
      <c r="G801" s="0" t="str">
        <f aca="false">IFERROR(INDEX(Location_Map!$B$2:$B$15,MATCH(D801,Location_Map!$A$2:$A$15,0)),"UNMAPPED")</f>
        <v>Gujarat</v>
      </c>
      <c r="H801" s="0" t="str">
        <f aca="false">IFERROR(INDEX(Location_Map!$C$2:$C$15,MATCH(D801,Location_Map!$A$2:$A$15,0)),"UNMAPPED")</f>
        <v>West</v>
      </c>
      <c r="I801" s="0" t="str">
        <f aca="false">Raw!E801</f>
        <v>Finished Yarn</v>
      </c>
      <c r="J801" s="28" t="n">
        <f aca="false">Raw!F801</f>
        <v>12.01</v>
      </c>
      <c r="K801" s="30" t="n">
        <f aca="false">DATE(LEFT(Raw!G801,4),MID(Raw!G801,6,2),MID(Raw!G801,9,2))</f>
        <v>45824</v>
      </c>
      <c r="L801" s="30" t="n">
        <f aca="false">DATE(LEFT(Raw!H801,4),MID(Raw!H801,6,2),MID(Raw!H801,9,2))</f>
        <v>45827</v>
      </c>
      <c r="M801" s="30" t="n">
        <f aca="false">DATE(LEFT(Raw!I801,4),MID(Raw!I801,6,2),MID(Raw!I801,9,2))</f>
        <v>45830</v>
      </c>
      <c r="N801" s="31" t="n">
        <f aca="false">DATE(LEFT(Raw!J801,4),MID(Raw!J801,6,2),MID(Raw!J801,9,2))+TIME(MID(Raw!J801,12,2),MID(Raw!J801,15,2),MID(Raw!J801,18,2))</f>
        <v>45827.2083333333</v>
      </c>
      <c r="O801" s="31" t="n">
        <f aca="false">DATE(LEFT(Raw!K801,4),MID(Raw!K801,6,2),MID(Raw!K801,9,2))+TIME(MID(Raw!K801,12,2),MID(Raw!K801,15,2),MID(Raw!K801,18,2))</f>
        <v>45833.4</v>
      </c>
      <c r="P801" s="32" t="n">
        <f aca="false">L801-K801</f>
        <v>3</v>
      </c>
      <c r="Q801" s="32" t="n">
        <f aca="false">M801-L801</f>
        <v>3</v>
      </c>
      <c r="R801" s="32" t="n">
        <f aca="false">O801-N801</f>
        <v>6.19166666666667</v>
      </c>
      <c r="S801" s="32" t="n">
        <f aca="false">Raw!L801</f>
        <v>3.4</v>
      </c>
      <c r="T801" s="32" t="n">
        <f aca="false">O801-M801</f>
        <v>3.4</v>
      </c>
      <c r="U801" s="0" t="str">
        <f aca="false">IF(ABS(T801-S801)&lt;0.01,"OK","MISMATCH")</f>
        <v>OK</v>
      </c>
      <c r="V801" s="33" t="n">
        <f aca="false">Raw!M801</f>
        <v>1</v>
      </c>
      <c r="W801" s="0" t="str">
        <f aca="false">IF((S801&gt;0)=(V801=1),"OK","MISMATCH")</f>
        <v>OK</v>
      </c>
      <c r="X801" s="0" t="str">
        <f aca="false">_xlfn.IFS(S801&lt;=0,"Early/On time",S801&lt;=2,"Minor (up to 2 days)",S801&lt;=5,"Moderate (2-5 days)",TRUE(),"Severe (over 5 days)")</f>
        <v>Moderate (2-5 days)</v>
      </c>
      <c r="Y801" s="0" t="str">
        <f aca="false">YEAR(K801)&amp;"-"&amp;TEXT(MONTH(K801),"00")</f>
        <v>2025-06</v>
      </c>
      <c r="Z801" s="0" t="str">
        <f aca="false">C801&amp;" → "&amp;D801</f>
        <v>Chennai → Surat</v>
      </c>
      <c r="AA801" s="0" t="str">
        <f aca="false">Raw!Q801</f>
        <v>VRL Cargo</v>
      </c>
      <c r="AB801" s="0" t="str">
        <f aca="false">Raw!R801</f>
        <v>No</v>
      </c>
      <c r="AC801" s="0" t="str">
        <f aca="false">Raw!S801</f>
        <v>Damaged</v>
      </c>
      <c r="AD801" s="29" t="n">
        <f aca="false">Raw!N801</f>
        <v>4953.52</v>
      </c>
      <c r="AE801" s="29" t="n">
        <f aca="false">Raw!O801</f>
        <v>3875.96</v>
      </c>
      <c r="AF801" s="29" t="n">
        <f aca="false">Raw!P801</f>
        <v>1069.52</v>
      </c>
      <c r="AG801" s="29" t="n">
        <f aca="false">AD801/J801</f>
        <v>412.44962531224</v>
      </c>
    </row>
    <row r="802" customFormat="false" ht="15" hidden="false" customHeight="false" outlineLevel="0" collapsed="false">
      <c r="A802" s="0" t="str">
        <f aca="false">Raw!A802</f>
        <v>SHP0801</v>
      </c>
      <c r="B802" s="0" t="str">
        <f aca="false">Raw!B802</f>
        <v>Outbound</v>
      </c>
      <c r="C802" s="0" t="str">
        <f aca="false">Raw!C802</f>
        <v>Surat</v>
      </c>
      <c r="D802" s="0" t="str">
        <f aca="false">Raw!D802</f>
        <v>Uttarakhand</v>
      </c>
      <c r="E802" s="0" t="str">
        <f aca="false">IFERROR(INDEX(Location_Map!$B$2:$B$15,MATCH(C802,Location_Map!$A$2:$A$15,0)),"UNMAPPED")</f>
        <v>Gujarat</v>
      </c>
      <c r="F802" s="0" t="str">
        <f aca="false">IFERROR(INDEX(Location_Map!$C$2:$C$15,MATCH(C802,Location_Map!$A$2:$A$15,0)),"UNMAPPED")</f>
        <v>West</v>
      </c>
      <c r="G802" s="0" t="str">
        <f aca="false">IFERROR(INDEX(Location_Map!$B$2:$B$15,MATCH(D802,Location_Map!$A$2:$A$15,0)),"UNMAPPED")</f>
        <v>Uttarakhand</v>
      </c>
      <c r="H802" s="0" t="str">
        <f aca="false">IFERROR(INDEX(Location_Map!$C$2:$C$15,MATCH(D802,Location_Map!$A$2:$A$15,0)),"UNMAPPED")</f>
        <v>North</v>
      </c>
      <c r="I802" s="0" t="str">
        <f aca="false">Raw!E802</f>
        <v>Finished Yarn</v>
      </c>
      <c r="J802" s="28" t="n">
        <f aca="false">Raw!F802</f>
        <v>15.03</v>
      </c>
      <c r="K802" s="30" t="n">
        <f aca="false">DATE(LEFT(Raw!G802,4),MID(Raw!G802,6,2),MID(Raw!G802,9,2))</f>
        <v>45700</v>
      </c>
      <c r="L802" s="30" t="n">
        <f aca="false">DATE(LEFT(Raw!H802,4),MID(Raw!H802,6,2),MID(Raw!H802,9,2))</f>
        <v>45704</v>
      </c>
      <c r="M802" s="30" t="n">
        <f aca="false">DATE(LEFT(Raw!I802,4),MID(Raw!I802,6,2),MID(Raw!I802,9,2))</f>
        <v>45708</v>
      </c>
      <c r="N802" s="31" t="n">
        <f aca="false">DATE(LEFT(Raw!J802,4),MID(Raw!J802,6,2),MID(Raw!J802,9,2))+TIME(MID(Raw!J802,12,2),MID(Raw!J802,15,2),MID(Raw!J802,18,2))</f>
        <v>45703.875</v>
      </c>
      <c r="O802" s="31" t="n">
        <f aca="false">DATE(LEFT(Raw!K802,4),MID(Raw!K802,6,2),MID(Raw!K802,9,2))+TIME(MID(Raw!K802,12,2),MID(Raw!K802,15,2),MID(Raw!K802,18,2))</f>
        <v>45710.6</v>
      </c>
      <c r="P802" s="32" t="n">
        <f aca="false">L802-K802</f>
        <v>4</v>
      </c>
      <c r="Q802" s="32" t="n">
        <f aca="false">M802-L802</f>
        <v>4</v>
      </c>
      <c r="R802" s="32" t="n">
        <f aca="false">O802-N802</f>
        <v>6.725</v>
      </c>
      <c r="S802" s="32" t="n">
        <f aca="false">Raw!L802</f>
        <v>2.6</v>
      </c>
      <c r="T802" s="32" t="n">
        <f aca="false">O802-M802</f>
        <v>2.6</v>
      </c>
      <c r="U802" s="0" t="str">
        <f aca="false">IF(ABS(T802-S802)&lt;0.01,"OK","MISMATCH")</f>
        <v>OK</v>
      </c>
      <c r="V802" s="33" t="n">
        <f aca="false">Raw!M802</f>
        <v>1</v>
      </c>
      <c r="W802" s="0" t="str">
        <f aca="false">IF((S802&gt;0)=(V802=1),"OK","MISMATCH")</f>
        <v>OK</v>
      </c>
      <c r="X802" s="0" t="str">
        <f aca="false">_xlfn.IFS(S802&lt;=0,"Early/On time",S802&lt;=2,"Minor (up to 2 days)",S802&lt;=5,"Moderate (2-5 days)",TRUE(),"Severe (over 5 days)")</f>
        <v>Moderate (2-5 days)</v>
      </c>
      <c r="Y802" s="0" t="str">
        <f aca="false">YEAR(K802)&amp;"-"&amp;TEXT(MONTH(K802),"00")</f>
        <v>2025-02</v>
      </c>
      <c r="Z802" s="0" t="str">
        <f aca="false">C802&amp;" → "&amp;D802</f>
        <v>Surat → Uttarakhand</v>
      </c>
      <c r="AA802" s="0" t="str">
        <f aca="false">Raw!Q802</f>
        <v>GATI Logistics</v>
      </c>
      <c r="AB802" s="0" t="str">
        <f aca="false">Raw!R802</f>
        <v>No</v>
      </c>
      <c r="AC802" s="0" t="str">
        <f aca="false">Raw!S802</f>
        <v>Expedited</v>
      </c>
      <c r="AD802" s="29" t="n">
        <f aca="false">Raw!N802</f>
        <v>11162.35</v>
      </c>
      <c r="AE802" s="29" t="n">
        <f aca="false">Raw!O802</f>
        <v>2058.6</v>
      </c>
      <c r="AF802" s="29" t="n">
        <f aca="false">Raw!P802</f>
        <v>1211.27</v>
      </c>
      <c r="AG802" s="29" t="n">
        <f aca="false">AD802/J802</f>
        <v>742.671324018629</v>
      </c>
    </row>
    <row r="803" customFormat="false" ht="15" hidden="false" customHeight="false" outlineLevel="0" collapsed="false">
      <c r="A803" s="0" t="str">
        <f aca="false">Raw!A803</f>
        <v>SHP0802</v>
      </c>
      <c r="B803" s="0" t="str">
        <f aca="false">Raw!B803</f>
        <v>Inbound</v>
      </c>
      <c r="C803" s="0" t="str">
        <f aca="false">Raw!C803</f>
        <v>Rajasthan</v>
      </c>
      <c r="D803" s="0" t="str">
        <f aca="false">Raw!D803</f>
        <v>Surat</v>
      </c>
      <c r="E803" s="0" t="str">
        <f aca="false">IFERROR(INDEX(Location_Map!$B$2:$B$15,MATCH(C803,Location_Map!$A$2:$A$15,0)),"UNMAPPED")</f>
        <v>Rajasthan</v>
      </c>
      <c r="F803" s="0" t="str">
        <f aca="false">IFERROR(INDEX(Location_Map!$C$2:$C$15,MATCH(C803,Location_Map!$A$2:$A$15,0)),"UNMAPPED")</f>
        <v>North</v>
      </c>
      <c r="G803" s="0" t="str">
        <f aca="false">IFERROR(INDEX(Location_Map!$B$2:$B$15,MATCH(D803,Location_Map!$A$2:$A$15,0)),"UNMAPPED")</f>
        <v>Gujarat</v>
      </c>
      <c r="H803" s="0" t="str">
        <f aca="false">IFERROR(INDEX(Location_Map!$C$2:$C$15,MATCH(D803,Location_Map!$A$2:$A$15,0)),"UNMAPPED")</f>
        <v>West</v>
      </c>
      <c r="I803" s="0" t="str">
        <f aca="false">Raw!E803</f>
        <v>Finished Yarn</v>
      </c>
      <c r="J803" s="28" t="n">
        <f aca="false">Raw!F803</f>
        <v>2.9</v>
      </c>
      <c r="K803" s="30" t="n">
        <f aca="false">DATE(LEFT(Raw!G803,4),MID(Raw!G803,6,2),MID(Raw!G803,9,2))</f>
        <v>45668</v>
      </c>
      <c r="L803" s="30" t="n">
        <f aca="false">DATE(LEFT(Raw!H803,4),MID(Raw!H803,6,2),MID(Raw!H803,9,2))</f>
        <v>45671</v>
      </c>
      <c r="M803" s="30" t="n">
        <f aca="false">DATE(LEFT(Raw!I803,4),MID(Raw!I803,6,2),MID(Raw!I803,9,2))</f>
        <v>45676</v>
      </c>
      <c r="N803" s="31" t="n">
        <f aca="false">DATE(LEFT(Raw!J803,4),MID(Raw!J803,6,2),MID(Raw!J803,9,2))+TIME(MID(Raw!J803,12,2),MID(Raw!J803,15,2),MID(Raw!J803,18,2))</f>
        <v>45671.0416666667</v>
      </c>
      <c r="O803" s="31" t="n">
        <f aca="false">DATE(LEFT(Raw!K803,4),MID(Raw!K803,6,2),MID(Raw!K803,9,2))+TIME(MID(Raw!K803,12,2),MID(Raw!K803,15,2),MID(Raw!K803,18,2))</f>
        <v>45679.4</v>
      </c>
      <c r="P803" s="32" t="n">
        <f aca="false">L803-K803</f>
        <v>3</v>
      </c>
      <c r="Q803" s="32" t="n">
        <f aca="false">M803-L803</f>
        <v>5</v>
      </c>
      <c r="R803" s="32" t="n">
        <f aca="false">O803-N803</f>
        <v>8.35833333333333</v>
      </c>
      <c r="S803" s="32" t="n">
        <f aca="false">Raw!L803</f>
        <v>3.4</v>
      </c>
      <c r="T803" s="32" t="n">
        <f aca="false">O803-M803</f>
        <v>3.4</v>
      </c>
      <c r="U803" s="0" t="str">
        <f aca="false">IF(ABS(T803-S803)&lt;0.01,"OK","MISMATCH")</f>
        <v>OK</v>
      </c>
      <c r="V803" s="33" t="n">
        <f aca="false">Raw!M803</f>
        <v>1</v>
      </c>
      <c r="W803" s="0" t="str">
        <f aca="false">IF((S803&gt;0)=(V803=1),"OK","MISMATCH")</f>
        <v>OK</v>
      </c>
      <c r="X803" s="0" t="str">
        <f aca="false">_xlfn.IFS(S803&lt;=0,"Early/On time",S803&lt;=2,"Minor (up to 2 days)",S803&lt;=5,"Moderate (2-5 days)",TRUE(),"Severe (over 5 days)")</f>
        <v>Moderate (2-5 days)</v>
      </c>
      <c r="Y803" s="0" t="str">
        <f aca="false">YEAR(K803)&amp;"-"&amp;TEXT(MONTH(K803),"00")</f>
        <v>2025-01</v>
      </c>
      <c r="Z803" s="0" t="str">
        <f aca="false">C803&amp;" → "&amp;D803</f>
        <v>Rajasthan → Surat</v>
      </c>
      <c r="AA803" s="0" t="str">
        <f aca="false">Raw!Q803</f>
        <v>BlueDart</v>
      </c>
      <c r="AB803" s="0" t="str">
        <f aca="false">Raw!R803</f>
        <v>Yes</v>
      </c>
      <c r="AC803" s="0" t="str">
        <f aca="false">Raw!S803</f>
        <v>Returned</v>
      </c>
      <c r="AD803" s="29" t="n">
        <f aca="false">Raw!N803</f>
        <v>1909.02</v>
      </c>
      <c r="AE803" s="29" t="n">
        <f aca="false">Raw!O803</f>
        <v>4048.13</v>
      </c>
      <c r="AF803" s="29" t="n">
        <f aca="false">Raw!P803</f>
        <v>1037.38</v>
      </c>
      <c r="AG803" s="29" t="n">
        <f aca="false">AD803/J803</f>
        <v>658.28275862069</v>
      </c>
    </row>
    <row r="804" customFormat="false" ht="15" hidden="false" customHeight="false" outlineLevel="0" collapsed="false">
      <c r="A804" s="0" t="str">
        <f aca="false">Raw!A804</f>
        <v>SHP0803</v>
      </c>
      <c r="B804" s="0" t="str">
        <f aca="false">Raw!B804</f>
        <v>Outbound</v>
      </c>
      <c r="C804" s="0" t="str">
        <f aca="false">Raw!C804</f>
        <v>Surat</v>
      </c>
      <c r="D804" s="0" t="str">
        <f aca="false">Raw!D804</f>
        <v>Jaipur</v>
      </c>
      <c r="E804" s="0" t="str">
        <f aca="false">IFERROR(INDEX(Location_Map!$B$2:$B$15,MATCH(C804,Location_Map!$A$2:$A$15,0)),"UNMAPPED")</f>
        <v>Gujarat</v>
      </c>
      <c r="F804" s="0" t="str">
        <f aca="false">IFERROR(INDEX(Location_Map!$C$2:$C$15,MATCH(C804,Location_Map!$A$2:$A$15,0)),"UNMAPPED")</f>
        <v>West</v>
      </c>
      <c r="G804" s="0" t="str">
        <f aca="false">IFERROR(INDEX(Location_Map!$B$2:$B$15,MATCH(D804,Location_Map!$A$2:$A$15,0)),"UNMAPPED")</f>
        <v>Rajasthan</v>
      </c>
      <c r="H804" s="0" t="str">
        <f aca="false">IFERROR(INDEX(Location_Map!$C$2:$C$15,MATCH(D804,Location_Map!$A$2:$A$15,0)),"UNMAPPED")</f>
        <v>North</v>
      </c>
      <c r="I804" s="0" t="str">
        <f aca="false">Raw!E804</f>
        <v>Semi-Processed Yarn</v>
      </c>
      <c r="J804" s="28" t="n">
        <f aca="false">Raw!F804</f>
        <v>16.97</v>
      </c>
      <c r="K804" s="30" t="n">
        <f aca="false">DATE(LEFT(Raw!G804,4),MID(Raw!G804,6,2),MID(Raw!G804,9,2))</f>
        <v>45668</v>
      </c>
      <c r="L804" s="30" t="n">
        <f aca="false">DATE(LEFT(Raw!H804,4),MID(Raw!H804,6,2),MID(Raw!H804,9,2))</f>
        <v>45670</v>
      </c>
      <c r="M804" s="30" t="n">
        <f aca="false">DATE(LEFT(Raw!I804,4),MID(Raw!I804,6,2),MID(Raw!I804,9,2))</f>
        <v>45675</v>
      </c>
      <c r="N804" s="31" t="n">
        <f aca="false">DATE(LEFT(Raw!J804,4),MID(Raw!J804,6,2),MID(Raw!J804,9,2))+TIME(MID(Raw!J804,12,2),MID(Raw!J804,15,2),MID(Raw!J804,18,2))</f>
        <v>45670.375</v>
      </c>
      <c r="O804" s="31" t="n">
        <f aca="false">DATE(LEFT(Raw!K804,4),MID(Raw!K804,6,2),MID(Raw!K804,9,2))+TIME(MID(Raw!K804,12,2),MID(Raw!K804,15,2),MID(Raw!K804,18,2))</f>
        <v>45678.8</v>
      </c>
      <c r="P804" s="32" t="n">
        <f aca="false">L804-K804</f>
        <v>2</v>
      </c>
      <c r="Q804" s="32" t="n">
        <f aca="false">M804-L804</f>
        <v>5</v>
      </c>
      <c r="R804" s="32" t="n">
        <f aca="false">O804-N804</f>
        <v>8.425</v>
      </c>
      <c r="S804" s="32" t="n">
        <f aca="false">Raw!L804</f>
        <v>3.8</v>
      </c>
      <c r="T804" s="32" t="n">
        <f aca="false">O804-M804</f>
        <v>3.8</v>
      </c>
      <c r="U804" s="0" t="str">
        <f aca="false">IF(ABS(T804-S804)&lt;0.01,"OK","MISMATCH")</f>
        <v>OK</v>
      </c>
      <c r="V804" s="33" t="n">
        <f aca="false">Raw!M804</f>
        <v>1</v>
      </c>
      <c r="W804" s="0" t="str">
        <f aca="false">IF((S804&gt;0)=(V804=1),"OK","MISMATCH")</f>
        <v>OK</v>
      </c>
      <c r="X804" s="0" t="str">
        <f aca="false">_xlfn.IFS(S804&lt;=0,"Early/On time",S804&lt;=2,"Minor (up to 2 days)",S804&lt;=5,"Moderate (2-5 days)",TRUE(),"Severe (over 5 days)")</f>
        <v>Moderate (2-5 days)</v>
      </c>
      <c r="Y804" s="0" t="str">
        <f aca="false">YEAR(K804)&amp;"-"&amp;TEXT(MONTH(K804),"00")</f>
        <v>2025-01</v>
      </c>
      <c r="Z804" s="0" t="str">
        <f aca="false">C804&amp;" → "&amp;D804</f>
        <v>Surat → Jaipur</v>
      </c>
      <c r="AA804" s="0" t="str">
        <f aca="false">Raw!Q804</f>
        <v>BlueDart</v>
      </c>
      <c r="AB804" s="0" t="str">
        <f aca="false">Raw!R804</f>
        <v>Yes</v>
      </c>
      <c r="AC804" s="0" t="str">
        <f aca="false">Raw!S804</f>
        <v>Returned</v>
      </c>
      <c r="AD804" s="29" t="n">
        <f aca="false">Raw!N804</f>
        <v>8847</v>
      </c>
      <c r="AE804" s="29" t="n">
        <f aca="false">Raw!O804</f>
        <v>4689.23</v>
      </c>
      <c r="AF804" s="29" t="n">
        <f aca="false">Raw!P804</f>
        <v>925.89</v>
      </c>
      <c r="AG804" s="29" t="n">
        <f aca="false">AD804/J804</f>
        <v>521.331761932823</v>
      </c>
    </row>
    <row r="805" customFormat="false" ht="15" hidden="false" customHeight="false" outlineLevel="0" collapsed="false">
      <c r="A805" s="0" t="str">
        <f aca="false">Raw!A805</f>
        <v>SHP0804</v>
      </c>
      <c r="B805" s="0" t="str">
        <f aca="false">Raw!B805</f>
        <v>Inbound</v>
      </c>
      <c r="C805" s="0" t="str">
        <f aca="false">Raw!C805</f>
        <v>Chennai</v>
      </c>
      <c r="D805" s="0" t="str">
        <f aca="false">Raw!D805</f>
        <v>Surat</v>
      </c>
      <c r="E805" s="0" t="str">
        <f aca="false">IFERROR(INDEX(Location_Map!$B$2:$B$15,MATCH(C805,Location_Map!$A$2:$A$15,0)),"UNMAPPED")</f>
        <v>Tamil Nadu</v>
      </c>
      <c r="F805" s="0" t="str">
        <f aca="false">IFERROR(INDEX(Location_Map!$C$2:$C$15,MATCH(C805,Location_Map!$A$2:$A$15,0)),"UNMAPPED")</f>
        <v>South</v>
      </c>
      <c r="G805" s="0" t="str">
        <f aca="false">IFERROR(INDEX(Location_Map!$B$2:$B$15,MATCH(D805,Location_Map!$A$2:$A$15,0)),"UNMAPPED")</f>
        <v>Gujarat</v>
      </c>
      <c r="H805" s="0" t="str">
        <f aca="false">IFERROR(INDEX(Location_Map!$C$2:$C$15,MATCH(D805,Location_Map!$A$2:$A$15,0)),"UNMAPPED")</f>
        <v>West</v>
      </c>
      <c r="I805" s="0" t="str">
        <f aca="false">Raw!E805</f>
        <v>Semi-Processed Yarn</v>
      </c>
      <c r="J805" s="28" t="n">
        <f aca="false">Raw!F805</f>
        <v>19.72</v>
      </c>
      <c r="K805" s="30" t="n">
        <f aca="false">DATE(LEFT(Raw!G805,4),MID(Raw!G805,6,2),MID(Raw!G805,9,2))</f>
        <v>45824</v>
      </c>
      <c r="L805" s="30" t="n">
        <f aca="false">DATE(LEFT(Raw!H805,4),MID(Raw!H805,6,2),MID(Raw!H805,9,2))</f>
        <v>45828</v>
      </c>
      <c r="M805" s="30" t="n">
        <f aca="false">DATE(LEFT(Raw!I805,4),MID(Raw!I805,6,2),MID(Raw!I805,9,2))</f>
        <v>45834</v>
      </c>
      <c r="N805" s="31" t="n">
        <f aca="false">DATE(LEFT(Raw!J805,4),MID(Raw!J805,6,2),MID(Raw!J805,9,2))+TIME(MID(Raw!J805,12,2),MID(Raw!J805,15,2),MID(Raw!J805,18,2))</f>
        <v>45827.8333333333</v>
      </c>
      <c r="O805" s="31" t="n">
        <f aca="false">DATE(LEFT(Raw!K805,4),MID(Raw!K805,6,2),MID(Raw!K805,9,2))+TIME(MID(Raw!K805,12,2),MID(Raw!K805,15,2),MID(Raw!K805,18,2))</f>
        <v>45833</v>
      </c>
      <c r="P805" s="32" t="n">
        <f aca="false">L805-K805</f>
        <v>4</v>
      </c>
      <c r="Q805" s="32" t="n">
        <f aca="false">M805-L805</f>
        <v>6</v>
      </c>
      <c r="R805" s="32" t="n">
        <f aca="false">O805-N805</f>
        <v>5.16666666666667</v>
      </c>
      <c r="S805" s="32" t="n">
        <f aca="false">Raw!L805</f>
        <v>-1</v>
      </c>
      <c r="T805" s="32" t="n">
        <f aca="false">O805-M805</f>
        <v>-1</v>
      </c>
      <c r="U805" s="0" t="str">
        <f aca="false">IF(ABS(T805-S805)&lt;0.01,"OK","MISMATCH")</f>
        <v>OK</v>
      </c>
      <c r="V805" s="33" t="n">
        <f aca="false">Raw!M805</f>
        <v>0</v>
      </c>
      <c r="W805" s="0" t="str">
        <f aca="false">IF((S805&gt;0)=(V805=1),"OK","MISMATCH")</f>
        <v>OK</v>
      </c>
      <c r="X805" s="0" t="str">
        <f aca="false">_xlfn.IFS(S805&lt;=0,"Early/On time",S805&lt;=2,"Minor (up to 2 days)",S805&lt;=5,"Moderate (2-5 days)",TRUE(),"Severe (over 5 days)")</f>
        <v>Early/On time</v>
      </c>
      <c r="Y805" s="0" t="str">
        <f aca="false">YEAR(K805)&amp;"-"&amp;TEXT(MONTH(K805),"00")</f>
        <v>2025-06</v>
      </c>
      <c r="Z805" s="0" t="str">
        <f aca="false">C805&amp;" → "&amp;D805</f>
        <v>Chennai → Surat</v>
      </c>
      <c r="AA805" s="0" t="str">
        <f aca="false">Raw!Q805</f>
        <v>VRL Cargo</v>
      </c>
      <c r="AB805" s="0" t="str">
        <f aca="false">Raw!R805</f>
        <v>Yes</v>
      </c>
      <c r="AC805" s="0" t="str">
        <f aca="false">Raw!S805</f>
        <v>Expedited</v>
      </c>
      <c r="AD805" s="29" t="n">
        <f aca="false">Raw!N805</f>
        <v>5004.76</v>
      </c>
      <c r="AE805" s="29" t="n">
        <f aca="false">Raw!O805</f>
        <v>2698.29</v>
      </c>
      <c r="AF805" s="29" t="n">
        <f aca="false">Raw!P805</f>
        <v>1433.68</v>
      </c>
      <c r="AG805" s="29" t="n">
        <f aca="false">AD805/J805</f>
        <v>253.79107505071</v>
      </c>
    </row>
    <row r="806" customFormat="false" ht="15" hidden="false" customHeight="false" outlineLevel="0" collapsed="false">
      <c r="A806" s="0" t="str">
        <f aca="false">Raw!A806</f>
        <v>SHP0805</v>
      </c>
      <c r="B806" s="0" t="str">
        <f aca="false">Raw!B806</f>
        <v>Outbound</v>
      </c>
      <c r="C806" s="0" t="str">
        <f aca="false">Raw!C806</f>
        <v>Surat</v>
      </c>
      <c r="D806" s="0" t="str">
        <f aca="false">Raw!D806</f>
        <v>Gujarat</v>
      </c>
      <c r="E806" s="0" t="str">
        <f aca="false">IFERROR(INDEX(Location_Map!$B$2:$B$15,MATCH(C806,Location_Map!$A$2:$A$15,0)),"UNMAPPED")</f>
        <v>Gujarat</v>
      </c>
      <c r="F806" s="0" t="str">
        <f aca="false">IFERROR(INDEX(Location_Map!$C$2:$C$15,MATCH(C806,Location_Map!$A$2:$A$15,0)),"UNMAPPED")</f>
        <v>West</v>
      </c>
      <c r="G806" s="0" t="str">
        <f aca="false">IFERROR(INDEX(Location_Map!$B$2:$B$15,MATCH(D806,Location_Map!$A$2:$A$15,0)),"UNMAPPED")</f>
        <v>Gujarat</v>
      </c>
      <c r="H806" s="0" t="str">
        <f aca="false">IFERROR(INDEX(Location_Map!$C$2:$C$15,MATCH(D806,Location_Map!$A$2:$A$15,0)),"UNMAPPED")</f>
        <v>West</v>
      </c>
      <c r="I806" s="0" t="str">
        <f aca="false">Raw!E806</f>
        <v>Raw Yarn</v>
      </c>
      <c r="J806" s="28" t="n">
        <f aca="false">Raw!F806</f>
        <v>11.31</v>
      </c>
      <c r="K806" s="30" t="n">
        <f aca="false">DATE(LEFT(Raw!G806,4),MID(Raw!G806,6,2),MID(Raw!G806,9,2))</f>
        <v>45816</v>
      </c>
      <c r="L806" s="30" t="n">
        <f aca="false">DATE(LEFT(Raw!H806,4),MID(Raw!H806,6,2),MID(Raw!H806,9,2))</f>
        <v>45817</v>
      </c>
      <c r="M806" s="30" t="n">
        <f aca="false">DATE(LEFT(Raw!I806,4),MID(Raw!I806,6,2),MID(Raw!I806,9,2))</f>
        <v>45819</v>
      </c>
      <c r="N806" s="31" t="n">
        <f aca="false">DATE(LEFT(Raw!J806,4),MID(Raw!J806,6,2),MID(Raw!J806,9,2))+TIME(MID(Raw!J806,12,2),MID(Raw!J806,15,2),MID(Raw!J806,18,2))</f>
        <v>45817.2083333333</v>
      </c>
      <c r="O806" s="31" t="n">
        <f aca="false">DATE(LEFT(Raw!K806,4),MID(Raw!K806,6,2),MID(Raw!K806,9,2))+TIME(MID(Raw!K806,12,2),MID(Raw!K806,15,2),MID(Raw!K806,18,2))</f>
        <v>45823.1</v>
      </c>
      <c r="P806" s="32" t="n">
        <f aca="false">L806-K806</f>
        <v>1</v>
      </c>
      <c r="Q806" s="32" t="n">
        <f aca="false">M806-L806</f>
        <v>2</v>
      </c>
      <c r="R806" s="32" t="n">
        <f aca="false">O806-N806</f>
        <v>5.89166666666667</v>
      </c>
      <c r="S806" s="32" t="n">
        <f aca="false">Raw!L806</f>
        <v>4.1</v>
      </c>
      <c r="T806" s="32" t="n">
        <f aca="false">O806-M806</f>
        <v>4.1</v>
      </c>
      <c r="U806" s="0" t="str">
        <f aca="false">IF(ABS(T806-S806)&lt;0.01,"OK","MISMATCH")</f>
        <v>OK</v>
      </c>
      <c r="V806" s="33" t="n">
        <f aca="false">Raw!M806</f>
        <v>1</v>
      </c>
      <c r="W806" s="0" t="str">
        <f aca="false">IF((S806&gt;0)=(V806=1),"OK","MISMATCH")</f>
        <v>OK</v>
      </c>
      <c r="X806" s="0" t="str">
        <f aca="false">_xlfn.IFS(S806&lt;=0,"Early/On time",S806&lt;=2,"Minor (up to 2 days)",S806&lt;=5,"Moderate (2-5 days)",TRUE(),"Severe (over 5 days)")</f>
        <v>Moderate (2-5 days)</v>
      </c>
      <c r="Y806" s="0" t="str">
        <f aca="false">YEAR(K806)&amp;"-"&amp;TEXT(MONTH(K806),"00")</f>
        <v>2025-06</v>
      </c>
      <c r="Z806" s="0" t="str">
        <f aca="false">C806&amp;" → "&amp;D806</f>
        <v>Surat → Gujarat</v>
      </c>
      <c r="AA806" s="0" t="str">
        <f aca="false">Raw!Q806</f>
        <v>VRL Cargo</v>
      </c>
      <c r="AB806" s="0" t="str">
        <f aca="false">Raw!R806</f>
        <v>Yes</v>
      </c>
      <c r="AC806" s="0" t="str">
        <f aca="false">Raw!S806</f>
        <v>Returned</v>
      </c>
      <c r="AD806" s="29" t="n">
        <f aca="false">Raw!N806</f>
        <v>6908.07</v>
      </c>
      <c r="AE806" s="29" t="n">
        <f aca="false">Raw!O806</f>
        <v>1650.06</v>
      </c>
      <c r="AF806" s="29" t="n">
        <f aca="false">Raw!P806</f>
        <v>1174.2</v>
      </c>
      <c r="AG806" s="29" t="n">
        <f aca="false">AD806/J806</f>
        <v>610.793103448276</v>
      </c>
    </row>
    <row r="807" customFormat="false" ht="15" hidden="false" customHeight="false" outlineLevel="0" collapsed="false">
      <c r="A807" s="0" t="str">
        <f aca="false">Raw!A807</f>
        <v>SHP0806</v>
      </c>
      <c r="B807" s="0" t="str">
        <f aca="false">Raw!B807</f>
        <v>Inbound</v>
      </c>
      <c r="C807" s="0" t="str">
        <f aca="false">Raw!C807</f>
        <v>Gujarat</v>
      </c>
      <c r="D807" s="0" t="str">
        <f aca="false">Raw!D807</f>
        <v>Surat</v>
      </c>
      <c r="E807" s="0" t="str">
        <f aca="false">IFERROR(INDEX(Location_Map!$B$2:$B$15,MATCH(C807,Location_Map!$A$2:$A$15,0)),"UNMAPPED")</f>
        <v>Gujarat</v>
      </c>
      <c r="F807" s="0" t="str">
        <f aca="false">IFERROR(INDEX(Location_Map!$C$2:$C$15,MATCH(C807,Location_Map!$A$2:$A$15,0)),"UNMAPPED")</f>
        <v>West</v>
      </c>
      <c r="G807" s="0" t="str">
        <f aca="false">IFERROR(INDEX(Location_Map!$B$2:$B$15,MATCH(D807,Location_Map!$A$2:$A$15,0)),"UNMAPPED")</f>
        <v>Gujarat</v>
      </c>
      <c r="H807" s="0" t="str">
        <f aca="false">IFERROR(INDEX(Location_Map!$C$2:$C$15,MATCH(D807,Location_Map!$A$2:$A$15,0)),"UNMAPPED")</f>
        <v>West</v>
      </c>
      <c r="I807" s="0" t="str">
        <f aca="false">Raw!E807</f>
        <v>Raw Yarn</v>
      </c>
      <c r="J807" s="28" t="n">
        <f aca="false">Raw!F807</f>
        <v>3.54</v>
      </c>
      <c r="K807" s="30" t="n">
        <f aca="false">DATE(LEFT(Raw!G807,4),MID(Raw!G807,6,2),MID(Raw!G807,9,2))</f>
        <v>45899</v>
      </c>
      <c r="L807" s="30" t="n">
        <f aca="false">DATE(LEFT(Raw!H807,4),MID(Raw!H807,6,2),MID(Raw!H807,9,2))</f>
        <v>45903</v>
      </c>
      <c r="M807" s="30" t="n">
        <f aca="false">DATE(LEFT(Raw!I807,4),MID(Raw!I807,6,2),MID(Raw!I807,9,2))</f>
        <v>45906</v>
      </c>
      <c r="N807" s="31" t="n">
        <f aca="false">DATE(LEFT(Raw!J807,4),MID(Raw!J807,6,2),MID(Raw!J807,9,2))+TIME(MID(Raw!J807,12,2),MID(Raw!J807,15,2),MID(Raw!J807,18,2))</f>
        <v>45903.125</v>
      </c>
      <c r="O807" s="31" t="n">
        <f aca="false">DATE(LEFT(Raw!K807,4),MID(Raw!K807,6,2),MID(Raw!K807,9,2))+TIME(MID(Raw!K807,12,2),MID(Raw!K807,15,2),MID(Raw!K807,18,2))</f>
        <v>45908.7</v>
      </c>
      <c r="P807" s="32" t="n">
        <f aca="false">L807-K807</f>
        <v>4</v>
      </c>
      <c r="Q807" s="32" t="n">
        <f aca="false">M807-L807</f>
        <v>3</v>
      </c>
      <c r="R807" s="32" t="n">
        <f aca="false">O807-N807</f>
        <v>5.575</v>
      </c>
      <c r="S807" s="32" t="n">
        <f aca="false">Raw!L807</f>
        <v>2.7</v>
      </c>
      <c r="T807" s="32" t="n">
        <f aca="false">O807-M807</f>
        <v>2.7</v>
      </c>
      <c r="U807" s="0" t="str">
        <f aca="false">IF(ABS(T807-S807)&lt;0.01,"OK","MISMATCH")</f>
        <v>OK</v>
      </c>
      <c r="V807" s="33" t="n">
        <f aca="false">Raw!M807</f>
        <v>1</v>
      </c>
      <c r="W807" s="0" t="str">
        <f aca="false">IF((S807&gt;0)=(V807=1),"OK","MISMATCH")</f>
        <v>OK</v>
      </c>
      <c r="X807" s="0" t="str">
        <f aca="false">_xlfn.IFS(S807&lt;=0,"Early/On time",S807&lt;=2,"Minor (up to 2 days)",S807&lt;=5,"Moderate (2-5 days)",TRUE(),"Severe (over 5 days)")</f>
        <v>Moderate (2-5 days)</v>
      </c>
      <c r="Y807" s="0" t="str">
        <f aca="false">YEAR(K807)&amp;"-"&amp;TEXT(MONTH(K807),"00")</f>
        <v>2025-08</v>
      </c>
      <c r="Z807" s="0" t="str">
        <f aca="false">C807&amp;" → "&amp;D807</f>
        <v>Gujarat → Surat</v>
      </c>
      <c r="AA807" s="0" t="str">
        <f aca="false">Raw!Q807</f>
        <v>GATI Logistics</v>
      </c>
      <c r="AB807" s="0" t="str">
        <f aca="false">Raw!R807</f>
        <v>No</v>
      </c>
      <c r="AC807" s="0" t="str">
        <f aca="false">Raw!S807</f>
        <v>Returned</v>
      </c>
      <c r="AD807" s="29" t="n">
        <f aca="false">Raw!N807</f>
        <v>1815.13</v>
      </c>
      <c r="AE807" s="29" t="n">
        <f aca="false">Raw!O807</f>
        <v>1054.93</v>
      </c>
      <c r="AF807" s="29" t="n">
        <f aca="false">Raw!P807</f>
        <v>1421.42</v>
      </c>
      <c r="AG807" s="29" t="n">
        <f aca="false">AD807/J807</f>
        <v>512.748587570622</v>
      </c>
    </row>
    <row r="808" customFormat="false" ht="15" hidden="false" customHeight="false" outlineLevel="0" collapsed="false">
      <c r="A808" s="0" t="str">
        <f aca="false">Raw!A808</f>
        <v>SHP0807</v>
      </c>
      <c r="B808" s="0" t="str">
        <f aca="false">Raw!B808</f>
        <v>Inbound</v>
      </c>
      <c r="C808" s="0" t="str">
        <f aca="false">Raw!C808</f>
        <v>Uttar Pradesh</v>
      </c>
      <c r="D808" s="0" t="str">
        <f aca="false">Raw!D808</f>
        <v>Surat</v>
      </c>
      <c r="E808" s="0" t="str">
        <f aca="false">IFERROR(INDEX(Location_Map!$B$2:$B$15,MATCH(C808,Location_Map!$A$2:$A$15,0)),"UNMAPPED")</f>
        <v>Uttar Pradesh</v>
      </c>
      <c r="F808" s="0" t="str">
        <f aca="false">IFERROR(INDEX(Location_Map!$C$2:$C$15,MATCH(C808,Location_Map!$A$2:$A$15,0)),"UNMAPPED")</f>
        <v>North</v>
      </c>
      <c r="G808" s="0" t="str">
        <f aca="false">IFERROR(INDEX(Location_Map!$B$2:$B$15,MATCH(D808,Location_Map!$A$2:$A$15,0)),"UNMAPPED")</f>
        <v>Gujarat</v>
      </c>
      <c r="H808" s="0" t="str">
        <f aca="false">IFERROR(INDEX(Location_Map!$C$2:$C$15,MATCH(D808,Location_Map!$A$2:$A$15,0)),"UNMAPPED")</f>
        <v>West</v>
      </c>
      <c r="I808" s="0" t="str">
        <f aca="false">Raw!E808</f>
        <v>Raw Yarn</v>
      </c>
      <c r="J808" s="28" t="n">
        <f aca="false">Raw!F808</f>
        <v>3.44</v>
      </c>
      <c r="K808" s="30" t="n">
        <f aca="false">DATE(LEFT(Raw!G808,4),MID(Raw!G808,6,2),MID(Raw!G808,9,2))</f>
        <v>45791</v>
      </c>
      <c r="L808" s="30" t="n">
        <f aca="false">DATE(LEFT(Raw!H808,4),MID(Raw!H808,6,2),MID(Raw!H808,9,2))</f>
        <v>45795</v>
      </c>
      <c r="M808" s="30" t="n">
        <f aca="false">DATE(LEFT(Raw!I808,4),MID(Raw!I808,6,2),MID(Raw!I808,9,2))</f>
        <v>45800</v>
      </c>
      <c r="N808" s="31" t="n">
        <f aca="false">DATE(LEFT(Raw!J808,4),MID(Raw!J808,6,2),MID(Raw!J808,9,2))+TIME(MID(Raw!J808,12,2),MID(Raw!J808,15,2),MID(Raw!J808,18,2))</f>
        <v>45795.3333333333</v>
      </c>
      <c r="O808" s="31" t="n">
        <f aca="false">DATE(LEFT(Raw!K808,4),MID(Raw!K808,6,2),MID(Raw!K808,9,2))+TIME(MID(Raw!K808,12,2),MID(Raw!K808,15,2),MID(Raw!K808,18,2))</f>
        <v>45810.1</v>
      </c>
      <c r="P808" s="32" t="n">
        <f aca="false">L808-K808</f>
        <v>4</v>
      </c>
      <c r="Q808" s="32" t="n">
        <f aca="false">M808-L808</f>
        <v>5</v>
      </c>
      <c r="R808" s="32" t="n">
        <f aca="false">O808-N808</f>
        <v>14.7666666666667</v>
      </c>
      <c r="S808" s="32" t="n">
        <f aca="false">Raw!L808</f>
        <v>10.1</v>
      </c>
      <c r="T808" s="32" t="n">
        <f aca="false">O808-M808</f>
        <v>10.1</v>
      </c>
      <c r="U808" s="0" t="str">
        <f aca="false">IF(ABS(T808-S808)&lt;0.01,"OK","MISMATCH")</f>
        <v>OK</v>
      </c>
      <c r="V808" s="33" t="n">
        <f aca="false">Raw!M808</f>
        <v>1</v>
      </c>
      <c r="W808" s="0" t="str">
        <f aca="false">IF((S808&gt;0)=(V808=1),"OK","MISMATCH")</f>
        <v>OK</v>
      </c>
      <c r="X808" s="0" t="str">
        <f aca="false">_xlfn.IFS(S808&lt;=0,"Early/On time",S808&lt;=2,"Minor (up to 2 days)",S808&lt;=5,"Moderate (2-5 days)",TRUE(),"Severe (over 5 days)")</f>
        <v>Severe (over 5 days)</v>
      </c>
      <c r="Y808" s="0" t="str">
        <f aca="false">YEAR(K808)&amp;"-"&amp;TEXT(MONTH(K808),"00")</f>
        <v>2025-05</v>
      </c>
      <c r="Z808" s="0" t="str">
        <f aca="false">C808&amp;" → "&amp;D808</f>
        <v>Uttar Pradesh → Surat</v>
      </c>
      <c r="AA808" s="0" t="str">
        <f aca="false">Raw!Q808</f>
        <v>TCI Express</v>
      </c>
      <c r="AB808" s="0" t="str">
        <f aca="false">Raw!R808</f>
        <v>No</v>
      </c>
      <c r="AC808" s="0" t="str">
        <f aca="false">Raw!S808</f>
        <v>Returned</v>
      </c>
      <c r="AD808" s="29" t="n">
        <f aca="false">Raw!N808</f>
        <v>2775.48</v>
      </c>
      <c r="AE808" s="29" t="n">
        <f aca="false">Raw!O808</f>
        <v>4567.28</v>
      </c>
      <c r="AF808" s="29" t="n">
        <f aca="false">Raw!P808</f>
        <v>696.44</v>
      </c>
      <c r="AG808" s="29" t="n">
        <f aca="false">AD808/J808</f>
        <v>806.825581395349</v>
      </c>
    </row>
    <row r="809" customFormat="false" ht="15" hidden="false" customHeight="false" outlineLevel="0" collapsed="false">
      <c r="A809" s="0" t="str">
        <f aca="false">Raw!A809</f>
        <v>SHP0808</v>
      </c>
      <c r="B809" s="0" t="str">
        <f aca="false">Raw!B809</f>
        <v>Inbound</v>
      </c>
      <c r="C809" s="0" t="str">
        <f aca="false">Raw!C809</f>
        <v>Uttar Pradesh</v>
      </c>
      <c r="D809" s="0" t="str">
        <f aca="false">Raw!D809</f>
        <v>Surat</v>
      </c>
      <c r="E809" s="0" t="str">
        <f aca="false">IFERROR(INDEX(Location_Map!$B$2:$B$15,MATCH(C809,Location_Map!$A$2:$A$15,0)),"UNMAPPED")</f>
        <v>Uttar Pradesh</v>
      </c>
      <c r="F809" s="0" t="str">
        <f aca="false">IFERROR(INDEX(Location_Map!$C$2:$C$15,MATCH(C809,Location_Map!$A$2:$A$15,0)),"UNMAPPED")</f>
        <v>North</v>
      </c>
      <c r="G809" s="0" t="str">
        <f aca="false">IFERROR(INDEX(Location_Map!$B$2:$B$15,MATCH(D809,Location_Map!$A$2:$A$15,0)),"UNMAPPED")</f>
        <v>Gujarat</v>
      </c>
      <c r="H809" s="0" t="str">
        <f aca="false">IFERROR(INDEX(Location_Map!$C$2:$C$15,MATCH(D809,Location_Map!$A$2:$A$15,0)),"UNMAPPED")</f>
        <v>West</v>
      </c>
      <c r="I809" s="0" t="str">
        <f aca="false">Raw!E809</f>
        <v>Semi-Processed Yarn</v>
      </c>
      <c r="J809" s="28" t="n">
        <f aca="false">Raw!F809</f>
        <v>12.66</v>
      </c>
      <c r="K809" s="30" t="n">
        <f aca="false">DATE(LEFT(Raw!G809,4),MID(Raw!G809,6,2),MID(Raw!G809,9,2))</f>
        <v>45684</v>
      </c>
      <c r="L809" s="30" t="n">
        <f aca="false">DATE(LEFT(Raw!H809,4),MID(Raw!H809,6,2),MID(Raw!H809,9,2))</f>
        <v>45686</v>
      </c>
      <c r="M809" s="30" t="n">
        <f aca="false">DATE(LEFT(Raw!I809,4),MID(Raw!I809,6,2),MID(Raw!I809,9,2))</f>
        <v>45691</v>
      </c>
      <c r="N809" s="31" t="n">
        <f aca="false">DATE(LEFT(Raw!J809,4),MID(Raw!J809,6,2),MID(Raw!J809,9,2))+TIME(MID(Raw!J809,12,2),MID(Raw!J809,15,2),MID(Raw!J809,18,2))</f>
        <v>45686.2916666667</v>
      </c>
      <c r="O809" s="31" t="n">
        <f aca="false">DATE(LEFT(Raw!K809,4),MID(Raw!K809,6,2),MID(Raw!K809,9,2))+TIME(MID(Raw!K809,12,2),MID(Raw!K809,15,2),MID(Raw!K809,18,2))</f>
        <v>45695.4</v>
      </c>
      <c r="P809" s="32" t="n">
        <f aca="false">L809-K809</f>
        <v>2</v>
      </c>
      <c r="Q809" s="32" t="n">
        <f aca="false">M809-L809</f>
        <v>5</v>
      </c>
      <c r="R809" s="32" t="n">
        <f aca="false">O809-N809</f>
        <v>9.10833333333333</v>
      </c>
      <c r="S809" s="32" t="n">
        <f aca="false">Raw!L809</f>
        <v>4.4</v>
      </c>
      <c r="T809" s="32" t="n">
        <f aca="false">O809-M809</f>
        <v>4.4</v>
      </c>
      <c r="U809" s="0" t="str">
        <f aca="false">IF(ABS(T809-S809)&lt;0.01,"OK","MISMATCH")</f>
        <v>OK</v>
      </c>
      <c r="V809" s="33" t="n">
        <f aca="false">Raw!M809</f>
        <v>1</v>
      </c>
      <c r="W809" s="0" t="str">
        <f aca="false">IF((S809&gt;0)=(V809=1),"OK","MISMATCH")</f>
        <v>OK</v>
      </c>
      <c r="X809" s="0" t="str">
        <f aca="false">_xlfn.IFS(S809&lt;=0,"Early/On time",S809&lt;=2,"Minor (up to 2 days)",S809&lt;=5,"Moderate (2-5 days)",TRUE(),"Severe (over 5 days)")</f>
        <v>Moderate (2-5 days)</v>
      </c>
      <c r="Y809" s="0" t="str">
        <f aca="false">YEAR(K809)&amp;"-"&amp;TEXT(MONTH(K809),"00")</f>
        <v>2025-01</v>
      </c>
      <c r="Z809" s="0" t="str">
        <f aca="false">C809&amp;" → "&amp;D809</f>
        <v>Uttar Pradesh → Surat</v>
      </c>
      <c r="AA809" s="0" t="str">
        <f aca="false">Raw!Q809</f>
        <v>TCI Express</v>
      </c>
      <c r="AB809" s="0" t="str">
        <f aca="false">Raw!R809</f>
        <v>Yes</v>
      </c>
      <c r="AC809" s="0" t="str">
        <f aca="false">Raw!S809</f>
        <v>Returned</v>
      </c>
      <c r="AD809" s="29" t="n">
        <f aca="false">Raw!N809</f>
        <v>7468.89</v>
      </c>
      <c r="AE809" s="29" t="n">
        <f aca="false">Raw!O809</f>
        <v>2130.16</v>
      </c>
      <c r="AF809" s="29" t="n">
        <f aca="false">Raw!P809</f>
        <v>878.02</v>
      </c>
      <c r="AG809" s="29" t="n">
        <f aca="false">AD809/J809</f>
        <v>589.959715639811</v>
      </c>
    </row>
    <row r="810" customFormat="false" ht="15" hidden="false" customHeight="false" outlineLevel="0" collapsed="false">
      <c r="A810" s="0" t="str">
        <f aca="false">Raw!A810</f>
        <v>SHP0809</v>
      </c>
      <c r="B810" s="0" t="str">
        <f aca="false">Raw!B810</f>
        <v>Inbound</v>
      </c>
      <c r="C810" s="0" t="str">
        <f aca="false">Raw!C810</f>
        <v>Chennai</v>
      </c>
      <c r="D810" s="0" t="str">
        <f aca="false">Raw!D810</f>
        <v>Surat</v>
      </c>
      <c r="E810" s="0" t="str">
        <f aca="false">IFERROR(INDEX(Location_Map!$B$2:$B$15,MATCH(C810,Location_Map!$A$2:$A$15,0)),"UNMAPPED")</f>
        <v>Tamil Nadu</v>
      </c>
      <c r="F810" s="0" t="str">
        <f aca="false">IFERROR(INDEX(Location_Map!$C$2:$C$15,MATCH(C810,Location_Map!$A$2:$A$15,0)),"UNMAPPED")</f>
        <v>South</v>
      </c>
      <c r="G810" s="0" t="str">
        <f aca="false">IFERROR(INDEX(Location_Map!$B$2:$B$15,MATCH(D810,Location_Map!$A$2:$A$15,0)),"UNMAPPED")</f>
        <v>Gujarat</v>
      </c>
      <c r="H810" s="0" t="str">
        <f aca="false">IFERROR(INDEX(Location_Map!$C$2:$C$15,MATCH(D810,Location_Map!$A$2:$A$15,0)),"UNMAPPED")</f>
        <v>West</v>
      </c>
      <c r="I810" s="0" t="str">
        <f aca="false">Raw!E810</f>
        <v>Finished Yarn</v>
      </c>
      <c r="J810" s="28" t="n">
        <f aca="false">Raw!F810</f>
        <v>2.96</v>
      </c>
      <c r="K810" s="30" t="n">
        <f aca="false">DATE(LEFT(Raw!G810,4),MID(Raw!G810,6,2),MID(Raw!G810,9,2))</f>
        <v>45873</v>
      </c>
      <c r="L810" s="30" t="n">
        <f aca="false">DATE(LEFT(Raw!H810,4),MID(Raw!H810,6,2),MID(Raw!H810,9,2))</f>
        <v>45876</v>
      </c>
      <c r="M810" s="30" t="n">
        <f aca="false">DATE(LEFT(Raw!I810,4),MID(Raw!I810,6,2),MID(Raw!I810,9,2))</f>
        <v>45882</v>
      </c>
      <c r="N810" s="31" t="n">
        <f aca="false">DATE(LEFT(Raw!J810,4),MID(Raw!J810,6,2),MID(Raw!J810,9,2))+TIME(MID(Raw!J810,12,2),MID(Raw!J810,15,2),MID(Raw!J810,18,2))</f>
        <v>45875.9583333333</v>
      </c>
      <c r="O810" s="31" t="n">
        <f aca="false">DATE(LEFT(Raw!K810,4),MID(Raw!K810,6,2),MID(Raw!K810,9,2))+TIME(MID(Raw!K810,12,2),MID(Raw!K810,15,2),MID(Raw!K810,18,2))</f>
        <v>45882.7</v>
      </c>
      <c r="P810" s="32" t="n">
        <f aca="false">L810-K810</f>
        <v>3</v>
      </c>
      <c r="Q810" s="32" t="n">
        <f aca="false">M810-L810</f>
        <v>6</v>
      </c>
      <c r="R810" s="32" t="n">
        <f aca="false">O810-N810</f>
        <v>6.74166666666667</v>
      </c>
      <c r="S810" s="32" t="n">
        <f aca="false">Raw!L810</f>
        <v>0.7</v>
      </c>
      <c r="T810" s="32" t="n">
        <f aca="false">O810-M810</f>
        <v>0.7</v>
      </c>
      <c r="U810" s="0" t="str">
        <f aca="false">IF(ABS(T810-S810)&lt;0.01,"OK","MISMATCH")</f>
        <v>OK</v>
      </c>
      <c r="V810" s="33" t="n">
        <f aca="false">Raw!M810</f>
        <v>1</v>
      </c>
      <c r="W810" s="0" t="str">
        <f aca="false">IF((S810&gt;0)=(V810=1),"OK","MISMATCH")</f>
        <v>OK</v>
      </c>
      <c r="X810" s="0" t="str">
        <f aca="false">_xlfn.IFS(S810&lt;=0,"Early/On time",S810&lt;=2,"Minor (up to 2 days)",S810&lt;=5,"Moderate (2-5 days)",TRUE(),"Severe (over 5 days)")</f>
        <v>Minor (up to 2 days)</v>
      </c>
      <c r="Y810" s="0" t="str">
        <f aca="false">YEAR(K810)&amp;"-"&amp;TEXT(MONTH(K810),"00")</f>
        <v>2025-08</v>
      </c>
      <c r="Z810" s="0" t="str">
        <f aca="false">C810&amp;" → "&amp;D810</f>
        <v>Chennai → Surat</v>
      </c>
      <c r="AA810" s="0" t="str">
        <f aca="false">Raw!Q810</f>
        <v>VRL Cargo</v>
      </c>
      <c r="AB810" s="0" t="str">
        <f aca="false">Raw!R810</f>
        <v>Yes</v>
      </c>
      <c r="AC810" s="0" t="str">
        <f aca="false">Raw!S810</f>
        <v>Returned</v>
      </c>
      <c r="AD810" s="29" t="n">
        <f aca="false">Raw!N810</f>
        <v>1545.06</v>
      </c>
      <c r="AE810" s="29" t="n">
        <f aca="false">Raw!O810</f>
        <v>2364.19</v>
      </c>
      <c r="AF810" s="29" t="n">
        <f aca="false">Raw!P810</f>
        <v>1303.3</v>
      </c>
      <c r="AG810" s="29" t="n">
        <f aca="false">AD810/J810</f>
        <v>521.97972972973</v>
      </c>
    </row>
    <row r="811" customFormat="false" ht="15" hidden="false" customHeight="false" outlineLevel="0" collapsed="false">
      <c r="A811" s="0" t="str">
        <f aca="false">Raw!A811</f>
        <v>SHP0810</v>
      </c>
      <c r="B811" s="0" t="str">
        <f aca="false">Raw!B811</f>
        <v>Outbound</v>
      </c>
      <c r="C811" s="0" t="str">
        <f aca="false">Raw!C811</f>
        <v>Surat</v>
      </c>
      <c r="D811" s="0" t="str">
        <f aca="false">Raw!D811</f>
        <v>Jaipur</v>
      </c>
      <c r="E811" s="0" t="str">
        <f aca="false">IFERROR(INDEX(Location_Map!$B$2:$B$15,MATCH(C811,Location_Map!$A$2:$A$15,0)),"UNMAPPED")</f>
        <v>Gujarat</v>
      </c>
      <c r="F811" s="0" t="str">
        <f aca="false">IFERROR(INDEX(Location_Map!$C$2:$C$15,MATCH(C811,Location_Map!$A$2:$A$15,0)),"UNMAPPED")</f>
        <v>West</v>
      </c>
      <c r="G811" s="0" t="str">
        <f aca="false">IFERROR(INDEX(Location_Map!$B$2:$B$15,MATCH(D811,Location_Map!$A$2:$A$15,0)),"UNMAPPED")</f>
        <v>Rajasthan</v>
      </c>
      <c r="H811" s="0" t="str">
        <f aca="false">IFERROR(INDEX(Location_Map!$C$2:$C$15,MATCH(D811,Location_Map!$A$2:$A$15,0)),"UNMAPPED")</f>
        <v>North</v>
      </c>
      <c r="I811" s="0" t="str">
        <f aca="false">Raw!E811</f>
        <v>Finished Yarn</v>
      </c>
      <c r="J811" s="28" t="n">
        <f aca="false">Raw!F811</f>
        <v>18.05</v>
      </c>
      <c r="K811" s="30" t="n">
        <f aca="false">DATE(LEFT(Raw!G811,4),MID(Raw!G811,6,2),MID(Raw!G811,9,2))</f>
        <v>45813</v>
      </c>
      <c r="L811" s="30" t="n">
        <f aca="false">DATE(LEFT(Raw!H811,4),MID(Raw!H811,6,2),MID(Raw!H811,9,2))</f>
        <v>45815</v>
      </c>
      <c r="M811" s="30" t="n">
        <f aca="false">DATE(LEFT(Raw!I811,4),MID(Raw!I811,6,2),MID(Raw!I811,9,2))</f>
        <v>45820</v>
      </c>
      <c r="N811" s="31" t="n">
        <f aca="false">DATE(LEFT(Raw!J811,4),MID(Raw!J811,6,2),MID(Raw!J811,9,2))+TIME(MID(Raw!J811,12,2),MID(Raw!J811,15,2),MID(Raw!J811,18,2))</f>
        <v>45815.125</v>
      </c>
      <c r="O811" s="31" t="n">
        <f aca="false">DATE(LEFT(Raw!K811,4),MID(Raw!K811,6,2),MID(Raw!K811,9,2))+TIME(MID(Raw!K811,12,2),MID(Raw!K811,15,2),MID(Raw!K811,18,2))</f>
        <v>45824.3</v>
      </c>
      <c r="P811" s="32" t="n">
        <f aca="false">L811-K811</f>
        <v>2</v>
      </c>
      <c r="Q811" s="32" t="n">
        <f aca="false">M811-L811</f>
        <v>5</v>
      </c>
      <c r="R811" s="32" t="n">
        <f aca="false">O811-N811</f>
        <v>9.175</v>
      </c>
      <c r="S811" s="32" t="n">
        <f aca="false">Raw!L811</f>
        <v>4.3</v>
      </c>
      <c r="T811" s="32" t="n">
        <f aca="false">O811-M811</f>
        <v>4.3</v>
      </c>
      <c r="U811" s="0" t="str">
        <f aca="false">IF(ABS(T811-S811)&lt;0.01,"OK","MISMATCH")</f>
        <v>OK</v>
      </c>
      <c r="V811" s="33" t="n">
        <f aca="false">Raw!M811</f>
        <v>1</v>
      </c>
      <c r="W811" s="0" t="str">
        <f aca="false">IF((S811&gt;0)=(V811=1),"OK","MISMATCH")</f>
        <v>OK</v>
      </c>
      <c r="X811" s="0" t="str">
        <f aca="false">_xlfn.IFS(S811&lt;=0,"Early/On time",S811&lt;=2,"Minor (up to 2 days)",S811&lt;=5,"Moderate (2-5 days)",TRUE(),"Severe (over 5 days)")</f>
        <v>Moderate (2-5 days)</v>
      </c>
      <c r="Y811" s="0" t="str">
        <f aca="false">YEAR(K811)&amp;"-"&amp;TEXT(MONTH(K811),"00")</f>
        <v>2025-06</v>
      </c>
      <c r="Z811" s="0" t="str">
        <f aca="false">C811&amp;" → "&amp;D811</f>
        <v>Surat → Jaipur</v>
      </c>
      <c r="AA811" s="0" t="str">
        <f aca="false">Raw!Q811</f>
        <v>GATI Logistics</v>
      </c>
      <c r="AB811" s="0" t="str">
        <f aca="false">Raw!R811</f>
        <v>No</v>
      </c>
      <c r="AC811" s="0" t="str">
        <f aca="false">Raw!S811</f>
        <v>Damaged</v>
      </c>
      <c r="AD811" s="29" t="n">
        <f aca="false">Raw!N811</f>
        <v>8073.45</v>
      </c>
      <c r="AE811" s="29" t="n">
        <f aca="false">Raw!O811</f>
        <v>2174.53</v>
      </c>
      <c r="AF811" s="29" t="n">
        <f aca="false">Raw!P811</f>
        <v>899.6</v>
      </c>
      <c r="AG811" s="29" t="n">
        <f aca="false">AD811/J811</f>
        <v>447.282548476454</v>
      </c>
    </row>
    <row r="812" customFormat="false" ht="15" hidden="false" customHeight="false" outlineLevel="0" collapsed="false">
      <c r="A812" s="0" t="str">
        <f aca="false">Raw!A812</f>
        <v>SHP0811</v>
      </c>
      <c r="B812" s="0" t="str">
        <f aca="false">Raw!B812</f>
        <v>Outbound</v>
      </c>
      <c r="C812" s="0" t="str">
        <f aca="false">Raw!C812</f>
        <v>Surat</v>
      </c>
      <c r="D812" s="0" t="str">
        <f aca="false">Raw!D812</f>
        <v>Assam</v>
      </c>
      <c r="E812" s="0" t="str">
        <f aca="false">IFERROR(INDEX(Location_Map!$B$2:$B$15,MATCH(C812,Location_Map!$A$2:$A$15,0)),"UNMAPPED")</f>
        <v>Gujarat</v>
      </c>
      <c r="F812" s="0" t="str">
        <f aca="false">IFERROR(INDEX(Location_Map!$C$2:$C$15,MATCH(C812,Location_Map!$A$2:$A$15,0)),"UNMAPPED")</f>
        <v>West</v>
      </c>
      <c r="G812" s="0" t="str">
        <f aca="false">IFERROR(INDEX(Location_Map!$B$2:$B$15,MATCH(D812,Location_Map!$A$2:$A$15,0)),"UNMAPPED")</f>
        <v>Assam</v>
      </c>
      <c r="H812" s="0" t="str">
        <f aca="false">IFERROR(INDEX(Location_Map!$C$2:$C$15,MATCH(D812,Location_Map!$A$2:$A$15,0)),"UNMAPPED")</f>
        <v>North-East</v>
      </c>
      <c r="I812" s="0" t="str">
        <f aca="false">Raw!E812</f>
        <v>Semi-Processed Yarn</v>
      </c>
      <c r="J812" s="28" t="n">
        <f aca="false">Raw!F812</f>
        <v>17.2</v>
      </c>
      <c r="K812" s="30" t="n">
        <f aca="false">DATE(LEFT(Raw!G812,4),MID(Raw!G812,6,2),MID(Raw!G812,9,2))</f>
        <v>45808</v>
      </c>
      <c r="L812" s="30" t="n">
        <f aca="false">DATE(LEFT(Raw!H812,4),MID(Raw!H812,6,2),MID(Raw!H812,9,2))</f>
        <v>45811</v>
      </c>
      <c r="M812" s="30" t="n">
        <f aca="false">DATE(LEFT(Raw!I812,4),MID(Raw!I812,6,2),MID(Raw!I812,9,2))</f>
        <v>45815</v>
      </c>
      <c r="N812" s="31" t="n">
        <f aca="false">DATE(LEFT(Raw!J812,4),MID(Raw!J812,6,2),MID(Raw!J812,9,2))+TIME(MID(Raw!J812,12,2),MID(Raw!J812,15,2),MID(Raw!J812,18,2))</f>
        <v>45810.9166666667</v>
      </c>
      <c r="O812" s="31" t="n">
        <f aca="false">DATE(LEFT(Raw!K812,4),MID(Raw!K812,6,2),MID(Raw!K812,9,2))+TIME(MID(Raw!K812,12,2),MID(Raw!K812,15,2),MID(Raw!K812,18,2))</f>
        <v>45814</v>
      </c>
      <c r="P812" s="32" t="n">
        <f aca="false">L812-K812</f>
        <v>3</v>
      </c>
      <c r="Q812" s="32" t="n">
        <f aca="false">M812-L812</f>
        <v>4</v>
      </c>
      <c r="R812" s="32" t="n">
        <f aca="false">O812-N812</f>
        <v>3.08333333333333</v>
      </c>
      <c r="S812" s="32" t="n">
        <f aca="false">Raw!L812</f>
        <v>-1</v>
      </c>
      <c r="T812" s="32" t="n">
        <f aca="false">O812-M812</f>
        <v>-1</v>
      </c>
      <c r="U812" s="0" t="str">
        <f aca="false">IF(ABS(T812-S812)&lt;0.01,"OK","MISMATCH")</f>
        <v>OK</v>
      </c>
      <c r="V812" s="33" t="n">
        <f aca="false">Raw!M812</f>
        <v>0</v>
      </c>
      <c r="W812" s="0" t="str">
        <f aca="false">IF((S812&gt;0)=(V812=1),"OK","MISMATCH")</f>
        <v>OK</v>
      </c>
      <c r="X812" s="0" t="str">
        <f aca="false">_xlfn.IFS(S812&lt;=0,"Early/On time",S812&lt;=2,"Minor (up to 2 days)",S812&lt;=5,"Moderate (2-5 days)",TRUE(),"Severe (over 5 days)")</f>
        <v>Early/On time</v>
      </c>
      <c r="Y812" s="0" t="str">
        <f aca="false">YEAR(K812)&amp;"-"&amp;TEXT(MONTH(K812),"00")</f>
        <v>2025-05</v>
      </c>
      <c r="Z812" s="0" t="str">
        <f aca="false">C812&amp;" → "&amp;D812</f>
        <v>Surat → Assam</v>
      </c>
      <c r="AA812" s="0" t="str">
        <f aca="false">Raw!Q812</f>
        <v>GATI Logistics</v>
      </c>
      <c r="AB812" s="0" t="str">
        <f aca="false">Raw!R812</f>
        <v>No</v>
      </c>
      <c r="AC812" s="0" t="str">
        <f aca="false">Raw!S812</f>
        <v>Held at warehouse</v>
      </c>
      <c r="AD812" s="29" t="n">
        <f aca="false">Raw!N812</f>
        <v>10982.44</v>
      </c>
      <c r="AE812" s="29" t="n">
        <f aca="false">Raw!O812</f>
        <v>1813.65</v>
      </c>
      <c r="AF812" s="29" t="n">
        <f aca="false">Raw!P812</f>
        <v>646.89</v>
      </c>
      <c r="AG812" s="29" t="n">
        <f aca="false">AD812/J812</f>
        <v>638.513953488372</v>
      </c>
    </row>
    <row r="813" customFormat="false" ht="15" hidden="false" customHeight="false" outlineLevel="0" collapsed="false">
      <c r="A813" s="0" t="str">
        <f aca="false">Raw!A813</f>
        <v>SHP0812</v>
      </c>
      <c r="B813" s="0" t="str">
        <f aca="false">Raw!B813</f>
        <v>Outbound</v>
      </c>
      <c r="C813" s="0" t="str">
        <f aca="false">Raw!C813</f>
        <v>Surat</v>
      </c>
      <c r="D813" s="0" t="str">
        <f aca="false">Raw!D813</f>
        <v>Mumbai</v>
      </c>
      <c r="E813" s="0" t="str">
        <f aca="false">IFERROR(INDEX(Location_Map!$B$2:$B$15,MATCH(C813,Location_Map!$A$2:$A$15,0)),"UNMAPPED")</f>
        <v>Gujarat</v>
      </c>
      <c r="F813" s="0" t="str">
        <f aca="false">IFERROR(INDEX(Location_Map!$C$2:$C$15,MATCH(C813,Location_Map!$A$2:$A$15,0)),"UNMAPPED")</f>
        <v>West</v>
      </c>
      <c r="G813" s="0" t="str">
        <f aca="false">IFERROR(INDEX(Location_Map!$B$2:$B$15,MATCH(D813,Location_Map!$A$2:$A$15,0)),"UNMAPPED")</f>
        <v>Maharashtra</v>
      </c>
      <c r="H813" s="0" t="str">
        <f aca="false">IFERROR(INDEX(Location_Map!$C$2:$C$15,MATCH(D813,Location_Map!$A$2:$A$15,0)),"UNMAPPED")</f>
        <v>West</v>
      </c>
      <c r="I813" s="0" t="str">
        <f aca="false">Raw!E813</f>
        <v>Finished Yarn</v>
      </c>
      <c r="J813" s="28" t="n">
        <f aca="false">Raw!F813</f>
        <v>17.26</v>
      </c>
      <c r="K813" s="30" t="n">
        <f aca="false">DATE(LEFT(Raw!G813,4),MID(Raw!G813,6,2),MID(Raw!G813,9,2))</f>
        <v>45862</v>
      </c>
      <c r="L813" s="30" t="n">
        <f aca="false">DATE(LEFT(Raw!H813,4),MID(Raw!H813,6,2),MID(Raw!H813,9,2))</f>
        <v>45863</v>
      </c>
      <c r="M813" s="30" t="n">
        <f aca="false">DATE(LEFT(Raw!I813,4),MID(Raw!I813,6,2),MID(Raw!I813,9,2))</f>
        <v>45865</v>
      </c>
      <c r="N813" s="31" t="n">
        <f aca="false">DATE(LEFT(Raw!J813,4),MID(Raw!J813,6,2),MID(Raw!J813,9,2))+TIME(MID(Raw!J813,12,2),MID(Raw!J813,15,2),MID(Raw!J813,18,2))</f>
        <v>45863.375</v>
      </c>
      <c r="O813" s="31" t="n">
        <f aca="false">DATE(LEFT(Raw!K813,4),MID(Raw!K813,6,2),MID(Raw!K813,9,2))+TIME(MID(Raw!K813,12,2),MID(Raw!K813,15,2),MID(Raw!K813,18,2))</f>
        <v>45867.8</v>
      </c>
      <c r="P813" s="32" t="n">
        <f aca="false">L813-K813</f>
        <v>1</v>
      </c>
      <c r="Q813" s="32" t="n">
        <f aca="false">M813-L813</f>
        <v>2</v>
      </c>
      <c r="R813" s="32" t="n">
        <f aca="false">O813-N813</f>
        <v>4.425</v>
      </c>
      <c r="S813" s="32" t="n">
        <f aca="false">Raw!L813</f>
        <v>2.8</v>
      </c>
      <c r="T813" s="32" t="n">
        <f aca="false">O813-M813</f>
        <v>2.8</v>
      </c>
      <c r="U813" s="0" t="str">
        <f aca="false">IF(ABS(T813-S813)&lt;0.01,"OK","MISMATCH")</f>
        <v>OK</v>
      </c>
      <c r="V813" s="33" t="n">
        <f aca="false">Raw!M813</f>
        <v>1</v>
      </c>
      <c r="W813" s="0" t="str">
        <f aca="false">IF((S813&gt;0)=(V813=1),"OK","MISMATCH")</f>
        <v>OK</v>
      </c>
      <c r="X813" s="0" t="str">
        <f aca="false">_xlfn.IFS(S813&lt;=0,"Early/On time",S813&lt;=2,"Minor (up to 2 days)",S813&lt;=5,"Moderate (2-5 days)",TRUE(),"Severe (over 5 days)")</f>
        <v>Moderate (2-5 days)</v>
      </c>
      <c r="Y813" s="0" t="str">
        <f aca="false">YEAR(K813)&amp;"-"&amp;TEXT(MONTH(K813),"00")</f>
        <v>2025-07</v>
      </c>
      <c r="Z813" s="0" t="str">
        <f aca="false">C813&amp;" → "&amp;D813</f>
        <v>Surat → Mumbai</v>
      </c>
      <c r="AA813" s="0" t="str">
        <f aca="false">Raw!Q813</f>
        <v>VRL Cargo</v>
      </c>
      <c r="AB813" s="0" t="str">
        <f aca="false">Raw!R813</f>
        <v>No</v>
      </c>
      <c r="AC813" s="0" t="str">
        <f aca="false">Raw!S813</f>
        <v>Returned</v>
      </c>
      <c r="AD813" s="29" t="n">
        <f aca="false">Raw!N813</f>
        <v>7585.12</v>
      </c>
      <c r="AE813" s="29" t="n">
        <f aca="false">Raw!O813</f>
        <v>2260.87</v>
      </c>
      <c r="AF813" s="29" t="n">
        <f aca="false">Raw!P813</f>
        <v>615.3</v>
      </c>
      <c r="AG813" s="29" t="n">
        <f aca="false">AD813/J813</f>
        <v>439.462340672074</v>
      </c>
    </row>
    <row r="814" customFormat="false" ht="15" hidden="false" customHeight="false" outlineLevel="0" collapsed="false">
      <c r="A814" s="0" t="str">
        <f aca="false">Raw!A814</f>
        <v>SHP0813</v>
      </c>
      <c r="B814" s="0" t="str">
        <f aca="false">Raw!B814</f>
        <v>Inbound</v>
      </c>
      <c r="C814" s="0" t="str">
        <f aca="false">Raw!C814</f>
        <v>Punjab</v>
      </c>
      <c r="D814" s="0" t="str">
        <f aca="false">Raw!D814</f>
        <v>Surat</v>
      </c>
      <c r="E814" s="0" t="str">
        <f aca="false">IFERROR(INDEX(Location_Map!$B$2:$B$15,MATCH(C814,Location_Map!$A$2:$A$15,0)),"UNMAPPED")</f>
        <v>Punjab</v>
      </c>
      <c r="F814" s="0" t="str">
        <f aca="false">IFERROR(INDEX(Location_Map!$C$2:$C$15,MATCH(C814,Location_Map!$A$2:$A$15,0)),"UNMAPPED")</f>
        <v>North</v>
      </c>
      <c r="G814" s="0" t="str">
        <f aca="false">IFERROR(INDEX(Location_Map!$B$2:$B$15,MATCH(D814,Location_Map!$A$2:$A$15,0)),"UNMAPPED")</f>
        <v>Gujarat</v>
      </c>
      <c r="H814" s="0" t="str">
        <f aca="false">IFERROR(INDEX(Location_Map!$C$2:$C$15,MATCH(D814,Location_Map!$A$2:$A$15,0)),"UNMAPPED")</f>
        <v>West</v>
      </c>
      <c r="I814" s="0" t="str">
        <f aca="false">Raw!E814</f>
        <v>Finished Yarn</v>
      </c>
      <c r="J814" s="28" t="n">
        <f aca="false">Raw!F814</f>
        <v>3.03</v>
      </c>
      <c r="K814" s="30" t="n">
        <f aca="false">DATE(LEFT(Raw!G814,4),MID(Raw!G814,6,2),MID(Raw!G814,9,2))</f>
        <v>45873</v>
      </c>
      <c r="L814" s="30" t="n">
        <f aca="false">DATE(LEFT(Raw!H814,4),MID(Raw!H814,6,2),MID(Raw!H814,9,2))</f>
        <v>45877</v>
      </c>
      <c r="M814" s="30" t="n">
        <f aca="false">DATE(LEFT(Raw!I814,4),MID(Raw!I814,6,2),MID(Raw!I814,9,2))</f>
        <v>45882</v>
      </c>
      <c r="N814" s="31" t="n">
        <f aca="false">DATE(LEFT(Raw!J814,4),MID(Raw!J814,6,2),MID(Raw!J814,9,2))+TIME(MID(Raw!J814,12,2),MID(Raw!J814,15,2),MID(Raw!J814,18,2))</f>
        <v>45877.0416666667</v>
      </c>
      <c r="O814" s="31" t="n">
        <f aca="false">DATE(LEFT(Raw!K814,4),MID(Raw!K814,6,2),MID(Raw!K814,9,2))+TIME(MID(Raw!K814,12,2),MID(Raw!K814,15,2),MID(Raw!K814,18,2))</f>
        <v>45882.6</v>
      </c>
      <c r="P814" s="32" t="n">
        <f aca="false">L814-K814</f>
        <v>4</v>
      </c>
      <c r="Q814" s="32" t="n">
        <f aca="false">M814-L814</f>
        <v>5</v>
      </c>
      <c r="R814" s="32" t="n">
        <f aca="false">O814-N814</f>
        <v>5.55833333333333</v>
      </c>
      <c r="S814" s="32" t="n">
        <f aca="false">Raw!L814</f>
        <v>0.6</v>
      </c>
      <c r="T814" s="32" t="n">
        <f aca="false">O814-M814</f>
        <v>0.6</v>
      </c>
      <c r="U814" s="0" t="str">
        <f aca="false">IF(ABS(T814-S814)&lt;0.01,"OK","MISMATCH")</f>
        <v>OK</v>
      </c>
      <c r="V814" s="33" t="n">
        <f aca="false">Raw!M814</f>
        <v>1</v>
      </c>
      <c r="W814" s="0" t="str">
        <f aca="false">IF((S814&gt;0)=(V814=1),"OK","MISMATCH")</f>
        <v>OK</v>
      </c>
      <c r="X814" s="0" t="str">
        <f aca="false">_xlfn.IFS(S814&lt;=0,"Early/On time",S814&lt;=2,"Minor (up to 2 days)",S814&lt;=5,"Moderate (2-5 days)",TRUE(),"Severe (over 5 days)")</f>
        <v>Minor (up to 2 days)</v>
      </c>
      <c r="Y814" s="0" t="str">
        <f aca="false">YEAR(K814)&amp;"-"&amp;TEXT(MONTH(K814),"00")</f>
        <v>2025-08</v>
      </c>
      <c r="Z814" s="0" t="str">
        <f aca="false">C814&amp;" → "&amp;D814</f>
        <v>Punjab → Surat</v>
      </c>
      <c r="AA814" s="0" t="str">
        <f aca="false">Raw!Q814</f>
        <v>BlueDart</v>
      </c>
      <c r="AB814" s="0" t="str">
        <f aca="false">Raw!R814</f>
        <v>Yes</v>
      </c>
      <c r="AC814" s="0" t="str">
        <f aca="false">Raw!S814</f>
        <v>Returned</v>
      </c>
      <c r="AD814" s="29" t="n">
        <f aca="false">Raw!N814</f>
        <v>1445.85</v>
      </c>
      <c r="AE814" s="29" t="n">
        <f aca="false">Raw!O814</f>
        <v>2726.03</v>
      </c>
      <c r="AF814" s="29" t="n">
        <f aca="false">Raw!P814</f>
        <v>729.92</v>
      </c>
      <c r="AG814" s="29" t="n">
        <f aca="false">AD814/J814</f>
        <v>477.178217821782</v>
      </c>
    </row>
    <row r="815" customFormat="false" ht="15" hidden="false" customHeight="false" outlineLevel="0" collapsed="false">
      <c r="A815" s="0" t="str">
        <f aca="false">Raw!A815</f>
        <v>SHP0814</v>
      </c>
      <c r="B815" s="0" t="str">
        <f aca="false">Raw!B815</f>
        <v>Inbound</v>
      </c>
      <c r="C815" s="0" t="str">
        <f aca="false">Raw!C815</f>
        <v>Punjab</v>
      </c>
      <c r="D815" s="0" t="str">
        <f aca="false">Raw!D815</f>
        <v>Surat</v>
      </c>
      <c r="E815" s="0" t="str">
        <f aca="false">IFERROR(INDEX(Location_Map!$B$2:$B$15,MATCH(C815,Location_Map!$A$2:$A$15,0)),"UNMAPPED")</f>
        <v>Punjab</v>
      </c>
      <c r="F815" s="0" t="str">
        <f aca="false">IFERROR(INDEX(Location_Map!$C$2:$C$15,MATCH(C815,Location_Map!$A$2:$A$15,0)),"UNMAPPED")</f>
        <v>North</v>
      </c>
      <c r="G815" s="0" t="str">
        <f aca="false">IFERROR(INDEX(Location_Map!$B$2:$B$15,MATCH(D815,Location_Map!$A$2:$A$15,0)),"UNMAPPED")</f>
        <v>Gujarat</v>
      </c>
      <c r="H815" s="0" t="str">
        <f aca="false">IFERROR(INDEX(Location_Map!$C$2:$C$15,MATCH(D815,Location_Map!$A$2:$A$15,0)),"UNMAPPED")</f>
        <v>West</v>
      </c>
      <c r="I815" s="0" t="str">
        <f aca="false">Raw!E815</f>
        <v>Semi-Processed Yarn</v>
      </c>
      <c r="J815" s="28" t="n">
        <f aca="false">Raw!F815</f>
        <v>10.8</v>
      </c>
      <c r="K815" s="30" t="n">
        <f aca="false">DATE(LEFT(Raw!G815,4),MID(Raw!G815,6,2),MID(Raw!G815,9,2))</f>
        <v>45734</v>
      </c>
      <c r="L815" s="30" t="n">
        <f aca="false">DATE(LEFT(Raw!H815,4),MID(Raw!H815,6,2),MID(Raw!H815,9,2))</f>
        <v>45738</v>
      </c>
      <c r="M815" s="30" t="n">
        <f aca="false">DATE(LEFT(Raw!I815,4),MID(Raw!I815,6,2),MID(Raw!I815,9,2))</f>
        <v>45744</v>
      </c>
      <c r="N815" s="31" t="n">
        <f aca="false">DATE(LEFT(Raw!J815,4),MID(Raw!J815,6,2),MID(Raw!J815,9,2))+TIME(MID(Raw!J815,12,2),MID(Raw!J815,15,2),MID(Raw!J815,18,2))</f>
        <v>45738.2083333333</v>
      </c>
      <c r="O815" s="31" t="n">
        <f aca="false">DATE(LEFT(Raw!K815,4),MID(Raw!K815,6,2),MID(Raw!K815,9,2))+TIME(MID(Raw!K815,12,2),MID(Raw!K815,15,2),MID(Raw!K815,18,2))</f>
        <v>45747.8</v>
      </c>
      <c r="P815" s="32" t="n">
        <f aca="false">L815-K815</f>
        <v>4</v>
      </c>
      <c r="Q815" s="32" t="n">
        <f aca="false">M815-L815</f>
        <v>6</v>
      </c>
      <c r="R815" s="32" t="n">
        <f aca="false">O815-N815</f>
        <v>9.59166666666667</v>
      </c>
      <c r="S815" s="32" t="n">
        <f aca="false">Raw!L815</f>
        <v>3.8</v>
      </c>
      <c r="T815" s="32" t="n">
        <f aca="false">O815-M815</f>
        <v>3.8</v>
      </c>
      <c r="U815" s="0" t="str">
        <f aca="false">IF(ABS(T815-S815)&lt;0.01,"OK","MISMATCH")</f>
        <v>OK</v>
      </c>
      <c r="V815" s="33" t="n">
        <f aca="false">Raw!M815</f>
        <v>1</v>
      </c>
      <c r="W815" s="0" t="str">
        <f aca="false">IF((S815&gt;0)=(V815=1),"OK","MISMATCH")</f>
        <v>OK</v>
      </c>
      <c r="X815" s="0" t="str">
        <f aca="false">_xlfn.IFS(S815&lt;=0,"Early/On time",S815&lt;=2,"Minor (up to 2 days)",S815&lt;=5,"Moderate (2-5 days)",TRUE(),"Severe (over 5 days)")</f>
        <v>Moderate (2-5 days)</v>
      </c>
      <c r="Y815" s="0" t="str">
        <f aca="false">YEAR(K815)&amp;"-"&amp;TEXT(MONTH(K815),"00")</f>
        <v>2025-03</v>
      </c>
      <c r="Z815" s="0" t="str">
        <f aca="false">C815&amp;" → "&amp;D815</f>
        <v>Punjab → Surat</v>
      </c>
      <c r="AA815" s="0" t="str">
        <f aca="false">Raw!Q815</f>
        <v>Delhivery</v>
      </c>
      <c r="AB815" s="0" t="str">
        <f aca="false">Raw!R815</f>
        <v>No</v>
      </c>
      <c r="AC815" s="0" t="str">
        <f aca="false">Raw!S815</f>
        <v>Held at warehouse</v>
      </c>
      <c r="AD815" s="29" t="n">
        <f aca="false">Raw!N815</f>
        <v>5236.77</v>
      </c>
      <c r="AE815" s="29" t="n">
        <f aca="false">Raw!O815</f>
        <v>2524.59</v>
      </c>
      <c r="AF815" s="29" t="n">
        <f aca="false">Raw!P815</f>
        <v>911.85</v>
      </c>
      <c r="AG815" s="29" t="n">
        <f aca="false">AD815/J815</f>
        <v>484.886111111111</v>
      </c>
    </row>
    <row r="816" customFormat="false" ht="15" hidden="false" customHeight="false" outlineLevel="0" collapsed="false">
      <c r="A816" s="0" t="str">
        <f aca="false">Raw!A816</f>
        <v>SHP0815</v>
      </c>
      <c r="B816" s="0" t="str">
        <f aca="false">Raw!B816</f>
        <v>Inbound</v>
      </c>
      <c r="C816" s="0" t="str">
        <f aca="false">Raw!C816</f>
        <v>Rajasthan</v>
      </c>
      <c r="D816" s="0" t="str">
        <f aca="false">Raw!D816</f>
        <v>Surat</v>
      </c>
      <c r="E816" s="0" t="str">
        <f aca="false">IFERROR(INDEX(Location_Map!$B$2:$B$15,MATCH(C816,Location_Map!$A$2:$A$15,0)),"UNMAPPED")</f>
        <v>Rajasthan</v>
      </c>
      <c r="F816" s="0" t="str">
        <f aca="false">IFERROR(INDEX(Location_Map!$C$2:$C$15,MATCH(C816,Location_Map!$A$2:$A$15,0)),"UNMAPPED")</f>
        <v>North</v>
      </c>
      <c r="G816" s="0" t="str">
        <f aca="false">IFERROR(INDEX(Location_Map!$B$2:$B$15,MATCH(D816,Location_Map!$A$2:$A$15,0)),"UNMAPPED")</f>
        <v>Gujarat</v>
      </c>
      <c r="H816" s="0" t="str">
        <f aca="false">IFERROR(INDEX(Location_Map!$C$2:$C$15,MATCH(D816,Location_Map!$A$2:$A$15,0)),"UNMAPPED")</f>
        <v>West</v>
      </c>
      <c r="I816" s="0" t="str">
        <f aca="false">Raw!E816</f>
        <v>Raw Yarn</v>
      </c>
      <c r="J816" s="28" t="n">
        <f aca="false">Raw!F816</f>
        <v>14.82</v>
      </c>
      <c r="K816" s="30" t="n">
        <f aca="false">DATE(LEFT(Raw!G816,4),MID(Raw!G816,6,2),MID(Raw!G816,9,2))</f>
        <v>45793</v>
      </c>
      <c r="L816" s="30" t="n">
        <f aca="false">DATE(LEFT(Raw!H816,4),MID(Raw!H816,6,2),MID(Raw!H816,9,2))</f>
        <v>45797</v>
      </c>
      <c r="M816" s="30" t="n">
        <f aca="false">DATE(LEFT(Raw!I816,4),MID(Raw!I816,6,2),MID(Raw!I816,9,2))</f>
        <v>45801</v>
      </c>
      <c r="N816" s="31" t="n">
        <f aca="false">DATE(LEFT(Raw!J816,4),MID(Raw!J816,6,2),MID(Raw!J816,9,2))+TIME(MID(Raw!J816,12,2),MID(Raw!J816,15,2),MID(Raw!J816,18,2))</f>
        <v>45796.9166666667</v>
      </c>
      <c r="O816" s="31" t="n">
        <f aca="false">DATE(LEFT(Raw!K816,4),MID(Raw!K816,6,2),MID(Raw!K816,9,2))+TIME(MID(Raw!K816,12,2),MID(Raw!K816,15,2),MID(Raw!K816,18,2))</f>
        <v>45802.2</v>
      </c>
      <c r="P816" s="32" t="n">
        <f aca="false">L816-K816</f>
        <v>4</v>
      </c>
      <c r="Q816" s="32" t="n">
        <f aca="false">M816-L816</f>
        <v>4</v>
      </c>
      <c r="R816" s="32" t="n">
        <f aca="false">O816-N816</f>
        <v>5.28333333333333</v>
      </c>
      <c r="S816" s="32" t="n">
        <f aca="false">Raw!L816</f>
        <v>1.2</v>
      </c>
      <c r="T816" s="32" t="n">
        <f aca="false">O816-M816</f>
        <v>1.2</v>
      </c>
      <c r="U816" s="0" t="str">
        <f aca="false">IF(ABS(T816-S816)&lt;0.01,"OK","MISMATCH")</f>
        <v>OK</v>
      </c>
      <c r="V816" s="33" t="n">
        <f aca="false">Raw!M816</f>
        <v>1</v>
      </c>
      <c r="W816" s="0" t="str">
        <f aca="false">IF((S816&gt;0)=(V816=1),"OK","MISMATCH")</f>
        <v>OK</v>
      </c>
      <c r="X816" s="0" t="str">
        <f aca="false">_xlfn.IFS(S816&lt;=0,"Early/On time",S816&lt;=2,"Minor (up to 2 days)",S816&lt;=5,"Moderate (2-5 days)",TRUE(),"Severe (over 5 days)")</f>
        <v>Minor (up to 2 days)</v>
      </c>
      <c r="Y816" s="0" t="str">
        <f aca="false">YEAR(K816)&amp;"-"&amp;TEXT(MONTH(K816),"00")</f>
        <v>2025-05</v>
      </c>
      <c r="Z816" s="0" t="str">
        <f aca="false">C816&amp;" → "&amp;D816</f>
        <v>Rajasthan → Surat</v>
      </c>
      <c r="AA816" s="0" t="str">
        <f aca="false">Raw!Q816</f>
        <v>TCI Express</v>
      </c>
      <c r="AB816" s="0" t="str">
        <f aca="false">Raw!R816</f>
        <v>No</v>
      </c>
      <c r="AC816" s="0" t="str">
        <f aca="false">Raw!S816</f>
        <v>Held at warehouse</v>
      </c>
      <c r="AD816" s="29" t="n">
        <f aca="false">Raw!N816</f>
        <v>4124.86</v>
      </c>
      <c r="AE816" s="29" t="n">
        <f aca="false">Raw!O816</f>
        <v>2653.86</v>
      </c>
      <c r="AF816" s="29" t="n">
        <f aca="false">Raw!P816</f>
        <v>706.2</v>
      </c>
      <c r="AG816" s="29" t="n">
        <f aca="false">AD816/J816</f>
        <v>278.330634278003</v>
      </c>
    </row>
    <row r="817" customFormat="false" ht="15" hidden="false" customHeight="false" outlineLevel="0" collapsed="false">
      <c r="A817" s="0" t="str">
        <f aca="false">Raw!A817</f>
        <v>SHP0816</v>
      </c>
      <c r="B817" s="0" t="str">
        <f aca="false">Raw!B817</f>
        <v>Outbound</v>
      </c>
      <c r="C817" s="0" t="str">
        <f aca="false">Raw!C817</f>
        <v>Surat</v>
      </c>
      <c r="D817" s="0" t="str">
        <f aca="false">Raw!D817</f>
        <v>Kerala</v>
      </c>
      <c r="E817" s="0" t="str">
        <f aca="false">IFERROR(INDEX(Location_Map!$B$2:$B$15,MATCH(C817,Location_Map!$A$2:$A$15,0)),"UNMAPPED")</f>
        <v>Gujarat</v>
      </c>
      <c r="F817" s="0" t="str">
        <f aca="false">IFERROR(INDEX(Location_Map!$C$2:$C$15,MATCH(C817,Location_Map!$A$2:$A$15,0)),"UNMAPPED")</f>
        <v>West</v>
      </c>
      <c r="G817" s="0" t="str">
        <f aca="false">IFERROR(INDEX(Location_Map!$B$2:$B$15,MATCH(D817,Location_Map!$A$2:$A$15,0)),"UNMAPPED")</f>
        <v>Kerala</v>
      </c>
      <c r="H817" s="0" t="str">
        <f aca="false">IFERROR(INDEX(Location_Map!$C$2:$C$15,MATCH(D817,Location_Map!$A$2:$A$15,0)),"UNMAPPED")</f>
        <v>South</v>
      </c>
      <c r="I817" s="0" t="str">
        <f aca="false">Raw!E817</f>
        <v>Semi-Processed Yarn</v>
      </c>
      <c r="J817" s="28" t="n">
        <f aca="false">Raw!F817</f>
        <v>17.65</v>
      </c>
      <c r="K817" s="30" t="n">
        <f aca="false">DATE(LEFT(Raw!G817,4),MID(Raw!G817,6,2),MID(Raw!G817,9,2))</f>
        <v>45705</v>
      </c>
      <c r="L817" s="30" t="n">
        <f aca="false">DATE(LEFT(Raw!H817,4),MID(Raw!H817,6,2),MID(Raw!H817,9,2))</f>
        <v>45707</v>
      </c>
      <c r="M817" s="30" t="n">
        <f aca="false">DATE(LEFT(Raw!I817,4),MID(Raw!I817,6,2),MID(Raw!I817,9,2))</f>
        <v>45713</v>
      </c>
      <c r="N817" s="31" t="n">
        <f aca="false">DATE(LEFT(Raw!J817,4),MID(Raw!J817,6,2),MID(Raw!J817,9,2))+TIME(MID(Raw!J817,12,2),MID(Raw!J817,15,2),MID(Raw!J817,18,2))</f>
        <v>45707</v>
      </c>
      <c r="O817" s="31" t="n">
        <f aca="false">DATE(LEFT(Raw!K817,4),MID(Raw!K817,6,2),MID(Raw!K817,9,2))+TIME(MID(Raw!K817,12,2),MID(Raw!K817,15,2),MID(Raw!K817,18,2))</f>
        <v>45712</v>
      </c>
      <c r="P817" s="32" t="n">
        <f aca="false">L817-K817</f>
        <v>2</v>
      </c>
      <c r="Q817" s="32" t="n">
        <f aca="false">M817-L817</f>
        <v>6</v>
      </c>
      <c r="R817" s="32" t="n">
        <f aca="false">O817-N817</f>
        <v>5</v>
      </c>
      <c r="S817" s="32" t="n">
        <f aca="false">Raw!L817</f>
        <v>-1</v>
      </c>
      <c r="T817" s="32" t="n">
        <f aca="false">O817-M817</f>
        <v>-1</v>
      </c>
      <c r="U817" s="0" t="str">
        <f aca="false">IF(ABS(T817-S817)&lt;0.01,"OK","MISMATCH")</f>
        <v>OK</v>
      </c>
      <c r="V817" s="33" t="n">
        <f aca="false">Raw!M817</f>
        <v>0</v>
      </c>
      <c r="W817" s="0" t="str">
        <f aca="false">IF((S817&gt;0)=(V817=1),"OK","MISMATCH")</f>
        <v>OK</v>
      </c>
      <c r="X817" s="0" t="str">
        <f aca="false">_xlfn.IFS(S817&lt;=0,"Early/On time",S817&lt;=2,"Minor (up to 2 days)",S817&lt;=5,"Moderate (2-5 days)",TRUE(),"Severe (over 5 days)")</f>
        <v>Early/On time</v>
      </c>
      <c r="Y817" s="0" t="str">
        <f aca="false">YEAR(K817)&amp;"-"&amp;TEXT(MONTH(K817),"00")</f>
        <v>2025-02</v>
      </c>
      <c r="Z817" s="0" t="str">
        <f aca="false">C817&amp;" → "&amp;D817</f>
        <v>Surat → Kerala</v>
      </c>
      <c r="AA817" s="0" t="str">
        <f aca="false">Raw!Q817</f>
        <v>VRL Cargo</v>
      </c>
      <c r="AB817" s="0" t="str">
        <f aca="false">Raw!R817</f>
        <v>Yes</v>
      </c>
      <c r="AC817" s="0" t="str">
        <f aca="false">Raw!S817</f>
        <v>Returned</v>
      </c>
      <c r="AD817" s="29" t="n">
        <f aca="false">Raw!N817</f>
        <v>8751.79</v>
      </c>
      <c r="AE817" s="29" t="n">
        <f aca="false">Raw!O817</f>
        <v>4476.4</v>
      </c>
      <c r="AF817" s="29" t="n">
        <f aca="false">Raw!P817</f>
        <v>1068.32</v>
      </c>
      <c r="AG817" s="29" t="n">
        <f aca="false">AD817/J817</f>
        <v>495.852124645892</v>
      </c>
    </row>
    <row r="818" customFormat="false" ht="15" hidden="false" customHeight="false" outlineLevel="0" collapsed="false">
      <c r="A818" s="0" t="str">
        <f aca="false">Raw!A818</f>
        <v>SHP0817</v>
      </c>
      <c r="B818" s="0" t="str">
        <f aca="false">Raw!B818</f>
        <v>Outbound</v>
      </c>
      <c r="C818" s="0" t="str">
        <f aca="false">Raw!C818</f>
        <v>Surat</v>
      </c>
      <c r="D818" s="0" t="str">
        <f aca="false">Raw!D818</f>
        <v>Madhya Pradesh</v>
      </c>
      <c r="E818" s="0" t="str">
        <f aca="false">IFERROR(INDEX(Location_Map!$B$2:$B$15,MATCH(C818,Location_Map!$A$2:$A$15,0)),"UNMAPPED")</f>
        <v>Gujarat</v>
      </c>
      <c r="F818" s="0" t="str">
        <f aca="false">IFERROR(INDEX(Location_Map!$C$2:$C$15,MATCH(C818,Location_Map!$A$2:$A$15,0)),"UNMAPPED")</f>
        <v>West</v>
      </c>
      <c r="G818" s="0" t="str">
        <f aca="false">IFERROR(INDEX(Location_Map!$B$2:$B$15,MATCH(D818,Location_Map!$A$2:$A$15,0)),"UNMAPPED")</f>
        <v>Madhya Pradesh</v>
      </c>
      <c r="H818" s="0" t="str">
        <f aca="false">IFERROR(INDEX(Location_Map!$C$2:$C$15,MATCH(D818,Location_Map!$A$2:$A$15,0)),"UNMAPPED")</f>
        <v>Central</v>
      </c>
      <c r="I818" s="0" t="str">
        <f aca="false">Raw!E818</f>
        <v>Finished Yarn</v>
      </c>
      <c r="J818" s="28" t="n">
        <f aca="false">Raw!F818</f>
        <v>9.35</v>
      </c>
      <c r="K818" s="30" t="n">
        <f aca="false">DATE(LEFT(Raw!G818,4),MID(Raw!G818,6,2),MID(Raw!G818,9,2))</f>
        <v>45678</v>
      </c>
      <c r="L818" s="30" t="n">
        <f aca="false">DATE(LEFT(Raw!H818,4),MID(Raw!H818,6,2),MID(Raw!H818,9,2))</f>
        <v>45680</v>
      </c>
      <c r="M818" s="30" t="n">
        <f aca="false">DATE(LEFT(Raw!I818,4),MID(Raw!I818,6,2),MID(Raw!I818,9,2))</f>
        <v>45686</v>
      </c>
      <c r="N818" s="31" t="n">
        <f aca="false">DATE(LEFT(Raw!J818,4),MID(Raw!J818,6,2),MID(Raw!J818,9,2))+TIME(MID(Raw!J818,12,2),MID(Raw!J818,15,2),MID(Raw!J818,18,2))</f>
        <v>45679.8333333333</v>
      </c>
      <c r="O818" s="31" t="n">
        <f aca="false">DATE(LEFT(Raw!K818,4),MID(Raw!K818,6,2),MID(Raw!K818,9,2))+TIME(MID(Raw!K818,12,2),MID(Raw!K818,15,2),MID(Raw!K818,18,2))</f>
        <v>45691.4</v>
      </c>
      <c r="P818" s="32" t="n">
        <f aca="false">L818-K818</f>
        <v>2</v>
      </c>
      <c r="Q818" s="32" t="n">
        <f aca="false">M818-L818</f>
        <v>6</v>
      </c>
      <c r="R818" s="32" t="n">
        <f aca="false">O818-N818</f>
        <v>11.5666666666667</v>
      </c>
      <c r="S818" s="32" t="n">
        <f aca="false">Raw!L818</f>
        <v>5.4</v>
      </c>
      <c r="T818" s="32" t="n">
        <f aca="false">O818-M818</f>
        <v>5.4</v>
      </c>
      <c r="U818" s="0" t="str">
        <f aca="false">IF(ABS(T818-S818)&lt;0.01,"OK","MISMATCH")</f>
        <v>OK</v>
      </c>
      <c r="V818" s="33" t="n">
        <f aca="false">Raw!M818</f>
        <v>1</v>
      </c>
      <c r="W818" s="0" t="str">
        <f aca="false">IF((S818&gt;0)=(V818=1),"OK","MISMATCH")</f>
        <v>OK</v>
      </c>
      <c r="X818" s="0" t="str">
        <f aca="false">_xlfn.IFS(S818&lt;=0,"Early/On time",S818&lt;=2,"Minor (up to 2 days)",S818&lt;=5,"Moderate (2-5 days)",TRUE(),"Severe (over 5 days)")</f>
        <v>Severe (over 5 days)</v>
      </c>
      <c r="Y818" s="0" t="str">
        <f aca="false">YEAR(K818)&amp;"-"&amp;TEXT(MONTH(K818),"00")</f>
        <v>2025-01</v>
      </c>
      <c r="Z818" s="0" t="str">
        <f aca="false">C818&amp;" → "&amp;D818</f>
        <v>Surat → Madhya Pradesh</v>
      </c>
      <c r="AA818" s="0" t="str">
        <f aca="false">Raw!Q818</f>
        <v>BlueDart</v>
      </c>
      <c r="AB818" s="0" t="str">
        <f aca="false">Raw!R818</f>
        <v>Yes</v>
      </c>
      <c r="AC818" s="0" t="str">
        <f aca="false">Raw!S818</f>
        <v>Returned</v>
      </c>
      <c r="AD818" s="29" t="n">
        <f aca="false">Raw!N818</f>
        <v>2592.4</v>
      </c>
      <c r="AE818" s="29" t="n">
        <f aca="false">Raw!O818</f>
        <v>2212.88</v>
      </c>
      <c r="AF818" s="29" t="n">
        <f aca="false">Raw!P818</f>
        <v>1197.99</v>
      </c>
      <c r="AG818" s="29" t="n">
        <f aca="false">AD818/J818</f>
        <v>277.262032085562</v>
      </c>
    </row>
    <row r="819" customFormat="false" ht="15" hidden="false" customHeight="false" outlineLevel="0" collapsed="false">
      <c r="A819" s="0" t="str">
        <f aca="false">Raw!A819</f>
        <v>SHP0818</v>
      </c>
      <c r="B819" s="0" t="str">
        <f aca="false">Raw!B819</f>
        <v>Inbound</v>
      </c>
      <c r="C819" s="0" t="str">
        <f aca="false">Raw!C819</f>
        <v>Rajasthan</v>
      </c>
      <c r="D819" s="0" t="str">
        <f aca="false">Raw!D819</f>
        <v>Surat</v>
      </c>
      <c r="E819" s="0" t="str">
        <f aca="false">IFERROR(INDEX(Location_Map!$B$2:$B$15,MATCH(C819,Location_Map!$A$2:$A$15,0)),"UNMAPPED")</f>
        <v>Rajasthan</v>
      </c>
      <c r="F819" s="0" t="str">
        <f aca="false">IFERROR(INDEX(Location_Map!$C$2:$C$15,MATCH(C819,Location_Map!$A$2:$A$15,0)),"UNMAPPED")</f>
        <v>North</v>
      </c>
      <c r="G819" s="0" t="str">
        <f aca="false">IFERROR(INDEX(Location_Map!$B$2:$B$15,MATCH(D819,Location_Map!$A$2:$A$15,0)),"UNMAPPED")</f>
        <v>Gujarat</v>
      </c>
      <c r="H819" s="0" t="str">
        <f aca="false">IFERROR(INDEX(Location_Map!$C$2:$C$15,MATCH(D819,Location_Map!$A$2:$A$15,0)),"UNMAPPED")</f>
        <v>West</v>
      </c>
      <c r="I819" s="0" t="str">
        <f aca="false">Raw!E819</f>
        <v>Raw Yarn</v>
      </c>
      <c r="J819" s="28" t="n">
        <f aca="false">Raw!F819</f>
        <v>16.01</v>
      </c>
      <c r="K819" s="30" t="n">
        <f aca="false">DATE(LEFT(Raw!G819,4),MID(Raw!G819,6,2),MID(Raw!G819,9,2))</f>
        <v>45746</v>
      </c>
      <c r="L819" s="30" t="n">
        <f aca="false">DATE(LEFT(Raw!H819,4),MID(Raw!H819,6,2),MID(Raw!H819,9,2))</f>
        <v>45748</v>
      </c>
      <c r="M819" s="30" t="n">
        <f aca="false">DATE(LEFT(Raw!I819,4),MID(Raw!I819,6,2),MID(Raw!I819,9,2))</f>
        <v>45751</v>
      </c>
      <c r="N819" s="31" t="n">
        <f aca="false">DATE(LEFT(Raw!J819,4),MID(Raw!J819,6,2),MID(Raw!J819,9,2))+TIME(MID(Raw!J819,12,2),MID(Raw!J819,15,2),MID(Raw!J819,18,2))</f>
        <v>45748.1666666667</v>
      </c>
      <c r="O819" s="31" t="n">
        <f aca="false">DATE(LEFT(Raw!K819,4),MID(Raw!K819,6,2),MID(Raw!K819,9,2))+TIME(MID(Raw!K819,12,2),MID(Raw!K819,15,2),MID(Raw!K819,18,2))</f>
        <v>45754.2</v>
      </c>
      <c r="P819" s="32" t="n">
        <f aca="false">L819-K819</f>
        <v>2</v>
      </c>
      <c r="Q819" s="32" t="n">
        <f aca="false">M819-L819</f>
        <v>3</v>
      </c>
      <c r="R819" s="32" t="n">
        <f aca="false">O819-N819</f>
        <v>6.03333333333333</v>
      </c>
      <c r="S819" s="32" t="n">
        <f aca="false">Raw!L819</f>
        <v>3.2</v>
      </c>
      <c r="T819" s="32" t="n">
        <f aca="false">O819-M819</f>
        <v>3.2</v>
      </c>
      <c r="U819" s="0" t="str">
        <f aca="false">IF(ABS(T819-S819)&lt;0.01,"OK","MISMATCH")</f>
        <v>OK</v>
      </c>
      <c r="V819" s="33" t="n">
        <f aca="false">Raw!M819</f>
        <v>1</v>
      </c>
      <c r="W819" s="0" t="str">
        <f aca="false">IF((S819&gt;0)=(V819=1),"OK","MISMATCH")</f>
        <v>OK</v>
      </c>
      <c r="X819" s="0" t="str">
        <f aca="false">_xlfn.IFS(S819&lt;=0,"Early/On time",S819&lt;=2,"Minor (up to 2 days)",S819&lt;=5,"Moderate (2-5 days)",TRUE(),"Severe (over 5 days)")</f>
        <v>Moderate (2-5 days)</v>
      </c>
      <c r="Y819" s="0" t="str">
        <f aca="false">YEAR(K819)&amp;"-"&amp;TEXT(MONTH(K819),"00")</f>
        <v>2025-03</v>
      </c>
      <c r="Z819" s="0" t="str">
        <f aca="false">C819&amp;" → "&amp;D819</f>
        <v>Rajasthan → Surat</v>
      </c>
      <c r="AA819" s="0" t="str">
        <f aca="false">Raw!Q819</f>
        <v>VRL Cargo</v>
      </c>
      <c r="AB819" s="0" t="str">
        <f aca="false">Raw!R819</f>
        <v>Yes</v>
      </c>
      <c r="AC819" s="0" t="str">
        <f aca="false">Raw!S819</f>
        <v>Damaged</v>
      </c>
      <c r="AD819" s="29" t="n">
        <f aca="false">Raw!N819</f>
        <v>5938.79</v>
      </c>
      <c r="AE819" s="29" t="n">
        <f aca="false">Raw!O819</f>
        <v>1545.48</v>
      </c>
      <c r="AF819" s="29" t="n">
        <f aca="false">Raw!P819</f>
        <v>696.69</v>
      </c>
      <c r="AG819" s="29" t="n">
        <f aca="false">AD819/J819</f>
        <v>370.942535915053</v>
      </c>
    </row>
    <row r="820" customFormat="false" ht="15" hidden="false" customHeight="false" outlineLevel="0" collapsed="false">
      <c r="A820" s="0" t="str">
        <f aca="false">Raw!A820</f>
        <v>SHP0819</v>
      </c>
      <c r="B820" s="0" t="str">
        <f aca="false">Raw!B820</f>
        <v>Outbound</v>
      </c>
      <c r="C820" s="0" t="str">
        <f aca="false">Raw!C820</f>
        <v>Surat</v>
      </c>
      <c r="D820" s="0" t="str">
        <f aca="false">Raw!D820</f>
        <v>Assam</v>
      </c>
      <c r="E820" s="0" t="str">
        <f aca="false">IFERROR(INDEX(Location_Map!$B$2:$B$15,MATCH(C820,Location_Map!$A$2:$A$15,0)),"UNMAPPED")</f>
        <v>Gujarat</v>
      </c>
      <c r="F820" s="0" t="str">
        <f aca="false">IFERROR(INDEX(Location_Map!$C$2:$C$15,MATCH(C820,Location_Map!$A$2:$A$15,0)),"UNMAPPED")</f>
        <v>West</v>
      </c>
      <c r="G820" s="0" t="str">
        <f aca="false">IFERROR(INDEX(Location_Map!$B$2:$B$15,MATCH(D820,Location_Map!$A$2:$A$15,0)),"UNMAPPED")</f>
        <v>Assam</v>
      </c>
      <c r="H820" s="0" t="str">
        <f aca="false">IFERROR(INDEX(Location_Map!$C$2:$C$15,MATCH(D820,Location_Map!$A$2:$A$15,0)),"UNMAPPED")</f>
        <v>North-East</v>
      </c>
      <c r="I820" s="0" t="str">
        <f aca="false">Raw!E820</f>
        <v>Semi-Processed Yarn</v>
      </c>
      <c r="J820" s="28" t="n">
        <f aca="false">Raw!F820</f>
        <v>2.05</v>
      </c>
      <c r="K820" s="30" t="n">
        <f aca="false">DATE(LEFT(Raw!G820,4),MID(Raw!G820,6,2),MID(Raw!G820,9,2))</f>
        <v>45717</v>
      </c>
      <c r="L820" s="30" t="n">
        <f aca="false">DATE(LEFT(Raw!H820,4),MID(Raw!H820,6,2),MID(Raw!H820,9,2))</f>
        <v>45718</v>
      </c>
      <c r="M820" s="30" t="n">
        <f aca="false">DATE(LEFT(Raw!I820,4),MID(Raw!I820,6,2),MID(Raw!I820,9,2))</f>
        <v>45723</v>
      </c>
      <c r="N820" s="31" t="n">
        <f aca="false">DATE(LEFT(Raw!J820,4),MID(Raw!J820,6,2),MID(Raw!J820,9,2))+TIME(MID(Raw!J820,12,2),MID(Raw!J820,15,2),MID(Raw!J820,18,2))</f>
        <v>45718.25</v>
      </c>
      <c r="O820" s="31" t="n">
        <f aca="false">DATE(LEFT(Raw!K820,4),MID(Raw!K820,6,2),MID(Raw!K820,9,2))+TIME(MID(Raw!K820,12,2),MID(Raw!K820,15,2),MID(Raw!K820,18,2))</f>
        <v>45722</v>
      </c>
      <c r="P820" s="32" t="n">
        <f aca="false">L820-K820</f>
        <v>1</v>
      </c>
      <c r="Q820" s="32" t="n">
        <f aca="false">M820-L820</f>
        <v>5</v>
      </c>
      <c r="R820" s="32" t="n">
        <f aca="false">O820-N820</f>
        <v>3.75</v>
      </c>
      <c r="S820" s="32" t="n">
        <f aca="false">Raw!L820</f>
        <v>-1</v>
      </c>
      <c r="T820" s="32" t="n">
        <f aca="false">O820-M820</f>
        <v>-1</v>
      </c>
      <c r="U820" s="0" t="str">
        <f aca="false">IF(ABS(T820-S820)&lt;0.01,"OK","MISMATCH")</f>
        <v>OK</v>
      </c>
      <c r="V820" s="33" t="n">
        <f aca="false">Raw!M820</f>
        <v>0</v>
      </c>
      <c r="W820" s="0" t="str">
        <f aca="false">IF((S820&gt;0)=(V820=1),"OK","MISMATCH")</f>
        <v>OK</v>
      </c>
      <c r="X820" s="0" t="str">
        <f aca="false">_xlfn.IFS(S820&lt;=0,"Early/On time",S820&lt;=2,"Minor (up to 2 days)",S820&lt;=5,"Moderate (2-5 days)",TRUE(),"Severe (over 5 days)")</f>
        <v>Early/On time</v>
      </c>
      <c r="Y820" s="0" t="str">
        <f aca="false">YEAR(K820)&amp;"-"&amp;TEXT(MONTH(K820),"00")</f>
        <v>2025-03</v>
      </c>
      <c r="Z820" s="0" t="str">
        <f aca="false">C820&amp;" → "&amp;D820</f>
        <v>Surat → Assam</v>
      </c>
      <c r="AA820" s="0" t="str">
        <f aca="false">Raw!Q820</f>
        <v>TCI Express</v>
      </c>
      <c r="AB820" s="0" t="str">
        <f aca="false">Raw!R820</f>
        <v>Yes</v>
      </c>
      <c r="AC820" s="0" t="str">
        <f aca="false">Raw!S820</f>
        <v>Returned</v>
      </c>
      <c r="AD820" s="29" t="n">
        <f aca="false">Raw!N820</f>
        <v>1593.48</v>
      </c>
      <c r="AE820" s="29" t="n">
        <f aca="false">Raw!O820</f>
        <v>2431.36</v>
      </c>
      <c r="AF820" s="29" t="n">
        <f aca="false">Raw!P820</f>
        <v>508.45</v>
      </c>
      <c r="AG820" s="29" t="n">
        <f aca="false">AD820/J820</f>
        <v>777.307317073171</v>
      </c>
    </row>
    <row r="821" customFormat="false" ht="15" hidden="false" customHeight="false" outlineLevel="0" collapsed="false">
      <c r="A821" s="0" t="str">
        <f aca="false">Raw!A821</f>
        <v>SHP0820</v>
      </c>
      <c r="B821" s="0" t="str">
        <f aca="false">Raw!B821</f>
        <v>Inbound</v>
      </c>
      <c r="C821" s="0" t="str">
        <f aca="false">Raw!C821</f>
        <v>Punjab</v>
      </c>
      <c r="D821" s="0" t="str">
        <f aca="false">Raw!D821</f>
        <v>Surat</v>
      </c>
      <c r="E821" s="0" t="str">
        <f aca="false">IFERROR(INDEX(Location_Map!$B$2:$B$15,MATCH(C821,Location_Map!$A$2:$A$15,0)),"UNMAPPED")</f>
        <v>Punjab</v>
      </c>
      <c r="F821" s="0" t="str">
        <f aca="false">IFERROR(INDEX(Location_Map!$C$2:$C$15,MATCH(C821,Location_Map!$A$2:$A$15,0)),"UNMAPPED")</f>
        <v>North</v>
      </c>
      <c r="G821" s="0" t="str">
        <f aca="false">IFERROR(INDEX(Location_Map!$B$2:$B$15,MATCH(D821,Location_Map!$A$2:$A$15,0)),"UNMAPPED")</f>
        <v>Gujarat</v>
      </c>
      <c r="H821" s="0" t="str">
        <f aca="false">IFERROR(INDEX(Location_Map!$C$2:$C$15,MATCH(D821,Location_Map!$A$2:$A$15,0)),"UNMAPPED")</f>
        <v>West</v>
      </c>
      <c r="I821" s="0" t="str">
        <f aca="false">Raw!E821</f>
        <v>Semi-Processed Yarn</v>
      </c>
      <c r="J821" s="28" t="n">
        <f aca="false">Raw!F821</f>
        <v>16.94</v>
      </c>
      <c r="K821" s="30" t="n">
        <f aca="false">DATE(LEFT(Raw!G821,4),MID(Raw!G821,6,2),MID(Raw!G821,9,2))</f>
        <v>45667</v>
      </c>
      <c r="L821" s="30" t="n">
        <f aca="false">DATE(LEFT(Raw!H821,4),MID(Raw!H821,6,2),MID(Raw!H821,9,2))</f>
        <v>45671</v>
      </c>
      <c r="M821" s="30" t="n">
        <f aca="false">DATE(LEFT(Raw!I821,4),MID(Raw!I821,6,2),MID(Raw!I821,9,2))</f>
        <v>45675</v>
      </c>
      <c r="N821" s="31" t="n">
        <f aca="false">DATE(LEFT(Raw!J821,4),MID(Raw!J821,6,2),MID(Raw!J821,9,2))+TIME(MID(Raw!J821,12,2),MID(Raw!J821,15,2),MID(Raw!J821,18,2))</f>
        <v>45670.7916666667</v>
      </c>
      <c r="O821" s="31" t="n">
        <f aca="false">DATE(LEFT(Raw!K821,4),MID(Raw!K821,6,2),MID(Raw!K821,9,2))+TIME(MID(Raw!K821,12,2),MID(Raw!K821,15,2),MID(Raw!K821,18,2))</f>
        <v>45674</v>
      </c>
      <c r="P821" s="32" t="n">
        <f aca="false">L821-K821</f>
        <v>4</v>
      </c>
      <c r="Q821" s="32" t="n">
        <f aca="false">M821-L821</f>
        <v>4</v>
      </c>
      <c r="R821" s="32" t="n">
        <f aca="false">O821-N821</f>
        <v>3.20833333333333</v>
      </c>
      <c r="S821" s="32" t="n">
        <f aca="false">Raw!L821</f>
        <v>-1</v>
      </c>
      <c r="T821" s="32" t="n">
        <f aca="false">O821-M821</f>
        <v>-1</v>
      </c>
      <c r="U821" s="0" t="str">
        <f aca="false">IF(ABS(T821-S821)&lt;0.01,"OK","MISMATCH")</f>
        <v>OK</v>
      </c>
      <c r="V821" s="33" t="n">
        <f aca="false">Raw!M821</f>
        <v>0</v>
      </c>
      <c r="W821" s="0" t="str">
        <f aca="false">IF((S821&gt;0)=(V821=1),"OK","MISMATCH")</f>
        <v>OK</v>
      </c>
      <c r="X821" s="0" t="str">
        <f aca="false">_xlfn.IFS(S821&lt;=0,"Early/On time",S821&lt;=2,"Minor (up to 2 days)",S821&lt;=5,"Moderate (2-5 days)",TRUE(),"Severe (over 5 days)")</f>
        <v>Early/On time</v>
      </c>
      <c r="Y821" s="0" t="str">
        <f aca="false">YEAR(K821)&amp;"-"&amp;TEXT(MONTH(K821),"00")</f>
        <v>2025-01</v>
      </c>
      <c r="Z821" s="0" t="str">
        <f aca="false">C821&amp;" → "&amp;D821</f>
        <v>Punjab → Surat</v>
      </c>
      <c r="AA821" s="0" t="str">
        <f aca="false">Raw!Q821</f>
        <v>BlueDart</v>
      </c>
      <c r="AB821" s="0" t="str">
        <f aca="false">Raw!R821</f>
        <v>No</v>
      </c>
      <c r="AC821" s="0" t="str">
        <f aca="false">Raw!S821</f>
        <v>Returned</v>
      </c>
      <c r="AD821" s="29" t="n">
        <f aca="false">Raw!N821</f>
        <v>8392.91</v>
      </c>
      <c r="AE821" s="29" t="n">
        <f aca="false">Raw!O821</f>
        <v>3615.11</v>
      </c>
      <c r="AF821" s="29" t="n">
        <f aca="false">Raw!P821</f>
        <v>887.05</v>
      </c>
      <c r="AG821" s="29" t="n">
        <f aca="false">AD821/J821</f>
        <v>495.449232585596</v>
      </c>
    </row>
    <row r="822" customFormat="false" ht="15" hidden="false" customHeight="false" outlineLevel="0" collapsed="false">
      <c r="A822" s="0" t="str">
        <f aca="false">Raw!A822</f>
        <v>SHP0821</v>
      </c>
      <c r="B822" s="0" t="str">
        <f aca="false">Raw!B822</f>
        <v>Outbound</v>
      </c>
      <c r="C822" s="0" t="str">
        <f aca="false">Raw!C822</f>
        <v>Surat</v>
      </c>
      <c r="D822" s="0" t="str">
        <f aca="false">Raw!D822</f>
        <v>Mumbai</v>
      </c>
      <c r="E822" s="0" t="str">
        <f aca="false">IFERROR(INDEX(Location_Map!$B$2:$B$15,MATCH(C822,Location_Map!$A$2:$A$15,0)),"UNMAPPED")</f>
        <v>Gujarat</v>
      </c>
      <c r="F822" s="0" t="str">
        <f aca="false">IFERROR(INDEX(Location_Map!$C$2:$C$15,MATCH(C822,Location_Map!$A$2:$A$15,0)),"UNMAPPED")</f>
        <v>West</v>
      </c>
      <c r="G822" s="0" t="str">
        <f aca="false">IFERROR(INDEX(Location_Map!$B$2:$B$15,MATCH(D822,Location_Map!$A$2:$A$15,0)),"UNMAPPED")</f>
        <v>Maharashtra</v>
      </c>
      <c r="H822" s="0" t="str">
        <f aca="false">IFERROR(INDEX(Location_Map!$C$2:$C$15,MATCH(D822,Location_Map!$A$2:$A$15,0)),"UNMAPPED")</f>
        <v>West</v>
      </c>
      <c r="I822" s="0" t="str">
        <f aca="false">Raw!E822</f>
        <v>Semi-Processed Yarn</v>
      </c>
      <c r="J822" s="28" t="n">
        <f aca="false">Raw!F822</f>
        <v>13.3</v>
      </c>
      <c r="K822" s="30" t="n">
        <f aca="false">DATE(LEFT(Raw!G822,4),MID(Raw!G822,6,2),MID(Raw!G822,9,2))</f>
        <v>45671</v>
      </c>
      <c r="L822" s="30" t="n">
        <f aca="false">DATE(LEFT(Raw!H822,4),MID(Raw!H822,6,2),MID(Raw!H822,9,2))</f>
        <v>45672</v>
      </c>
      <c r="M822" s="30" t="n">
        <f aca="false">DATE(LEFT(Raw!I822,4),MID(Raw!I822,6,2),MID(Raw!I822,9,2))</f>
        <v>45676</v>
      </c>
      <c r="N822" s="31" t="n">
        <f aca="false">DATE(LEFT(Raw!J822,4),MID(Raw!J822,6,2),MID(Raw!J822,9,2))+TIME(MID(Raw!J822,12,2),MID(Raw!J822,15,2),MID(Raw!J822,18,2))</f>
        <v>45671.875</v>
      </c>
      <c r="O822" s="31" t="n">
        <f aca="false">DATE(LEFT(Raw!K822,4),MID(Raw!K822,6,2),MID(Raw!K822,9,2))+TIME(MID(Raw!K822,12,2),MID(Raw!K822,15,2),MID(Raw!K822,18,2))</f>
        <v>45678.1</v>
      </c>
      <c r="P822" s="32" t="n">
        <f aca="false">L822-K822</f>
        <v>1</v>
      </c>
      <c r="Q822" s="32" t="n">
        <f aca="false">M822-L822</f>
        <v>4</v>
      </c>
      <c r="R822" s="32" t="n">
        <f aca="false">O822-N822</f>
        <v>6.225</v>
      </c>
      <c r="S822" s="32" t="n">
        <f aca="false">Raw!L822</f>
        <v>2.1</v>
      </c>
      <c r="T822" s="32" t="n">
        <f aca="false">O822-M822</f>
        <v>2.1</v>
      </c>
      <c r="U822" s="0" t="str">
        <f aca="false">IF(ABS(T822-S822)&lt;0.01,"OK","MISMATCH")</f>
        <v>OK</v>
      </c>
      <c r="V822" s="33" t="n">
        <f aca="false">Raw!M822</f>
        <v>1</v>
      </c>
      <c r="W822" s="0" t="str">
        <f aca="false">IF((S822&gt;0)=(V822=1),"OK","MISMATCH")</f>
        <v>OK</v>
      </c>
      <c r="X822" s="0" t="str">
        <f aca="false">_xlfn.IFS(S822&lt;=0,"Early/On time",S822&lt;=2,"Minor (up to 2 days)",S822&lt;=5,"Moderate (2-5 days)",TRUE(),"Severe (over 5 days)")</f>
        <v>Moderate (2-5 days)</v>
      </c>
      <c r="Y822" s="0" t="str">
        <f aca="false">YEAR(K822)&amp;"-"&amp;TEXT(MONTH(K822),"00")</f>
        <v>2025-01</v>
      </c>
      <c r="Z822" s="0" t="str">
        <f aca="false">C822&amp;" → "&amp;D822</f>
        <v>Surat → Mumbai</v>
      </c>
      <c r="AA822" s="0" t="str">
        <f aca="false">Raw!Q822</f>
        <v>GATI Logistics</v>
      </c>
      <c r="AB822" s="0" t="str">
        <f aca="false">Raw!R822</f>
        <v>Yes</v>
      </c>
      <c r="AC822" s="0" t="str">
        <f aca="false">Raw!S822</f>
        <v>Normal</v>
      </c>
      <c r="AD822" s="29" t="n">
        <f aca="false">Raw!N822</f>
        <v>5610.17</v>
      </c>
      <c r="AE822" s="29" t="n">
        <f aca="false">Raw!O822</f>
        <v>1840.19</v>
      </c>
      <c r="AF822" s="29" t="n">
        <f aca="false">Raw!P822</f>
        <v>894.08</v>
      </c>
      <c r="AG822" s="29" t="n">
        <f aca="false">AD822/J822</f>
        <v>421.817293233083</v>
      </c>
    </row>
    <row r="823" customFormat="false" ht="15" hidden="false" customHeight="false" outlineLevel="0" collapsed="false">
      <c r="A823" s="0" t="str">
        <f aca="false">Raw!A823</f>
        <v>SHP0822</v>
      </c>
      <c r="B823" s="0" t="str">
        <f aca="false">Raw!B823</f>
        <v>Inbound</v>
      </c>
      <c r="C823" s="0" t="str">
        <f aca="false">Raw!C823</f>
        <v>Punjab</v>
      </c>
      <c r="D823" s="0" t="str">
        <f aca="false">Raw!D823</f>
        <v>Surat</v>
      </c>
      <c r="E823" s="0" t="str">
        <f aca="false">IFERROR(INDEX(Location_Map!$B$2:$B$15,MATCH(C823,Location_Map!$A$2:$A$15,0)),"UNMAPPED")</f>
        <v>Punjab</v>
      </c>
      <c r="F823" s="0" t="str">
        <f aca="false">IFERROR(INDEX(Location_Map!$C$2:$C$15,MATCH(C823,Location_Map!$A$2:$A$15,0)),"UNMAPPED")</f>
        <v>North</v>
      </c>
      <c r="G823" s="0" t="str">
        <f aca="false">IFERROR(INDEX(Location_Map!$B$2:$B$15,MATCH(D823,Location_Map!$A$2:$A$15,0)),"UNMAPPED")</f>
        <v>Gujarat</v>
      </c>
      <c r="H823" s="0" t="str">
        <f aca="false">IFERROR(INDEX(Location_Map!$C$2:$C$15,MATCH(D823,Location_Map!$A$2:$A$15,0)),"UNMAPPED")</f>
        <v>West</v>
      </c>
      <c r="I823" s="0" t="str">
        <f aca="false">Raw!E823</f>
        <v>Semi-Processed Yarn</v>
      </c>
      <c r="J823" s="28" t="n">
        <f aca="false">Raw!F823</f>
        <v>7.02</v>
      </c>
      <c r="K823" s="30" t="n">
        <f aca="false">DATE(LEFT(Raw!G823,4),MID(Raw!G823,6,2),MID(Raw!G823,9,2))</f>
        <v>45778</v>
      </c>
      <c r="L823" s="30" t="n">
        <f aca="false">DATE(LEFT(Raw!H823,4),MID(Raw!H823,6,2),MID(Raw!H823,9,2))</f>
        <v>45779</v>
      </c>
      <c r="M823" s="30" t="n">
        <f aca="false">DATE(LEFT(Raw!I823,4),MID(Raw!I823,6,2),MID(Raw!I823,9,2))</f>
        <v>45781</v>
      </c>
      <c r="N823" s="31" t="n">
        <f aca="false">DATE(LEFT(Raw!J823,4),MID(Raw!J823,6,2),MID(Raw!J823,9,2))+TIME(MID(Raw!J823,12,2),MID(Raw!J823,15,2),MID(Raw!J823,18,2))</f>
        <v>45779.2083333333</v>
      </c>
      <c r="O823" s="31" t="n">
        <f aca="false">DATE(LEFT(Raw!K823,4),MID(Raw!K823,6,2),MID(Raw!K823,9,2))+TIME(MID(Raw!K823,12,2),MID(Raw!K823,15,2),MID(Raw!K823,18,2))</f>
        <v>45780.3</v>
      </c>
      <c r="P823" s="32" t="n">
        <f aca="false">L823-K823</f>
        <v>1</v>
      </c>
      <c r="Q823" s="32" t="n">
        <f aca="false">M823-L823</f>
        <v>2</v>
      </c>
      <c r="R823" s="32" t="n">
        <f aca="false">O823-N823</f>
        <v>1.09166666666667</v>
      </c>
      <c r="S823" s="32" t="n">
        <f aca="false">Raw!L823</f>
        <v>-0.7</v>
      </c>
      <c r="T823" s="32" t="n">
        <f aca="false">O823-M823</f>
        <v>-0.7</v>
      </c>
      <c r="U823" s="0" t="str">
        <f aca="false">IF(ABS(T823-S823)&lt;0.01,"OK","MISMATCH")</f>
        <v>OK</v>
      </c>
      <c r="V823" s="33" t="n">
        <f aca="false">Raw!M823</f>
        <v>0</v>
      </c>
      <c r="W823" s="0" t="str">
        <f aca="false">IF((S823&gt;0)=(V823=1),"OK","MISMATCH")</f>
        <v>OK</v>
      </c>
      <c r="X823" s="0" t="str">
        <f aca="false">_xlfn.IFS(S823&lt;=0,"Early/On time",S823&lt;=2,"Minor (up to 2 days)",S823&lt;=5,"Moderate (2-5 days)",TRUE(),"Severe (over 5 days)")</f>
        <v>Early/On time</v>
      </c>
      <c r="Y823" s="0" t="str">
        <f aca="false">YEAR(K823)&amp;"-"&amp;TEXT(MONTH(K823),"00")</f>
        <v>2025-05</v>
      </c>
      <c r="Z823" s="0" t="str">
        <f aca="false">C823&amp;" → "&amp;D823</f>
        <v>Punjab → Surat</v>
      </c>
      <c r="AA823" s="0" t="str">
        <f aca="false">Raw!Q823</f>
        <v>GATI Logistics</v>
      </c>
      <c r="AB823" s="0" t="str">
        <f aca="false">Raw!R823</f>
        <v>No</v>
      </c>
      <c r="AC823" s="0" t="str">
        <f aca="false">Raw!S823</f>
        <v>Held at warehouse</v>
      </c>
      <c r="AD823" s="29" t="n">
        <f aca="false">Raw!N823</f>
        <v>4538.62</v>
      </c>
      <c r="AE823" s="29" t="n">
        <f aca="false">Raw!O823</f>
        <v>2962.45</v>
      </c>
      <c r="AF823" s="29" t="n">
        <f aca="false">Raw!P823</f>
        <v>1348.77</v>
      </c>
      <c r="AG823" s="29" t="n">
        <f aca="false">AD823/J823</f>
        <v>646.527065527066</v>
      </c>
    </row>
    <row r="824" customFormat="false" ht="15" hidden="false" customHeight="false" outlineLevel="0" collapsed="false">
      <c r="A824" s="0" t="str">
        <f aca="false">Raw!A824</f>
        <v>SHP0823</v>
      </c>
      <c r="B824" s="0" t="str">
        <f aca="false">Raw!B824</f>
        <v>Inbound</v>
      </c>
      <c r="C824" s="0" t="str">
        <f aca="false">Raw!C824</f>
        <v>Punjab</v>
      </c>
      <c r="D824" s="0" t="str">
        <f aca="false">Raw!D824</f>
        <v>Surat</v>
      </c>
      <c r="E824" s="0" t="str">
        <f aca="false">IFERROR(INDEX(Location_Map!$B$2:$B$15,MATCH(C824,Location_Map!$A$2:$A$15,0)),"UNMAPPED")</f>
        <v>Punjab</v>
      </c>
      <c r="F824" s="0" t="str">
        <f aca="false">IFERROR(INDEX(Location_Map!$C$2:$C$15,MATCH(C824,Location_Map!$A$2:$A$15,0)),"UNMAPPED")</f>
        <v>North</v>
      </c>
      <c r="G824" s="0" t="str">
        <f aca="false">IFERROR(INDEX(Location_Map!$B$2:$B$15,MATCH(D824,Location_Map!$A$2:$A$15,0)),"UNMAPPED")</f>
        <v>Gujarat</v>
      </c>
      <c r="H824" s="0" t="str">
        <f aca="false">IFERROR(INDEX(Location_Map!$C$2:$C$15,MATCH(D824,Location_Map!$A$2:$A$15,0)),"UNMAPPED")</f>
        <v>West</v>
      </c>
      <c r="I824" s="0" t="str">
        <f aca="false">Raw!E824</f>
        <v>Finished Yarn</v>
      </c>
      <c r="J824" s="28" t="n">
        <f aca="false">Raw!F824</f>
        <v>14.42</v>
      </c>
      <c r="K824" s="30" t="n">
        <f aca="false">DATE(LEFT(Raw!G824,4),MID(Raw!G824,6,2),MID(Raw!G824,9,2))</f>
        <v>45805</v>
      </c>
      <c r="L824" s="30" t="n">
        <f aca="false">DATE(LEFT(Raw!H824,4),MID(Raw!H824,6,2),MID(Raw!H824,9,2))</f>
        <v>45807</v>
      </c>
      <c r="M824" s="30" t="n">
        <f aca="false">DATE(LEFT(Raw!I824,4),MID(Raw!I824,6,2),MID(Raw!I824,9,2))</f>
        <v>45812</v>
      </c>
      <c r="N824" s="31" t="n">
        <f aca="false">DATE(LEFT(Raw!J824,4),MID(Raw!J824,6,2),MID(Raw!J824,9,2))+TIME(MID(Raw!J824,12,2),MID(Raw!J824,15,2),MID(Raw!J824,18,2))</f>
        <v>45806.875</v>
      </c>
      <c r="O824" s="31" t="n">
        <f aca="false">DATE(LEFT(Raw!K824,4),MID(Raw!K824,6,2),MID(Raw!K824,9,2))+TIME(MID(Raw!K824,12,2),MID(Raw!K824,15,2),MID(Raw!K824,18,2))</f>
        <v>45811</v>
      </c>
      <c r="P824" s="32" t="n">
        <f aca="false">L824-K824</f>
        <v>2</v>
      </c>
      <c r="Q824" s="32" t="n">
        <f aca="false">M824-L824</f>
        <v>5</v>
      </c>
      <c r="R824" s="32" t="n">
        <f aca="false">O824-N824</f>
        <v>4.125</v>
      </c>
      <c r="S824" s="32" t="n">
        <f aca="false">Raw!L824</f>
        <v>-1</v>
      </c>
      <c r="T824" s="32" t="n">
        <f aca="false">O824-M824</f>
        <v>-1</v>
      </c>
      <c r="U824" s="0" t="str">
        <f aca="false">IF(ABS(T824-S824)&lt;0.01,"OK","MISMATCH")</f>
        <v>OK</v>
      </c>
      <c r="V824" s="33" t="n">
        <f aca="false">Raw!M824</f>
        <v>0</v>
      </c>
      <c r="W824" s="0" t="str">
        <f aca="false">IF((S824&gt;0)=(V824=1),"OK","MISMATCH")</f>
        <v>OK</v>
      </c>
      <c r="X824" s="0" t="str">
        <f aca="false">_xlfn.IFS(S824&lt;=0,"Early/On time",S824&lt;=2,"Minor (up to 2 days)",S824&lt;=5,"Moderate (2-5 days)",TRUE(),"Severe (over 5 days)")</f>
        <v>Early/On time</v>
      </c>
      <c r="Y824" s="0" t="str">
        <f aca="false">YEAR(K824)&amp;"-"&amp;TEXT(MONTH(K824),"00")</f>
        <v>2025-05</v>
      </c>
      <c r="Z824" s="0" t="str">
        <f aca="false">C824&amp;" → "&amp;D824</f>
        <v>Punjab → Surat</v>
      </c>
      <c r="AA824" s="0" t="str">
        <f aca="false">Raw!Q824</f>
        <v>Delhivery</v>
      </c>
      <c r="AB824" s="0" t="str">
        <f aca="false">Raw!R824</f>
        <v>No</v>
      </c>
      <c r="AC824" s="0" t="str">
        <f aca="false">Raw!S824</f>
        <v>Held at warehouse</v>
      </c>
      <c r="AD824" s="29" t="n">
        <f aca="false">Raw!N824</f>
        <v>6876.64</v>
      </c>
      <c r="AE824" s="29" t="n">
        <f aca="false">Raw!O824</f>
        <v>1176.58</v>
      </c>
      <c r="AF824" s="29" t="n">
        <f aca="false">Raw!P824</f>
        <v>1492.09</v>
      </c>
      <c r="AG824" s="29" t="n">
        <f aca="false">AD824/J824</f>
        <v>476.882108183079</v>
      </c>
    </row>
    <row r="825" customFormat="false" ht="15" hidden="false" customHeight="false" outlineLevel="0" collapsed="false">
      <c r="A825" s="0" t="str">
        <f aca="false">Raw!A825</f>
        <v>SHP0824</v>
      </c>
      <c r="B825" s="0" t="str">
        <f aca="false">Raw!B825</f>
        <v>Inbound</v>
      </c>
      <c r="C825" s="0" t="str">
        <f aca="false">Raw!C825</f>
        <v>Gujarat</v>
      </c>
      <c r="D825" s="0" t="str">
        <f aca="false">Raw!D825</f>
        <v>Surat</v>
      </c>
      <c r="E825" s="0" t="str">
        <f aca="false">IFERROR(INDEX(Location_Map!$B$2:$B$15,MATCH(C825,Location_Map!$A$2:$A$15,0)),"UNMAPPED")</f>
        <v>Gujarat</v>
      </c>
      <c r="F825" s="0" t="str">
        <f aca="false">IFERROR(INDEX(Location_Map!$C$2:$C$15,MATCH(C825,Location_Map!$A$2:$A$15,0)),"UNMAPPED")</f>
        <v>West</v>
      </c>
      <c r="G825" s="0" t="str">
        <f aca="false">IFERROR(INDEX(Location_Map!$B$2:$B$15,MATCH(D825,Location_Map!$A$2:$A$15,0)),"UNMAPPED")</f>
        <v>Gujarat</v>
      </c>
      <c r="H825" s="0" t="str">
        <f aca="false">IFERROR(INDEX(Location_Map!$C$2:$C$15,MATCH(D825,Location_Map!$A$2:$A$15,0)),"UNMAPPED")</f>
        <v>West</v>
      </c>
      <c r="I825" s="0" t="str">
        <f aca="false">Raw!E825</f>
        <v>Semi-Processed Yarn</v>
      </c>
      <c r="J825" s="28" t="n">
        <f aca="false">Raw!F825</f>
        <v>3.48</v>
      </c>
      <c r="K825" s="30" t="n">
        <f aca="false">DATE(LEFT(Raw!G825,4),MID(Raw!G825,6,2),MID(Raw!G825,9,2))</f>
        <v>45896</v>
      </c>
      <c r="L825" s="30" t="n">
        <f aca="false">DATE(LEFT(Raw!H825,4),MID(Raw!H825,6,2),MID(Raw!H825,9,2))</f>
        <v>45898</v>
      </c>
      <c r="M825" s="30" t="n">
        <f aca="false">DATE(LEFT(Raw!I825,4),MID(Raw!I825,6,2),MID(Raw!I825,9,2))</f>
        <v>45902</v>
      </c>
      <c r="N825" s="31" t="n">
        <f aca="false">DATE(LEFT(Raw!J825,4),MID(Raw!J825,6,2),MID(Raw!J825,9,2))+TIME(MID(Raw!J825,12,2),MID(Raw!J825,15,2),MID(Raw!J825,18,2))</f>
        <v>45898.0833333333</v>
      </c>
      <c r="O825" s="31" t="n">
        <f aca="false">DATE(LEFT(Raw!K825,4),MID(Raw!K825,6,2),MID(Raw!K825,9,2))+TIME(MID(Raw!K825,12,2),MID(Raw!K825,15,2),MID(Raw!K825,18,2))</f>
        <v>45901.3</v>
      </c>
      <c r="P825" s="32" t="n">
        <f aca="false">L825-K825</f>
        <v>2</v>
      </c>
      <c r="Q825" s="32" t="n">
        <f aca="false">M825-L825</f>
        <v>4</v>
      </c>
      <c r="R825" s="32" t="n">
        <f aca="false">O825-N825</f>
        <v>3.21666666666667</v>
      </c>
      <c r="S825" s="32" t="n">
        <f aca="false">Raw!L825</f>
        <v>-0.7</v>
      </c>
      <c r="T825" s="32" t="n">
        <f aca="false">O825-M825</f>
        <v>-0.7</v>
      </c>
      <c r="U825" s="0" t="str">
        <f aca="false">IF(ABS(T825-S825)&lt;0.01,"OK","MISMATCH")</f>
        <v>OK</v>
      </c>
      <c r="V825" s="33" t="n">
        <f aca="false">Raw!M825</f>
        <v>0</v>
      </c>
      <c r="W825" s="0" t="str">
        <f aca="false">IF((S825&gt;0)=(V825=1),"OK","MISMATCH")</f>
        <v>OK</v>
      </c>
      <c r="X825" s="0" t="str">
        <f aca="false">_xlfn.IFS(S825&lt;=0,"Early/On time",S825&lt;=2,"Minor (up to 2 days)",S825&lt;=5,"Moderate (2-5 days)",TRUE(),"Severe (over 5 days)")</f>
        <v>Early/On time</v>
      </c>
      <c r="Y825" s="0" t="str">
        <f aca="false">YEAR(K825)&amp;"-"&amp;TEXT(MONTH(K825),"00")</f>
        <v>2025-08</v>
      </c>
      <c r="Z825" s="0" t="str">
        <f aca="false">C825&amp;" → "&amp;D825</f>
        <v>Gujarat → Surat</v>
      </c>
      <c r="AA825" s="0" t="str">
        <f aca="false">Raw!Q825</f>
        <v>Delhivery</v>
      </c>
      <c r="AB825" s="0" t="str">
        <f aca="false">Raw!R825</f>
        <v>Yes</v>
      </c>
      <c r="AC825" s="0" t="str">
        <f aca="false">Raw!S825</f>
        <v>Returned</v>
      </c>
      <c r="AD825" s="29" t="n">
        <f aca="false">Raw!N825</f>
        <v>2501.97</v>
      </c>
      <c r="AE825" s="29" t="n">
        <f aca="false">Raw!O825</f>
        <v>1197.2</v>
      </c>
      <c r="AF825" s="29" t="n">
        <f aca="false">Raw!P825</f>
        <v>502.35</v>
      </c>
      <c r="AG825" s="29" t="n">
        <f aca="false">AD825/J825</f>
        <v>718.956896551724</v>
      </c>
    </row>
    <row r="826" customFormat="false" ht="15" hidden="false" customHeight="false" outlineLevel="0" collapsed="false">
      <c r="A826" s="0" t="str">
        <f aca="false">Raw!A826</f>
        <v>SHP0825</v>
      </c>
      <c r="B826" s="0" t="str">
        <f aca="false">Raw!B826</f>
        <v>Inbound</v>
      </c>
      <c r="C826" s="0" t="str">
        <f aca="false">Raw!C826</f>
        <v>Uttar Pradesh</v>
      </c>
      <c r="D826" s="0" t="str">
        <f aca="false">Raw!D826</f>
        <v>Surat</v>
      </c>
      <c r="E826" s="0" t="str">
        <f aca="false">IFERROR(INDEX(Location_Map!$B$2:$B$15,MATCH(C826,Location_Map!$A$2:$A$15,0)),"UNMAPPED")</f>
        <v>Uttar Pradesh</v>
      </c>
      <c r="F826" s="0" t="str">
        <f aca="false">IFERROR(INDEX(Location_Map!$C$2:$C$15,MATCH(C826,Location_Map!$A$2:$A$15,0)),"UNMAPPED")</f>
        <v>North</v>
      </c>
      <c r="G826" s="0" t="str">
        <f aca="false">IFERROR(INDEX(Location_Map!$B$2:$B$15,MATCH(D826,Location_Map!$A$2:$A$15,0)),"UNMAPPED")</f>
        <v>Gujarat</v>
      </c>
      <c r="H826" s="0" t="str">
        <f aca="false">IFERROR(INDEX(Location_Map!$C$2:$C$15,MATCH(D826,Location_Map!$A$2:$A$15,0)),"UNMAPPED")</f>
        <v>West</v>
      </c>
      <c r="I826" s="0" t="str">
        <f aca="false">Raw!E826</f>
        <v>Raw Yarn</v>
      </c>
      <c r="J826" s="28" t="n">
        <f aca="false">Raw!F826</f>
        <v>5.65</v>
      </c>
      <c r="K826" s="30" t="n">
        <f aca="false">DATE(LEFT(Raw!G826,4),MID(Raw!G826,6,2),MID(Raw!G826,9,2))</f>
        <v>45862</v>
      </c>
      <c r="L826" s="30" t="n">
        <f aca="false">DATE(LEFT(Raw!H826,4),MID(Raw!H826,6,2),MID(Raw!H826,9,2))</f>
        <v>45863</v>
      </c>
      <c r="M826" s="30" t="n">
        <f aca="false">DATE(LEFT(Raw!I826,4),MID(Raw!I826,6,2),MID(Raw!I826,9,2))</f>
        <v>45867</v>
      </c>
      <c r="N826" s="31" t="n">
        <f aca="false">DATE(LEFT(Raw!J826,4),MID(Raw!J826,6,2),MID(Raw!J826,9,2))+TIME(MID(Raw!J826,12,2),MID(Raw!J826,15,2),MID(Raw!J826,18,2))</f>
        <v>45863.0416666667</v>
      </c>
      <c r="O826" s="31" t="n">
        <f aca="false">DATE(LEFT(Raw!K826,4),MID(Raw!K826,6,2),MID(Raw!K826,9,2))+TIME(MID(Raw!K826,12,2),MID(Raw!K826,15,2),MID(Raw!K826,18,2))</f>
        <v>45866.6</v>
      </c>
      <c r="P826" s="32" t="n">
        <f aca="false">L826-K826</f>
        <v>1</v>
      </c>
      <c r="Q826" s="32" t="n">
        <f aca="false">M826-L826</f>
        <v>4</v>
      </c>
      <c r="R826" s="32" t="n">
        <f aca="false">O826-N826</f>
        <v>3.55833333333333</v>
      </c>
      <c r="S826" s="32" t="n">
        <f aca="false">Raw!L826</f>
        <v>-0.4</v>
      </c>
      <c r="T826" s="32" t="n">
        <f aca="false">O826-M826</f>
        <v>-0.400000000002917</v>
      </c>
      <c r="U826" s="0" t="str">
        <f aca="false">IF(ABS(T826-S826)&lt;0.01,"OK","MISMATCH")</f>
        <v>OK</v>
      </c>
      <c r="V826" s="33" t="n">
        <f aca="false">Raw!M826</f>
        <v>0</v>
      </c>
      <c r="W826" s="0" t="str">
        <f aca="false">IF((S826&gt;0)=(V826=1),"OK","MISMATCH")</f>
        <v>OK</v>
      </c>
      <c r="X826" s="0" t="str">
        <f aca="false">_xlfn.IFS(S826&lt;=0,"Early/On time",S826&lt;=2,"Minor (up to 2 days)",S826&lt;=5,"Moderate (2-5 days)",TRUE(),"Severe (over 5 days)")</f>
        <v>Early/On time</v>
      </c>
      <c r="Y826" s="0" t="str">
        <f aca="false">YEAR(K826)&amp;"-"&amp;TEXT(MONTH(K826),"00")</f>
        <v>2025-07</v>
      </c>
      <c r="Z826" s="0" t="str">
        <f aca="false">C826&amp;" → "&amp;D826</f>
        <v>Uttar Pradesh → Surat</v>
      </c>
      <c r="AA826" s="0" t="str">
        <f aca="false">Raw!Q826</f>
        <v>BlueDart</v>
      </c>
      <c r="AB826" s="0" t="str">
        <f aca="false">Raw!R826</f>
        <v>No</v>
      </c>
      <c r="AC826" s="0" t="str">
        <f aca="false">Raw!S826</f>
        <v>Held at warehouse</v>
      </c>
      <c r="AD826" s="29" t="n">
        <f aca="false">Raw!N826</f>
        <v>3086.41</v>
      </c>
      <c r="AE826" s="29" t="n">
        <f aca="false">Raw!O826</f>
        <v>1318.35</v>
      </c>
      <c r="AF826" s="29" t="n">
        <f aca="false">Raw!P826</f>
        <v>1440.4</v>
      </c>
      <c r="AG826" s="29" t="n">
        <f aca="false">AD826/J826</f>
        <v>546.267256637168</v>
      </c>
    </row>
    <row r="827" customFormat="false" ht="15" hidden="false" customHeight="false" outlineLevel="0" collapsed="false">
      <c r="A827" s="0" t="str">
        <f aca="false">Raw!A827</f>
        <v>SHP0826</v>
      </c>
      <c r="B827" s="0" t="str">
        <f aca="false">Raw!B827</f>
        <v>Outbound</v>
      </c>
      <c r="C827" s="0" t="str">
        <f aca="false">Raw!C827</f>
        <v>Surat</v>
      </c>
      <c r="D827" s="0" t="str">
        <f aca="false">Raw!D827</f>
        <v>Jaipur</v>
      </c>
      <c r="E827" s="0" t="str">
        <f aca="false">IFERROR(INDEX(Location_Map!$B$2:$B$15,MATCH(C827,Location_Map!$A$2:$A$15,0)),"UNMAPPED")</f>
        <v>Gujarat</v>
      </c>
      <c r="F827" s="0" t="str">
        <f aca="false">IFERROR(INDEX(Location_Map!$C$2:$C$15,MATCH(C827,Location_Map!$A$2:$A$15,0)),"UNMAPPED")</f>
        <v>West</v>
      </c>
      <c r="G827" s="0" t="str">
        <f aca="false">IFERROR(INDEX(Location_Map!$B$2:$B$15,MATCH(D827,Location_Map!$A$2:$A$15,0)),"UNMAPPED")</f>
        <v>Rajasthan</v>
      </c>
      <c r="H827" s="0" t="str">
        <f aca="false">IFERROR(INDEX(Location_Map!$C$2:$C$15,MATCH(D827,Location_Map!$A$2:$A$15,0)),"UNMAPPED")</f>
        <v>North</v>
      </c>
      <c r="I827" s="0" t="str">
        <f aca="false">Raw!E827</f>
        <v>Finished Yarn</v>
      </c>
      <c r="J827" s="28" t="n">
        <f aca="false">Raw!F827</f>
        <v>5.95</v>
      </c>
      <c r="K827" s="30" t="n">
        <f aca="false">DATE(LEFT(Raw!G827,4),MID(Raw!G827,6,2),MID(Raw!G827,9,2))</f>
        <v>45914</v>
      </c>
      <c r="L827" s="30" t="n">
        <f aca="false">DATE(LEFT(Raw!H827,4),MID(Raw!H827,6,2),MID(Raw!H827,9,2))</f>
        <v>45918</v>
      </c>
      <c r="M827" s="30" t="n">
        <f aca="false">DATE(LEFT(Raw!I827,4),MID(Raw!I827,6,2),MID(Raw!I827,9,2))</f>
        <v>45920</v>
      </c>
      <c r="N827" s="31" t="n">
        <f aca="false">DATE(LEFT(Raw!J827,4),MID(Raw!J827,6,2),MID(Raw!J827,9,2))+TIME(MID(Raw!J827,12,2),MID(Raw!J827,15,2),MID(Raw!J827,18,2))</f>
        <v>45917.9166666667</v>
      </c>
      <c r="O827" s="31" t="n">
        <f aca="false">DATE(LEFT(Raw!K827,4),MID(Raw!K827,6,2),MID(Raw!K827,9,2))+TIME(MID(Raw!K827,12,2),MID(Raw!K827,15,2),MID(Raw!K827,18,2))</f>
        <v>45922.9</v>
      </c>
      <c r="P827" s="32" t="n">
        <f aca="false">L827-K827</f>
        <v>4</v>
      </c>
      <c r="Q827" s="32" t="n">
        <f aca="false">M827-L827</f>
        <v>2</v>
      </c>
      <c r="R827" s="32" t="n">
        <f aca="false">O827-N827</f>
        <v>4.98333333333333</v>
      </c>
      <c r="S827" s="32" t="n">
        <f aca="false">Raw!L827</f>
        <v>2.9</v>
      </c>
      <c r="T827" s="32" t="n">
        <f aca="false">O827-M827</f>
        <v>2.9</v>
      </c>
      <c r="U827" s="0" t="str">
        <f aca="false">IF(ABS(T827-S827)&lt;0.01,"OK","MISMATCH")</f>
        <v>OK</v>
      </c>
      <c r="V827" s="33" t="n">
        <f aca="false">Raw!M827</f>
        <v>1</v>
      </c>
      <c r="W827" s="0" t="str">
        <f aca="false">IF((S827&gt;0)=(V827=1),"OK","MISMATCH")</f>
        <v>OK</v>
      </c>
      <c r="X827" s="0" t="str">
        <f aca="false">_xlfn.IFS(S827&lt;=0,"Early/On time",S827&lt;=2,"Minor (up to 2 days)",S827&lt;=5,"Moderate (2-5 days)",TRUE(),"Severe (over 5 days)")</f>
        <v>Moderate (2-5 days)</v>
      </c>
      <c r="Y827" s="0" t="str">
        <f aca="false">YEAR(K827)&amp;"-"&amp;TEXT(MONTH(K827),"00")</f>
        <v>2025-09</v>
      </c>
      <c r="Z827" s="0" t="str">
        <f aca="false">C827&amp;" → "&amp;D827</f>
        <v>Surat → Jaipur</v>
      </c>
      <c r="AA827" s="0" t="str">
        <f aca="false">Raw!Q827</f>
        <v>TCI Express</v>
      </c>
      <c r="AB827" s="0" t="str">
        <f aca="false">Raw!R827</f>
        <v>Yes</v>
      </c>
      <c r="AC827" s="0" t="str">
        <f aca="false">Raw!S827</f>
        <v>Damaged</v>
      </c>
      <c r="AD827" s="29" t="n">
        <f aca="false">Raw!N827</f>
        <v>4894.69</v>
      </c>
      <c r="AE827" s="29" t="n">
        <f aca="false">Raw!O827</f>
        <v>3386.89</v>
      </c>
      <c r="AF827" s="29" t="n">
        <f aca="false">Raw!P827</f>
        <v>837.2</v>
      </c>
      <c r="AG827" s="29" t="n">
        <f aca="false">AD827/J827</f>
        <v>822.636974789916</v>
      </c>
    </row>
    <row r="828" customFormat="false" ht="15" hidden="false" customHeight="false" outlineLevel="0" collapsed="false">
      <c r="A828" s="0" t="str">
        <f aca="false">Raw!A828</f>
        <v>SHP0827</v>
      </c>
      <c r="B828" s="0" t="str">
        <f aca="false">Raw!B828</f>
        <v>Outbound</v>
      </c>
      <c r="C828" s="0" t="str">
        <f aca="false">Raw!C828</f>
        <v>Surat</v>
      </c>
      <c r="D828" s="0" t="str">
        <f aca="false">Raw!D828</f>
        <v>Jaipur</v>
      </c>
      <c r="E828" s="0" t="str">
        <f aca="false">IFERROR(INDEX(Location_Map!$B$2:$B$15,MATCH(C828,Location_Map!$A$2:$A$15,0)),"UNMAPPED")</f>
        <v>Gujarat</v>
      </c>
      <c r="F828" s="0" t="str">
        <f aca="false">IFERROR(INDEX(Location_Map!$C$2:$C$15,MATCH(C828,Location_Map!$A$2:$A$15,0)),"UNMAPPED")</f>
        <v>West</v>
      </c>
      <c r="G828" s="0" t="str">
        <f aca="false">IFERROR(INDEX(Location_Map!$B$2:$B$15,MATCH(D828,Location_Map!$A$2:$A$15,0)),"UNMAPPED")</f>
        <v>Rajasthan</v>
      </c>
      <c r="H828" s="0" t="str">
        <f aca="false">IFERROR(INDEX(Location_Map!$C$2:$C$15,MATCH(D828,Location_Map!$A$2:$A$15,0)),"UNMAPPED")</f>
        <v>North</v>
      </c>
      <c r="I828" s="0" t="str">
        <f aca="false">Raw!E828</f>
        <v>Finished Yarn</v>
      </c>
      <c r="J828" s="28" t="n">
        <f aca="false">Raw!F828</f>
        <v>5.99</v>
      </c>
      <c r="K828" s="30" t="n">
        <f aca="false">DATE(LEFT(Raw!G828,4),MID(Raw!G828,6,2),MID(Raw!G828,9,2))</f>
        <v>45694</v>
      </c>
      <c r="L828" s="30" t="n">
        <f aca="false">DATE(LEFT(Raw!H828,4),MID(Raw!H828,6,2),MID(Raw!H828,9,2))</f>
        <v>45697</v>
      </c>
      <c r="M828" s="30" t="n">
        <f aca="false">DATE(LEFT(Raw!I828,4),MID(Raw!I828,6,2),MID(Raw!I828,9,2))</f>
        <v>45703</v>
      </c>
      <c r="N828" s="31" t="n">
        <f aca="false">DATE(LEFT(Raw!J828,4),MID(Raw!J828,6,2),MID(Raw!J828,9,2))+TIME(MID(Raw!J828,12,2),MID(Raw!J828,15,2),MID(Raw!J828,18,2))</f>
        <v>45697</v>
      </c>
      <c r="O828" s="31" t="n">
        <f aca="false">DATE(LEFT(Raw!K828,4),MID(Raw!K828,6,2),MID(Raw!K828,9,2))+TIME(MID(Raw!K828,12,2),MID(Raw!K828,15,2),MID(Raw!K828,18,2))</f>
        <v>45705.3</v>
      </c>
      <c r="P828" s="32" t="n">
        <f aca="false">L828-K828</f>
        <v>3</v>
      </c>
      <c r="Q828" s="32" t="n">
        <f aca="false">M828-L828</f>
        <v>6</v>
      </c>
      <c r="R828" s="32" t="n">
        <f aca="false">O828-N828</f>
        <v>8.3</v>
      </c>
      <c r="S828" s="32" t="n">
        <f aca="false">Raw!L828</f>
        <v>2.3</v>
      </c>
      <c r="T828" s="32" t="n">
        <f aca="false">O828-M828</f>
        <v>2.3</v>
      </c>
      <c r="U828" s="0" t="str">
        <f aca="false">IF(ABS(T828-S828)&lt;0.01,"OK","MISMATCH")</f>
        <v>OK</v>
      </c>
      <c r="V828" s="33" t="n">
        <f aca="false">Raw!M828</f>
        <v>1</v>
      </c>
      <c r="W828" s="0" t="str">
        <f aca="false">IF((S828&gt;0)=(V828=1),"OK","MISMATCH")</f>
        <v>OK</v>
      </c>
      <c r="X828" s="0" t="str">
        <f aca="false">_xlfn.IFS(S828&lt;=0,"Early/On time",S828&lt;=2,"Minor (up to 2 days)",S828&lt;=5,"Moderate (2-5 days)",TRUE(),"Severe (over 5 days)")</f>
        <v>Moderate (2-5 days)</v>
      </c>
      <c r="Y828" s="0" t="str">
        <f aca="false">YEAR(K828)&amp;"-"&amp;TEXT(MONTH(K828),"00")</f>
        <v>2025-02</v>
      </c>
      <c r="Z828" s="0" t="str">
        <f aca="false">C828&amp;" → "&amp;D828</f>
        <v>Surat → Jaipur</v>
      </c>
      <c r="AA828" s="0" t="str">
        <f aca="false">Raw!Q828</f>
        <v>VRL Cargo</v>
      </c>
      <c r="AB828" s="0" t="str">
        <f aca="false">Raw!R828</f>
        <v>Yes</v>
      </c>
      <c r="AC828" s="0" t="str">
        <f aca="false">Raw!S828</f>
        <v>Held at warehouse</v>
      </c>
      <c r="AD828" s="29" t="n">
        <f aca="false">Raw!N828</f>
        <v>3492.09</v>
      </c>
      <c r="AE828" s="29" t="n">
        <f aca="false">Raw!O828</f>
        <v>2525.64</v>
      </c>
      <c r="AF828" s="29" t="n">
        <f aca="false">Raw!P828</f>
        <v>640.87</v>
      </c>
      <c r="AG828" s="29" t="n">
        <f aca="false">AD828/J828</f>
        <v>582.986644407346</v>
      </c>
    </row>
    <row r="829" customFormat="false" ht="15" hidden="false" customHeight="false" outlineLevel="0" collapsed="false">
      <c r="A829" s="0" t="str">
        <f aca="false">Raw!A829</f>
        <v>SHP0828</v>
      </c>
      <c r="B829" s="0" t="str">
        <f aca="false">Raw!B829</f>
        <v>Inbound</v>
      </c>
      <c r="C829" s="0" t="str">
        <f aca="false">Raw!C829</f>
        <v>Uttar Pradesh</v>
      </c>
      <c r="D829" s="0" t="str">
        <f aca="false">Raw!D829</f>
        <v>Surat</v>
      </c>
      <c r="E829" s="0" t="str">
        <f aca="false">IFERROR(INDEX(Location_Map!$B$2:$B$15,MATCH(C829,Location_Map!$A$2:$A$15,0)),"UNMAPPED")</f>
        <v>Uttar Pradesh</v>
      </c>
      <c r="F829" s="0" t="str">
        <f aca="false">IFERROR(INDEX(Location_Map!$C$2:$C$15,MATCH(C829,Location_Map!$A$2:$A$15,0)),"UNMAPPED")</f>
        <v>North</v>
      </c>
      <c r="G829" s="0" t="str">
        <f aca="false">IFERROR(INDEX(Location_Map!$B$2:$B$15,MATCH(D829,Location_Map!$A$2:$A$15,0)),"UNMAPPED")</f>
        <v>Gujarat</v>
      </c>
      <c r="H829" s="0" t="str">
        <f aca="false">IFERROR(INDEX(Location_Map!$C$2:$C$15,MATCH(D829,Location_Map!$A$2:$A$15,0)),"UNMAPPED")</f>
        <v>West</v>
      </c>
      <c r="I829" s="0" t="str">
        <f aca="false">Raw!E829</f>
        <v>Finished Yarn</v>
      </c>
      <c r="J829" s="28" t="n">
        <f aca="false">Raw!F829</f>
        <v>12.87</v>
      </c>
      <c r="K829" s="30" t="n">
        <f aca="false">DATE(LEFT(Raw!G829,4),MID(Raw!G829,6,2),MID(Raw!G829,9,2))</f>
        <v>45876</v>
      </c>
      <c r="L829" s="30" t="n">
        <f aca="false">DATE(LEFT(Raw!H829,4),MID(Raw!H829,6,2),MID(Raw!H829,9,2))</f>
        <v>45880</v>
      </c>
      <c r="M829" s="30" t="n">
        <f aca="false">DATE(LEFT(Raw!I829,4),MID(Raw!I829,6,2),MID(Raw!I829,9,2))</f>
        <v>45886</v>
      </c>
      <c r="N829" s="31" t="n">
        <f aca="false">DATE(LEFT(Raw!J829,4),MID(Raw!J829,6,2),MID(Raw!J829,9,2))+TIME(MID(Raw!J829,12,2),MID(Raw!J829,15,2),MID(Raw!J829,18,2))</f>
        <v>45879.8333333333</v>
      </c>
      <c r="O829" s="31" t="n">
        <f aca="false">DATE(LEFT(Raw!K829,4),MID(Raw!K829,6,2),MID(Raw!K829,9,2))+TIME(MID(Raw!K829,12,2),MID(Raw!K829,15,2),MID(Raw!K829,18,2))</f>
        <v>45886.2</v>
      </c>
      <c r="P829" s="32" t="n">
        <f aca="false">L829-K829</f>
        <v>4</v>
      </c>
      <c r="Q829" s="32" t="n">
        <f aca="false">M829-L829</f>
        <v>6</v>
      </c>
      <c r="R829" s="32" t="n">
        <f aca="false">O829-N829</f>
        <v>6.36666666666667</v>
      </c>
      <c r="S829" s="32" t="n">
        <f aca="false">Raw!L829</f>
        <v>0.2</v>
      </c>
      <c r="T829" s="32" t="n">
        <f aca="false">O829-M829</f>
        <v>0.2</v>
      </c>
      <c r="U829" s="0" t="str">
        <f aca="false">IF(ABS(T829-S829)&lt;0.01,"OK","MISMATCH")</f>
        <v>OK</v>
      </c>
      <c r="V829" s="33" t="n">
        <f aca="false">Raw!M829</f>
        <v>1</v>
      </c>
      <c r="W829" s="0" t="str">
        <f aca="false">IF((S829&gt;0)=(V829=1),"OK","MISMATCH")</f>
        <v>OK</v>
      </c>
      <c r="X829" s="0" t="str">
        <f aca="false">_xlfn.IFS(S829&lt;=0,"Early/On time",S829&lt;=2,"Minor (up to 2 days)",S829&lt;=5,"Moderate (2-5 days)",TRUE(),"Severe (over 5 days)")</f>
        <v>Minor (up to 2 days)</v>
      </c>
      <c r="Y829" s="0" t="str">
        <f aca="false">YEAR(K829)&amp;"-"&amp;TEXT(MONTH(K829),"00")</f>
        <v>2025-08</v>
      </c>
      <c r="Z829" s="0" t="str">
        <f aca="false">C829&amp;" → "&amp;D829</f>
        <v>Uttar Pradesh → Surat</v>
      </c>
      <c r="AA829" s="0" t="str">
        <f aca="false">Raw!Q829</f>
        <v>TCI Express</v>
      </c>
      <c r="AB829" s="0" t="str">
        <f aca="false">Raw!R829</f>
        <v>Yes</v>
      </c>
      <c r="AC829" s="0" t="str">
        <f aca="false">Raw!S829</f>
        <v>Normal</v>
      </c>
      <c r="AD829" s="29" t="n">
        <f aca="false">Raw!N829</f>
        <v>6114.95</v>
      </c>
      <c r="AE829" s="29" t="n">
        <f aca="false">Raw!O829</f>
        <v>3412.06</v>
      </c>
      <c r="AF829" s="29" t="n">
        <f aca="false">Raw!P829</f>
        <v>557.13</v>
      </c>
      <c r="AG829" s="29" t="n">
        <f aca="false">AD829/J829</f>
        <v>475.13209013209</v>
      </c>
    </row>
    <row r="830" customFormat="false" ht="15" hidden="false" customHeight="false" outlineLevel="0" collapsed="false">
      <c r="A830" s="0" t="str">
        <f aca="false">Raw!A830</f>
        <v>SHP0829</v>
      </c>
      <c r="B830" s="0" t="str">
        <f aca="false">Raw!B830</f>
        <v>Inbound</v>
      </c>
      <c r="C830" s="0" t="str">
        <f aca="false">Raw!C830</f>
        <v>Chennai</v>
      </c>
      <c r="D830" s="0" t="str">
        <f aca="false">Raw!D830</f>
        <v>Surat</v>
      </c>
      <c r="E830" s="0" t="str">
        <f aca="false">IFERROR(INDEX(Location_Map!$B$2:$B$15,MATCH(C830,Location_Map!$A$2:$A$15,0)),"UNMAPPED")</f>
        <v>Tamil Nadu</v>
      </c>
      <c r="F830" s="0" t="str">
        <f aca="false">IFERROR(INDEX(Location_Map!$C$2:$C$15,MATCH(C830,Location_Map!$A$2:$A$15,0)),"UNMAPPED")</f>
        <v>South</v>
      </c>
      <c r="G830" s="0" t="str">
        <f aca="false">IFERROR(INDEX(Location_Map!$B$2:$B$15,MATCH(D830,Location_Map!$A$2:$A$15,0)),"UNMAPPED")</f>
        <v>Gujarat</v>
      </c>
      <c r="H830" s="0" t="str">
        <f aca="false">IFERROR(INDEX(Location_Map!$C$2:$C$15,MATCH(D830,Location_Map!$A$2:$A$15,0)),"UNMAPPED")</f>
        <v>West</v>
      </c>
      <c r="I830" s="0" t="str">
        <f aca="false">Raw!E830</f>
        <v>Semi-Processed Yarn</v>
      </c>
      <c r="J830" s="28" t="n">
        <f aca="false">Raw!F830</f>
        <v>17.98</v>
      </c>
      <c r="K830" s="30" t="n">
        <f aca="false">DATE(LEFT(Raw!G830,4),MID(Raw!G830,6,2),MID(Raw!G830,9,2))</f>
        <v>45816</v>
      </c>
      <c r="L830" s="30" t="n">
        <f aca="false">DATE(LEFT(Raw!H830,4),MID(Raw!H830,6,2),MID(Raw!H830,9,2))</f>
        <v>45819</v>
      </c>
      <c r="M830" s="30" t="n">
        <f aca="false">DATE(LEFT(Raw!I830,4),MID(Raw!I830,6,2),MID(Raw!I830,9,2))</f>
        <v>45824</v>
      </c>
      <c r="N830" s="31" t="n">
        <f aca="false">DATE(LEFT(Raw!J830,4),MID(Raw!J830,6,2),MID(Raw!J830,9,2))+TIME(MID(Raw!J830,12,2),MID(Raw!J830,15,2),MID(Raw!J830,18,2))</f>
        <v>45819.0833333333</v>
      </c>
      <c r="O830" s="31" t="n">
        <f aca="false">DATE(LEFT(Raw!K830,4),MID(Raw!K830,6,2),MID(Raw!K830,9,2))+TIME(MID(Raw!K830,12,2),MID(Raw!K830,15,2),MID(Raw!K830,18,2))</f>
        <v>45827.4</v>
      </c>
      <c r="P830" s="32" t="n">
        <f aca="false">L830-K830</f>
        <v>3</v>
      </c>
      <c r="Q830" s="32" t="n">
        <f aca="false">M830-L830</f>
        <v>5</v>
      </c>
      <c r="R830" s="32" t="n">
        <f aca="false">O830-N830</f>
        <v>8.31666666666667</v>
      </c>
      <c r="S830" s="32" t="n">
        <f aca="false">Raw!L830</f>
        <v>3.4</v>
      </c>
      <c r="T830" s="32" t="n">
        <f aca="false">O830-M830</f>
        <v>3.4</v>
      </c>
      <c r="U830" s="0" t="str">
        <f aca="false">IF(ABS(T830-S830)&lt;0.01,"OK","MISMATCH")</f>
        <v>OK</v>
      </c>
      <c r="V830" s="33" t="n">
        <f aca="false">Raw!M830</f>
        <v>1</v>
      </c>
      <c r="W830" s="0" t="str">
        <f aca="false">IF((S830&gt;0)=(V830=1),"OK","MISMATCH")</f>
        <v>OK</v>
      </c>
      <c r="X830" s="0" t="str">
        <f aca="false">_xlfn.IFS(S830&lt;=0,"Early/On time",S830&lt;=2,"Minor (up to 2 days)",S830&lt;=5,"Moderate (2-5 days)",TRUE(),"Severe (over 5 days)")</f>
        <v>Moderate (2-5 days)</v>
      </c>
      <c r="Y830" s="0" t="str">
        <f aca="false">YEAR(K830)&amp;"-"&amp;TEXT(MONTH(K830),"00")</f>
        <v>2025-06</v>
      </c>
      <c r="Z830" s="0" t="str">
        <f aca="false">C830&amp;" → "&amp;D830</f>
        <v>Chennai → Surat</v>
      </c>
      <c r="AA830" s="0" t="str">
        <f aca="false">Raw!Q830</f>
        <v>BlueDart</v>
      </c>
      <c r="AB830" s="0" t="str">
        <f aca="false">Raw!R830</f>
        <v>No</v>
      </c>
      <c r="AC830" s="0" t="str">
        <f aca="false">Raw!S830</f>
        <v>Held at warehouse</v>
      </c>
      <c r="AD830" s="29" t="n">
        <f aca="false">Raw!N830</f>
        <v>5968.64</v>
      </c>
      <c r="AE830" s="29" t="n">
        <f aca="false">Raw!O830</f>
        <v>3393.22</v>
      </c>
      <c r="AF830" s="29" t="n">
        <f aca="false">Raw!P830</f>
        <v>530.97</v>
      </c>
      <c r="AG830" s="29" t="n">
        <f aca="false">AD830/J830</f>
        <v>331.959955506118</v>
      </c>
    </row>
    <row r="831" customFormat="false" ht="15" hidden="false" customHeight="false" outlineLevel="0" collapsed="false">
      <c r="A831" s="0" t="str">
        <f aca="false">Raw!A831</f>
        <v>SHP0830</v>
      </c>
      <c r="B831" s="0" t="str">
        <f aca="false">Raw!B831</f>
        <v>Outbound</v>
      </c>
      <c r="C831" s="0" t="str">
        <f aca="false">Raw!C831</f>
        <v>Surat</v>
      </c>
      <c r="D831" s="0" t="str">
        <f aca="false">Raw!D831</f>
        <v>Karnataka</v>
      </c>
      <c r="E831" s="0" t="str">
        <f aca="false">IFERROR(INDEX(Location_Map!$B$2:$B$15,MATCH(C831,Location_Map!$A$2:$A$15,0)),"UNMAPPED")</f>
        <v>Gujarat</v>
      </c>
      <c r="F831" s="0" t="str">
        <f aca="false">IFERROR(INDEX(Location_Map!$C$2:$C$15,MATCH(C831,Location_Map!$A$2:$A$15,0)),"UNMAPPED")</f>
        <v>West</v>
      </c>
      <c r="G831" s="0" t="str">
        <f aca="false">IFERROR(INDEX(Location_Map!$B$2:$B$15,MATCH(D831,Location_Map!$A$2:$A$15,0)),"UNMAPPED")</f>
        <v>Karnataka</v>
      </c>
      <c r="H831" s="0" t="str">
        <f aca="false">IFERROR(INDEX(Location_Map!$C$2:$C$15,MATCH(D831,Location_Map!$A$2:$A$15,0)),"UNMAPPED")</f>
        <v>South</v>
      </c>
      <c r="I831" s="0" t="str">
        <f aca="false">Raw!E831</f>
        <v>Semi-Processed Yarn</v>
      </c>
      <c r="J831" s="28" t="n">
        <f aca="false">Raw!F831</f>
        <v>6.22</v>
      </c>
      <c r="K831" s="30" t="n">
        <f aca="false">DATE(LEFT(Raw!G831,4),MID(Raw!G831,6,2),MID(Raw!G831,9,2))</f>
        <v>45667</v>
      </c>
      <c r="L831" s="30" t="n">
        <f aca="false">DATE(LEFT(Raw!H831,4),MID(Raw!H831,6,2),MID(Raw!H831,9,2))</f>
        <v>45669</v>
      </c>
      <c r="M831" s="30" t="n">
        <f aca="false">DATE(LEFT(Raw!I831,4),MID(Raw!I831,6,2),MID(Raw!I831,9,2))</f>
        <v>45672</v>
      </c>
      <c r="N831" s="31" t="n">
        <f aca="false">DATE(LEFT(Raw!J831,4),MID(Raw!J831,6,2),MID(Raw!J831,9,2))+TIME(MID(Raw!J831,12,2),MID(Raw!J831,15,2),MID(Raw!J831,18,2))</f>
        <v>45668.9583333333</v>
      </c>
      <c r="O831" s="31" t="n">
        <f aca="false">DATE(LEFT(Raw!K831,4),MID(Raw!K831,6,2),MID(Raw!K831,9,2))+TIME(MID(Raw!K831,12,2),MID(Raw!K831,15,2),MID(Raw!K831,18,2))</f>
        <v>45678.4</v>
      </c>
      <c r="P831" s="32" t="n">
        <f aca="false">L831-K831</f>
        <v>2</v>
      </c>
      <c r="Q831" s="32" t="n">
        <f aca="false">M831-L831</f>
        <v>3</v>
      </c>
      <c r="R831" s="32" t="n">
        <f aca="false">O831-N831</f>
        <v>9.44166666666667</v>
      </c>
      <c r="S831" s="32" t="n">
        <f aca="false">Raw!L831</f>
        <v>6.4</v>
      </c>
      <c r="T831" s="32" t="n">
        <f aca="false">O831-M831</f>
        <v>6.4</v>
      </c>
      <c r="U831" s="0" t="str">
        <f aca="false">IF(ABS(T831-S831)&lt;0.01,"OK","MISMATCH")</f>
        <v>OK</v>
      </c>
      <c r="V831" s="33" t="n">
        <f aca="false">Raw!M831</f>
        <v>1</v>
      </c>
      <c r="W831" s="0" t="str">
        <f aca="false">IF((S831&gt;0)=(V831=1),"OK","MISMATCH")</f>
        <v>OK</v>
      </c>
      <c r="X831" s="0" t="str">
        <f aca="false">_xlfn.IFS(S831&lt;=0,"Early/On time",S831&lt;=2,"Minor (up to 2 days)",S831&lt;=5,"Moderate (2-5 days)",TRUE(),"Severe (over 5 days)")</f>
        <v>Severe (over 5 days)</v>
      </c>
      <c r="Y831" s="0" t="str">
        <f aca="false">YEAR(K831)&amp;"-"&amp;TEXT(MONTH(K831),"00")</f>
        <v>2025-01</v>
      </c>
      <c r="Z831" s="0" t="str">
        <f aca="false">C831&amp;" → "&amp;D831</f>
        <v>Surat → Karnataka</v>
      </c>
      <c r="AA831" s="0" t="str">
        <f aca="false">Raw!Q831</f>
        <v>TCI Express</v>
      </c>
      <c r="AB831" s="0" t="str">
        <f aca="false">Raw!R831</f>
        <v>No</v>
      </c>
      <c r="AC831" s="0" t="str">
        <f aca="false">Raw!S831</f>
        <v>Returned</v>
      </c>
      <c r="AD831" s="29" t="n">
        <f aca="false">Raw!N831</f>
        <v>5080.45</v>
      </c>
      <c r="AE831" s="29" t="n">
        <f aca="false">Raw!O831</f>
        <v>1646.55</v>
      </c>
      <c r="AF831" s="29" t="n">
        <f aca="false">Raw!P831</f>
        <v>1405.85</v>
      </c>
      <c r="AG831" s="29" t="n">
        <f aca="false">AD831/J831</f>
        <v>816.792604501608</v>
      </c>
    </row>
    <row r="832" customFormat="false" ht="15" hidden="false" customHeight="false" outlineLevel="0" collapsed="false">
      <c r="A832" s="0" t="str">
        <f aca="false">Raw!A832</f>
        <v>SHP0831</v>
      </c>
      <c r="B832" s="0" t="str">
        <f aca="false">Raw!B832</f>
        <v>Inbound</v>
      </c>
      <c r="C832" s="0" t="str">
        <f aca="false">Raw!C832</f>
        <v>Rajasthan</v>
      </c>
      <c r="D832" s="0" t="str">
        <f aca="false">Raw!D832</f>
        <v>Surat</v>
      </c>
      <c r="E832" s="0" t="str">
        <f aca="false">IFERROR(INDEX(Location_Map!$B$2:$B$15,MATCH(C832,Location_Map!$A$2:$A$15,0)),"UNMAPPED")</f>
        <v>Rajasthan</v>
      </c>
      <c r="F832" s="0" t="str">
        <f aca="false">IFERROR(INDEX(Location_Map!$C$2:$C$15,MATCH(C832,Location_Map!$A$2:$A$15,0)),"UNMAPPED")</f>
        <v>North</v>
      </c>
      <c r="G832" s="0" t="str">
        <f aca="false">IFERROR(INDEX(Location_Map!$B$2:$B$15,MATCH(D832,Location_Map!$A$2:$A$15,0)),"UNMAPPED")</f>
        <v>Gujarat</v>
      </c>
      <c r="H832" s="0" t="str">
        <f aca="false">IFERROR(INDEX(Location_Map!$C$2:$C$15,MATCH(D832,Location_Map!$A$2:$A$15,0)),"UNMAPPED")</f>
        <v>West</v>
      </c>
      <c r="I832" s="0" t="str">
        <f aca="false">Raw!E832</f>
        <v>Semi-Processed Yarn</v>
      </c>
      <c r="J832" s="28" t="n">
        <f aca="false">Raw!F832</f>
        <v>10.81</v>
      </c>
      <c r="K832" s="30" t="n">
        <f aca="false">DATE(LEFT(Raw!G832,4),MID(Raw!G832,6,2),MID(Raw!G832,9,2))</f>
        <v>45704</v>
      </c>
      <c r="L832" s="30" t="n">
        <f aca="false">DATE(LEFT(Raw!H832,4),MID(Raw!H832,6,2),MID(Raw!H832,9,2))</f>
        <v>45708</v>
      </c>
      <c r="M832" s="30" t="n">
        <f aca="false">DATE(LEFT(Raw!I832,4),MID(Raw!I832,6,2),MID(Raw!I832,9,2))</f>
        <v>45714</v>
      </c>
      <c r="N832" s="31" t="n">
        <f aca="false">DATE(LEFT(Raw!J832,4),MID(Raw!J832,6,2),MID(Raw!J832,9,2))+TIME(MID(Raw!J832,12,2),MID(Raw!J832,15,2),MID(Raw!J832,18,2))</f>
        <v>45707.875</v>
      </c>
      <c r="O832" s="31" t="n">
        <f aca="false">DATE(LEFT(Raw!K832,4),MID(Raw!K832,6,2),MID(Raw!K832,9,2))+TIME(MID(Raw!K832,12,2),MID(Raw!K832,15,2),MID(Raw!K832,18,2))</f>
        <v>45717.4</v>
      </c>
      <c r="P832" s="32" t="n">
        <f aca="false">L832-K832</f>
        <v>4</v>
      </c>
      <c r="Q832" s="32" t="n">
        <f aca="false">M832-L832</f>
        <v>6</v>
      </c>
      <c r="R832" s="32" t="n">
        <f aca="false">O832-N832</f>
        <v>9.525</v>
      </c>
      <c r="S832" s="32" t="n">
        <f aca="false">Raw!L832</f>
        <v>3.4</v>
      </c>
      <c r="T832" s="32" t="n">
        <f aca="false">O832-M832</f>
        <v>3.4</v>
      </c>
      <c r="U832" s="0" t="str">
        <f aca="false">IF(ABS(T832-S832)&lt;0.01,"OK","MISMATCH")</f>
        <v>OK</v>
      </c>
      <c r="V832" s="33" t="n">
        <f aca="false">Raw!M832</f>
        <v>1</v>
      </c>
      <c r="W832" s="0" t="str">
        <f aca="false">IF((S832&gt;0)=(V832=1),"OK","MISMATCH")</f>
        <v>OK</v>
      </c>
      <c r="X832" s="0" t="str">
        <f aca="false">_xlfn.IFS(S832&lt;=0,"Early/On time",S832&lt;=2,"Minor (up to 2 days)",S832&lt;=5,"Moderate (2-5 days)",TRUE(),"Severe (over 5 days)")</f>
        <v>Moderate (2-5 days)</v>
      </c>
      <c r="Y832" s="0" t="str">
        <f aca="false">YEAR(K832)&amp;"-"&amp;TEXT(MONTH(K832),"00")</f>
        <v>2025-02</v>
      </c>
      <c r="Z832" s="0" t="str">
        <f aca="false">C832&amp;" → "&amp;D832</f>
        <v>Rajasthan → Surat</v>
      </c>
      <c r="AA832" s="0" t="str">
        <f aca="false">Raw!Q832</f>
        <v>VRL Cargo</v>
      </c>
      <c r="AB832" s="0" t="str">
        <f aca="false">Raw!R832</f>
        <v>Yes</v>
      </c>
      <c r="AC832" s="0" t="str">
        <f aca="false">Raw!S832</f>
        <v>Normal</v>
      </c>
      <c r="AD832" s="29" t="n">
        <f aca="false">Raw!N832</f>
        <v>5144.96</v>
      </c>
      <c r="AE832" s="29" t="n">
        <f aca="false">Raw!O832</f>
        <v>2754.69</v>
      </c>
      <c r="AF832" s="29" t="n">
        <f aca="false">Raw!P832</f>
        <v>1282</v>
      </c>
      <c r="AG832" s="29" t="n">
        <f aca="false">AD832/J832</f>
        <v>475.944495837188</v>
      </c>
    </row>
    <row r="833" customFormat="false" ht="15" hidden="false" customHeight="false" outlineLevel="0" collapsed="false">
      <c r="A833" s="0" t="str">
        <f aca="false">Raw!A833</f>
        <v>SHP0832</v>
      </c>
      <c r="B833" s="0" t="str">
        <f aca="false">Raw!B833</f>
        <v>Inbound</v>
      </c>
      <c r="C833" s="0" t="str">
        <f aca="false">Raw!C833</f>
        <v>Chennai</v>
      </c>
      <c r="D833" s="0" t="str">
        <f aca="false">Raw!D833</f>
        <v>Surat</v>
      </c>
      <c r="E833" s="0" t="str">
        <f aca="false">IFERROR(INDEX(Location_Map!$B$2:$B$15,MATCH(C833,Location_Map!$A$2:$A$15,0)),"UNMAPPED")</f>
        <v>Tamil Nadu</v>
      </c>
      <c r="F833" s="0" t="str">
        <f aca="false">IFERROR(INDEX(Location_Map!$C$2:$C$15,MATCH(C833,Location_Map!$A$2:$A$15,0)),"UNMAPPED")</f>
        <v>South</v>
      </c>
      <c r="G833" s="0" t="str">
        <f aca="false">IFERROR(INDEX(Location_Map!$B$2:$B$15,MATCH(D833,Location_Map!$A$2:$A$15,0)),"UNMAPPED")</f>
        <v>Gujarat</v>
      </c>
      <c r="H833" s="0" t="str">
        <f aca="false">IFERROR(INDEX(Location_Map!$C$2:$C$15,MATCH(D833,Location_Map!$A$2:$A$15,0)),"UNMAPPED")</f>
        <v>West</v>
      </c>
      <c r="I833" s="0" t="str">
        <f aca="false">Raw!E833</f>
        <v>Finished Yarn</v>
      </c>
      <c r="J833" s="28" t="n">
        <f aca="false">Raw!F833</f>
        <v>15.9</v>
      </c>
      <c r="K833" s="30" t="n">
        <f aca="false">DATE(LEFT(Raw!G833,4),MID(Raw!G833,6,2),MID(Raw!G833,9,2))</f>
        <v>45793</v>
      </c>
      <c r="L833" s="30" t="n">
        <f aca="false">DATE(LEFT(Raw!H833,4),MID(Raw!H833,6,2),MID(Raw!H833,9,2))</f>
        <v>45797</v>
      </c>
      <c r="M833" s="30" t="n">
        <f aca="false">DATE(LEFT(Raw!I833,4),MID(Raw!I833,6,2),MID(Raw!I833,9,2))</f>
        <v>45803</v>
      </c>
      <c r="N833" s="31" t="n">
        <f aca="false">DATE(LEFT(Raw!J833,4),MID(Raw!J833,6,2),MID(Raw!J833,9,2))+TIME(MID(Raw!J833,12,2),MID(Raw!J833,15,2),MID(Raw!J833,18,2))</f>
        <v>45797.375</v>
      </c>
      <c r="O833" s="31" t="n">
        <f aca="false">DATE(LEFT(Raw!K833,4),MID(Raw!K833,6,2),MID(Raw!K833,9,2))+TIME(MID(Raw!K833,12,2),MID(Raw!K833,15,2),MID(Raw!K833,18,2))</f>
        <v>45808.7</v>
      </c>
      <c r="P833" s="32" t="n">
        <f aca="false">L833-K833</f>
        <v>4</v>
      </c>
      <c r="Q833" s="32" t="n">
        <f aca="false">M833-L833</f>
        <v>6</v>
      </c>
      <c r="R833" s="32" t="n">
        <f aca="false">O833-N833</f>
        <v>11.325</v>
      </c>
      <c r="S833" s="32" t="n">
        <f aca="false">Raw!L833</f>
        <v>5.7</v>
      </c>
      <c r="T833" s="32" t="n">
        <f aca="false">O833-M833</f>
        <v>5.7</v>
      </c>
      <c r="U833" s="0" t="str">
        <f aca="false">IF(ABS(T833-S833)&lt;0.01,"OK","MISMATCH")</f>
        <v>OK</v>
      </c>
      <c r="V833" s="33" t="n">
        <f aca="false">Raw!M833</f>
        <v>1</v>
      </c>
      <c r="W833" s="0" t="str">
        <f aca="false">IF((S833&gt;0)=(V833=1),"OK","MISMATCH")</f>
        <v>OK</v>
      </c>
      <c r="X833" s="0" t="str">
        <f aca="false">_xlfn.IFS(S833&lt;=0,"Early/On time",S833&lt;=2,"Minor (up to 2 days)",S833&lt;=5,"Moderate (2-5 days)",TRUE(),"Severe (over 5 days)")</f>
        <v>Severe (over 5 days)</v>
      </c>
      <c r="Y833" s="0" t="str">
        <f aca="false">YEAR(K833)&amp;"-"&amp;TEXT(MONTH(K833),"00")</f>
        <v>2025-05</v>
      </c>
      <c r="Z833" s="0" t="str">
        <f aca="false">C833&amp;" → "&amp;D833</f>
        <v>Chennai → Surat</v>
      </c>
      <c r="AA833" s="0" t="str">
        <f aca="false">Raw!Q833</f>
        <v>BlueDart</v>
      </c>
      <c r="AB833" s="0" t="str">
        <f aca="false">Raw!R833</f>
        <v>Yes</v>
      </c>
      <c r="AC833" s="0" t="str">
        <f aca="false">Raw!S833</f>
        <v>Expedited</v>
      </c>
      <c r="AD833" s="29" t="n">
        <f aca="false">Raw!N833</f>
        <v>7010.4</v>
      </c>
      <c r="AE833" s="29" t="n">
        <f aca="false">Raw!O833</f>
        <v>2096.05</v>
      </c>
      <c r="AF833" s="29" t="n">
        <f aca="false">Raw!P833</f>
        <v>814.84</v>
      </c>
      <c r="AG833" s="29" t="n">
        <f aca="false">AD833/J833</f>
        <v>440.905660377358</v>
      </c>
    </row>
    <row r="834" customFormat="false" ht="15" hidden="false" customHeight="false" outlineLevel="0" collapsed="false">
      <c r="A834" s="0" t="str">
        <f aca="false">Raw!A834</f>
        <v>SHP0833</v>
      </c>
      <c r="B834" s="0" t="str">
        <f aca="false">Raw!B834</f>
        <v>Inbound</v>
      </c>
      <c r="C834" s="0" t="str">
        <f aca="false">Raw!C834</f>
        <v>Gujarat</v>
      </c>
      <c r="D834" s="0" t="str">
        <f aca="false">Raw!D834</f>
        <v>Surat</v>
      </c>
      <c r="E834" s="0" t="str">
        <f aca="false">IFERROR(INDEX(Location_Map!$B$2:$B$15,MATCH(C834,Location_Map!$A$2:$A$15,0)),"UNMAPPED")</f>
        <v>Gujarat</v>
      </c>
      <c r="F834" s="0" t="str">
        <f aca="false">IFERROR(INDEX(Location_Map!$C$2:$C$15,MATCH(C834,Location_Map!$A$2:$A$15,0)),"UNMAPPED")</f>
        <v>West</v>
      </c>
      <c r="G834" s="0" t="str">
        <f aca="false">IFERROR(INDEX(Location_Map!$B$2:$B$15,MATCH(D834,Location_Map!$A$2:$A$15,0)),"UNMAPPED")</f>
        <v>Gujarat</v>
      </c>
      <c r="H834" s="0" t="str">
        <f aca="false">IFERROR(INDEX(Location_Map!$C$2:$C$15,MATCH(D834,Location_Map!$A$2:$A$15,0)),"UNMAPPED")</f>
        <v>West</v>
      </c>
      <c r="I834" s="0" t="str">
        <f aca="false">Raw!E834</f>
        <v>Raw Yarn</v>
      </c>
      <c r="J834" s="28" t="n">
        <f aca="false">Raw!F834</f>
        <v>3.22</v>
      </c>
      <c r="K834" s="30" t="n">
        <f aca="false">DATE(LEFT(Raw!G834,4),MID(Raw!G834,6,2),MID(Raw!G834,9,2))</f>
        <v>45739</v>
      </c>
      <c r="L834" s="30" t="n">
        <f aca="false">DATE(LEFT(Raw!H834,4),MID(Raw!H834,6,2),MID(Raw!H834,9,2))</f>
        <v>45740</v>
      </c>
      <c r="M834" s="30" t="n">
        <f aca="false">DATE(LEFT(Raw!I834,4),MID(Raw!I834,6,2),MID(Raw!I834,9,2))</f>
        <v>45745</v>
      </c>
      <c r="N834" s="31" t="n">
        <f aca="false">DATE(LEFT(Raw!J834,4),MID(Raw!J834,6,2),MID(Raw!J834,9,2))+TIME(MID(Raw!J834,12,2),MID(Raw!J834,15,2),MID(Raw!J834,18,2))</f>
        <v>45740.125</v>
      </c>
      <c r="O834" s="31" t="n">
        <f aca="false">DATE(LEFT(Raw!K834,4),MID(Raw!K834,6,2),MID(Raw!K834,9,2))+TIME(MID(Raw!K834,12,2),MID(Raw!K834,15,2),MID(Raw!K834,18,2))</f>
        <v>45750.1</v>
      </c>
      <c r="P834" s="32" t="n">
        <f aca="false">L834-K834</f>
        <v>1</v>
      </c>
      <c r="Q834" s="32" t="n">
        <f aca="false">M834-L834</f>
        <v>5</v>
      </c>
      <c r="R834" s="32" t="n">
        <f aca="false">O834-N834</f>
        <v>9.975</v>
      </c>
      <c r="S834" s="32" t="n">
        <f aca="false">Raw!L834</f>
        <v>5.1</v>
      </c>
      <c r="T834" s="32" t="n">
        <f aca="false">O834-M834</f>
        <v>5.1</v>
      </c>
      <c r="U834" s="0" t="str">
        <f aca="false">IF(ABS(T834-S834)&lt;0.01,"OK","MISMATCH")</f>
        <v>OK</v>
      </c>
      <c r="V834" s="33" t="n">
        <f aca="false">Raw!M834</f>
        <v>1</v>
      </c>
      <c r="W834" s="0" t="str">
        <f aca="false">IF((S834&gt;0)=(V834=1),"OK","MISMATCH")</f>
        <v>OK</v>
      </c>
      <c r="X834" s="0" t="str">
        <f aca="false">_xlfn.IFS(S834&lt;=0,"Early/On time",S834&lt;=2,"Minor (up to 2 days)",S834&lt;=5,"Moderate (2-5 days)",TRUE(),"Severe (over 5 days)")</f>
        <v>Severe (over 5 days)</v>
      </c>
      <c r="Y834" s="0" t="str">
        <f aca="false">YEAR(K834)&amp;"-"&amp;TEXT(MONTH(K834),"00")</f>
        <v>2025-03</v>
      </c>
      <c r="Z834" s="0" t="str">
        <f aca="false">C834&amp;" → "&amp;D834</f>
        <v>Gujarat → Surat</v>
      </c>
      <c r="AA834" s="0" t="str">
        <f aca="false">Raw!Q834</f>
        <v>GATI Logistics</v>
      </c>
      <c r="AB834" s="0" t="str">
        <f aca="false">Raw!R834</f>
        <v>No</v>
      </c>
      <c r="AC834" s="0" t="str">
        <f aca="false">Raw!S834</f>
        <v>Returned</v>
      </c>
      <c r="AD834" s="29" t="n">
        <f aca="false">Raw!N834</f>
        <v>2997.49</v>
      </c>
      <c r="AE834" s="29" t="n">
        <f aca="false">Raw!O834</f>
        <v>1383.02</v>
      </c>
      <c r="AF834" s="29" t="n">
        <f aca="false">Raw!P834</f>
        <v>1422.57</v>
      </c>
      <c r="AG834" s="29" t="n">
        <f aca="false">AD834/J834</f>
        <v>930.89751552795</v>
      </c>
    </row>
    <row r="835" customFormat="false" ht="15" hidden="false" customHeight="false" outlineLevel="0" collapsed="false">
      <c r="A835" s="0" t="str">
        <f aca="false">Raw!A835</f>
        <v>SHP0834</v>
      </c>
      <c r="B835" s="0" t="str">
        <f aca="false">Raw!B835</f>
        <v>Inbound</v>
      </c>
      <c r="C835" s="0" t="str">
        <f aca="false">Raw!C835</f>
        <v>Rajasthan</v>
      </c>
      <c r="D835" s="0" t="str">
        <f aca="false">Raw!D835</f>
        <v>Surat</v>
      </c>
      <c r="E835" s="0" t="str">
        <f aca="false">IFERROR(INDEX(Location_Map!$B$2:$B$15,MATCH(C835,Location_Map!$A$2:$A$15,0)),"UNMAPPED")</f>
        <v>Rajasthan</v>
      </c>
      <c r="F835" s="0" t="str">
        <f aca="false">IFERROR(INDEX(Location_Map!$C$2:$C$15,MATCH(C835,Location_Map!$A$2:$A$15,0)),"UNMAPPED")</f>
        <v>North</v>
      </c>
      <c r="G835" s="0" t="str">
        <f aca="false">IFERROR(INDEX(Location_Map!$B$2:$B$15,MATCH(D835,Location_Map!$A$2:$A$15,0)),"UNMAPPED")</f>
        <v>Gujarat</v>
      </c>
      <c r="H835" s="0" t="str">
        <f aca="false">IFERROR(INDEX(Location_Map!$C$2:$C$15,MATCH(D835,Location_Map!$A$2:$A$15,0)),"UNMAPPED")</f>
        <v>West</v>
      </c>
      <c r="I835" s="0" t="str">
        <f aca="false">Raw!E835</f>
        <v>Finished Yarn</v>
      </c>
      <c r="J835" s="28" t="n">
        <f aca="false">Raw!F835</f>
        <v>11.8</v>
      </c>
      <c r="K835" s="30" t="n">
        <f aca="false">DATE(LEFT(Raw!G835,4),MID(Raw!G835,6,2),MID(Raw!G835,9,2))</f>
        <v>45767</v>
      </c>
      <c r="L835" s="30" t="n">
        <f aca="false">DATE(LEFT(Raw!H835,4),MID(Raw!H835,6,2),MID(Raw!H835,9,2))</f>
        <v>45771</v>
      </c>
      <c r="M835" s="30" t="n">
        <f aca="false">DATE(LEFT(Raw!I835,4),MID(Raw!I835,6,2),MID(Raw!I835,9,2))</f>
        <v>45777</v>
      </c>
      <c r="N835" s="31" t="n">
        <f aca="false">DATE(LEFT(Raw!J835,4),MID(Raw!J835,6,2),MID(Raw!J835,9,2))+TIME(MID(Raw!J835,12,2),MID(Raw!J835,15,2),MID(Raw!J835,18,2))</f>
        <v>45770.8333333333</v>
      </c>
      <c r="O835" s="31" t="n">
        <f aca="false">DATE(LEFT(Raw!K835,4),MID(Raw!K835,6,2),MID(Raw!K835,9,2))+TIME(MID(Raw!K835,12,2),MID(Raw!K835,15,2),MID(Raw!K835,18,2))</f>
        <v>45776</v>
      </c>
      <c r="P835" s="32" t="n">
        <f aca="false">L835-K835</f>
        <v>4</v>
      </c>
      <c r="Q835" s="32" t="n">
        <f aca="false">M835-L835</f>
        <v>6</v>
      </c>
      <c r="R835" s="32" t="n">
        <f aca="false">O835-N835</f>
        <v>5.16666666666667</v>
      </c>
      <c r="S835" s="32" t="n">
        <f aca="false">Raw!L835</f>
        <v>-1</v>
      </c>
      <c r="T835" s="32" t="n">
        <f aca="false">O835-M835</f>
        <v>-1</v>
      </c>
      <c r="U835" s="0" t="str">
        <f aca="false">IF(ABS(T835-S835)&lt;0.01,"OK","MISMATCH")</f>
        <v>OK</v>
      </c>
      <c r="V835" s="33" t="n">
        <f aca="false">Raw!M835</f>
        <v>0</v>
      </c>
      <c r="W835" s="0" t="str">
        <f aca="false">IF((S835&gt;0)=(V835=1),"OK","MISMATCH")</f>
        <v>OK</v>
      </c>
      <c r="X835" s="0" t="str">
        <f aca="false">_xlfn.IFS(S835&lt;=0,"Early/On time",S835&lt;=2,"Minor (up to 2 days)",S835&lt;=5,"Moderate (2-5 days)",TRUE(),"Severe (over 5 days)")</f>
        <v>Early/On time</v>
      </c>
      <c r="Y835" s="0" t="str">
        <f aca="false">YEAR(K835)&amp;"-"&amp;TEXT(MONTH(K835),"00")</f>
        <v>2025-04</v>
      </c>
      <c r="Z835" s="0" t="str">
        <f aca="false">C835&amp;" → "&amp;D835</f>
        <v>Rajasthan → Surat</v>
      </c>
      <c r="AA835" s="0" t="str">
        <f aca="false">Raw!Q835</f>
        <v>GATI Logistics</v>
      </c>
      <c r="AB835" s="0" t="str">
        <f aca="false">Raw!R835</f>
        <v>Yes</v>
      </c>
      <c r="AC835" s="0" t="str">
        <f aca="false">Raw!S835</f>
        <v>Held at warehouse</v>
      </c>
      <c r="AD835" s="29" t="n">
        <f aca="false">Raw!N835</f>
        <v>4813.67</v>
      </c>
      <c r="AE835" s="29" t="n">
        <f aca="false">Raw!O835</f>
        <v>4357.63</v>
      </c>
      <c r="AF835" s="29" t="n">
        <f aca="false">Raw!P835</f>
        <v>948.17</v>
      </c>
      <c r="AG835" s="29" t="n">
        <f aca="false">AD835/J835</f>
        <v>407.93813559322</v>
      </c>
    </row>
    <row r="836" customFormat="false" ht="15" hidden="false" customHeight="false" outlineLevel="0" collapsed="false">
      <c r="A836" s="0" t="str">
        <f aca="false">Raw!A836</f>
        <v>SHP0835</v>
      </c>
      <c r="B836" s="0" t="str">
        <f aca="false">Raw!B836</f>
        <v>Outbound</v>
      </c>
      <c r="C836" s="0" t="str">
        <f aca="false">Raw!C836</f>
        <v>Surat</v>
      </c>
      <c r="D836" s="0" t="str">
        <f aca="false">Raw!D836</f>
        <v>Madhya Pradesh</v>
      </c>
      <c r="E836" s="0" t="str">
        <f aca="false">IFERROR(INDEX(Location_Map!$B$2:$B$15,MATCH(C836,Location_Map!$A$2:$A$15,0)),"UNMAPPED")</f>
        <v>Gujarat</v>
      </c>
      <c r="F836" s="0" t="str">
        <f aca="false">IFERROR(INDEX(Location_Map!$C$2:$C$15,MATCH(C836,Location_Map!$A$2:$A$15,0)),"UNMAPPED")</f>
        <v>West</v>
      </c>
      <c r="G836" s="0" t="str">
        <f aca="false">IFERROR(INDEX(Location_Map!$B$2:$B$15,MATCH(D836,Location_Map!$A$2:$A$15,0)),"UNMAPPED")</f>
        <v>Madhya Pradesh</v>
      </c>
      <c r="H836" s="0" t="str">
        <f aca="false">IFERROR(INDEX(Location_Map!$C$2:$C$15,MATCH(D836,Location_Map!$A$2:$A$15,0)),"UNMAPPED")</f>
        <v>Central</v>
      </c>
      <c r="I836" s="0" t="str">
        <f aca="false">Raw!E836</f>
        <v>Finished Yarn</v>
      </c>
      <c r="J836" s="28" t="n">
        <f aca="false">Raw!F836</f>
        <v>13.1</v>
      </c>
      <c r="K836" s="30" t="n">
        <f aca="false">DATE(LEFT(Raw!G836,4),MID(Raw!G836,6,2),MID(Raw!G836,9,2))</f>
        <v>45724</v>
      </c>
      <c r="L836" s="30" t="n">
        <f aca="false">DATE(LEFT(Raw!H836,4),MID(Raw!H836,6,2),MID(Raw!H836,9,2))</f>
        <v>45727</v>
      </c>
      <c r="M836" s="30" t="n">
        <f aca="false">DATE(LEFT(Raw!I836,4),MID(Raw!I836,6,2),MID(Raw!I836,9,2))</f>
        <v>45730</v>
      </c>
      <c r="N836" s="31" t="n">
        <f aca="false">DATE(LEFT(Raw!J836,4),MID(Raw!J836,6,2),MID(Raw!J836,9,2))+TIME(MID(Raw!J836,12,2),MID(Raw!J836,15,2),MID(Raw!J836,18,2))</f>
        <v>45727.25</v>
      </c>
      <c r="O836" s="31" t="n">
        <f aca="false">DATE(LEFT(Raw!K836,4),MID(Raw!K836,6,2),MID(Raw!K836,9,2))+TIME(MID(Raw!K836,12,2),MID(Raw!K836,15,2),MID(Raw!K836,18,2))</f>
        <v>45730.1</v>
      </c>
      <c r="P836" s="32" t="n">
        <f aca="false">L836-K836</f>
        <v>3</v>
      </c>
      <c r="Q836" s="32" t="n">
        <f aca="false">M836-L836</f>
        <v>3</v>
      </c>
      <c r="R836" s="32" t="n">
        <f aca="false">O836-N836</f>
        <v>2.85</v>
      </c>
      <c r="S836" s="32" t="n">
        <f aca="false">Raw!L836</f>
        <v>0.1</v>
      </c>
      <c r="T836" s="32" t="n">
        <f aca="false">O836-M836</f>
        <v>0.1</v>
      </c>
      <c r="U836" s="0" t="str">
        <f aca="false">IF(ABS(T836-S836)&lt;0.01,"OK","MISMATCH")</f>
        <v>OK</v>
      </c>
      <c r="V836" s="33" t="n">
        <f aca="false">Raw!M836</f>
        <v>1</v>
      </c>
      <c r="W836" s="0" t="str">
        <f aca="false">IF((S836&gt;0)=(V836=1),"OK","MISMATCH")</f>
        <v>OK</v>
      </c>
      <c r="X836" s="0" t="str">
        <f aca="false">_xlfn.IFS(S836&lt;=0,"Early/On time",S836&lt;=2,"Minor (up to 2 days)",S836&lt;=5,"Moderate (2-5 days)",TRUE(),"Severe (over 5 days)")</f>
        <v>Minor (up to 2 days)</v>
      </c>
      <c r="Y836" s="0" t="str">
        <f aca="false">YEAR(K836)&amp;"-"&amp;TEXT(MONTH(K836),"00")</f>
        <v>2025-03</v>
      </c>
      <c r="Z836" s="0" t="str">
        <f aca="false">C836&amp;" → "&amp;D836</f>
        <v>Surat → Madhya Pradesh</v>
      </c>
      <c r="AA836" s="0" t="str">
        <f aca="false">Raw!Q836</f>
        <v>TCI Express</v>
      </c>
      <c r="AB836" s="0" t="str">
        <f aca="false">Raw!R836</f>
        <v>No</v>
      </c>
      <c r="AC836" s="0" t="str">
        <f aca="false">Raw!S836</f>
        <v>Expedited</v>
      </c>
      <c r="AD836" s="29" t="n">
        <f aca="false">Raw!N836</f>
        <v>8193.21</v>
      </c>
      <c r="AE836" s="29" t="n">
        <f aca="false">Raw!O836</f>
        <v>4367.23</v>
      </c>
      <c r="AF836" s="29" t="n">
        <f aca="false">Raw!P836</f>
        <v>1301.35</v>
      </c>
      <c r="AG836" s="29" t="n">
        <f aca="false">AD836/J836</f>
        <v>625.435877862595</v>
      </c>
    </row>
    <row r="837" customFormat="false" ht="15" hidden="false" customHeight="false" outlineLevel="0" collapsed="false">
      <c r="A837" s="0" t="str">
        <f aca="false">Raw!A837</f>
        <v>SHP0836</v>
      </c>
      <c r="B837" s="0" t="str">
        <f aca="false">Raw!B837</f>
        <v>Inbound</v>
      </c>
      <c r="C837" s="0" t="str">
        <f aca="false">Raw!C837</f>
        <v>Punjab</v>
      </c>
      <c r="D837" s="0" t="str">
        <f aca="false">Raw!D837</f>
        <v>Surat</v>
      </c>
      <c r="E837" s="0" t="str">
        <f aca="false">IFERROR(INDEX(Location_Map!$B$2:$B$15,MATCH(C837,Location_Map!$A$2:$A$15,0)),"UNMAPPED")</f>
        <v>Punjab</v>
      </c>
      <c r="F837" s="0" t="str">
        <f aca="false">IFERROR(INDEX(Location_Map!$C$2:$C$15,MATCH(C837,Location_Map!$A$2:$A$15,0)),"UNMAPPED")</f>
        <v>North</v>
      </c>
      <c r="G837" s="0" t="str">
        <f aca="false">IFERROR(INDEX(Location_Map!$B$2:$B$15,MATCH(D837,Location_Map!$A$2:$A$15,0)),"UNMAPPED")</f>
        <v>Gujarat</v>
      </c>
      <c r="H837" s="0" t="str">
        <f aca="false">IFERROR(INDEX(Location_Map!$C$2:$C$15,MATCH(D837,Location_Map!$A$2:$A$15,0)),"UNMAPPED")</f>
        <v>West</v>
      </c>
      <c r="I837" s="0" t="str">
        <f aca="false">Raw!E837</f>
        <v>Semi-Processed Yarn</v>
      </c>
      <c r="J837" s="28" t="n">
        <f aca="false">Raw!F837</f>
        <v>8.8</v>
      </c>
      <c r="K837" s="30" t="n">
        <f aca="false">DATE(LEFT(Raw!G837,4),MID(Raw!G837,6,2),MID(Raw!G837,9,2))</f>
        <v>45727</v>
      </c>
      <c r="L837" s="30" t="n">
        <f aca="false">DATE(LEFT(Raw!H837,4),MID(Raw!H837,6,2),MID(Raw!H837,9,2))</f>
        <v>45729</v>
      </c>
      <c r="M837" s="30" t="n">
        <f aca="false">DATE(LEFT(Raw!I837,4),MID(Raw!I837,6,2),MID(Raw!I837,9,2))</f>
        <v>45735</v>
      </c>
      <c r="N837" s="31" t="n">
        <f aca="false">DATE(LEFT(Raw!J837,4),MID(Raw!J837,6,2),MID(Raw!J837,9,2))+TIME(MID(Raw!J837,12,2),MID(Raw!J837,15,2),MID(Raw!J837,18,2))</f>
        <v>45728.9166666667</v>
      </c>
      <c r="O837" s="31" t="n">
        <f aca="false">DATE(LEFT(Raw!K837,4),MID(Raw!K837,6,2),MID(Raw!K837,9,2))+TIME(MID(Raw!K837,12,2),MID(Raw!K837,15,2),MID(Raw!K837,18,2))</f>
        <v>45739.5</v>
      </c>
      <c r="P837" s="32" t="n">
        <f aca="false">L837-K837</f>
        <v>2</v>
      </c>
      <c r="Q837" s="32" t="n">
        <f aca="false">M837-L837</f>
        <v>6</v>
      </c>
      <c r="R837" s="32" t="n">
        <f aca="false">O837-N837</f>
        <v>10.5833333333333</v>
      </c>
      <c r="S837" s="32" t="n">
        <f aca="false">Raw!L837</f>
        <v>4.5</v>
      </c>
      <c r="T837" s="32" t="n">
        <f aca="false">O837-M837</f>
        <v>4.5</v>
      </c>
      <c r="U837" s="0" t="str">
        <f aca="false">IF(ABS(T837-S837)&lt;0.01,"OK","MISMATCH")</f>
        <v>OK</v>
      </c>
      <c r="V837" s="33" t="n">
        <f aca="false">Raw!M837</f>
        <v>1</v>
      </c>
      <c r="W837" s="0" t="str">
        <f aca="false">IF((S837&gt;0)=(V837=1),"OK","MISMATCH")</f>
        <v>OK</v>
      </c>
      <c r="X837" s="0" t="str">
        <f aca="false">_xlfn.IFS(S837&lt;=0,"Early/On time",S837&lt;=2,"Minor (up to 2 days)",S837&lt;=5,"Moderate (2-5 days)",TRUE(),"Severe (over 5 days)")</f>
        <v>Moderate (2-5 days)</v>
      </c>
      <c r="Y837" s="0" t="str">
        <f aca="false">YEAR(K837)&amp;"-"&amp;TEXT(MONTH(K837),"00")</f>
        <v>2025-03</v>
      </c>
      <c r="Z837" s="0" t="str">
        <f aca="false">C837&amp;" → "&amp;D837</f>
        <v>Punjab → Surat</v>
      </c>
      <c r="AA837" s="0" t="str">
        <f aca="false">Raw!Q837</f>
        <v>VRL Cargo</v>
      </c>
      <c r="AB837" s="0" t="str">
        <f aca="false">Raw!R837</f>
        <v>Yes</v>
      </c>
      <c r="AC837" s="0" t="str">
        <f aca="false">Raw!S837</f>
        <v>Returned</v>
      </c>
      <c r="AD837" s="29" t="n">
        <f aca="false">Raw!N837</f>
        <v>3922.58</v>
      </c>
      <c r="AE837" s="29" t="n">
        <f aca="false">Raw!O837</f>
        <v>4224.39</v>
      </c>
      <c r="AF837" s="29" t="n">
        <f aca="false">Raw!P837</f>
        <v>853.48</v>
      </c>
      <c r="AG837" s="29" t="n">
        <f aca="false">AD837/J837</f>
        <v>445.747727272727</v>
      </c>
    </row>
    <row r="838" customFormat="false" ht="15" hidden="false" customHeight="false" outlineLevel="0" collapsed="false">
      <c r="A838" s="0" t="str">
        <f aca="false">Raw!A838</f>
        <v>SHP0837</v>
      </c>
      <c r="B838" s="0" t="str">
        <f aca="false">Raw!B838</f>
        <v>Outbound</v>
      </c>
      <c r="C838" s="0" t="str">
        <f aca="false">Raw!C838</f>
        <v>Surat</v>
      </c>
      <c r="D838" s="0" t="str">
        <f aca="false">Raw!D838</f>
        <v>Mumbai</v>
      </c>
      <c r="E838" s="0" t="str">
        <f aca="false">IFERROR(INDEX(Location_Map!$B$2:$B$15,MATCH(C838,Location_Map!$A$2:$A$15,0)),"UNMAPPED")</f>
        <v>Gujarat</v>
      </c>
      <c r="F838" s="0" t="str">
        <f aca="false">IFERROR(INDEX(Location_Map!$C$2:$C$15,MATCH(C838,Location_Map!$A$2:$A$15,0)),"UNMAPPED")</f>
        <v>West</v>
      </c>
      <c r="G838" s="0" t="str">
        <f aca="false">IFERROR(INDEX(Location_Map!$B$2:$B$15,MATCH(D838,Location_Map!$A$2:$A$15,0)),"UNMAPPED")</f>
        <v>Maharashtra</v>
      </c>
      <c r="H838" s="0" t="str">
        <f aca="false">IFERROR(INDEX(Location_Map!$C$2:$C$15,MATCH(D838,Location_Map!$A$2:$A$15,0)),"UNMAPPED")</f>
        <v>West</v>
      </c>
      <c r="I838" s="0" t="str">
        <f aca="false">Raw!E838</f>
        <v>Raw Yarn</v>
      </c>
      <c r="J838" s="28" t="n">
        <f aca="false">Raw!F838</f>
        <v>13.2</v>
      </c>
      <c r="K838" s="30" t="n">
        <f aca="false">DATE(LEFT(Raw!G838,4),MID(Raw!G838,6,2),MID(Raw!G838,9,2))</f>
        <v>45731</v>
      </c>
      <c r="L838" s="30" t="n">
        <f aca="false">DATE(LEFT(Raw!H838,4),MID(Raw!H838,6,2),MID(Raw!H838,9,2))</f>
        <v>45732</v>
      </c>
      <c r="M838" s="30" t="n">
        <f aca="false">DATE(LEFT(Raw!I838,4),MID(Raw!I838,6,2),MID(Raw!I838,9,2))</f>
        <v>45738</v>
      </c>
      <c r="N838" s="31" t="n">
        <f aca="false">DATE(LEFT(Raw!J838,4),MID(Raw!J838,6,2),MID(Raw!J838,9,2))+TIME(MID(Raw!J838,12,2),MID(Raw!J838,15,2),MID(Raw!J838,18,2))</f>
        <v>45732.375</v>
      </c>
      <c r="O838" s="31" t="n">
        <f aca="false">DATE(LEFT(Raw!K838,4),MID(Raw!K838,6,2),MID(Raw!K838,9,2))+TIME(MID(Raw!K838,12,2),MID(Raw!K838,15,2),MID(Raw!K838,18,2))</f>
        <v>45739.2</v>
      </c>
      <c r="P838" s="32" t="n">
        <f aca="false">L838-K838</f>
        <v>1</v>
      </c>
      <c r="Q838" s="32" t="n">
        <f aca="false">M838-L838</f>
        <v>6</v>
      </c>
      <c r="R838" s="32" t="n">
        <f aca="false">O838-N838</f>
        <v>6.825</v>
      </c>
      <c r="S838" s="32" t="n">
        <f aca="false">Raw!L838</f>
        <v>1.2</v>
      </c>
      <c r="T838" s="32" t="n">
        <f aca="false">O838-M838</f>
        <v>1.2</v>
      </c>
      <c r="U838" s="0" t="str">
        <f aca="false">IF(ABS(T838-S838)&lt;0.01,"OK","MISMATCH")</f>
        <v>OK</v>
      </c>
      <c r="V838" s="33" t="n">
        <f aca="false">Raw!M838</f>
        <v>1</v>
      </c>
      <c r="W838" s="0" t="str">
        <f aca="false">IF((S838&gt;0)=(V838=1),"OK","MISMATCH")</f>
        <v>OK</v>
      </c>
      <c r="X838" s="0" t="str">
        <f aca="false">_xlfn.IFS(S838&lt;=0,"Early/On time",S838&lt;=2,"Minor (up to 2 days)",S838&lt;=5,"Moderate (2-5 days)",TRUE(),"Severe (over 5 days)")</f>
        <v>Minor (up to 2 days)</v>
      </c>
      <c r="Y838" s="0" t="str">
        <f aca="false">YEAR(K838)&amp;"-"&amp;TEXT(MONTH(K838),"00")</f>
        <v>2025-03</v>
      </c>
      <c r="Z838" s="0" t="str">
        <f aca="false">C838&amp;" → "&amp;D838</f>
        <v>Surat → Mumbai</v>
      </c>
      <c r="AA838" s="0" t="str">
        <f aca="false">Raw!Q838</f>
        <v>BlueDart</v>
      </c>
      <c r="AB838" s="0" t="str">
        <f aca="false">Raw!R838</f>
        <v>No</v>
      </c>
      <c r="AC838" s="0" t="str">
        <f aca="false">Raw!S838</f>
        <v>Damaged</v>
      </c>
      <c r="AD838" s="29" t="n">
        <f aca="false">Raw!N838</f>
        <v>8043.99</v>
      </c>
      <c r="AE838" s="29" t="n">
        <f aca="false">Raw!O838</f>
        <v>1211.03</v>
      </c>
      <c r="AF838" s="29" t="n">
        <f aca="false">Raw!P838</f>
        <v>956.94</v>
      </c>
      <c r="AG838" s="29" t="n">
        <f aca="false">AD838/J838</f>
        <v>609.393181818182</v>
      </c>
    </row>
    <row r="839" customFormat="false" ht="15" hidden="false" customHeight="false" outlineLevel="0" collapsed="false">
      <c r="A839" s="0" t="str">
        <f aca="false">Raw!A839</f>
        <v>SHP0838</v>
      </c>
      <c r="B839" s="0" t="str">
        <f aca="false">Raw!B839</f>
        <v>Inbound</v>
      </c>
      <c r="C839" s="0" t="str">
        <f aca="false">Raw!C839</f>
        <v>Uttar Pradesh</v>
      </c>
      <c r="D839" s="0" t="str">
        <f aca="false">Raw!D839</f>
        <v>Surat</v>
      </c>
      <c r="E839" s="0" t="str">
        <f aca="false">IFERROR(INDEX(Location_Map!$B$2:$B$15,MATCH(C839,Location_Map!$A$2:$A$15,0)),"UNMAPPED")</f>
        <v>Uttar Pradesh</v>
      </c>
      <c r="F839" s="0" t="str">
        <f aca="false">IFERROR(INDEX(Location_Map!$C$2:$C$15,MATCH(C839,Location_Map!$A$2:$A$15,0)),"UNMAPPED")</f>
        <v>North</v>
      </c>
      <c r="G839" s="0" t="str">
        <f aca="false">IFERROR(INDEX(Location_Map!$B$2:$B$15,MATCH(D839,Location_Map!$A$2:$A$15,0)),"UNMAPPED")</f>
        <v>Gujarat</v>
      </c>
      <c r="H839" s="0" t="str">
        <f aca="false">IFERROR(INDEX(Location_Map!$C$2:$C$15,MATCH(D839,Location_Map!$A$2:$A$15,0)),"UNMAPPED")</f>
        <v>West</v>
      </c>
      <c r="I839" s="0" t="str">
        <f aca="false">Raw!E839</f>
        <v>Semi-Processed Yarn</v>
      </c>
      <c r="J839" s="28" t="n">
        <f aca="false">Raw!F839</f>
        <v>18.9</v>
      </c>
      <c r="K839" s="30" t="n">
        <f aca="false">DATE(LEFT(Raw!G839,4),MID(Raw!G839,6,2),MID(Raw!G839,9,2))</f>
        <v>45924</v>
      </c>
      <c r="L839" s="30" t="n">
        <f aca="false">DATE(LEFT(Raw!H839,4),MID(Raw!H839,6,2),MID(Raw!H839,9,2))</f>
        <v>45925</v>
      </c>
      <c r="M839" s="30" t="n">
        <f aca="false">DATE(LEFT(Raw!I839,4),MID(Raw!I839,6,2),MID(Raw!I839,9,2))</f>
        <v>45927</v>
      </c>
      <c r="N839" s="31" t="n">
        <f aca="false">DATE(LEFT(Raw!J839,4),MID(Raw!J839,6,2),MID(Raw!J839,9,2))+TIME(MID(Raw!J839,12,2),MID(Raw!J839,15,2),MID(Raw!J839,18,2))</f>
        <v>45925.3333333333</v>
      </c>
      <c r="O839" s="31" t="n">
        <f aca="false">DATE(LEFT(Raw!K839,4),MID(Raw!K839,6,2),MID(Raw!K839,9,2))+TIME(MID(Raw!K839,12,2),MID(Raw!K839,15,2),MID(Raw!K839,18,2))</f>
        <v>45927.5</v>
      </c>
      <c r="P839" s="32" t="n">
        <f aca="false">L839-K839</f>
        <v>1</v>
      </c>
      <c r="Q839" s="32" t="n">
        <f aca="false">M839-L839</f>
        <v>2</v>
      </c>
      <c r="R839" s="32" t="n">
        <f aca="false">O839-N839</f>
        <v>2.16666666666667</v>
      </c>
      <c r="S839" s="32" t="n">
        <f aca="false">Raw!L839</f>
        <v>0.5</v>
      </c>
      <c r="T839" s="32" t="n">
        <f aca="false">O839-M839</f>
        <v>0.5</v>
      </c>
      <c r="U839" s="0" t="str">
        <f aca="false">IF(ABS(T839-S839)&lt;0.01,"OK","MISMATCH")</f>
        <v>OK</v>
      </c>
      <c r="V839" s="33" t="n">
        <f aca="false">Raw!M839</f>
        <v>1</v>
      </c>
      <c r="W839" s="0" t="str">
        <f aca="false">IF((S839&gt;0)=(V839=1),"OK","MISMATCH")</f>
        <v>OK</v>
      </c>
      <c r="X839" s="0" t="str">
        <f aca="false">_xlfn.IFS(S839&lt;=0,"Early/On time",S839&lt;=2,"Minor (up to 2 days)",S839&lt;=5,"Moderate (2-5 days)",TRUE(),"Severe (over 5 days)")</f>
        <v>Minor (up to 2 days)</v>
      </c>
      <c r="Y839" s="0" t="str">
        <f aca="false">YEAR(K839)&amp;"-"&amp;TEXT(MONTH(K839),"00")</f>
        <v>2025-09</v>
      </c>
      <c r="Z839" s="0" t="str">
        <f aca="false">C839&amp;" → "&amp;D839</f>
        <v>Uttar Pradesh → Surat</v>
      </c>
      <c r="AA839" s="0" t="str">
        <f aca="false">Raw!Q839</f>
        <v>Delhivery</v>
      </c>
      <c r="AB839" s="0" t="str">
        <f aca="false">Raw!R839</f>
        <v>No</v>
      </c>
      <c r="AC839" s="0" t="str">
        <f aca="false">Raw!S839</f>
        <v>Expedited</v>
      </c>
      <c r="AD839" s="29" t="n">
        <f aca="false">Raw!N839</f>
        <v>9255.09</v>
      </c>
      <c r="AE839" s="29" t="n">
        <f aca="false">Raw!O839</f>
        <v>2886.43</v>
      </c>
      <c r="AF839" s="29" t="n">
        <f aca="false">Raw!P839</f>
        <v>1210.99</v>
      </c>
      <c r="AG839" s="29" t="n">
        <f aca="false">AD839/J839</f>
        <v>489.687301587302</v>
      </c>
    </row>
    <row r="840" customFormat="false" ht="15" hidden="false" customHeight="false" outlineLevel="0" collapsed="false">
      <c r="A840" s="0" t="str">
        <f aca="false">Raw!A840</f>
        <v>SHP0839</v>
      </c>
      <c r="B840" s="0" t="str">
        <f aca="false">Raw!B840</f>
        <v>Outbound</v>
      </c>
      <c r="C840" s="0" t="str">
        <f aca="false">Raw!C840</f>
        <v>Surat</v>
      </c>
      <c r="D840" s="0" t="str">
        <f aca="false">Raw!D840</f>
        <v>Uttarakhand</v>
      </c>
      <c r="E840" s="0" t="str">
        <f aca="false">IFERROR(INDEX(Location_Map!$B$2:$B$15,MATCH(C840,Location_Map!$A$2:$A$15,0)),"UNMAPPED")</f>
        <v>Gujarat</v>
      </c>
      <c r="F840" s="0" t="str">
        <f aca="false">IFERROR(INDEX(Location_Map!$C$2:$C$15,MATCH(C840,Location_Map!$A$2:$A$15,0)),"UNMAPPED")</f>
        <v>West</v>
      </c>
      <c r="G840" s="0" t="str">
        <f aca="false">IFERROR(INDEX(Location_Map!$B$2:$B$15,MATCH(D840,Location_Map!$A$2:$A$15,0)),"UNMAPPED")</f>
        <v>Uttarakhand</v>
      </c>
      <c r="H840" s="0" t="str">
        <f aca="false">IFERROR(INDEX(Location_Map!$C$2:$C$15,MATCH(D840,Location_Map!$A$2:$A$15,0)),"UNMAPPED")</f>
        <v>North</v>
      </c>
      <c r="I840" s="0" t="str">
        <f aca="false">Raw!E840</f>
        <v>Raw Yarn</v>
      </c>
      <c r="J840" s="28" t="n">
        <f aca="false">Raw!F840</f>
        <v>9.34</v>
      </c>
      <c r="K840" s="30" t="n">
        <f aca="false">DATE(LEFT(Raw!G840,4),MID(Raw!G840,6,2),MID(Raw!G840,9,2))</f>
        <v>45691</v>
      </c>
      <c r="L840" s="30" t="n">
        <f aca="false">DATE(LEFT(Raw!H840,4),MID(Raw!H840,6,2),MID(Raw!H840,9,2))</f>
        <v>45694</v>
      </c>
      <c r="M840" s="30" t="n">
        <f aca="false">DATE(LEFT(Raw!I840,4),MID(Raw!I840,6,2),MID(Raw!I840,9,2))</f>
        <v>45699</v>
      </c>
      <c r="N840" s="31" t="n">
        <f aca="false">DATE(LEFT(Raw!J840,4),MID(Raw!J840,6,2),MID(Raw!J840,9,2))+TIME(MID(Raw!J840,12,2),MID(Raw!J840,15,2),MID(Raw!J840,18,2))</f>
        <v>45693.875</v>
      </c>
      <c r="O840" s="31" t="n">
        <f aca="false">DATE(LEFT(Raw!K840,4),MID(Raw!K840,6,2),MID(Raw!K840,9,2))+TIME(MID(Raw!K840,12,2),MID(Raw!K840,15,2),MID(Raw!K840,18,2))</f>
        <v>45704.6</v>
      </c>
      <c r="P840" s="32" t="n">
        <f aca="false">L840-K840</f>
        <v>3</v>
      </c>
      <c r="Q840" s="32" t="n">
        <f aca="false">M840-L840</f>
        <v>5</v>
      </c>
      <c r="R840" s="32" t="n">
        <f aca="false">O840-N840</f>
        <v>10.725</v>
      </c>
      <c r="S840" s="32" t="n">
        <f aca="false">Raw!L840</f>
        <v>5.6</v>
      </c>
      <c r="T840" s="32" t="n">
        <f aca="false">O840-M840</f>
        <v>5.6</v>
      </c>
      <c r="U840" s="0" t="str">
        <f aca="false">IF(ABS(T840-S840)&lt;0.01,"OK","MISMATCH")</f>
        <v>OK</v>
      </c>
      <c r="V840" s="33" t="n">
        <f aca="false">Raw!M840</f>
        <v>1</v>
      </c>
      <c r="W840" s="0" t="str">
        <f aca="false">IF((S840&gt;0)=(V840=1),"OK","MISMATCH")</f>
        <v>OK</v>
      </c>
      <c r="X840" s="0" t="str">
        <f aca="false">_xlfn.IFS(S840&lt;=0,"Early/On time",S840&lt;=2,"Minor (up to 2 days)",S840&lt;=5,"Moderate (2-5 days)",TRUE(),"Severe (over 5 days)")</f>
        <v>Severe (over 5 days)</v>
      </c>
      <c r="Y840" s="0" t="str">
        <f aca="false">YEAR(K840)&amp;"-"&amp;TEXT(MONTH(K840),"00")</f>
        <v>2025-02</v>
      </c>
      <c r="Z840" s="0" t="str">
        <f aca="false">C840&amp;" → "&amp;D840</f>
        <v>Surat → Uttarakhand</v>
      </c>
      <c r="AA840" s="0" t="str">
        <f aca="false">Raw!Q840</f>
        <v>Delhivery</v>
      </c>
      <c r="AB840" s="0" t="str">
        <f aca="false">Raw!R840</f>
        <v>No</v>
      </c>
      <c r="AC840" s="0" t="str">
        <f aca="false">Raw!S840</f>
        <v>Returned</v>
      </c>
      <c r="AD840" s="29" t="n">
        <f aca="false">Raw!N840</f>
        <v>3673.7</v>
      </c>
      <c r="AE840" s="29" t="n">
        <f aca="false">Raw!O840</f>
        <v>2922.59</v>
      </c>
      <c r="AF840" s="29" t="n">
        <f aca="false">Raw!P840</f>
        <v>1051.83</v>
      </c>
      <c r="AG840" s="29" t="n">
        <f aca="false">AD840/J840</f>
        <v>393.329764453961</v>
      </c>
    </row>
    <row r="841" customFormat="false" ht="15" hidden="false" customHeight="false" outlineLevel="0" collapsed="false">
      <c r="A841" s="0" t="str">
        <f aca="false">Raw!A841</f>
        <v>SHP0840</v>
      </c>
      <c r="B841" s="0" t="str">
        <f aca="false">Raw!B841</f>
        <v>Inbound</v>
      </c>
      <c r="C841" s="0" t="str">
        <f aca="false">Raw!C841</f>
        <v>Uttar Pradesh</v>
      </c>
      <c r="D841" s="0" t="str">
        <f aca="false">Raw!D841</f>
        <v>Surat</v>
      </c>
      <c r="E841" s="0" t="str">
        <f aca="false">IFERROR(INDEX(Location_Map!$B$2:$B$15,MATCH(C841,Location_Map!$A$2:$A$15,0)),"UNMAPPED")</f>
        <v>Uttar Pradesh</v>
      </c>
      <c r="F841" s="0" t="str">
        <f aca="false">IFERROR(INDEX(Location_Map!$C$2:$C$15,MATCH(C841,Location_Map!$A$2:$A$15,0)),"UNMAPPED")</f>
        <v>North</v>
      </c>
      <c r="G841" s="0" t="str">
        <f aca="false">IFERROR(INDEX(Location_Map!$B$2:$B$15,MATCH(D841,Location_Map!$A$2:$A$15,0)),"UNMAPPED")</f>
        <v>Gujarat</v>
      </c>
      <c r="H841" s="0" t="str">
        <f aca="false">IFERROR(INDEX(Location_Map!$C$2:$C$15,MATCH(D841,Location_Map!$A$2:$A$15,0)),"UNMAPPED")</f>
        <v>West</v>
      </c>
      <c r="I841" s="0" t="str">
        <f aca="false">Raw!E841</f>
        <v>Semi-Processed Yarn</v>
      </c>
      <c r="J841" s="28" t="n">
        <f aca="false">Raw!F841</f>
        <v>13</v>
      </c>
      <c r="K841" s="30" t="n">
        <f aca="false">DATE(LEFT(Raw!G841,4),MID(Raw!G841,6,2),MID(Raw!G841,9,2))</f>
        <v>45735</v>
      </c>
      <c r="L841" s="30" t="n">
        <f aca="false">DATE(LEFT(Raw!H841,4),MID(Raw!H841,6,2),MID(Raw!H841,9,2))</f>
        <v>45739</v>
      </c>
      <c r="M841" s="30" t="n">
        <f aca="false">DATE(LEFT(Raw!I841,4),MID(Raw!I841,6,2),MID(Raw!I841,9,2))</f>
        <v>45743</v>
      </c>
      <c r="N841" s="31" t="n">
        <f aca="false">DATE(LEFT(Raw!J841,4),MID(Raw!J841,6,2),MID(Raw!J841,9,2))+TIME(MID(Raw!J841,12,2),MID(Raw!J841,15,2),MID(Raw!J841,18,2))</f>
        <v>45738.9583333333</v>
      </c>
      <c r="O841" s="31" t="n">
        <f aca="false">DATE(LEFT(Raw!K841,4),MID(Raw!K841,6,2),MID(Raw!K841,9,2))+TIME(MID(Raw!K841,12,2),MID(Raw!K841,15,2),MID(Raw!K841,18,2))</f>
        <v>45747</v>
      </c>
      <c r="P841" s="32" t="n">
        <f aca="false">L841-K841</f>
        <v>4</v>
      </c>
      <c r="Q841" s="32" t="n">
        <f aca="false">M841-L841</f>
        <v>4</v>
      </c>
      <c r="R841" s="32" t="n">
        <f aca="false">O841-N841</f>
        <v>8.04166666666667</v>
      </c>
      <c r="S841" s="32" t="n">
        <f aca="false">Raw!L841</f>
        <v>4</v>
      </c>
      <c r="T841" s="32" t="n">
        <f aca="false">O841-M841</f>
        <v>4</v>
      </c>
      <c r="U841" s="0" t="str">
        <f aca="false">IF(ABS(T841-S841)&lt;0.01,"OK","MISMATCH")</f>
        <v>OK</v>
      </c>
      <c r="V841" s="33" t="n">
        <f aca="false">Raw!M841</f>
        <v>1</v>
      </c>
      <c r="W841" s="0" t="str">
        <f aca="false">IF((S841&gt;0)=(V841=1),"OK","MISMATCH")</f>
        <v>OK</v>
      </c>
      <c r="X841" s="0" t="str">
        <f aca="false">_xlfn.IFS(S841&lt;=0,"Early/On time",S841&lt;=2,"Minor (up to 2 days)",S841&lt;=5,"Moderate (2-5 days)",TRUE(),"Severe (over 5 days)")</f>
        <v>Moderate (2-5 days)</v>
      </c>
      <c r="Y841" s="0" t="str">
        <f aca="false">YEAR(K841)&amp;"-"&amp;TEXT(MONTH(K841),"00")</f>
        <v>2025-03</v>
      </c>
      <c r="Z841" s="0" t="str">
        <f aca="false">C841&amp;" → "&amp;D841</f>
        <v>Uttar Pradesh → Surat</v>
      </c>
      <c r="AA841" s="0" t="str">
        <f aca="false">Raw!Q841</f>
        <v>BlueDart</v>
      </c>
      <c r="AB841" s="0" t="str">
        <f aca="false">Raw!R841</f>
        <v>No</v>
      </c>
      <c r="AC841" s="0" t="str">
        <f aca="false">Raw!S841</f>
        <v>Returned</v>
      </c>
      <c r="AD841" s="29" t="n">
        <f aca="false">Raw!N841</f>
        <v>5969.44</v>
      </c>
      <c r="AE841" s="29" t="n">
        <f aca="false">Raw!O841</f>
        <v>2924.5</v>
      </c>
      <c r="AF841" s="29" t="n">
        <f aca="false">Raw!P841</f>
        <v>833.37</v>
      </c>
      <c r="AG841" s="29" t="n">
        <f aca="false">AD841/J841</f>
        <v>459.187692307692</v>
      </c>
    </row>
    <row r="842" customFormat="false" ht="15" hidden="false" customHeight="false" outlineLevel="0" collapsed="false">
      <c r="A842" s="0" t="str">
        <f aca="false">Raw!A842</f>
        <v>SHP0841</v>
      </c>
      <c r="B842" s="0" t="str">
        <f aca="false">Raw!B842</f>
        <v>Inbound</v>
      </c>
      <c r="C842" s="0" t="str">
        <f aca="false">Raw!C842</f>
        <v>Gujarat</v>
      </c>
      <c r="D842" s="0" t="str">
        <f aca="false">Raw!D842</f>
        <v>Surat</v>
      </c>
      <c r="E842" s="0" t="str">
        <f aca="false">IFERROR(INDEX(Location_Map!$B$2:$B$15,MATCH(C842,Location_Map!$A$2:$A$15,0)),"UNMAPPED")</f>
        <v>Gujarat</v>
      </c>
      <c r="F842" s="0" t="str">
        <f aca="false">IFERROR(INDEX(Location_Map!$C$2:$C$15,MATCH(C842,Location_Map!$A$2:$A$15,0)),"UNMAPPED")</f>
        <v>West</v>
      </c>
      <c r="G842" s="0" t="str">
        <f aca="false">IFERROR(INDEX(Location_Map!$B$2:$B$15,MATCH(D842,Location_Map!$A$2:$A$15,0)),"UNMAPPED")</f>
        <v>Gujarat</v>
      </c>
      <c r="H842" s="0" t="str">
        <f aca="false">IFERROR(INDEX(Location_Map!$C$2:$C$15,MATCH(D842,Location_Map!$A$2:$A$15,0)),"UNMAPPED")</f>
        <v>West</v>
      </c>
      <c r="I842" s="0" t="str">
        <f aca="false">Raw!E842</f>
        <v>Semi-Processed Yarn</v>
      </c>
      <c r="J842" s="28" t="n">
        <f aca="false">Raw!F842</f>
        <v>9.53</v>
      </c>
      <c r="K842" s="30" t="n">
        <f aca="false">DATE(LEFT(Raw!G842,4),MID(Raw!G842,6,2),MID(Raw!G842,9,2))</f>
        <v>45829</v>
      </c>
      <c r="L842" s="30" t="n">
        <f aca="false">DATE(LEFT(Raw!H842,4),MID(Raw!H842,6,2),MID(Raw!H842,9,2))</f>
        <v>45831</v>
      </c>
      <c r="M842" s="30" t="n">
        <f aca="false">DATE(LEFT(Raw!I842,4),MID(Raw!I842,6,2),MID(Raw!I842,9,2))</f>
        <v>45834</v>
      </c>
      <c r="N842" s="31" t="n">
        <f aca="false">DATE(LEFT(Raw!J842,4),MID(Raw!J842,6,2),MID(Raw!J842,9,2))+TIME(MID(Raw!J842,12,2),MID(Raw!J842,15,2),MID(Raw!J842,18,2))</f>
        <v>45831.375</v>
      </c>
      <c r="O842" s="31" t="n">
        <f aca="false">DATE(LEFT(Raw!K842,4),MID(Raw!K842,6,2),MID(Raw!K842,9,2))+TIME(MID(Raw!K842,12,2),MID(Raw!K842,15,2),MID(Raw!K842,18,2))</f>
        <v>45835</v>
      </c>
      <c r="P842" s="32" t="n">
        <f aca="false">L842-K842</f>
        <v>2</v>
      </c>
      <c r="Q842" s="32" t="n">
        <f aca="false">M842-L842</f>
        <v>3</v>
      </c>
      <c r="R842" s="32" t="n">
        <f aca="false">O842-N842</f>
        <v>3.625</v>
      </c>
      <c r="S842" s="32" t="n">
        <f aca="false">Raw!L842</f>
        <v>1</v>
      </c>
      <c r="T842" s="32" t="n">
        <f aca="false">O842-M842</f>
        <v>1</v>
      </c>
      <c r="U842" s="0" t="str">
        <f aca="false">IF(ABS(T842-S842)&lt;0.01,"OK","MISMATCH")</f>
        <v>OK</v>
      </c>
      <c r="V842" s="33" t="n">
        <f aca="false">Raw!M842</f>
        <v>1</v>
      </c>
      <c r="W842" s="0" t="str">
        <f aca="false">IF((S842&gt;0)=(V842=1),"OK","MISMATCH")</f>
        <v>OK</v>
      </c>
      <c r="X842" s="0" t="str">
        <f aca="false">_xlfn.IFS(S842&lt;=0,"Early/On time",S842&lt;=2,"Minor (up to 2 days)",S842&lt;=5,"Moderate (2-5 days)",TRUE(),"Severe (over 5 days)")</f>
        <v>Minor (up to 2 days)</v>
      </c>
      <c r="Y842" s="0" t="str">
        <f aca="false">YEAR(K842)&amp;"-"&amp;TEXT(MONTH(K842),"00")</f>
        <v>2025-06</v>
      </c>
      <c r="Z842" s="0" t="str">
        <f aca="false">C842&amp;" → "&amp;D842</f>
        <v>Gujarat → Surat</v>
      </c>
      <c r="AA842" s="0" t="str">
        <f aca="false">Raw!Q842</f>
        <v>BlueDart</v>
      </c>
      <c r="AB842" s="0" t="str">
        <f aca="false">Raw!R842</f>
        <v>No</v>
      </c>
      <c r="AC842" s="0" t="str">
        <f aca="false">Raw!S842</f>
        <v>Damaged</v>
      </c>
      <c r="AD842" s="29" t="n">
        <f aca="false">Raw!N842</f>
        <v>5155.96</v>
      </c>
      <c r="AE842" s="29" t="n">
        <f aca="false">Raw!O842</f>
        <v>3438.11</v>
      </c>
      <c r="AF842" s="29" t="n">
        <f aca="false">Raw!P842</f>
        <v>1085.19</v>
      </c>
      <c r="AG842" s="29" t="n">
        <f aca="false">AD842/J842</f>
        <v>541.024134312697</v>
      </c>
    </row>
    <row r="843" customFormat="false" ht="15" hidden="false" customHeight="false" outlineLevel="0" collapsed="false">
      <c r="A843" s="0" t="str">
        <f aca="false">Raw!A843</f>
        <v>SHP0842</v>
      </c>
      <c r="B843" s="0" t="str">
        <f aca="false">Raw!B843</f>
        <v>Inbound</v>
      </c>
      <c r="C843" s="0" t="str">
        <f aca="false">Raw!C843</f>
        <v>Punjab</v>
      </c>
      <c r="D843" s="0" t="str">
        <f aca="false">Raw!D843</f>
        <v>Surat</v>
      </c>
      <c r="E843" s="0" t="str">
        <f aca="false">IFERROR(INDEX(Location_Map!$B$2:$B$15,MATCH(C843,Location_Map!$A$2:$A$15,0)),"UNMAPPED")</f>
        <v>Punjab</v>
      </c>
      <c r="F843" s="0" t="str">
        <f aca="false">IFERROR(INDEX(Location_Map!$C$2:$C$15,MATCH(C843,Location_Map!$A$2:$A$15,0)),"UNMAPPED")</f>
        <v>North</v>
      </c>
      <c r="G843" s="0" t="str">
        <f aca="false">IFERROR(INDEX(Location_Map!$B$2:$B$15,MATCH(D843,Location_Map!$A$2:$A$15,0)),"UNMAPPED")</f>
        <v>Gujarat</v>
      </c>
      <c r="H843" s="0" t="str">
        <f aca="false">IFERROR(INDEX(Location_Map!$C$2:$C$15,MATCH(D843,Location_Map!$A$2:$A$15,0)),"UNMAPPED")</f>
        <v>West</v>
      </c>
      <c r="I843" s="0" t="str">
        <f aca="false">Raw!E843</f>
        <v>Raw Yarn</v>
      </c>
      <c r="J843" s="28" t="n">
        <f aca="false">Raw!F843</f>
        <v>8.03</v>
      </c>
      <c r="K843" s="30" t="n">
        <f aca="false">DATE(LEFT(Raw!G843,4),MID(Raw!G843,6,2),MID(Raw!G843,9,2))</f>
        <v>45803</v>
      </c>
      <c r="L843" s="30" t="n">
        <f aca="false">DATE(LEFT(Raw!H843,4),MID(Raw!H843,6,2),MID(Raw!H843,9,2))</f>
        <v>45805</v>
      </c>
      <c r="M843" s="30" t="n">
        <f aca="false">DATE(LEFT(Raw!I843,4),MID(Raw!I843,6,2),MID(Raw!I843,9,2))</f>
        <v>45807</v>
      </c>
      <c r="N843" s="31" t="n">
        <f aca="false">DATE(LEFT(Raw!J843,4),MID(Raw!J843,6,2),MID(Raw!J843,9,2))+TIME(MID(Raw!J843,12,2),MID(Raw!J843,15,2),MID(Raw!J843,18,2))</f>
        <v>45805.25</v>
      </c>
      <c r="O843" s="31" t="n">
        <f aca="false">DATE(LEFT(Raw!K843,4),MID(Raw!K843,6,2),MID(Raw!K843,9,2))+TIME(MID(Raw!K843,12,2),MID(Raw!K843,15,2),MID(Raw!K843,18,2))</f>
        <v>45809.5</v>
      </c>
      <c r="P843" s="32" t="n">
        <f aca="false">L843-K843</f>
        <v>2</v>
      </c>
      <c r="Q843" s="32" t="n">
        <f aca="false">M843-L843</f>
        <v>2</v>
      </c>
      <c r="R843" s="32" t="n">
        <f aca="false">O843-N843</f>
        <v>4.25</v>
      </c>
      <c r="S843" s="32" t="n">
        <f aca="false">Raw!L843</f>
        <v>2.5</v>
      </c>
      <c r="T843" s="32" t="n">
        <f aca="false">O843-M843</f>
        <v>2.5</v>
      </c>
      <c r="U843" s="0" t="str">
        <f aca="false">IF(ABS(T843-S843)&lt;0.01,"OK","MISMATCH")</f>
        <v>OK</v>
      </c>
      <c r="V843" s="33" t="n">
        <f aca="false">Raw!M843</f>
        <v>1</v>
      </c>
      <c r="W843" s="0" t="str">
        <f aca="false">IF((S843&gt;0)=(V843=1),"OK","MISMATCH")</f>
        <v>OK</v>
      </c>
      <c r="X843" s="0" t="str">
        <f aca="false">_xlfn.IFS(S843&lt;=0,"Early/On time",S843&lt;=2,"Minor (up to 2 days)",S843&lt;=5,"Moderate (2-5 days)",TRUE(),"Severe (over 5 days)")</f>
        <v>Moderate (2-5 days)</v>
      </c>
      <c r="Y843" s="0" t="str">
        <f aca="false">YEAR(K843)&amp;"-"&amp;TEXT(MONTH(K843),"00")</f>
        <v>2025-05</v>
      </c>
      <c r="Z843" s="0" t="str">
        <f aca="false">C843&amp;" → "&amp;D843</f>
        <v>Punjab → Surat</v>
      </c>
      <c r="AA843" s="0" t="str">
        <f aca="false">Raw!Q843</f>
        <v>GATI Logistics</v>
      </c>
      <c r="AB843" s="0" t="str">
        <f aca="false">Raw!R843</f>
        <v>Yes</v>
      </c>
      <c r="AC843" s="0" t="str">
        <f aca="false">Raw!S843</f>
        <v>Held at warehouse</v>
      </c>
      <c r="AD843" s="29" t="n">
        <f aca="false">Raw!N843</f>
        <v>2727.36</v>
      </c>
      <c r="AE843" s="29" t="n">
        <f aca="false">Raw!O843</f>
        <v>3732.28</v>
      </c>
      <c r="AF843" s="29" t="n">
        <f aca="false">Raw!P843</f>
        <v>1160.73</v>
      </c>
      <c r="AG843" s="29" t="n">
        <f aca="false">AD843/J843</f>
        <v>339.646326276463</v>
      </c>
    </row>
    <row r="844" customFormat="false" ht="15" hidden="false" customHeight="false" outlineLevel="0" collapsed="false">
      <c r="A844" s="0" t="str">
        <f aca="false">Raw!A844</f>
        <v>SHP0843</v>
      </c>
      <c r="B844" s="0" t="str">
        <f aca="false">Raw!B844</f>
        <v>Inbound</v>
      </c>
      <c r="C844" s="0" t="str">
        <f aca="false">Raw!C844</f>
        <v>Uttar Pradesh</v>
      </c>
      <c r="D844" s="0" t="str">
        <f aca="false">Raw!D844</f>
        <v>Surat</v>
      </c>
      <c r="E844" s="0" t="str">
        <f aca="false">IFERROR(INDEX(Location_Map!$B$2:$B$15,MATCH(C844,Location_Map!$A$2:$A$15,0)),"UNMAPPED")</f>
        <v>Uttar Pradesh</v>
      </c>
      <c r="F844" s="0" t="str">
        <f aca="false">IFERROR(INDEX(Location_Map!$C$2:$C$15,MATCH(C844,Location_Map!$A$2:$A$15,0)),"UNMAPPED")</f>
        <v>North</v>
      </c>
      <c r="G844" s="0" t="str">
        <f aca="false">IFERROR(INDEX(Location_Map!$B$2:$B$15,MATCH(D844,Location_Map!$A$2:$A$15,0)),"UNMAPPED")</f>
        <v>Gujarat</v>
      </c>
      <c r="H844" s="0" t="str">
        <f aca="false">IFERROR(INDEX(Location_Map!$C$2:$C$15,MATCH(D844,Location_Map!$A$2:$A$15,0)),"UNMAPPED")</f>
        <v>West</v>
      </c>
      <c r="I844" s="0" t="str">
        <f aca="false">Raw!E844</f>
        <v>Raw Yarn</v>
      </c>
      <c r="J844" s="28" t="n">
        <f aca="false">Raw!F844</f>
        <v>19.06</v>
      </c>
      <c r="K844" s="30" t="n">
        <f aca="false">DATE(LEFT(Raw!G844,4),MID(Raw!G844,6,2),MID(Raw!G844,9,2))</f>
        <v>45876</v>
      </c>
      <c r="L844" s="30" t="n">
        <f aca="false">DATE(LEFT(Raw!H844,4),MID(Raw!H844,6,2),MID(Raw!H844,9,2))</f>
        <v>45877</v>
      </c>
      <c r="M844" s="30" t="n">
        <f aca="false">DATE(LEFT(Raw!I844,4),MID(Raw!I844,6,2),MID(Raw!I844,9,2))</f>
        <v>45882</v>
      </c>
      <c r="N844" s="31" t="n">
        <f aca="false">DATE(LEFT(Raw!J844,4),MID(Raw!J844,6,2),MID(Raw!J844,9,2))+TIME(MID(Raw!J844,12,2),MID(Raw!J844,15,2),MID(Raw!J844,18,2))</f>
        <v>45876.9166666667</v>
      </c>
      <c r="O844" s="31" t="n">
        <f aca="false">DATE(LEFT(Raw!K844,4),MID(Raw!K844,6,2),MID(Raw!K844,9,2))+TIME(MID(Raw!K844,12,2),MID(Raw!K844,15,2),MID(Raw!K844,18,2))</f>
        <v>45882.1</v>
      </c>
      <c r="P844" s="32" t="n">
        <f aca="false">L844-K844</f>
        <v>1</v>
      </c>
      <c r="Q844" s="32" t="n">
        <f aca="false">M844-L844</f>
        <v>5</v>
      </c>
      <c r="R844" s="32" t="n">
        <f aca="false">O844-N844</f>
        <v>5.18333333333333</v>
      </c>
      <c r="S844" s="32" t="n">
        <f aca="false">Raw!L844</f>
        <v>0.1</v>
      </c>
      <c r="T844" s="32" t="n">
        <f aca="false">O844-M844</f>
        <v>0.1</v>
      </c>
      <c r="U844" s="0" t="str">
        <f aca="false">IF(ABS(T844-S844)&lt;0.01,"OK","MISMATCH")</f>
        <v>OK</v>
      </c>
      <c r="V844" s="33" t="n">
        <f aca="false">Raw!M844</f>
        <v>1</v>
      </c>
      <c r="W844" s="0" t="str">
        <f aca="false">IF((S844&gt;0)=(V844=1),"OK","MISMATCH")</f>
        <v>OK</v>
      </c>
      <c r="X844" s="0" t="str">
        <f aca="false">_xlfn.IFS(S844&lt;=0,"Early/On time",S844&lt;=2,"Minor (up to 2 days)",S844&lt;=5,"Moderate (2-5 days)",TRUE(),"Severe (over 5 days)")</f>
        <v>Minor (up to 2 days)</v>
      </c>
      <c r="Y844" s="0" t="str">
        <f aca="false">YEAR(K844)&amp;"-"&amp;TEXT(MONTH(K844),"00")</f>
        <v>2025-08</v>
      </c>
      <c r="Z844" s="0" t="str">
        <f aca="false">C844&amp;" → "&amp;D844</f>
        <v>Uttar Pradesh → Surat</v>
      </c>
      <c r="AA844" s="0" t="str">
        <f aca="false">Raw!Q844</f>
        <v>TCI Express</v>
      </c>
      <c r="AB844" s="0" t="str">
        <f aca="false">Raw!R844</f>
        <v>No</v>
      </c>
      <c r="AC844" s="0" t="str">
        <f aca="false">Raw!S844</f>
        <v>Held at warehouse</v>
      </c>
      <c r="AD844" s="29" t="n">
        <f aca="false">Raw!N844</f>
        <v>12106.27</v>
      </c>
      <c r="AE844" s="29" t="n">
        <f aca="false">Raw!O844</f>
        <v>3129.22</v>
      </c>
      <c r="AF844" s="29" t="n">
        <f aca="false">Raw!P844</f>
        <v>1405.32</v>
      </c>
      <c r="AG844" s="29" t="n">
        <f aca="false">AD844/J844</f>
        <v>635.166316894019</v>
      </c>
    </row>
    <row r="845" customFormat="false" ht="15" hidden="false" customHeight="false" outlineLevel="0" collapsed="false">
      <c r="A845" s="0" t="str">
        <f aca="false">Raw!A845</f>
        <v>SHP0844</v>
      </c>
      <c r="B845" s="0" t="str">
        <f aca="false">Raw!B845</f>
        <v>Inbound</v>
      </c>
      <c r="C845" s="0" t="str">
        <f aca="false">Raw!C845</f>
        <v>Rajasthan</v>
      </c>
      <c r="D845" s="0" t="str">
        <f aca="false">Raw!D845</f>
        <v>Surat</v>
      </c>
      <c r="E845" s="0" t="str">
        <f aca="false">IFERROR(INDEX(Location_Map!$B$2:$B$15,MATCH(C845,Location_Map!$A$2:$A$15,0)),"UNMAPPED")</f>
        <v>Rajasthan</v>
      </c>
      <c r="F845" s="0" t="str">
        <f aca="false">IFERROR(INDEX(Location_Map!$C$2:$C$15,MATCH(C845,Location_Map!$A$2:$A$15,0)),"UNMAPPED")</f>
        <v>North</v>
      </c>
      <c r="G845" s="0" t="str">
        <f aca="false">IFERROR(INDEX(Location_Map!$B$2:$B$15,MATCH(D845,Location_Map!$A$2:$A$15,0)),"UNMAPPED")</f>
        <v>Gujarat</v>
      </c>
      <c r="H845" s="0" t="str">
        <f aca="false">IFERROR(INDEX(Location_Map!$C$2:$C$15,MATCH(D845,Location_Map!$A$2:$A$15,0)),"UNMAPPED")</f>
        <v>West</v>
      </c>
      <c r="I845" s="0" t="str">
        <f aca="false">Raw!E845</f>
        <v>Semi-Processed Yarn</v>
      </c>
      <c r="J845" s="28" t="n">
        <f aca="false">Raw!F845</f>
        <v>2.58</v>
      </c>
      <c r="K845" s="30" t="n">
        <f aca="false">DATE(LEFT(Raw!G845,4),MID(Raw!G845,6,2),MID(Raw!G845,9,2))</f>
        <v>45715</v>
      </c>
      <c r="L845" s="30" t="n">
        <f aca="false">DATE(LEFT(Raw!H845,4),MID(Raw!H845,6,2),MID(Raw!H845,9,2))</f>
        <v>45717</v>
      </c>
      <c r="M845" s="30" t="n">
        <f aca="false">DATE(LEFT(Raw!I845,4),MID(Raw!I845,6,2),MID(Raw!I845,9,2))</f>
        <v>45719</v>
      </c>
      <c r="N845" s="31" t="n">
        <f aca="false">DATE(LEFT(Raw!J845,4),MID(Raw!J845,6,2),MID(Raw!J845,9,2))+TIME(MID(Raw!J845,12,2),MID(Raw!J845,15,2),MID(Raw!J845,18,2))</f>
        <v>45716.9166666667</v>
      </c>
      <c r="O845" s="31" t="n">
        <f aca="false">DATE(LEFT(Raw!K845,4),MID(Raw!K845,6,2),MID(Raw!K845,9,2))+TIME(MID(Raw!K845,12,2),MID(Raw!K845,15,2),MID(Raw!K845,18,2))</f>
        <v>45718</v>
      </c>
      <c r="P845" s="32" t="n">
        <f aca="false">L845-K845</f>
        <v>2</v>
      </c>
      <c r="Q845" s="32" t="n">
        <f aca="false">M845-L845</f>
        <v>2</v>
      </c>
      <c r="R845" s="32" t="n">
        <f aca="false">O845-N845</f>
        <v>1.08333333333333</v>
      </c>
      <c r="S845" s="32" t="n">
        <f aca="false">Raw!L845</f>
        <v>-1</v>
      </c>
      <c r="T845" s="32" t="n">
        <f aca="false">O845-M845</f>
        <v>-1</v>
      </c>
      <c r="U845" s="0" t="str">
        <f aca="false">IF(ABS(T845-S845)&lt;0.01,"OK","MISMATCH")</f>
        <v>OK</v>
      </c>
      <c r="V845" s="33" t="n">
        <f aca="false">Raw!M845</f>
        <v>0</v>
      </c>
      <c r="W845" s="0" t="str">
        <f aca="false">IF((S845&gt;0)=(V845=1),"OK","MISMATCH")</f>
        <v>OK</v>
      </c>
      <c r="X845" s="0" t="str">
        <f aca="false">_xlfn.IFS(S845&lt;=0,"Early/On time",S845&lt;=2,"Minor (up to 2 days)",S845&lt;=5,"Moderate (2-5 days)",TRUE(),"Severe (over 5 days)")</f>
        <v>Early/On time</v>
      </c>
      <c r="Y845" s="0" t="str">
        <f aca="false">YEAR(K845)&amp;"-"&amp;TEXT(MONTH(K845),"00")</f>
        <v>2025-02</v>
      </c>
      <c r="Z845" s="0" t="str">
        <f aca="false">C845&amp;" → "&amp;D845</f>
        <v>Rajasthan → Surat</v>
      </c>
      <c r="AA845" s="0" t="str">
        <f aca="false">Raw!Q845</f>
        <v>Delhivery</v>
      </c>
      <c r="AB845" s="0" t="str">
        <f aca="false">Raw!R845</f>
        <v>Yes</v>
      </c>
      <c r="AC845" s="0" t="str">
        <f aca="false">Raw!S845</f>
        <v>Normal</v>
      </c>
      <c r="AD845" s="29" t="n">
        <f aca="false">Raw!N845</f>
        <v>3203.99</v>
      </c>
      <c r="AE845" s="29" t="n">
        <f aca="false">Raw!O845</f>
        <v>2555.41</v>
      </c>
      <c r="AF845" s="29" t="n">
        <f aca="false">Raw!P845</f>
        <v>547.42</v>
      </c>
      <c r="AG845" s="29" t="n">
        <f aca="false">AD845/J845</f>
        <v>1241.85658914729</v>
      </c>
    </row>
    <row r="846" customFormat="false" ht="15" hidden="false" customHeight="false" outlineLevel="0" collapsed="false">
      <c r="A846" s="0" t="str">
        <f aca="false">Raw!A846</f>
        <v>SHP0845</v>
      </c>
      <c r="B846" s="0" t="str">
        <f aca="false">Raw!B846</f>
        <v>Inbound</v>
      </c>
      <c r="C846" s="0" t="str">
        <f aca="false">Raw!C846</f>
        <v>Chennai</v>
      </c>
      <c r="D846" s="0" t="str">
        <f aca="false">Raw!D846</f>
        <v>Surat</v>
      </c>
      <c r="E846" s="0" t="str">
        <f aca="false">IFERROR(INDEX(Location_Map!$B$2:$B$15,MATCH(C846,Location_Map!$A$2:$A$15,0)),"UNMAPPED")</f>
        <v>Tamil Nadu</v>
      </c>
      <c r="F846" s="0" t="str">
        <f aca="false">IFERROR(INDEX(Location_Map!$C$2:$C$15,MATCH(C846,Location_Map!$A$2:$A$15,0)),"UNMAPPED")</f>
        <v>South</v>
      </c>
      <c r="G846" s="0" t="str">
        <f aca="false">IFERROR(INDEX(Location_Map!$B$2:$B$15,MATCH(D846,Location_Map!$A$2:$A$15,0)),"UNMAPPED")</f>
        <v>Gujarat</v>
      </c>
      <c r="H846" s="0" t="str">
        <f aca="false">IFERROR(INDEX(Location_Map!$C$2:$C$15,MATCH(D846,Location_Map!$A$2:$A$15,0)),"UNMAPPED")</f>
        <v>West</v>
      </c>
      <c r="I846" s="0" t="str">
        <f aca="false">Raw!E846</f>
        <v>Semi-Processed Yarn</v>
      </c>
      <c r="J846" s="28" t="n">
        <f aca="false">Raw!F846</f>
        <v>16.22</v>
      </c>
      <c r="K846" s="30" t="n">
        <f aca="false">DATE(LEFT(Raw!G846,4),MID(Raw!G846,6,2),MID(Raw!G846,9,2))</f>
        <v>45839</v>
      </c>
      <c r="L846" s="30" t="n">
        <f aca="false">DATE(LEFT(Raw!H846,4),MID(Raw!H846,6,2),MID(Raw!H846,9,2))</f>
        <v>45840</v>
      </c>
      <c r="M846" s="30" t="n">
        <f aca="false">DATE(LEFT(Raw!I846,4),MID(Raw!I846,6,2),MID(Raw!I846,9,2))</f>
        <v>45843</v>
      </c>
      <c r="N846" s="31" t="n">
        <f aca="false">DATE(LEFT(Raw!J846,4),MID(Raw!J846,6,2),MID(Raw!J846,9,2))+TIME(MID(Raw!J846,12,2),MID(Raw!J846,15,2),MID(Raw!J846,18,2))</f>
        <v>45839.8333333333</v>
      </c>
      <c r="O846" s="31" t="n">
        <f aca="false">DATE(LEFT(Raw!K846,4),MID(Raw!K846,6,2),MID(Raw!K846,9,2))+TIME(MID(Raw!K846,12,2),MID(Raw!K846,15,2),MID(Raw!K846,18,2))</f>
        <v>45846.5</v>
      </c>
      <c r="P846" s="32" t="n">
        <f aca="false">L846-K846</f>
        <v>1</v>
      </c>
      <c r="Q846" s="32" t="n">
        <f aca="false">M846-L846</f>
        <v>3</v>
      </c>
      <c r="R846" s="32" t="n">
        <f aca="false">O846-N846</f>
        <v>6.66666666666667</v>
      </c>
      <c r="S846" s="32" t="n">
        <f aca="false">Raw!L846</f>
        <v>3.5</v>
      </c>
      <c r="T846" s="32" t="n">
        <f aca="false">O846-M846</f>
        <v>3.5</v>
      </c>
      <c r="U846" s="0" t="str">
        <f aca="false">IF(ABS(T846-S846)&lt;0.01,"OK","MISMATCH")</f>
        <v>OK</v>
      </c>
      <c r="V846" s="33" t="n">
        <f aca="false">Raw!M846</f>
        <v>1</v>
      </c>
      <c r="W846" s="0" t="str">
        <f aca="false">IF((S846&gt;0)=(V846=1),"OK","MISMATCH")</f>
        <v>OK</v>
      </c>
      <c r="X846" s="0" t="str">
        <f aca="false">_xlfn.IFS(S846&lt;=0,"Early/On time",S846&lt;=2,"Minor (up to 2 days)",S846&lt;=5,"Moderate (2-5 days)",TRUE(),"Severe (over 5 days)")</f>
        <v>Moderate (2-5 days)</v>
      </c>
      <c r="Y846" s="0" t="str">
        <f aca="false">YEAR(K846)&amp;"-"&amp;TEXT(MONTH(K846),"00")</f>
        <v>2025-07</v>
      </c>
      <c r="Z846" s="0" t="str">
        <f aca="false">C846&amp;" → "&amp;D846</f>
        <v>Chennai → Surat</v>
      </c>
      <c r="AA846" s="0" t="str">
        <f aca="false">Raw!Q846</f>
        <v>Delhivery</v>
      </c>
      <c r="AB846" s="0" t="str">
        <f aca="false">Raw!R846</f>
        <v>No</v>
      </c>
      <c r="AC846" s="0" t="str">
        <f aca="false">Raw!S846</f>
        <v>Damaged</v>
      </c>
      <c r="AD846" s="29" t="n">
        <f aca="false">Raw!N846</f>
        <v>6766.26</v>
      </c>
      <c r="AE846" s="29" t="n">
        <f aca="false">Raw!O846</f>
        <v>4894.97</v>
      </c>
      <c r="AF846" s="29" t="n">
        <f aca="false">Raw!P846</f>
        <v>1163.36</v>
      </c>
      <c r="AG846" s="29" t="n">
        <f aca="false">AD846/J846</f>
        <v>417.155363748459</v>
      </c>
    </row>
    <row r="847" customFormat="false" ht="15" hidden="false" customHeight="false" outlineLevel="0" collapsed="false">
      <c r="A847" s="0" t="str">
        <f aca="false">Raw!A847</f>
        <v>SHP0846</v>
      </c>
      <c r="B847" s="0" t="str">
        <f aca="false">Raw!B847</f>
        <v>Inbound</v>
      </c>
      <c r="C847" s="0" t="str">
        <f aca="false">Raw!C847</f>
        <v>Rajasthan</v>
      </c>
      <c r="D847" s="0" t="str">
        <f aca="false">Raw!D847</f>
        <v>Surat</v>
      </c>
      <c r="E847" s="0" t="str">
        <f aca="false">IFERROR(INDEX(Location_Map!$B$2:$B$15,MATCH(C847,Location_Map!$A$2:$A$15,0)),"UNMAPPED")</f>
        <v>Rajasthan</v>
      </c>
      <c r="F847" s="0" t="str">
        <f aca="false">IFERROR(INDEX(Location_Map!$C$2:$C$15,MATCH(C847,Location_Map!$A$2:$A$15,0)),"UNMAPPED")</f>
        <v>North</v>
      </c>
      <c r="G847" s="0" t="str">
        <f aca="false">IFERROR(INDEX(Location_Map!$B$2:$B$15,MATCH(D847,Location_Map!$A$2:$A$15,0)),"UNMAPPED")</f>
        <v>Gujarat</v>
      </c>
      <c r="H847" s="0" t="str">
        <f aca="false">IFERROR(INDEX(Location_Map!$C$2:$C$15,MATCH(D847,Location_Map!$A$2:$A$15,0)),"UNMAPPED")</f>
        <v>West</v>
      </c>
      <c r="I847" s="0" t="str">
        <f aca="false">Raw!E847</f>
        <v>Semi-Processed Yarn</v>
      </c>
      <c r="J847" s="28" t="n">
        <f aca="false">Raw!F847</f>
        <v>8.76</v>
      </c>
      <c r="K847" s="30" t="n">
        <f aca="false">DATE(LEFT(Raw!G847,4),MID(Raw!G847,6,2),MID(Raw!G847,9,2))</f>
        <v>45742</v>
      </c>
      <c r="L847" s="30" t="n">
        <f aca="false">DATE(LEFT(Raw!H847,4),MID(Raw!H847,6,2),MID(Raw!H847,9,2))</f>
        <v>45745</v>
      </c>
      <c r="M847" s="30" t="n">
        <f aca="false">DATE(LEFT(Raw!I847,4),MID(Raw!I847,6,2),MID(Raw!I847,9,2))</f>
        <v>45750</v>
      </c>
      <c r="N847" s="31" t="n">
        <f aca="false">DATE(LEFT(Raw!J847,4),MID(Raw!J847,6,2),MID(Raw!J847,9,2))+TIME(MID(Raw!J847,12,2),MID(Raw!J847,15,2),MID(Raw!J847,18,2))</f>
        <v>45744.875</v>
      </c>
      <c r="O847" s="31" t="n">
        <f aca="false">DATE(LEFT(Raw!K847,4),MID(Raw!K847,6,2),MID(Raw!K847,9,2))+TIME(MID(Raw!K847,12,2),MID(Raw!K847,15,2),MID(Raw!K847,18,2))</f>
        <v>45749</v>
      </c>
      <c r="P847" s="32" t="n">
        <f aca="false">L847-K847</f>
        <v>3</v>
      </c>
      <c r="Q847" s="32" t="n">
        <f aca="false">M847-L847</f>
        <v>5</v>
      </c>
      <c r="R847" s="32" t="n">
        <f aca="false">O847-N847</f>
        <v>4.125</v>
      </c>
      <c r="S847" s="32" t="n">
        <f aca="false">Raw!L847</f>
        <v>-1</v>
      </c>
      <c r="T847" s="32" t="n">
        <f aca="false">O847-M847</f>
        <v>-1</v>
      </c>
      <c r="U847" s="0" t="str">
        <f aca="false">IF(ABS(T847-S847)&lt;0.01,"OK","MISMATCH")</f>
        <v>OK</v>
      </c>
      <c r="V847" s="33" t="n">
        <f aca="false">Raw!M847</f>
        <v>0</v>
      </c>
      <c r="W847" s="0" t="str">
        <f aca="false">IF((S847&gt;0)=(V847=1),"OK","MISMATCH")</f>
        <v>OK</v>
      </c>
      <c r="X847" s="0" t="str">
        <f aca="false">_xlfn.IFS(S847&lt;=0,"Early/On time",S847&lt;=2,"Minor (up to 2 days)",S847&lt;=5,"Moderate (2-5 days)",TRUE(),"Severe (over 5 days)")</f>
        <v>Early/On time</v>
      </c>
      <c r="Y847" s="0" t="str">
        <f aca="false">YEAR(K847)&amp;"-"&amp;TEXT(MONTH(K847),"00")</f>
        <v>2025-03</v>
      </c>
      <c r="Z847" s="0" t="str">
        <f aca="false">C847&amp;" → "&amp;D847</f>
        <v>Rajasthan → Surat</v>
      </c>
      <c r="AA847" s="0" t="str">
        <f aca="false">Raw!Q847</f>
        <v>VRL Cargo</v>
      </c>
      <c r="AB847" s="0" t="str">
        <f aca="false">Raw!R847</f>
        <v>No</v>
      </c>
      <c r="AC847" s="0" t="str">
        <f aca="false">Raw!S847</f>
        <v>Normal</v>
      </c>
      <c r="AD847" s="29" t="n">
        <f aca="false">Raw!N847</f>
        <v>3750.64</v>
      </c>
      <c r="AE847" s="29" t="n">
        <f aca="false">Raw!O847</f>
        <v>2159.95</v>
      </c>
      <c r="AF847" s="29" t="n">
        <f aca="false">Raw!P847</f>
        <v>1128.91</v>
      </c>
      <c r="AG847" s="29" t="n">
        <f aca="false">AD847/J847</f>
        <v>428.155251141553</v>
      </c>
    </row>
    <row r="848" customFormat="false" ht="15" hidden="false" customHeight="false" outlineLevel="0" collapsed="false">
      <c r="A848" s="0" t="str">
        <f aca="false">Raw!A848</f>
        <v>SHP0847</v>
      </c>
      <c r="B848" s="0" t="str">
        <f aca="false">Raw!B848</f>
        <v>Inbound</v>
      </c>
      <c r="C848" s="0" t="str">
        <f aca="false">Raw!C848</f>
        <v>Chennai</v>
      </c>
      <c r="D848" s="0" t="str">
        <f aca="false">Raw!D848</f>
        <v>Surat</v>
      </c>
      <c r="E848" s="0" t="str">
        <f aca="false">IFERROR(INDEX(Location_Map!$B$2:$B$15,MATCH(C848,Location_Map!$A$2:$A$15,0)),"UNMAPPED")</f>
        <v>Tamil Nadu</v>
      </c>
      <c r="F848" s="0" t="str">
        <f aca="false">IFERROR(INDEX(Location_Map!$C$2:$C$15,MATCH(C848,Location_Map!$A$2:$A$15,0)),"UNMAPPED")</f>
        <v>South</v>
      </c>
      <c r="G848" s="0" t="str">
        <f aca="false">IFERROR(INDEX(Location_Map!$B$2:$B$15,MATCH(D848,Location_Map!$A$2:$A$15,0)),"UNMAPPED")</f>
        <v>Gujarat</v>
      </c>
      <c r="H848" s="0" t="str">
        <f aca="false">IFERROR(INDEX(Location_Map!$C$2:$C$15,MATCH(D848,Location_Map!$A$2:$A$15,0)),"UNMAPPED")</f>
        <v>West</v>
      </c>
      <c r="I848" s="0" t="str">
        <f aca="false">Raw!E848</f>
        <v>Finished Yarn</v>
      </c>
      <c r="J848" s="28" t="n">
        <f aca="false">Raw!F848</f>
        <v>3.24</v>
      </c>
      <c r="K848" s="30" t="n">
        <f aca="false">DATE(LEFT(Raw!G848,4),MID(Raw!G848,6,2),MID(Raw!G848,9,2))</f>
        <v>45854</v>
      </c>
      <c r="L848" s="30" t="n">
        <f aca="false">DATE(LEFT(Raw!H848,4),MID(Raw!H848,6,2),MID(Raw!H848,9,2))</f>
        <v>45856</v>
      </c>
      <c r="M848" s="30" t="n">
        <f aca="false">DATE(LEFT(Raw!I848,4),MID(Raw!I848,6,2),MID(Raw!I848,9,2))</f>
        <v>45862</v>
      </c>
      <c r="N848" s="31" t="n">
        <f aca="false">DATE(LEFT(Raw!J848,4),MID(Raw!J848,6,2),MID(Raw!J848,9,2))+TIME(MID(Raw!J848,12,2),MID(Raw!J848,15,2),MID(Raw!J848,18,2))</f>
        <v>45855.9166666667</v>
      </c>
      <c r="O848" s="31" t="n">
        <f aca="false">DATE(LEFT(Raw!K848,4),MID(Raw!K848,6,2),MID(Raw!K848,9,2))+TIME(MID(Raw!K848,12,2),MID(Raw!K848,15,2),MID(Raw!K848,18,2))</f>
        <v>45866.1</v>
      </c>
      <c r="P848" s="32" t="n">
        <f aca="false">L848-K848</f>
        <v>2</v>
      </c>
      <c r="Q848" s="32" t="n">
        <f aca="false">M848-L848</f>
        <v>6</v>
      </c>
      <c r="R848" s="32" t="n">
        <f aca="false">O848-N848</f>
        <v>10.1833333333333</v>
      </c>
      <c r="S848" s="32" t="n">
        <f aca="false">Raw!L848</f>
        <v>4.1</v>
      </c>
      <c r="T848" s="32" t="n">
        <f aca="false">O848-M848</f>
        <v>4.1</v>
      </c>
      <c r="U848" s="0" t="str">
        <f aca="false">IF(ABS(T848-S848)&lt;0.01,"OK","MISMATCH")</f>
        <v>OK</v>
      </c>
      <c r="V848" s="33" t="n">
        <f aca="false">Raw!M848</f>
        <v>1</v>
      </c>
      <c r="W848" s="0" t="str">
        <f aca="false">IF((S848&gt;0)=(V848=1),"OK","MISMATCH")</f>
        <v>OK</v>
      </c>
      <c r="X848" s="0" t="str">
        <f aca="false">_xlfn.IFS(S848&lt;=0,"Early/On time",S848&lt;=2,"Minor (up to 2 days)",S848&lt;=5,"Moderate (2-5 days)",TRUE(),"Severe (over 5 days)")</f>
        <v>Moderate (2-5 days)</v>
      </c>
      <c r="Y848" s="0" t="str">
        <f aca="false">YEAR(K848)&amp;"-"&amp;TEXT(MONTH(K848),"00")</f>
        <v>2025-07</v>
      </c>
      <c r="Z848" s="0" t="str">
        <f aca="false">C848&amp;" → "&amp;D848</f>
        <v>Chennai → Surat</v>
      </c>
      <c r="AA848" s="0" t="str">
        <f aca="false">Raw!Q848</f>
        <v>Delhivery</v>
      </c>
      <c r="AB848" s="0" t="str">
        <f aca="false">Raw!R848</f>
        <v>No</v>
      </c>
      <c r="AC848" s="0" t="str">
        <f aca="false">Raw!S848</f>
        <v>Held at warehouse</v>
      </c>
      <c r="AD848" s="29" t="n">
        <f aca="false">Raw!N848</f>
        <v>2521.7</v>
      </c>
      <c r="AE848" s="29" t="n">
        <f aca="false">Raw!O848</f>
        <v>3434.29</v>
      </c>
      <c r="AF848" s="29" t="n">
        <f aca="false">Raw!P848</f>
        <v>1470.9</v>
      </c>
      <c r="AG848" s="29" t="n">
        <f aca="false">AD848/J848</f>
        <v>778.302469135802</v>
      </c>
    </row>
    <row r="849" customFormat="false" ht="15" hidden="false" customHeight="false" outlineLevel="0" collapsed="false">
      <c r="A849" s="0" t="str">
        <f aca="false">Raw!A849</f>
        <v>SHP0848</v>
      </c>
      <c r="B849" s="0" t="str">
        <f aca="false">Raw!B849</f>
        <v>Outbound</v>
      </c>
      <c r="C849" s="0" t="str">
        <f aca="false">Raw!C849</f>
        <v>Surat</v>
      </c>
      <c r="D849" s="0" t="str">
        <f aca="false">Raw!D849</f>
        <v>Uttarakhand</v>
      </c>
      <c r="E849" s="0" t="str">
        <f aca="false">IFERROR(INDEX(Location_Map!$B$2:$B$15,MATCH(C849,Location_Map!$A$2:$A$15,0)),"UNMAPPED")</f>
        <v>Gujarat</v>
      </c>
      <c r="F849" s="0" t="str">
        <f aca="false">IFERROR(INDEX(Location_Map!$C$2:$C$15,MATCH(C849,Location_Map!$A$2:$A$15,0)),"UNMAPPED")</f>
        <v>West</v>
      </c>
      <c r="G849" s="0" t="str">
        <f aca="false">IFERROR(INDEX(Location_Map!$B$2:$B$15,MATCH(D849,Location_Map!$A$2:$A$15,0)),"UNMAPPED")</f>
        <v>Uttarakhand</v>
      </c>
      <c r="H849" s="0" t="str">
        <f aca="false">IFERROR(INDEX(Location_Map!$C$2:$C$15,MATCH(D849,Location_Map!$A$2:$A$15,0)),"UNMAPPED")</f>
        <v>North</v>
      </c>
      <c r="I849" s="0" t="str">
        <f aca="false">Raw!E849</f>
        <v>Semi-Processed Yarn</v>
      </c>
      <c r="J849" s="28" t="n">
        <f aca="false">Raw!F849</f>
        <v>8.1</v>
      </c>
      <c r="K849" s="30" t="n">
        <f aca="false">DATE(LEFT(Raw!G849,4),MID(Raw!G849,6,2),MID(Raw!G849,9,2))</f>
        <v>45862</v>
      </c>
      <c r="L849" s="30" t="n">
        <f aca="false">DATE(LEFT(Raw!H849,4),MID(Raw!H849,6,2),MID(Raw!H849,9,2))</f>
        <v>45863</v>
      </c>
      <c r="M849" s="30" t="n">
        <f aca="false">DATE(LEFT(Raw!I849,4),MID(Raw!I849,6,2),MID(Raw!I849,9,2))</f>
        <v>45868</v>
      </c>
      <c r="N849" s="31" t="n">
        <f aca="false">DATE(LEFT(Raw!J849,4),MID(Raw!J849,6,2),MID(Raw!J849,9,2))+TIME(MID(Raw!J849,12,2),MID(Raw!J849,15,2),MID(Raw!J849,18,2))</f>
        <v>45863.2916666667</v>
      </c>
      <c r="O849" s="31" t="n">
        <f aca="false">DATE(LEFT(Raw!K849,4),MID(Raw!K849,6,2),MID(Raw!K849,9,2))+TIME(MID(Raw!K849,12,2),MID(Raw!K849,15,2),MID(Raw!K849,18,2))</f>
        <v>45868.5</v>
      </c>
      <c r="P849" s="32" t="n">
        <f aca="false">L849-K849</f>
        <v>1</v>
      </c>
      <c r="Q849" s="32" t="n">
        <f aca="false">M849-L849</f>
        <v>5</v>
      </c>
      <c r="R849" s="32" t="n">
        <f aca="false">O849-N849</f>
        <v>5.20833333333333</v>
      </c>
      <c r="S849" s="32" t="n">
        <f aca="false">Raw!L849</f>
        <v>0.5</v>
      </c>
      <c r="T849" s="32" t="n">
        <f aca="false">O849-M849</f>
        <v>0.5</v>
      </c>
      <c r="U849" s="0" t="str">
        <f aca="false">IF(ABS(T849-S849)&lt;0.01,"OK","MISMATCH")</f>
        <v>OK</v>
      </c>
      <c r="V849" s="33" t="n">
        <f aca="false">Raw!M849</f>
        <v>1</v>
      </c>
      <c r="W849" s="0" t="str">
        <f aca="false">IF((S849&gt;0)=(V849=1),"OK","MISMATCH")</f>
        <v>OK</v>
      </c>
      <c r="X849" s="0" t="str">
        <f aca="false">_xlfn.IFS(S849&lt;=0,"Early/On time",S849&lt;=2,"Minor (up to 2 days)",S849&lt;=5,"Moderate (2-5 days)",TRUE(),"Severe (over 5 days)")</f>
        <v>Minor (up to 2 days)</v>
      </c>
      <c r="Y849" s="0" t="str">
        <f aca="false">YEAR(K849)&amp;"-"&amp;TEXT(MONTH(K849),"00")</f>
        <v>2025-07</v>
      </c>
      <c r="Z849" s="0" t="str">
        <f aca="false">C849&amp;" → "&amp;D849</f>
        <v>Surat → Uttarakhand</v>
      </c>
      <c r="AA849" s="0" t="str">
        <f aca="false">Raw!Q849</f>
        <v>TCI Express</v>
      </c>
      <c r="AB849" s="0" t="str">
        <f aca="false">Raw!R849</f>
        <v>Yes</v>
      </c>
      <c r="AC849" s="0" t="str">
        <f aca="false">Raw!S849</f>
        <v>Normal</v>
      </c>
      <c r="AD849" s="29" t="n">
        <f aca="false">Raw!N849</f>
        <v>5841.79</v>
      </c>
      <c r="AE849" s="29" t="n">
        <f aca="false">Raw!O849</f>
        <v>2151.52</v>
      </c>
      <c r="AF849" s="29" t="n">
        <f aca="false">Raw!P849</f>
        <v>620.27</v>
      </c>
      <c r="AG849" s="29" t="n">
        <f aca="false">AD849/J849</f>
        <v>721.208641975309</v>
      </c>
    </row>
    <row r="850" customFormat="false" ht="15" hidden="false" customHeight="false" outlineLevel="0" collapsed="false">
      <c r="A850" s="0" t="str">
        <f aca="false">Raw!A850</f>
        <v>SHP0849</v>
      </c>
      <c r="B850" s="0" t="str">
        <f aca="false">Raw!B850</f>
        <v>Inbound</v>
      </c>
      <c r="C850" s="0" t="str">
        <f aca="false">Raw!C850</f>
        <v>Punjab</v>
      </c>
      <c r="D850" s="0" t="str">
        <f aca="false">Raw!D850</f>
        <v>Surat</v>
      </c>
      <c r="E850" s="0" t="str">
        <f aca="false">IFERROR(INDEX(Location_Map!$B$2:$B$15,MATCH(C850,Location_Map!$A$2:$A$15,0)),"UNMAPPED")</f>
        <v>Punjab</v>
      </c>
      <c r="F850" s="0" t="str">
        <f aca="false">IFERROR(INDEX(Location_Map!$C$2:$C$15,MATCH(C850,Location_Map!$A$2:$A$15,0)),"UNMAPPED")</f>
        <v>North</v>
      </c>
      <c r="G850" s="0" t="str">
        <f aca="false">IFERROR(INDEX(Location_Map!$B$2:$B$15,MATCH(D850,Location_Map!$A$2:$A$15,0)),"UNMAPPED")</f>
        <v>Gujarat</v>
      </c>
      <c r="H850" s="0" t="str">
        <f aca="false">IFERROR(INDEX(Location_Map!$C$2:$C$15,MATCH(D850,Location_Map!$A$2:$A$15,0)),"UNMAPPED")</f>
        <v>West</v>
      </c>
      <c r="I850" s="0" t="str">
        <f aca="false">Raw!E850</f>
        <v>Raw Yarn</v>
      </c>
      <c r="J850" s="28" t="n">
        <f aca="false">Raw!F850</f>
        <v>14.37</v>
      </c>
      <c r="K850" s="30" t="n">
        <f aca="false">DATE(LEFT(Raw!G850,4),MID(Raw!G850,6,2),MID(Raw!G850,9,2))</f>
        <v>45851</v>
      </c>
      <c r="L850" s="30" t="n">
        <f aca="false">DATE(LEFT(Raw!H850,4),MID(Raw!H850,6,2),MID(Raw!H850,9,2))</f>
        <v>45853</v>
      </c>
      <c r="M850" s="30" t="n">
        <f aca="false">DATE(LEFT(Raw!I850,4),MID(Raw!I850,6,2),MID(Raw!I850,9,2))</f>
        <v>45855</v>
      </c>
      <c r="N850" s="31" t="n">
        <f aca="false">DATE(LEFT(Raw!J850,4),MID(Raw!J850,6,2),MID(Raw!J850,9,2))+TIME(MID(Raw!J850,12,2),MID(Raw!J850,15,2),MID(Raw!J850,18,2))</f>
        <v>45853.2083333333</v>
      </c>
      <c r="O850" s="31" t="n">
        <f aca="false">DATE(LEFT(Raw!K850,4),MID(Raw!K850,6,2),MID(Raw!K850,9,2))+TIME(MID(Raw!K850,12,2),MID(Raw!K850,15,2),MID(Raw!K850,18,2))</f>
        <v>45855.1</v>
      </c>
      <c r="P850" s="32" t="n">
        <f aca="false">L850-K850</f>
        <v>2</v>
      </c>
      <c r="Q850" s="32" t="n">
        <f aca="false">M850-L850</f>
        <v>2</v>
      </c>
      <c r="R850" s="32" t="n">
        <f aca="false">O850-N850</f>
        <v>1.89166666666667</v>
      </c>
      <c r="S850" s="32" t="n">
        <f aca="false">Raw!L850</f>
        <v>0.1</v>
      </c>
      <c r="T850" s="32" t="n">
        <f aca="false">O850-M850</f>
        <v>0.1</v>
      </c>
      <c r="U850" s="0" t="str">
        <f aca="false">IF(ABS(T850-S850)&lt;0.01,"OK","MISMATCH")</f>
        <v>OK</v>
      </c>
      <c r="V850" s="33" t="n">
        <f aca="false">Raw!M850</f>
        <v>1</v>
      </c>
      <c r="W850" s="0" t="str">
        <f aca="false">IF((S850&gt;0)=(V850=1),"OK","MISMATCH")</f>
        <v>OK</v>
      </c>
      <c r="X850" s="0" t="str">
        <f aca="false">_xlfn.IFS(S850&lt;=0,"Early/On time",S850&lt;=2,"Minor (up to 2 days)",S850&lt;=5,"Moderate (2-5 days)",TRUE(),"Severe (over 5 days)")</f>
        <v>Minor (up to 2 days)</v>
      </c>
      <c r="Y850" s="0" t="str">
        <f aca="false">YEAR(K850)&amp;"-"&amp;TEXT(MONTH(K850),"00")</f>
        <v>2025-07</v>
      </c>
      <c r="Z850" s="0" t="str">
        <f aca="false">C850&amp;" → "&amp;D850</f>
        <v>Punjab → Surat</v>
      </c>
      <c r="AA850" s="0" t="str">
        <f aca="false">Raw!Q850</f>
        <v>TCI Express</v>
      </c>
      <c r="AB850" s="0" t="str">
        <f aca="false">Raw!R850</f>
        <v>No</v>
      </c>
      <c r="AC850" s="0" t="str">
        <f aca="false">Raw!S850</f>
        <v>Held at warehouse</v>
      </c>
      <c r="AD850" s="29" t="n">
        <f aca="false">Raw!N850</f>
        <v>8038.14</v>
      </c>
      <c r="AE850" s="29" t="n">
        <f aca="false">Raw!O850</f>
        <v>2009.01</v>
      </c>
      <c r="AF850" s="29" t="n">
        <f aca="false">Raw!P850</f>
        <v>1034.22</v>
      </c>
      <c r="AG850" s="29" t="n">
        <f aca="false">AD850/J850</f>
        <v>559.369519832986</v>
      </c>
    </row>
    <row r="851" customFormat="false" ht="15" hidden="false" customHeight="false" outlineLevel="0" collapsed="false">
      <c r="A851" s="0" t="str">
        <f aca="false">Raw!A851</f>
        <v>SHP0850</v>
      </c>
      <c r="B851" s="0" t="str">
        <f aca="false">Raw!B851</f>
        <v>Outbound</v>
      </c>
      <c r="C851" s="0" t="str">
        <f aca="false">Raw!C851</f>
        <v>Surat</v>
      </c>
      <c r="D851" s="0" t="str">
        <f aca="false">Raw!D851</f>
        <v>Jaipur</v>
      </c>
      <c r="E851" s="0" t="str">
        <f aca="false">IFERROR(INDEX(Location_Map!$B$2:$B$15,MATCH(C851,Location_Map!$A$2:$A$15,0)),"UNMAPPED")</f>
        <v>Gujarat</v>
      </c>
      <c r="F851" s="0" t="str">
        <f aca="false">IFERROR(INDEX(Location_Map!$C$2:$C$15,MATCH(C851,Location_Map!$A$2:$A$15,0)),"UNMAPPED")</f>
        <v>West</v>
      </c>
      <c r="G851" s="0" t="str">
        <f aca="false">IFERROR(INDEX(Location_Map!$B$2:$B$15,MATCH(D851,Location_Map!$A$2:$A$15,0)),"UNMAPPED")</f>
        <v>Rajasthan</v>
      </c>
      <c r="H851" s="0" t="str">
        <f aca="false">IFERROR(INDEX(Location_Map!$C$2:$C$15,MATCH(D851,Location_Map!$A$2:$A$15,0)),"UNMAPPED")</f>
        <v>North</v>
      </c>
      <c r="I851" s="0" t="str">
        <f aca="false">Raw!E851</f>
        <v>Raw Yarn</v>
      </c>
      <c r="J851" s="28" t="n">
        <f aca="false">Raw!F851</f>
        <v>16.65</v>
      </c>
      <c r="K851" s="30" t="n">
        <f aca="false">DATE(LEFT(Raw!G851,4),MID(Raw!G851,6,2),MID(Raw!G851,9,2))</f>
        <v>45688</v>
      </c>
      <c r="L851" s="30" t="n">
        <f aca="false">DATE(LEFT(Raw!H851,4),MID(Raw!H851,6,2),MID(Raw!H851,9,2))</f>
        <v>45692</v>
      </c>
      <c r="M851" s="30" t="n">
        <f aca="false">DATE(LEFT(Raw!I851,4),MID(Raw!I851,6,2),MID(Raw!I851,9,2))</f>
        <v>45696</v>
      </c>
      <c r="N851" s="31" t="n">
        <f aca="false">DATE(LEFT(Raw!J851,4),MID(Raw!J851,6,2),MID(Raw!J851,9,2))+TIME(MID(Raw!J851,12,2),MID(Raw!J851,15,2),MID(Raw!J851,18,2))</f>
        <v>45691.9166666667</v>
      </c>
      <c r="O851" s="31" t="n">
        <f aca="false">DATE(LEFT(Raw!K851,4),MID(Raw!K851,6,2),MID(Raw!K851,9,2))+TIME(MID(Raw!K851,12,2),MID(Raw!K851,15,2),MID(Raw!K851,18,2))</f>
        <v>45699</v>
      </c>
      <c r="P851" s="32" t="n">
        <f aca="false">L851-K851</f>
        <v>4</v>
      </c>
      <c r="Q851" s="32" t="n">
        <f aca="false">M851-L851</f>
        <v>4</v>
      </c>
      <c r="R851" s="32" t="n">
        <f aca="false">O851-N851</f>
        <v>7.08333333333333</v>
      </c>
      <c r="S851" s="32" t="n">
        <f aca="false">Raw!L851</f>
        <v>3</v>
      </c>
      <c r="T851" s="32" t="n">
        <f aca="false">O851-M851</f>
        <v>3</v>
      </c>
      <c r="U851" s="0" t="str">
        <f aca="false">IF(ABS(T851-S851)&lt;0.01,"OK","MISMATCH")</f>
        <v>OK</v>
      </c>
      <c r="V851" s="33" t="n">
        <f aca="false">Raw!M851</f>
        <v>1</v>
      </c>
      <c r="W851" s="0" t="str">
        <f aca="false">IF((S851&gt;0)=(V851=1),"OK","MISMATCH")</f>
        <v>OK</v>
      </c>
      <c r="X851" s="0" t="str">
        <f aca="false">_xlfn.IFS(S851&lt;=0,"Early/On time",S851&lt;=2,"Minor (up to 2 days)",S851&lt;=5,"Moderate (2-5 days)",TRUE(),"Severe (over 5 days)")</f>
        <v>Moderate (2-5 days)</v>
      </c>
      <c r="Y851" s="0" t="str">
        <f aca="false">YEAR(K851)&amp;"-"&amp;TEXT(MONTH(K851),"00")</f>
        <v>2025-01</v>
      </c>
      <c r="Z851" s="0" t="str">
        <f aca="false">C851&amp;" → "&amp;D851</f>
        <v>Surat → Jaipur</v>
      </c>
      <c r="AA851" s="0" t="str">
        <f aca="false">Raw!Q851</f>
        <v>BlueDart</v>
      </c>
      <c r="AB851" s="0" t="str">
        <f aca="false">Raw!R851</f>
        <v>Yes</v>
      </c>
      <c r="AC851" s="0" t="str">
        <f aca="false">Raw!S851</f>
        <v>Expedited</v>
      </c>
      <c r="AD851" s="29" t="n">
        <f aca="false">Raw!N851</f>
        <v>9616.43</v>
      </c>
      <c r="AE851" s="29" t="n">
        <f aca="false">Raw!O851</f>
        <v>1504.78</v>
      </c>
      <c r="AF851" s="29" t="n">
        <f aca="false">Raw!P851</f>
        <v>1177.89</v>
      </c>
      <c r="AG851" s="29" t="n">
        <f aca="false">AD851/J851</f>
        <v>577.563363363364</v>
      </c>
    </row>
    <row r="852" customFormat="false" ht="15" hidden="false" customHeight="false" outlineLevel="0" collapsed="false">
      <c r="A852" s="0" t="str">
        <f aca="false">Raw!A852</f>
        <v>SHP0851</v>
      </c>
      <c r="B852" s="0" t="str">
        <f aca="false">Raw!B852</f>
        <v>Inbound</v>
      </c>
      <c r="C852" s="0" t="str">
        <f aca="false">Raw!C852</f>
        <v>Uttar Pradesh</v>
      </c>
      <c r="D852" s="0" t="str">
        <f aca="false">Raw!D852</f>
        <v>Surat</v>
      </c>
      <c r="E852" s="0" t="str">
        <f aca="false">IFERROR(INDEX(Location_Map!$B$2:$B$15,MATCH(C852,Location_Map!$A$2:$A$15,0)),"UNMAPPED")</f>
        <v>Uttar Pradesh</v>
      </c>
      <c r="F852" s="0" t="str">
        <f aca="false">IFERROR(INDEX(Location_Map!$C$2:$C$15,MATCH(C852,Location_Map!$A$2:$A$15,0)),"UNMAPPED")</f>
        <v>North</v>
      </c>
      <c r="G852" s="0" t="str">
        <f aca="false">IFERROR(INDEX(Location_Map!$B$2:$B$15,MATCH(D852,Location_Map!$A$2:$A$15,0)),"UNMAPPED")</f>
        <v>Gujarat</v>
      </c>
      <c r="H852" s="0" t="str">
        <f aca="false">IFERROR(INDEX(Location_Map!$C$2:$C$15,MATCH(D852,Location_Map!$A$2:$A$15,0)),"UNMAPPED")</f>
        <v>West</v>
      </c>
      <c r="I852" s="0" t="str">
        <f aca="false">Raw!E852</f>
        <v>Raw Yarn</v>
      </c>
      <c r="J852" s="28" t="n">
        <f aca="false">Raw!F852</f>
        <v>11.87</v>
      </c>
      <c r="K852" s="30" t="n">
        <f aca="false">DATE(LEFT(Raw!G852,4),MID(Raw!G852,6,2),MID(Raw!G852,9,2))</f>
        <v>45802</v>
      </c>
      <c r="L852" s="30" t="n">
        <f aca="false">DATE(LEFT(Raw!H852,4),MID(Raw!H852,6,2),MID(Raw!H852,9,2))</f>
        <v>45804</v>
      </c>
      <c r="M852" s="30" t="n">
        <f aca="false">DATE(LEFT(Raw!I852,4),MID(Raw!I852,6,2),MID(Raw!I852,9,2))</f>
        <v>45806</v>
      </c>
      <c r="N852" s="31" t="n">
        <f aca="false">DATE(LEFT(Raw!J852,4),MID(Raw!J852,6,2),MID(Raw!J852,9,2))+TIME(MID(Raw!J852,12,2),MID(Raw!J852,15,2),MID(Raw!J852,18,2))</f>
        <v>45804.0416666667</v>
      </c>
      <c r="O852" s="31" t="n">
        <f aca="false">DATE(LEFT(Raw!K852,4),MID(Raw!K852,6,2),MID(Raw!K852,9,2))+TIME(MID(Raw!K852,12,2),MID(Raw!K852,15,2),MID(Raw!K852,18,2))</f>
        <v>45805</v>
      </c>
      <c r="P852" s="32" t="n">
        <f aca="false">L852-K852</f>
        <v>2</v>
      </c>
      <c r="Q852" s="32" t="n">
        <f aca="false">M852-L852</f>
        <v>2</v>
      </c>
      <c r="R852" s="32" t="n">
        <f aca="false">O852-N852</f>
        <v>0.958333333333333</v>
      </c>
      <c r="S852" s="32" t="n">
        <f aca="false">Raw!L852</f>
        <v>-1</v>
      </c>
      <c r="T852" s="32" t="n">
        <f aca="false">O852-M852</f>
        <v>-1</v>
      </c>
      <c r="U852" s="0" t="str">
        <f aca="false">IF(ABS(T852-S852)&lt;0.01,"OK","MISMATCH")</f>
        <v>OK</v>
      </c>
      <c r="V852" s="33" t="n">
        <f aca="false">Raw!M852</f>
        <v>0</v>
      </c>
      <c r="W852" s="0" t="str">
        <f aca="false">IF((S852&gt;0)=(V852=1),"OK","MISMATCH")</f>
        <v>OK</v>
      </c>
      <c r="X852" s="0" t="str">
        <f aca="false">_xlfn.IFS(S852&lt;=0,"Early/On time",S852&lt;=2,"Minor (up to 2 days)",S852&lt;=5,"Moderate (2-5 days)",TRUE(),"Severe (over 5 days)")</f>
        <v>Early/On time</v>
      </c>
      <c r="Y852" s="0" t="str">
        <f aca="false">YEAR(K852)&amp;"-"&amp;TEXT(MONTH(K852),"00")</f>
        <v>2025-05</v>
      </c>
      <c r="Z852" s="0" t="str">
        <f aca="false">C852&amp;" → "&amp;D852</f>
        <v>Uttar Pradesh → Surat</v>
      </c>
      <c r="AA852" s="0" t="str">
        <f aca="false">Raw!Q852</f>
        <v>VRL Cargo</v>
      </c>
      <c r="AB852" s="0" t="str">
        <f aca="false">Raw!R852</f>
        <v>Yes</v>
      </c>
      <c r="AC852" s="0" t="str">
        <f aca="false">Raw!S852</f>
        <v>Held at warehouse</v>
      </c>
      <c r="AD852" s="29" t="n">
        <f aca="false">Raw!N852</f>
        <v>4696.84</v>
      </c>
      <c r="AE852" s="29" t="n">
        <f aca="false">Raw!O852</f>
        <v>1432.68</v>
      </c>
      <c r="AF852" s="29" t="n">
        <f aca="false">Raw!P852</f>
        <v>1486.7</v>
      </c>
      <c r="AG852" s="29" t="n">
        <f aca="false">AD852/J852</f>
        <v>395.689974726201</v>
      </c>
    </row>
    <row r="853" customFormat="false" ht="15" hidden="false" customHeight="false" outlineLevel="0" collapsed="false">
      <c r="A853" s="0" t="str">
        <f aca="false">Raw!A853</f>
        <v>SHP0852</v>
      </c>
      <c r="B853" s="0" t="str">
        <f aca="false">Raw!B853</f>
        <v>Inbound</v>
      </c>
      <c r="C853" s="0" t="str">
        <f aca="false">Raw!C853</f>
        <v>Rajasthan</v>
      </c>
      <c r="D853" s="0" t="str">
        <f aca="false">Raw!D853</f>
        <v>Surat</v>
      </c>
      <c r="E853" s="0" t="str">
        <f aca="false">IFERROR(INDEX(Location_Map!$B$2:$B$15,MATCH(C853,Location_Map!$A$2:$A$15,0)),"UNMAPPED")</f>
        <v>Rajasthan</v>
      </c>
      <c r="F853" s="0" t="str">
        <f aca="false">IFERROR(INDEX(Location_Map!$C$2:$C$15,MATCH(C853,Location_Map!$A$2:$A$15,0)),"UNMAPPED")</f>
        <v>North</v>
      </c>
      <c r="G853" s="0" t="str">
        <f aca="false">IFERROR(INDEX(Location_Map!$B$2:$B$15,MATCH(D853,Location_Map!$A$2:$A$15,0)),"UNMAPPED")</f>
        <v>Gujarat</v>
      </c>
      <c r="H853" s="0" t="str">
        <f aca="false">IFERROR(INDEX(Location_Map!$C$2:$C$15,MATCH(D853,Location_Map!$A$2:$A$15,0)),"UNMAPPED")</f>
        <v>West</v>
      </c>
      <c r="I853" s="0" t="str">
        <f aca="false">Raw!E853</f>
        <v>Finished Yarn</v>
      </c>
      <c r="J853" s="28" t="n">
        <f aca="false">Raw!F853</f>
        <v>12.77</v>
      </c>
      <c r="K853" s="30" t="n">
        <f aca="false">DATE(LEFT(Raw!G853,4),MID(Raw!G853,6,2),MID(Raw!G853,9,2))</f>
        <v>45853</v>
      </c>
      <c r="L853" s="30" t="n">
        <f aca="false">DATE(LEFT(Raw!H853,4),MID(Raw!H853,6,2),MID(Raw!H853,9,2))</f>
        <v>45854</v>
      </c>
      <c r="M853" s="30" t="n">
        <f aca="false">DATE(LEFT(Raw!I853,4),MID(Raw!I853,6,2),MID(Raw!I853,9,2))</f>
        <v>45858</v>
      </c>
      <c r="N853" s="31" t="n">
        <f aca="false">DATE(LEFT(Raw!J853,4),MID(Raw!J853,6,2),MID(Raw!J853,9,2))+TIME(MID(Raw!J853,12,2),MID(Raw!J853,15,2),MID(Raw!J853,18,2))</f>
        <v>45854.0416666667</v>
      </c>
      <c r="O853" s="31" t="n">
        <f aca="false">DATE(LEFT(Raw!K853,4),MID(Raw!K853,6,2),MID(Raw!K853,9,2))+TIME(MID(Raw!K853,12,2),MID(Raw!K853,15,2),MID(Raw!K853,18,2))</f>
        <v>45858.9</v>
      </c>
      <c r="P853" s="32" t="n">
        <f aca="false">L853-K853</f>
        <v>1</v>
      </c>
      <c r="Q853" s="32" t="n">
        <f aca="false">M853-L853</f>
        <v>4</v>
      </c>
      <c r="R853" s="32" t="n">
        <f aca="false">O853-N853</f>
        <v>4.85833333333333</v>
      </c>
      <c r="S853" s="32" t="n">
        <f aca="false">Raw!L853</f>
        <v>0.9</v>
      </c>
      <c r="T853" s="32" t="n">
        <f aca="false">O853-M853</f>
        <v>0.9</v>
      </c>
      <c r="U853" s="0" t="str">
        <f aca="false">IF(ABS(T853-S853)&lt;0.01,"OK","MISMATCH")</f>
        <v>OK</v>
      </c>
      <c r="V853" s="33" t="n">
        <f aca="false">Raw!M853</f>
        <v>1</v>
      </c>
      <c r="W853" s="0" t="str">
        <f aca="false">IF((S853&gt;0)=(V853=1),"OK","MISMATCH")</f>
        <v>OK</v>
      </c>
      <c r="X853" s="0" t="str">
        <f aca="false">_xlfn.IFS(S853&lt;=0,"Early/On time",S853&lt;=2,"Minor (up to 2 days)",S853&lt;=5,"Moderate (2-5 days)",TRUE(),"Severe (over 5 days)")</f>
        <v>Minor (up to 2 days)</v>
      </c>
      <c r="Y853" s="0" t="str">
        <f aca="false">YEAR(K853)&amp;"-"&amp;TEXT(MONTH(K853),"00")</f>
        <v>2025-07</v>
      </c>
      <c r="Z853" s="0" t="str">
        <f aca="false">C853&amp;" → "&amp;D853</f>
        <v>Rajasthan → Surat</v>
      </c>
      <c r="AA853" s="0" t="str">
        <f aca="false">Raw!Q853</f>
        <v>GATI Logistics</v>
      </c>
      <c r="AB853" s="0" t="str">
        <f aca="false">Raw!R853</f>
        <v>Yes</v>
      </c>
      <c r="AC853" s="0" t="str">
        <f aca="false">Raw!S853</f>
        <v>Normal</v>
      </c>
      <c r="AD853" s="29" t="n">
        <f aca="false">Raw!N853</f>
        <v>8735.76</v>
      </c>
      <c r="AE853" s="29" t="n">
        <f aca="false">Raw!O853</f>
        <v>4929.56</v>
      </c>
      <c r="AF853" s="29" t="n">
        <f aca="false">Raw!P853</f>
        <v>698.03</v>
      </c>
      <c r="AG853" s="29" t="n">
        <f aca="false">AD853/J853</f>
        <v>684.084573218481</v>
      </c>
    </row>
    <row r="854" customFormat="false" ht="15" hidden="false" customHeight="false" outlineLevel="0" collapsed="false">
      <c r="A854" s="0" t="str">
        <f aca="false">Raw!A854</f>
        <v>SHP0853</v>
      </c>
      <c r="B854" s="0" t="str">
        <f aca="false">Raw!B854</f>
        <v>Inbound</v>
      </c>
      <c r="C854" s="0" t="str">
        <f aca="false">Raw!C854</f>
        <v>Rajasthan</v>
      </c>
      <c r="D854" s="0" t="str">
        <f aca="false">Raw!D854</f>
        <v>Surat</v>
      </c>
      <c r="E854" s="0" t="str">
        <f aca="false">IFERROR(INDEX(Location_Map!$B$2:$B$15,MATCH(C854,Location_Map!$A$2:$A$15,0)),"UNMAPPED")</f>
        <v>Rajasthan</v>
      </c>
      <c r="F854" s="0" t="str">
        <f aca="false">IFERROR(INDEX(Location_Map!$C$2:$C$15,MATCH(C854,Location_Map!$A$2:$A$15,0)),"UNMAPPED")</f>
        <v>North</v>
      </c>
      <c r="G854" s="0" t="str">
        <f aca="false">IFERROR(INDEX(Location_Map!$B$2:$B$15,MATCH(D854,Location_Map!$A$2:$A$15,0)),"UNMAPPED")</f>
        <v>Gujarat</v>
      </c>
      <c r="H854" s="0" t="str">
        <f aca="false">IFERROR(INDEX(Location_Map!$C$2:$C$15,MATCH(D854,Location_Map!$A$2:$A$15,0)),"UNMAPPED")</f>
        <v>West</v>
      </c>
      <c r="I854" s="0" t="str">
        <f aca="false">Raw!E854</f>
        <v>Raw Yarn</v>
      </c>
      <c r="J854" s="28" t="n">
        <f aca="false">Raw!F854</f>
        <v>3.55</v>
      </c>
      <c r="K854" s="30" t="n">
        <f aca="false">DATE(LEFT(Raw!G854,4),MID(Raw!G854,6,2),MID(Raw!G854,9,2))</f>
        <v>45674</v>
      </c>
      <c r="L854" s="30" t="n">
        <f aca="false">DATE(LEFT(Raw!H854,4),MID(Raw!H854,6,2),MID(Raw!H854,9,2))</f>
        <v>45678</v>
      </c>
      <c r="M854" s="30" t="n">
        <f aca="false">DATE(LEFT(Raw!I854,4),MID(Raw!I854,6,2),MID(Raw!I854,9,2))</f>
        <v>45680</v>
      </c>
      <c r="N854" s="31" t="n">
        <f aca="false">DATE(LEFT(Raw!J854,4),MID(Raw!J854,6,2),MID(Raw!J854,9,2))+TIME(MID(Raw!J854,12,2),MID(Raw!J854,15,2),MID(Raw!J854,18,2))</f>
        <v>45678.2916666667</v>
      </c>
      <c r="O854" s="31" t="n">
        <f aca="false">DATE(LEFT(Raw!K854,4),MID(Raw!K854,6,2),MID(Raw!K854,9,2))+TIME(MID(Raw!K854,12,2),MID(Raw!K854,15,2),MID(Raw!K854,18,2))</f>
        <v>45679</v>
      </c>
      <c r="P854" s="32" t="n">
        <f aca="false">L854-K854</f>
        <v>4</v>
      </c>
      <c r="Q854" s="32" t="n">
        <f aca="false">M854-L854</f>
        <v>2</v>
      </c>
      <c r="R854" s="32" t="n">
        <f aca="false">O854-N854</f>
        <v>0.708333333333333</v>
      </c>
      <c r="S854" s="32" t="n">
        <f aca="false">Raw!L854</f>
        <v>-1</v>
      </c>
      <c r="T854" s="32" t="n">
        <f aca="false">O854-M854</f>
        <v>-1</v>
      </c>
      <c r="U854" s="0" t="str">
        <f aca="false">IF(ABS(T854-S854)&lt;0.01,"OK","MISMATCH")</f>
        <v>OK</v>
      </c>
      <c r="V854" s="33" t="n">
        <f aca="false">Raw!M854</f>
        <v>0</v>
      </c>
      <c r="W854" s="0" t="str">
        <f aca="false">IF((S854&gt;0)=(V854=1),"OK","MISMATCH")</f>
        <v>OK</v>
      </c>
      <c r="X854" s="0" t="str">
        <f aca="false">_xlfn.IFS(S854&lt;=0,"Early/On time",S854&lt;=2,"Minor (up to 2 days)",S854&lt;=5,"Moderate (2-5 days)",TRUE(),"Severe (over 5 days)")</f>
        <v>Early/On time</v>
      </c>
      <c r="Y854" s="0" t="str">
        <f aca="false">YEAR(K854)&amp;"-"&amp;TEXT(MONTH(K854),"00")</f>
        <v>2025-01</v>
      </c>
      <c r="Z854" s="0" t="str">
        <f aca="false">C854&amp;" → "&amp;D854</f>
        <v>Rajasthan → Surat</v>
      </c>
      <c r="AA854" s="0" t="str">
        <f aca="false">Raw!Q854</f>
        <v>BlueDart</v>
      </c>
      <c r="AB854" s="0" t="str">
        <f aca="false">Raw!R854</f>
        <v>No</v>
      </c>
      <c r="AC854" s="0" t="str">
        <f aca="false">Raw!S854</f>
        <v>Held at warehouse</v>
      </c>
      <c r="AD854" s="29" t="n">
        <f aca="false">Raw!N854</f>
        <v>2389.33</v>
      </c>
      <c r="AE854" s="29" t="n">
        <f aca="false">Raw!O854</f>
        <v>4493.57</v>
      </c>
      <c r="AF854" s="29" t="n">
        <f aca="false">Raw!P854</f>
        <v>894.99</v>
      </c>
      <c r="AG854" s="29" t="n">
        <f aca="false">AD854/J854</f>
        <v>673.050704225352</v>
      </c>
    </row>
    <row r="855" customFormat="false" ht="15" hidden="false" customHeight="false" outlineLevel="0" collapsed="false">
      <c r="A855" s="0" t="str">
        <f aca="false">Raw!A855</f>
        <v>SHP0854</v>
      </c>
      <c r="B855" s="0" t="str">
        <f aca="false">Raw!B855</f>
        <v>Outbound</v>
      </c>
      <c r="C855" s="0" t="str">
        <f aca="false">Raw!C855</f>
        <v>Surat</v>
      </c>
      <c r="D855" s="0" t="str">
        <f aca="false">Raw!D855</f>
        <v>Jaipur</v>
      </c>
      <c r="E855" s="0" t="str">
        <f aca="false">IFERROR(INDEX(Location_Map!$B$2:$B$15,MATCH(C855,Location_Map!$A$2:$A$15,0)),"UNMAPPED")</f>
        <v>Gujarat</v>
      </c>
      <c r="F855" s="0" t="str">
        <f aca="false">IFERROR(INDEX(Location_Map!$C$2:$C$15,MATCH(C855,Location_Map!$A$2:$A$15,0)),"UNMAPPED")</f>
        <v>West</v>
      </c>
      <c r="G855" s="0" t="str">
        <f aca="false">IFERROR(INDEX(Location_Map!$B$2:$B$15,MATCH(D855,Location_Map!$A$2:$A$15,0)),"UNMAPPED")</f>
        <v>Rajasthan</v>
      </c>
      <c r="H855" s="0" t="str">
        <f aca="false">IFERROR(INDEX(Location_Map!$C$2:$C$15,MATCH(D855,Location_Map!$A$2:$A$15,0)),"UNMAPPED")</f>
        <v>North</v>
      </c>
      <c r="I855" s="0" t="str">
        <f aca="false">Raw!E855</f>
        <v>Semi-Processed Yarn</v>
      </c>
      <c r="J855" s="28" t="n">
        <f aca="false">Raw!F855</f>
        <v>7.37</v>
      </c>
      <c r="K855" s="30" t="n">
        <f aca="false">DATE(LEFT(Raw!G855,4),MID(Raw!G855,6,2),MID(Raw!G855,9,2))</f>
        <v>45720</v>
      </c>
      <c r="L855" s="30" t="n">
        <f aca="false">DATE(LEFT(Raw!H855,4),MID(Raw!H855,6,2),MID(Raw!H855,9,2))</f>
        <v>45722</v>
      </c>
      <c r="M855" s="30" t="n">
        <f aca="false">DATE(LEFT(Raw!I855,4),MID(Raw!I855,6,2),MID(Raw!I855,9,2))</f>
        <v>45728</v>
      </c>
      <c r="N855" s="31" t="n">
        <f aca="false">DATE(LEFT(Raw!J855,4),MID(Raw!J855,6,2),MID(Raw!J855,9,2))+TIME(MID(Raw!J855,12,2),MID(Raw!J855,15,2),MID(Raw!J855,18,2))</f>
        <v>45722.2916666667</v>
      </c>
      <c r="O855" s="31" t="n">
        <f aca="false">DATE(LEFT(Raw!K855,4),MID(Raw!K855,6,2),MID(Raw!K855,9,2))+TIME(MID(Raw!K855,12,2),MID(Raw!K855,15,2),MID(Raw!K855,18,2))</f>
        <v>45730.3</v>
      </c>
      <c r="P855" s="32" t="n">
        <f aca="false">L855-K855</f>
        <v>2</v>
      </c>
      <c r="Q855" s="32" t="n">
        <f aca="false">M855-L855</f>
        <v>6</v>
      </c>
      <c r="R855" s="32" t="n">
        <f aca="false">O855-N855</f>
        <v>8.00833333333333</v>
      </c>
      <c r="S855" s="32" t="n">
        <f aca="false">Raw!L855</f>
        <v>2.3</v>
      </c>
      <c r="T855" s="32" t="n">
        <f aca="false">O855-M855</f>
        <v>2.3</v>
      </c>
      <c r="U855" s="0" t="str">
        <f aca="false">IF(ABS(T855-S855)&lt;0.01,"OK","MISMATCH")</f>
        <v>OK</v>
      </c>
      <c r="V855" s="33" t="n">
        <f aca="false">Raw!M855</f>
        <v>1</v>
      </c>
      <c r="W855" s="0" t="str">
        <f aca="false">IF((S855&gt;0)=(V855=1),"OK","MISMATCH")</f>
        <v>OK</v>
      </c>
      <c r="X855" s="0" t="str">
        <f aca="false">_xlfn.IFS(S855&lt;=0,"Early/On time",S855&lt;=2,"Minor (up to 2 days)",S855&lt;=5,"Moderate (2-5 days)",TRUE(),"Severe (over 5 days)")</f>
        <v>Moderate (2-5 days)</v>
      </c>
      <c r="Y855" s="0" t="str">
        <f aca="false">YEAR(K855)&amp;"-"&amp;TEXT(MONTH(K855),"00")</f>
        <v>2025-03</v>
      </c>
      <c r="Z855" s="0" t="str">
        <f aca="false">C855&amp;" → "&amp;D855</f>
        <v>Surat → Jaipur</v>
      </c>
      <c r="AA855" s="0" t="str">
        <f aca="false">Raw!Q855</f>
        <v>TCI Express</v>
      </c>
      <c r="AB855" s="0" t="str">
        <f aca="false">Raw!R855</f>
        <v>Yes</v>
      </c>
      <c r="AC855" s="0" t="str">
        <f aca="false">Raw!S855</f>
        <v>Held at warehouse</v>
      </c>
      <c r="AD855" s="29" t="n">
        <f aca="false">Raw!N855</f>
        <v>4784.5</v>
      </c>
      <c r="AE855" s="29" t="n">
        <f aca="false">Raw!O855</f>
        <v>3734.37</v>
      </c>
      <c r="AF855" s="29" t="n">
        <f aca="false">Raw!P855</f>
        <v>502.84</v>
      </c>
      <c r="AG855" s="29" t="n">
        <f aca="false">AD855/J855</f>
        <v>649.185888738128</v>
      </c>
    </row>
    <row r="856" customFormat="false" ht="15" hidden="false" customHeight="false" outlineLevel="0" collapsed="false">
      <c r="A856" s="0" t="str">
        <f aca="false">Raw!A856</f>
        <v>SHP0855</v>
      </c>
      <c r="B856" s="0" t="str">
        <f aca="false">Raw!B856</f>
        <v>Inbound</v>
      </c>
      <c r="C856" s="0" t="str">
        <f aca="false">Raw!C856</f>
        <v>Chennai</v>
      </c>
      <c r="D856" s="0" t="str">
        <f aca="false">Raw!D856</f>
        <v>Surat</v>
      </c>
      <c r="E856" s="0" t="str">
        <f aca="false">IFERROR(INDEX(Location_Map!$B$2:$B$15,MATCH(C856,Location_Map!$A$2:$A$15,0)),"UNMAPPED")</f>
        <v>Tamil Nadu</v>
      </c>
      <c r="F856" s="0" t="str">
        <f aca="false">IFERROR(INDEX(Location_Map!$C$2:$C$15,MATCH(C856,Location_Map!$A$2:$A$15,0)),"UNMAPPED")</f>
        <v>South</v>
      </c>
      <c r="G856" s="0" t="str">
        <f aca="false">IFERROR(INDEX(Location_Map!$B$2:$B$15,MATCH(D856,Location_Map!$A$2:$A$15,0)),"UNMAPPED")</f>
        <v>Gujarat</v>
      </c>
      <c r="H856" s="0" t="str">
        <f aca="false">IFERROR(INDEX(Location_Map!$C$2:$C$15,MATCH(D856,Location_Map!$A$2:$A$15,0)),"UNMAPPED")</f>
        <v>West</v>
      </c>
      <c r="I856" s="0" t="str">
        <f aca="false">Raw!E856</f>
        <v>Raw Yarn</v>
      </c>
      <c r="J856" s="28" t="n">
        <f aca="false">Raw!F856</f>
        <v>18.69</v>
      </c>
      <c r="K856" s="30" t="n">
        <f aca="false">DATE(LEFT(Raw!G856,4),MID(Raw!G856,6,2),MID(Raw!G856,9,2))</f>
        <v>45691</v>
      </c>
      <c r="L856" s="30" t="n">
        <f aca="false">DATE(LEFT(Raw!H856,4),MID(Raw!H856,6,2),MID(Raw!H856,9,2))</f>
        <v>45693</v>
      </c>
      <c r="M856" s="30" t="n">
        <f aca="false">DATE(LEFT(Raw!I856,4),MID(Raw!I856,6,2),MID(Raw!I856,9,2))</f>
        <v>45696</v>
      </c>
      <c r="N856" s="31" t="n">
        <f aca="false">DATE(LEFT(Raw!J856,4),MID(Raw!J856,6,2),MID(Raw!J856,9,2))+TIME(MID(Raw!J856,12,2),MID(Raw!J856,15,2),MID(Raw!J856,18,2))</f>
        <v>45693.375</v>
      </c>
      <c r="O856" s="31" t="n">
        <f aca="false">DATE(LEFT(Raw!K856,4),MID(Raw!K856,6,2),MID(Raw!K856,9,2))+TIME(MID(Raw!K856,12,2),MID(Raw!K856,15,2),MID(Raw!K856,18,2))</f>
        <v>45696.3</v>
      </c>
      <c r="P856" s="32" t="n">
        <f aca="false">L856-K856</f>
        <v>2</v>
      </c>
      <c r="Q856" s="32" t="n">
        <f aca="false">M856-L856</f>
        <v>3</v>
      </c>
      <c r="R856" s="32" t="n">
        <f aca="false">O856-N856</f>
        <v>2.925</v>
      </c>
      <c r="S856" s="32" t="n">
        <f aca="false">Raw!L856</f>
        <v>0.3</v>
      </c>
      <c r="T856" s="32" t="n">
        <f aca="false">O856-M856</f>
        <v>0.3</v>
      </c>
      <c r="U856" s="0" t="str">
        <f aca="false">IF(ABS(T856-S856)&lt;0.01,"OK","MISMATCH")</f>
        <v>OK</v>
      </c>
      <c r="V856" s="33" t="n">
        <f aca="false">Raw!M856</f>
        <v>1</v>
      </c>
      <c r="W856" s="0" t="str">
        <f aca="false">IF((S856&gt;0)=(V856=1),"OK","MISMATCH")</f>
        <v>OK</v>
      </c>
      <c r="X856" s="0" t="str">
        <f aca="false">_xlfn.IFS(S856&lt;=0,"Early/On time",S856&lt;=2,"Minor (up to 2 days)",S856&lt;=5,"Moderate (2-5 days)",TRUE(),"Severe (over 5 days)")</f>
        <v>Minor (up to 2 days)</v>
      </c>
      <c r="Y856" s="0" t="str">
        <f aca="false">YEAR(K856)&amp;"-"&amp;TEXT(MONTH(K856),"00")</f>
        <v>2025-02</v>
      </c>
      <c r="Z856" s="0" t="str">
        <f aca="false">C856&amp;" → "&amp;D856</f>
        <v>Chennai → Surat</v>
      </c>
      <c r="AA856" s="0" t="str">
        <f aca="false">Raw!Q856</f>
        <v>BlueDart</v>
      </c>
      <c r="AB856" s="0" t="str">
        <f aca="false">Raw!R856</f>
        <v>No</v>
      </c>
      <c r="AC856" s="0" t="str">
        <f aca="false">Raw!S856</f>
        <v>Normal</v>
      </c>
      <c r="AD856" s="29" t="n">
        <f aca="false">Raw!N856</f>
        <v>10395.36</v>
      </c>
      <c r="AE856" s="29" t="n">
        <f aca="false">Raw!O856</f>
        <v>4243.31</v>
      </c>
      <c r="AF856" s="29" t="n">
        <f aca="false">Raw!P856</f>
        <v>1480.99</v>
      </c>
      <c r="AG856" s="29" t="n">
        <f aca="false">AD856/J856</f>
        <v>556.199036918138</v>
      </c>
    </row>
    <row r="857" customFormat="false" ht="15" hidden="false" customHeight="false" outlineLevel="0" collapsed="false">
      <c r="A857" s="0" t="str">
        <f aca="false">Raw!A857</f>
        <v>SHP0856</v>
      </c>
      <c r="B857" s="0" t="str">
        <f aca="false">Raw!B857</f>
        <v>Inbound</v>
      </c>
      <c r="C857" s="0" t="str">
        <f aca="false">Raw!C857</f>
        <v>Chennai</v>
      </c>
      <c r="D857" s="0" t="str">
        <f aca="false">Raw!D857</f>
        <v>Surat</v>
      </c>
      <c r="E857" s="0" t="str">
        <f aca="false">IFERROR(INDEX(Location_Map!$B$2:$B$15,MATCH(C857,Location_Map!$A$2:$A$15,0)),"UNMAPPED")</f>
        <v>Tamil Nadu</v>
      </c>
      <c r="F857" s="0" t="str">
        <f aca="false">IFERROR(INDEX(Location_Map!$C$2:$C$15,MATCH(C857,Location_Map!$A$2:$A$15,0)),"UNMAPPED")</f>
        <v>South</v>
      </c>
      <c r="G857" s="0" t="str">
        <f aca="false">IFERROR(INDEX(Location_Map!$B$2:$B$15,MATCH(D857,Location_Map!$A$2:$A$15,0)),"UNMAPPED")</f>
        <v>Gujarat</v>
      </c>
      <c r="H857" s="0" t="str">
        <f aca="false">IFERROR(INDEX(Location_Map!$C$2:$C$15,MATCH(D857,Location_Map!$A$2:$A$15,0)),"UNMAPPED")</f>
        <v>West</v>
      </c>
      <c r="I857" s="0" t="str">
        <f aca="false">Raw!E857</f>
        <v>Raw Yarn</v>
      </c>
      <c r="J857" s="28" t="n">
        <f aca="false">Raw!F857</f>
        <v>18.6</v>
      </c>
      <c r="K857" s="30" t="n">
        <f aca="false">DATE(LEFT(Raw!G857,4),MID(Raw!G857,6,2),MID(Raw!G857,9,2))</f>
        <v>45927</v>
      </c>
      <c r="L857" s="30" t="n">
        <f aca="false">DATE(LEFT(Raw!H857,4),MID(Raw!H857,6,2),MID(Raw!H857,9,2))</f>
        <v>45930</v>
      </c>
      <c r="M857" s="30" t="n">
        <f aca="false">DATE(LEFT(Raw!I857,4),MID(Raw!I857,6,2),MID(Raw!I857,9,2))</f>
        <v>45935</v>
      </c>
      <c r="N857" s="31" t="n">
        <f aca="false">DATE(LEFT(Raw!J857,4),MID(Raw!J857,6,2),MID(Raw!J857,9,2))+TIME(MID(Raw!J857,12,2),MID(Raw!J857,15,2),MID(Raw!J857,18,2))</f>
        <v>45930.1666666667</v>
      </c>
      <c r="O857" s="31" t="n">
        <f aca="false">DATE(LEFT(Raw!K857,4),MID(Raw!K857,6,2),MID(Raw!K857,9,2))+TIME(MID(Raw!K857,12,2),MID(Raw!K857,15,2),MID(Raw!K857,18,2))</f>
        <v>45935.9</v>
      </c>
      <c r="P857" s="32" t="n">
        <f aca="false">L857-K857</f>
        <v>3</v>
      </c>
      <c r="Q857" s="32" t="n">
        <f aca="false">M857-L857</f>
        <v>5</v>
      </c>
      <c r="R857" s="32" t="n">
        <f aca="false">O857-N857</f>
        <v>5.73333333333333</v>
      </c>
      <c r="S857" s="32" t="n">
        <f aca="false">Raw!L857</f>
        <v>0.9</v>
      </c>
      <c r="T857" s="32" t="n">
        <f aca="false">O857-M857</f>
        <v>0.9</v>
      </c>
      <c r="U857" s="0" t="str">
        <f aca="false">IF(ABS(T857-S857)&lt;0.01,"OK","MISMATCH")</f>
        <v>OK</v>
      </c>
      <c r="V857" s="33" t="n">
        <f aca="false">Raw!M857</f>
        <v>1</v>
      </c>
      <c r="W857" s="0" t="str">
        <f aca="false">IF((S857&gt;0)=(V857=1),"OK","MISMATCH")</f>
        <v>OK</v>
      </c>
      <c r="X857" s="0" t="str">
        <f aca="false">_xlfn.IFS(S857&lt;=0,"Early/On time",S857&lt;=2,"Minor (up to 2 days)",S857&lt;=5,"Moderate (2-5 days)",TRUE(),"Severe (over 5 days)")</f>
        <v>Minor (up to 2 days)</v>
      </c>
      <c r="Y857" s="0" t="str">
        <f aca="false">YEAR(K857)&amp;"-"&amp;TEXT(MONTH(K857),"00")</f>
        <v>2025-09</v>
      </c>
      <c r="Z857" s="0" t="str">
        <f aca="false">C857&amp;" → "&amp;D857</f>
        <v>Chennai → Surat</v>
      </c>
      <c r="AA857" s="0" t="str">
        <f aca="false">Raw!Q857</f>
        <v>BlueDart</v>
      </c>
      <c r="AB857" s="0" t="str">
        <f aca="false">Raw!R857</f>
        <v>No</v>
      </c>
      <c r="AC857" s="0" t="str">
        <f aca="false">Raw!S857</f>
        <v>Normal</v>
      </c>
      <c r="AD857" s="29" t="n">
        <f aca="false">Raw!N857</f>
        <v>8012.75</v>
      </c>
      <c r="AE857" s="29" t="n">
        <f aca="false">Raw!O857</f>
        <v>2180.44</v>
      </c>
      <c r="AF857" s="29" t="n">
        <f aca="false">Raw!P857</f>
        <v>1233.4</v>
      </c>
      <c r="AG857" s="29" t="n">
        <f aca="false">AD857/J857</f>
        <v>430.793010752688</v>
      </c>
    </row>
    <row r="858" customFormat="false" ht="15" hidden="false" customHeight="false" outlineLevel="0" collapsed="false">
      <c r="A858" s="0" t="str">
        <f aca="false">Raw!A858</f>
        <v>SHP0857</v>
      </c>
      <c r="B858" s="0" t="str">
        <f aca="false">Raw!B858</f>
        <v>Inbound</v>
      </c>
      <c r="C858" s="0" t="str">
        <f aca="false">Raw!C858</f>
        <v>Chennai</v>
      </c>
      <c r="D858" s="0" t="str">
        <f aca="false">Raw!D858</f>
        <v>Surat</v>
      </c>
      <c r="E858" s="0" t="str">
        <f aca="false">IFERROR(INDEX(Location_Map!$B$2:$B$15,MATCH(C858,Location_Map!$A$2:$A$15,0)),"UNMAPPED")</f>
        <v>Tamil Nadu</v>
      </c>
      <c r="F858" s="0" t="str">
        <f aca="false">IFERROR(INDEX(Location_Map!$C$2:$C$15,MATCH(C858,Location_Map!$A$2:$A$15,0)),"UNMAPPED")</f>
        <v>South</v>
      </c>
      <c r="G858" s="0" t="str">
        <f aca="false">IFERROR(INDEX(Location_Map!$B$2:$B$15,MATCH(D858,Location_Map!$A$2:$A$15,0)),"UNMAPPED")</f>
        <v>Gujarat</v>
      </c>
      <c r="H858" s="0" t="str">
        <f aca="false">IFERROR(INDEX(Location_Map!$C$2:$C$15,MATCH(D858,Location_Map!$A$2:$A$15,0)),"UNMAPPED")</f>
        <v>West</v>
      </c>
      <c r="I858" s="0" t="str">
        <f aca="false">Raw!E858</f>
        <v>Semi-Processed Yarn</v>
      </c>
      <c r="J858" s="28" t="n">
        <f aca="false">Raw!F858</f>
        <v>17.55</v>
      </c>
      <c r="K858" s="30" t="n">
        <f aca="false">DATE(LEFT(Raw!G858,4),MID(Raw!G858,6,2),MID(Raw!G858,9,2))</f>
        <v>45715</v>
      </c>
      <c r="L858" s="30" t="n">
        <f aca="false">DATE(LEFT(Raw!H858,4),MID(Raw!H858,6,2),MID(Raw!H858,9,2))</f>
        <v>45716</v>
      </c>
      <c r="M858" s="30" t="n">
        <f aca="false">DATE(LEFT(Raw!I858,4),MID(Raw!I858,6,2),MID(Raw!I858,9,2))</f>
        <v>45720</v>
      </c>
      <c r="N858" s="31" t="n">
        <f aca="false">DATE(LEFT(Raw!J858,4),MID(Raw!J858,6,2),MID(Raw!J858,9,2))+TIME(MID(Raw!J858,12,2),MID(Raw!J858,15,2),MID(Raw!J858,18,2))</f>
        <v>45716.125</v>
      </c>
      <c r="O858" s="31" t="n">
        <f aca="false">DATE(LEFT(Raw!K858,4),MID(Raw!K858,6,2),MID(Raw!K858,9,2))+TIME(MID(Raw!K858,12,2),MID(Raw!K858,15,2),MID(Raw!K858,18,2))</f>
        <v>45719</v>
      </c>
      <c r="P858" s="32" t="n">
        <f aca="false">L858-K858</f>
        <v>1</v>
      </c>
      <c r="Q858" s="32" t="n">
        <f aca="false">M858-L858</f>
        <v>4</v>
      </c>
      <c r="R858" s="32" t="n">
        <f aca="false">O858-N858</f>
        <v>2.875</v>
      </c>
      <c r="S858" s="32" t="n">
        <f aca="false">Raw!L858</f>
        <v>-1</v>
      </c>
      <c r="T858" s="32" t="n">
        <f aca="false">O858-M858</f>
        <v>-1</v>
      </c>
      <c r="U858" s="0" t="str">
        <f aca="false">IF(ABS(T858-S858)&lt;0.01,"OK","MISMATCH")</f>
        <v>OK</v>
      </c>
      <c r="V858" s="33" t="n">
        <f aca="false">Raw!M858</f>
        <v>0</v>
      </c>
      <c r="W858" s="0" t="str">
        <f aca="false">IF((S858&gt;0)=(V858=1),"OK","MISMATCH")</f>
        <v>OK</v>
      </c>
      <c r="X858" s="0" t="str">
        <f aca="false">_xlfn.IFS(S858&lt;=0,"Early/On time",S858&lt;=2,"Minor (up to 2 days)",S858&lt;=5,"Moderate (2-5 days)",TRUE(),"Severe (over 5 days)")</f>
        <v>Early/On time</v>
      </c>
      <c r="Y858" s="0" t="str">
        <f aca="false">YEAR(K858)&amp;"-"&amp;TEXT(MONTH(K858),"00")</f>
        <v>2025-02</v>
      </c>
      <c r="Z858" s="0" t="str">
        <f aca="false">C858&amp;" → "&amp;D858</f>
        <v>Chennai → Surat</v>
      </c>
      <c r="AA858" s="0" t="str">
        <f aca="false">Raw!Q858</f>
        <v>TCI Express</v>
      </c>
      <c r="AB858" s="0" t="str">
        <f aca="false">Raw!R858</f>
        <v>Yes</v>
      </c>
      <c r="AC858" s="0" t="str">
        <f aca="false">Raw!S858</f>
        <v>Normal</v>
      </c>
      <c r="AD858" s="29" t="n">
        <f aca="false">Raw!N858</f>
        <v>5686.25</v>
      </c>
      <c r="AE858" s="29" t="n">
        <f aca="false">Raw!O858</f>
        <v>3357.33</v>
      </c>
      <c r="AF858" s="29" t="n">
        <f aca="false">Raw!P858</f>
        <v>1025.14</v>
      </c>
      <c r="AG858" s="29" t="n">
        <f aca="false">AD858/J858</f>
        <v>324.002849002849</v>
      </c>
    </row>
    <row r="859" customFormat="false" ht="15" hidden="false" customHeight="false" outlineLevel="0" collapsed="false">
      <c r="A859" s="0" t="str">
        <f aca="false">Raw!A859</f>
        <v>SHP0858</v>
      </c>
      <c r="B859" s="0" t="str">
        <f aca="false">Raw!B859</f>
        <v>Inbound</v>
      </c>
      <c r="C859" s="0" t="str">
        <f aca="false">Raw!C859</f>
        <v>Gujarat</v>
      </c>
      <c r="D859" s="0" t="str">
        <f aca="false">Raw!D859</f>
        <v>Surat</v>
      </c>
      <c r="E859" s="0" t="str">
        <f aca="false">IFERROR(INDEX(Location_Map!$B$2:$B$15,MATCH(C859,Location_Map!$A$2:$A$15,0)),"UNMAPPED")</f>
        <v>Gujarat</v>
      </c>
      <c r="F859" s="0" t="str">
        <f aca="false">IFERROR(INDEX(Location_Map!$C$2:$C$15,MATCH(C859,Location_Map!$A$2:$A$15,0)),"UNMAPPED")</f>
        <v>West</v>
      </c>
      <c r="G859" s="0" t="str">
        <f aca="false">IFERROR(INDEX(Location_Map!$B$2:$B$15,MATCH(D859,Location_Map!$A$2:$A$15,0)),"UNMAPPED")</f>
        <v>Gujarat</v>
      </c>
      <c r="H859" s="0" t="str">
        <f aca="false">IFERROR(INDEX(Location_Map!$C$2:$C$15,MATCH(D859,Location_Map!$A$2:$A$15,0)),"UNMAPPED")</f>
        <v>West</v>
      </c>
      <c r="I859" s="0" t="str">
        <f aca="false">Raw!E859</f>
        <v>Finished Yarn</v>
      </c>
      <c r="J859" s="28" t="n">
        <f aca="false">Raw!F859</f>
        <v>4.86</v>
      </c>
      <c r="K859" s="30" t="n">
        <f aca="false">DATE(LEFT(Raw!G859,4),MID(Raw!G859,6,2),MID(Raw!G859,9,2))</f>
        <v>45793</v>
      </c>
      <c r="L859" s="30" t="n">
        <f aca="false">DATE(LEFT(Raw!H859,4),MID(Raw!H859,6,2),MID(Raw!H859,9,2))</f>
        <v>45797</v>
      </c>
      <c r="M859" s="30" t="n">
        <f aca="false">DATE(LEFT(Raw!I859,4),MID(Raw!I859,6,2),MID(Raw!I859,9,2))</f>
        <v>45803</v>
      </c>
      <c r="N859" s="31" t="n">
        <f aca="false">DATE(LEFT(Raw!J859,4),MID(Raw!J859,6,2),MID(Raw!J859,9,2))+TIME(MID(Raw!J859,12,2),MID(Raw!J859,15,2),MID(Raw!J859,18,2))</f>
        <v>45797.3333333333</v>
      </c>
      <c r="O859" s="31" t="n">
        <f aca="false">DATE(LEFT(Raw!K859,4),MID(Raw!K859,6,2),MID(Raw!K859,9,2))+TIME(MID(Raw!K859,12,2),MID(Raw!K859,15,2),MID(Raw!K859,18,2))</f>
        <v>45803.6</v>
      </c>
      <c r="P859" s="32" t="n">
        <f aca="false">L859-K859</f>
        <v>4</v>
      </c>
      <c r="Q859" s="32" t="n">
        <f aca="false">M859-L859</f>
        <v>6</v>
      </c>
      <c r="R859" s="32" t="n">
        <f aca="false">O859-N859</f>
        <v>6.26666666666667</v>
      </c>
      <c r="S859" s="32" t="n">
        <f aca="false">Raw!L859</f>
        <v>0.6</v>
      </c>
      <c r="T859" s="32" t="n">
        <f aca="false">O859-M859</f>
        <v>0.6</v>
      </c>
      <c r="U859" s="0" t="str">
        <f aca="false">IF(ABS(T859-S859)&lt;0.01,"OK","MISMATCH")</f>
        <v>OK</v>
      </c>
      <c r="V859" s="33" t="n">
        <f aca="false">Raw!M859</f>
        <v>1</v>
      </c>
      <c r="W859" s="0" t="str">
        <f aca="false">IF((S859&gt;0)=(V859=1),"OK","MISMATCH")</f>
        <v>OK</v>
      </c>
      <c r="X859" s="0" t="str">
        <f aca="false">_xlfn.IFS(S859&lt;=0,"Early/On time",S859&lt;=2,"Minor (up to 2 days)",S859&lt;=5,"Moderate (2-5 days)",TRUE(),"Severe (over 5 days)")</f>
        <v>Minor (up to 2 days)</v>
      </c>
      <c r="Y859" s="0" t="str">
        <f aca="false">YEAR(K859)&amp;"-"&amp;TEXT(MONTH(K859),"00")</f>
        <v>2025-05</v>
      </c>
      <c r="Z859" s="0" t="str">
        <f aca="false">C859&amp;" → "&amp;D859</f>
        <v>Gujarat → Surat</v>
      </c>
      <c r="AA859" s="0" t="str">
        <f aca="false">Raw!Q859</f>
        <v>VRL Cargo</v>
      </c>
      <c r="AB859" s="0" t="str">
        <f aca="false">Raw!R859</f>
        <v>No</v>
      </c>
      <c r="AC859" s="0" t="str">
        <f aca="false">Raw!S859</f>
        <v>Damaged</v>
      </c>
      <c r="AD859" s="29" t="n">
        <f aca="false">Raw!N859</f>
        <v>2558.07</v>
      </c>
      <c r="AE859" s="29" t="n">
        <f aca="false">Raw!O859</f>
        <v>4636.93</v>
      </c>
      <c r="AF859" s="29" t="n">
        <f aca="false">Raw!P859</f>
        <v>601.75</v>
      </c>
      <c r="AG859" s="29" t="n">
        <f aca="false">AD859/J859</f>
        <v>526.351851851852</v>
      </c>
    </row>
    <row r="860" customFormat="false" ht="15" hidden="false" customHeight="false" outlineLevel="0" collapsed="false">
      <c r="A860" s="0" t="str">
        <f aca="false">Raw!A860</f>
        <v>SHP0859</v>
      </c>
      <c r="B860" s="0" t="str">
        <f aca="false">Raw!B860</f>
        <v>Outbound</v>
      </c>
      <c r="C860" s="0" t="str">
        <f aca="false">Raw!C860</f>
        <v>Surat</v>
      </c>
      <c r="D860" s="0" t="str">
        <f aca="false">Raw!D860</f>
        <v>Kerala</v>
      </c>
      <c r="E860" s="0" t="str">
        <f aca="false">IFERROR(INDEX(Location_Map!$B$2:$B$15,MATCH(C860,Location_Map!$A$2:$A$15,0)),"UNMAPPED")</f>
        <v>Gujarat</v>
      </c>
      <c r="F860" s="0" t="str">
        <f aca="false">IFERROR(INDEX(Location_Map!$C$2:$C$15,MATCH(C860,Location_Map!$A$2:$A$15,0)),"UNMAPPED")</f>
        <v>West</v>
      </c>
      <c r="G860" s="0" t="str">
        <f aca="false">IFERROR(INDEX(Location_Map!$B$2:$B$15,MATCH(D860,Location_Map!$A$2:$A$15,0)),"UNMAPPED")</f>
        <v>Kerala</v>
      </c>
      <c r="H860" s="0" t="str">
        <f aca="false">IFERROR(INDEX(Location_Map!$C$2:$C$15,MATCH(D860,Location_Map!$A$2:$A$15,0)),"UNMAPPED")</f>
        <v>South</v>
      </c>
      <c r="I860" s="0" t="str">
        <f aca="false">Raw!E860</f>
        <v>Semi-Processed Yarn</v>
      </c>
      <c r="J860" s="28" t="n">
        <f aca="false">Raw!F860</f>
        <v>1.93</v>
      </c>
      <c r="K860" s="30" t="n">
        <f aca="false">DATE(LEFT(Raw!G860,4),MID(Raw!G860,6,2),MID(Raw!G860,9,2))</f>
        <v>45659</v>
      </c>
      <c r="L860" s="30" t="n">
        <f aca="false">DATE(LEFT(Raw!H860,4),MID(Raw!H860,6,2),MID(Raw!H860,9,2))</f>
        <v>45661</v>
      </c>
      <c r="M860" s="30" t="n">
        <f aca="false">DATE(LEFT(Raw!I860,4),MID(Raw!I860,6,2),MID(Raw!I860,9,2))</f>
        <v>45664</v>
      </c>
      <c r="N860" s="31" t="n">
        <f aca="false">DATE(LEFT(Raw!J860,4),MID(Raw!J860,6,2),MID(Raw!J860,9,2))+TIME(MID(Raw!J860,12,2),MID(Raw!J860,15,2),MID(Raw!J860,18,2))</f>
        <v>45660.9583333333</v>
      </c>
      <c r="O860" s="31" t="n">
        <f aca="false">DATE(LEFT(Raw!K860,4),MID(Raw!K860,6,2),MID(Raw!K860,9,2))+TIME(MID(Raw!K860,12,2),MID(Raw!K860,15,2),MID(Raw!K860,18,2))</f>
        <v>45663</v>
      </c>
      <c r="P860" s="32" t="n">
        <f aca="false">L860-K860</f>
        <v>2</v>
      </c>
      <c r="Q860" s="32" t="n">
        <f aca="false">M860-L860</f>
        <v>3</v>
      </c>
      <c r="R860" s="32" t="n">
        <f aca="false">O860-N860</f>
        <v>2.04166666666667</v>
      </c>
      <c r="S860" s="32" t="n">
        <f aca="false">Raw!L860</f>
        <v>-1</v>
      </c>
      <c r="T860" s="32" t="n">
        <f aca="false">O860-M860</f>
        <v>-1</v>
      </c>
      <c r="U860" s="0" t="str">
        <f aca="false">IF(ABS(T860-S860)&lt;0.01,"OK","MISMATCH")</f>
        <v>OK</v>
      </c>
      <c r="V860" s="33" t="n">
        <f aca="false">Raw!M860</f>
        <v>0</v>
      </c>
      <c r="W860" s="0" t="str">
        <f aca="false">IF((S860&gt;0)=(V860=1),"OK","MISMATCH")</f>
        <v>OK</v>
      </c>
      <c r="X860" s="0" t="str">
        <f aca="false">_xlfn.IFS(S860&lt;=0,"Early/On time",S860&lt;=2,"Minor (up to 2 days)",S860&lt;=5,"Moderate (2-5 days)",TRUE(),"Severe (over 5 days)")</f>
        <v>Early/On time</v>
      </c>
      <c r="Y860" s="0" t="str">
        <f aca="false">YEAR(K860)&amp;"-"&amp;TEXT(MONTH(K860),"00")</f>
        <v>2025-01</v>
      </c>
      <c r="Z860" s="0" t="str">
        <f aca="false">C860&amp;" → "&amp;D860</f>
        <v>Surat → Kerala</v>
      </c>
      <c r="AA860" s="0" t="str">
        <f aca="false">Raw!Q860</f>
        <v>VRL Cargo</v>
      </c>
      <c r="AB860" s="0" t="str">
        <f aca="false">Raw!R860</f>
        <v>Yes</v>
      </c>
      <c r="AC860" s="0" t="str">
        <f aca="false">Raw!S860</f>
        <v>Returned</v>
      </c>
      <c r="AD860" s="29" t="n">
        <f aca="false">Raw!N860</f>
        <v>2020.83</v>
      </c>
      <c r="AE860" s="29" t="n">
        <f aca="false">Raw!O860</f>
        <v>1162.38</v>
      </c>
      <c r="AF860" s="29" t="n">
        <f aca="false">Raw!P860</f>
        <v>890.75</v>
      </c>
      <c r="AG860" s="29" t="n">
        <f aca="false">AD860/J860</f>
        <v>1047.0621761658</v>
      </c>
    </row>
    <row r="861" customFormat="false" ht="15" hidden="false" customHeight="false" outlineLevel="0" collapsed="false">
      <c r="A861" s="0" t="str">
        <f aca="false">Raw!A861</f>
        <v>SHP0860</v>
      </c>
      <c r="B861" s="0" t="str">
        <f aca="false">Raw!B861</f>
        <v>Inbound</v>
      </c>
      <c r="C861" s="0" t="str">
        <f aca="false">Raw!C861</f>
        <v>Punjab</v>
      </c>
      <c r="D861" s="0" t="str">
        <f aca="false">Raw!D861</f>
        <v>Surat</v>
      </c>
      <c r="E861" s="0" t="str">
        <f aca="false">IFERROR(INDEX(Location_Map!$B$2:$B$15,MATCH(C861,Location_Map!$A$2:$A$15,0)),"UNMAPPED")</f>
        <v>Punjab</v>
      </c>
      <c r="F861" s="0" t="str">
        <f aca="false">IFERROR(INDEX(Location_Map!$C$2:$C$15,MATCH(C861,Location_Map!$A$2:$A$15,0)),"UNMAPPED")</f>
        <v>North</v>
      </c>
      <c r="G861" s="0" t="str">
        <f aca="false">IFERROR(INDEX(Location_Map!$B$2:$B$15,MATCH(D861,Location_Map!$A$2:$A$15,0)),"UNMAPPED")</f>
        <v>Gujarat</v>
      </c>
      <c r="H861" s="0" t="str">
        <f aca="false">IFERROR(INDEX(Location_Map!$C$2:$C$15,MATCH(D861,Location_Map!$A$2:$A$15,0)),"UNMAPPED")</f>
        <v>West</v>
      </c>
      <c r="I861" s="0" t="str">
        <f aca="false">Raw!E861</f>
        <v>Semi-Processed Yarn</v>
      </c>
      <c r="J861" s="28" t="n">
        <f aca="false">Raw!F861</f>
        <v>16.03</v>
      </c>
      <c r="K861" s="30" t="n">
        <f aca="false">DATE(LEFT(Raw!G861,4),MID(Raw!G861,6,2),MID(Raw!G861,9,2))</f>
        <v>45898</v>
      </c>
      <c r="L861" s="30" t="n">
        <f aca="false">DATE(LEFT(Raw!H861,4),MID(Raw!H861,6,2),MID(Raw!H861,9,2))</f>
        <v>45901</v>
      </c>
      <c r="M861" s="30" t="n">
        <f aca="false">DATE(LEFT(Raw!I861,4),MID(Raw!I861,6,2),MID(Raw!I861,9,2))</f>
        <v>45904</v>
      </c>
      <c r="N861" s="31" t="n">
        <f aca="false">DATE(LEFT(Raw!J861,4),MID(Raw!J861,6,2),MID(Raw!J861,9,2))+TIME(MID(Raw!J861,12,2),MID(Raw!J861,15,2),MID(Raw!J861,18,2))</f>
        <v>45900.9166666667</v>
      </c>
      <c r="O861" s="31" t="n">
        <f aca="false">DATE(LEFT(Raw!K861,4),MID(Raw!K861,6,2),MID(Raw!K861,9,2))+TIME(MID(Raw!K861,12,2),MID(Raw!K861,15,2),MID(Raw!K861,18,2))</f>
        <v>45903.2</v>
      </c>
      <c r="P861" s="32" t="n">
        <f aca="false">L861-K861</f>
        <v>3</v>
      </c>
      <c r="Q861" s="32" t="n">
        <f aca="false">M861-L861</f>
        <v>3</v>
      </c>
      <c r="R861" s="32" t="n">
        <f aca="false">O861-N861</f>
        <v>2.28333333333333</v>
      </c>
      <c r="S861" s="32" t="n">
        <f aca="false">Raw!L861</f>
        <v>-0.8</v>
      </c>
      <c r="T861" s="32" t="n">
        <f aca="false">O861-M861</f>
        <v>-0.800000000005833</v>
      </c>
      <c r="U861" s="0" t="str">
        <f aca="false">IF(ABS(T861-S861)&lt;0.01,"OK","MISMATCH")</f>
        <v>OK</v>
      </c>
      <c r="V861" s="33" t="n">
        <f aca="false">Raw!M861</f>
        <v>0</v>
      </c>
      <c r="W861" s="0" t="str">
        <f aca="false">IF((S861&gt;0)=(V861=1),"OK","MISMATCH")</f>
        <v>OK</v>
      </c>
      <c r="X861" s="0" t="str">
        <f aca="false">_xlfn.IFS(S861&lt;=0,"Early/On time",S861&lt;=2,"Minor (up to 2 days)",S861&lt;=5,"Moderate (2-5 days)",TRUE(),"Severe (over 5 days)")</f>
        <v>Early/On time</v>
      </c>
      <c r="Y861" s="0" t="str">
        <f aca="false">YEAR(K861)&amp;"-"&amp;TEXT(MONTH(K861),"00")</f>
        <v>2025-08</v>
      </c>
      <c r="Z861" s="0" t="str">
        <f aca="false">C861&amp;" → "&amp;D861</f>
        <v>Punjab → Surat</v>
      </c>
      <c r="AA861" s="0" t="str">
        <f aca="false">Raw!Q861</f>
        <v>BlueDart</v>
      </c>
      <c r="AB861" s="0" t="str">
        <f aca="false">Raw!R861</f>
        <v>Yes</v>
      </c>
      <c r="AC861" s="0" t="str">
        <f aca="false">Raw!S861</f>
        <v>Held at warehouse</v>
      </c>
      <c r="AD861" s="29" t="n">
        <f aca="false">Raw!N861</f>
        <v>8077.44</v>
      </c>
      <c r="AE861" s="29" t="n">
        <f aca="false">Raw!O861</f>
        <v>1413.51</v>
      </c>
      <c r="AF861" s="29" t="n">
        <f aca="false">Raw!P861</f>
        <v>680.66</v>
      </c>
      <c r="AG861" s="29" t="n">
        <f aca="false">AD861/J861</f>
        <v>503.89519650655</v>
      </c>
    </row>
    <row r="862" customFormat="false" ht="15" hidden="false" customHeight="false" outlineLevel="0" collapsed="false">
      <c r="A862" s="0" t="str">
        <f aca="false">Raw!A862</f>
        <v>SHP0861</v>
      </c>
      <c r="B862" s="0" t="str">
        <f aca="false">Raw!B862</f>
        <v>Outbound</v>
      </c>
      <c r="C862" s="0" t="str">
        <f aca="false">Raw!C862</f>
        <v>Surat</v>
      </c>
      <c r="D862" s="0" t="str">
        <f aca="false">Raw!D862</f>
        <v>Gujarat</v>
      </c>
      <c r="E862" s="0" t="str">
        <f aca="false">IFERROR(INDEX(Location_Map!$B$2:$B$15,MATCH(C862,Location_Map!$A$2:$A$15,0)),"UNMAPPED")</f>
        <v>Gujarat</v>
      </c>
      <c r="F862" s="0" t="str">
        <f aca="false">IFERROR(INDEX(Location_Map!$C$2:$C$15,MATCH(C862,Location_Map!$A$2:$A$15,0)),"UNMAPPED")</f>
        <v>West</v>
      </c>
      <c r="G862" s="0" t="str">
        <f aca="false">IFERROR(INDEX(Location_Map!$B$2:$B$15,MATCH(D862,Location_Map!$A$2:$A$15,0)),"UNMAPPED")</f>
        <v>Gujarat</v>
      </c>
      <c r="H862" s="0" t="str">
        <f aca="false">IFERROR(INDEX(Location_Map!$C$2:$C$15,MATCH(D862,Location_Map!$A$2:$A$15,0)),"UNMAPPED")</f>
        <v>West</v>
      </c>
      <c r="I862" s="0" t="str">
        <f aca="false">Raw!E862</f>
        <v>Raw Yarn</v>
      </c>
      <c r="J862" s="28" t="n">
        <f aca="false">Raw!F862</f>
        <v>3.47</v>
      </c>
      <c r="K862" s="30" t="n">
        <f aca="false">DATE(LEFT(Raw!G862,4),MID(Raw!G862,6,2),MID(Raw!G862,9,2))</f>
        <v>45756</v>
      </c>
      <c r="L862" s="30" t="n">
        <f aca="false">DATE(LEFT(Raw!H862,4),MID(Raw!H862,6,2),MID(Raw!H862,9,2))</f>
        <v>45757</v>
      </c>
      <c r="M862" s="30" t="n">
        <f aca="false">DATE(LEFT(Raw!I862,4),MID(Raw!I862,6,2),MID(Raw!I862,9,2))</f>
        <v>45761</v>
      </c>
      <c r="N862" s="31" t="n">
        <f aca="false">DATE(LEFT(Raw!J862,4),MID(Raw!J862,6,2),MID(Raw!J862,9,2))+TIME(MID(Raw!J862,12,2),MID(Raw!J862,15,2),MID(Raw!J862,18,2))</f>
        <v>45757.125</v>
      </c>
      <c r="O862" s="31" t="n">
        <f aca="false">DATE(LEFT(Raw!K862,4),MID(Raw!K862,6,2),MID(Raw!K862,9,2))+TIME(MID(Raw!K862,12,2),MID(Raw!K862,15,2),MID(Raw!K862,18,2))</f>
        <v>45760</v>
      </c>
      <c r="P862" s="32" t="n">
        <f aca="false">L862-K862</f>
        <v>1</v>
      </c>
      <c r="Q862" s="32" t="n">
        <f aca="false">M862-L862</f>
        <v>4</v>
      </c>
      <c r="R862" s="32" t="n">
        <f aca="false">O862-N862</f>
        <v>2.875</v>
      </c>
      <c r="S862" s="32" t="n">
        <f aca="false">Raw!L862</f>
        <v>-1</v>
      </c>
      <c r="T862" s="32" t="n">
        <f aca="false">O862-M862</f>
        <v>-1</v>
      </c>
      <c r="U862" s="0" t="str">
        <f aca="false">IF(ABS(T862-S862)&lt;0.01,"OK","MISMATCH")</f>
        <v>OK</v>
      </c>
      <c r="V862" s="33" t="n">
        <f aca="false">Raw!M862</f>
        <v>0</v>
      </c>
      <c r="W862" s="0" t="str">
        <f aca="false">IF((S862&gt;0)=(V862=1),"OK","MISMATCH")</f>
        <v>OK</v>
      </c>
      <c r="X862" s="0" t="str">
        <f aca="false">_xlfn.IFS(S862&lt;=0,"Early/On time",S862&lt;=2,"Minor (up to 2 days)",S862&lt;=5,"Moderate (2-5 days)",TRUE(),"Severe (over 5 days)")</f>
        <v>Early/On time</v>
      </c>
      <c r="Y862" s="0" t="str">
        <f aca="false">YEAR(K862)&amp;"-"&amp;TEXT(MONTH(K862),"00")</f>
        <v>2025-04</v>
      </c>
      <c r="Z862" s="0" t="str">
        <f aca="false">C862&amp;" → "&amp;D862</f>
        <v>Surat → Gujarat</v>
      </c>
      <c r="AA862" s="0" t="str">
        <f aca="false">Raw!Q862</f>
        <v>VRL Cargo</v>
      </c>
      <c r="AB862" s="0" t="str">
        <f aca="false">Raw!R862</f>
        <v>No</v>
      </c>
      <c r="AC862" s="0" t="str">
        <f aca="false">Raw!S862</f>
        <v>Held at warehouse</v>
      </c>
      <c r="AD862" s="29" t="n">
        <f aca="false">Raw!N862</f>
        <v>2514.66</v>
      </c>
      <c r="AE862" s="29" t="n">
        <f aca="false">Raw!O862</f>
        <v>1431.85</v>
      </c>
      <c r="AF862" s="29" t="n">
        <f aca="false">Raw!P862</f>
        <v>569.65</v>
      </c>
      <c r="AG862" s="29" t="n">
        <f aca="false">AD862/J862</f>
        <v>724.685878962536</v>
      </c>
    </row>
    <row r="863" customFormat="false" ht="15" hidden="false" customHeight="false" outlineLevel="0" collapsed="false">
      <c r="A863" s="0" t="str">
        <f aca="false">Raw!A863</f>
        <v>SHP0862</v>
      </c>
      <c r="B863" s="0" t="str">
        <f aca="false">Raw!B863</f>
        <v>Inbound</v>
      </c>
      <c r="C863" s="0" t="str">
        <f aca="false">Raw!C863</f>
        <v>Punjab</v>
      </c>
      <c r="D863" s="0" t="str">
        <f aca="false">Raw!D863</f>
        <v>Surat</v>
      </c>
      <c r="E863" s="0" t="str">
        <f aca="false">IFERROR(INDEX(Location_Map!$B$2:$B$15,MATCH(C863,Location_Map!$A$2:$A$15,0)),"UNMAPPED")</f>
        <v>Punjab</v>
      </c>
      <c r="F863" s="0" t="str">
        <f aca="false">IFERROR(INDEX(Location_Map!$C$2:$C$15,MATCH(C863,Location_Map!$A$2:$A$15,0)),"UNMAPPED")</f>
        <v>North</v>
      </c>
      <c r="G863" s="0" t="str">
        <f aca="false">IFERROR(INDEX(Location_Map!$B$2:$B$15,MATCH(D863,Location_Map!$A$2:$A$15,0)),"UNMAPPED")</f>
        <v>Gujarat</v>
      </c>
      <c r="H863" s="0" t="str">
        <f aca="false">IFERROR(INDEX(Location_Map!$C$2:$C$15,MATCH(D863,Location_Map!$A$2:$A$15,0)),"UNMAPPED")</f>
        <v>West</v>
      </c>
      <c r="I863" s="0" t="str">
        <f aca="false">Raw!E863</f>
        <v>Finished Yarn</v>
      </c>
      <c r="J863" s="28" t="n">
        <f aca="false">Raw!F863</f>
        <v>12.19</v>
      </c>
      <c r="K863" s="30" t="n">
        <f aca="false">DATE(LEFT(Raw!G863,4),MID(Raw!G863,6,2),MID(Raw!G863,9,2))</f>
        <v>45814</v>
      </c>
      <c r="L863" s="30" t="n">
        <f aca="false">DATE(LEFT(Raw!H863,4),MID(Raw!H863,6,2),MID(Raw!H863,9,2))</f>
        <v>45817</v>
      </c>
      <c r="M863" s="30" t="n">
        <f aca="false">DATE(LEFT(Raw!I863,4),MID(Raw!I863,6,2),MID(Raw!I863,9,2))</f>
        <v>45821</v>
      </c>
      <c r="N863" s="31" t="n">
        <f aca="false">DATE(LEFT(Raw!J863,4),MID(Raw!J863,6,2),MID(Raw!J863,9,2))+TIME(MID(Raw!J863,12,2),MID(Raw!J863,15,2),MID(Raw!J863,18,2))</f>
        <v>45817.0833333333</v>
      </c>
      <c r="O863" s="31" t="n">
        <f aca="false">DATE(LEFT(Raw!K863,4),MID(Raw!K863,6,2),MID(Raw!K863,9,2))+TIME(MID(Raw!K863,12,2),MID(Raw!K863,15,2),MID(Raw!K863,18,2))</f>
        <v>45827.3</v>
      </c>
      <c r="P863" s="32" t="n">
        <f aca="false">L863-K863</f>
        <v>3</v>
      </c>
      <c r="Q863" s="32" t="n">
        <f aca="false">M863-L863</f>
        <v>4</v>
      </c>
      <c r="R863" s="32" t="n">
        <f aca="false">O863-N863</f>
        <v>10.2166666666667</v>
      </c>
      <c r="S863" s="32" t="n">
        <f aca="false">Raw!L863</f>
        <v>6.3</v>
      </c>
      <c r="T863" s="32" t="n">
        <f aca="false">O863-M863</f>
        <v>6.3</v>
      </c>
      <c r="U863" s="0" t="str">
        <f aca="false">IF(ABS(T863-S863)&lt;0.01,"OK","MISMATCH")</f>
        <v>OK</v>
      </c>
      <c r="V863" s="33" t="n">
        <f aca="false">Raw!M863</f>
        <v>1</v>
      </c>
      <c r="W863" s="0" t="str">
        <f aca="false">IF((S863&gt;0)=(V863=1),"OK","MISMATCH")</f>
        <v>OK</v>
      </c>
      <c r="X863" s="0" t="str">
        <f aca="false">_xlfn.IFS(S863&lt;=0,"Early/On time",S863&lt;=2,"Minor (up to 2 days)",S863&lt;=5,"Moderate (2-5 days)",TRUE(),"Severe (over 5 days)")</f>
        <v>Severe (over 5 days)</v>
      </c>
      <c r="Y863" s="0" t="str">
        <f aca="false">YEAR(K863)&amp;"-"&amp;TEXT(MONTH(K863),"00")</f>
        <v>2025-06</v>
      </c>
      <c r="Z863" s="0" t="str">
        <f aca="false">C863&amp;" → "&amp;D863</f>
        <v>Punjab → Surat</v>
      </c>
      <c r="AA863" s="0" t="str">
        <f aca="false">Raw!Q863</f>
        <v>GATI Logistics</v>
      </c>
      <c r="AB863" s="0" t="str">
        <f aca="false">Raw!R863</f>
        <v>No</v>
      </c>
      <c r="AC863" s="0" t="str">
        <f aca="false">Raw!S863</f>
        <v>Expedited</v>
      </c>
      <c r="AD863" s="29" t="n">
        <f aca="false">Raw!N863</f>
        <v>5374.84</v>
      </c>
      <c r="AE863" s="29" t="n">
        <f aca="false">Raw!O863</f>
        <v>1105.79</v>
      </c>
      <c r="AF863" s="29" t="n">
        <f aca="false">Raw!P863</f>
        <v>835.56</v>
      </c>
      <c r="AG863" s="29" t="n">
        <f aca="false">AD863/J863</f>
        <v>440.922067268253</v>
      </c>
    </row>
    <row r="864" customFormat="false" ht="15" hidden="false" customHeight="false" outlineLevel="0" collapsed="false">
      <c r="A864" s="0" t="str">
        <f aca="false">Raw!A864</f>
        <v>SHP0863</v>
      </c>
      <c r="B864" s="0" t="str">
        <f aca="false">Raw!B864</f>
        <v>Inbound</v>
      </c>
      <c r="C864" s="0" t="str">
        <f aca="false">Raw!C864</f>
        <v>Gujarat</v>
      </c>
      <c r="D864" s="0" t="str">
        <f aca="false">Raw!D864</f>
        <v>Surat</v>
      </c>
      <c r="E864" s="0" t="str">
        <f aca="false">IFERROR(INDEX(Location_Map!$B$2:$B$15,MATCH(C864,Location_Map!$A$2:$A$15,0)),"UNMAPPED")</f>
        <v>Gujarat</v>
      </c>
      <c r="F864" s="0" t="str">
        <f aca="false">IFERROR(INDEX(Location_Map!$C$2:$C$15,MATCH(C864,Location_Map!$A$2:$A$15,0)),"UNMAPPED")</f>
        <v>West</v>
      </c>
      <c r="G864" s="0" t="str">
        <f aca="false">IFERROR(INDEX(Location_Map!$B$2:$B$15,MATCH(D864,Location_Map!$A$2:$A$15,0)),"UNMAPPED")</f>
        <v>Gujarat</v>
      </c>
      <c r="H864" s="0" t="str">
        <f aca="false">IFERROR(INDEX(Location_Map!$C$2:$C$15,MATCH(D864,Location_Map!$A$2:$A$15,0)),"UNMAPPED")</f>
        <v>West</v>
      </c>
      <c r="I864" s="0" t="str">
        <f aca="false">Raw!E864</f>
        <v>Finished Yarn</v>
      </c>
      <c r="J864" s="28" t="n">
        <f aca="false">Raw!F864</f>
        <v>19.54</v>
      </c>
      <c r="K864" s="30" t="n">
        <f aca="false">DATE(LEFT(Raw!G864,4),MID(Raw!G864,6,2),MID(Raw!G864,9,2))</f>
        <v>45920</v>
      </c>
      <c r="L864" s="30" t="n">
        <f aca="false">DATE(LEFT(Raw!H864,4),MID(Raw!H864,6,2),MID(Raw!H864,9,2))</f>
        <v>45922</v>
      </c>
      <c r="M864" s="30" t="n">
        <f aca="false">DATE(LEFT(Raw!I864,4),MID(Raw!I864,6,2),MID(Raw!I864,9,2))</f>
        <v>45925</v>
      </c>
      <c r="N864" s="31" t="n">
        <f aca="false">DATE(LEFT(Raw!J864,4),MID(Raw!J864,6,2),MID(Raw!J864,9,2))+TIME(MID(Raw!J864,12,2),MID(Raw!J864,15,2),MID(Raw!J864,18,2))</f>
        <v>45922.2916666667</v>
      </c>
      <c r="O864" s="31" t="n">
        <f aca="false">DATE(LEFT(Raw!K864,4),MID(Raw!K864,6,2),MID(Raw!K864,9,2))+TIME(MID(Raw!K864,12,2),MID(Raw!K864,15,2),MID(Raw!K864,18,2))</f>
        <v>45926</v>
      </c>
      <c r="P864" s="32" t="n">
        <f aca="false">L864-K864</f>
        <v>2</v>
      </c>
      <c r="Q864" s="32" t="n">
        <f aca="false">M864-L864</f>
        <v>3</v>
      </c>
      <c r="R864" s="32" t="n">
        <f aca="false">O864-N864</f>
        <v>3.70833333333333</v>
      </c>
      <c r="S864" s="32" t="n">
        <f aca="false">Raw!L864</f>
        <v>1</v>
      </c>
      <c r="T864" s="32" t="n">
        <f aca="false">O864-M864</f>
        <v>1</v>
      </c>
      <c r="U864" s="0" t="str">
        <f aca="false">IF(ABS(T864-S864)&lt;0.01,"OK","MISMATCH")</f>
        <v>OK</v>
      </c>
      <c r="V864" s="33" t="n">
        <f aca="false">Raw!M864</f>
        <v>1</v>
      </c>
      <c r="W864" s="0" t="str">
        <f aca="false">IF((S864&gt;0)=(V864=1),"OK","MISMATCH")</f>
        <v>OK</v>
      </c>
      <c r="X864" s="0" t="str">
        <f aca="false">_xlfn.IFS(S864&lt;=0,"Early/On time",S864&lt;=2,"Minor (up to 2 days)",S864&lt;=5,"Moderate (2-5 days)",TRUE(),"Severe (over 5 days)")</f>
        <v>Minor (up to 2 days)</v>
      </c>
      <c r="Y864" s="0" t="str">
        <f aca="false">YEAR(K864)&amp;"-"&amp;TEXT(MONTH(K864),"00")</f>
        <v>2025-09</v>
      </c>
      <c r="Z864" s="0" t="str">
        <f aca="false">C864&amp;" → "&amp;D864</f>
        <v>Gujarat → Surat</v>
      </c>
      <c r="AA864" s="0" t="str">
        <f aca="false">Raw!Q864</f>
        <v>TCI Express</v>
      </c>
      <c r="AB864" s="0" t="str">
        <f aca="false">Raw!R864</f>
        <v>Yes</v>
      </c>
      <c r="AC864" s="0" t="str">
        <f aca="false">Raw!S864</f>
        <v>Held at warehouse</v>
      </c>
      <c r="AD864" s="29" t="n">
        <f aca="false">Raw!N864</f>
        <v>4272.09</v>
      </c>
      <c r="AE864" s="29" t="n">
        <f aca="false">Raw!O864</f>
        <v>3041.57</v>
      </c>
      <c r="AF864" s="29" t="n">
        <f aca="false">Raw!P864</f>
        <v>1469.44</v>
      </c>
      <c r="AG864" s="29" t="n">
        <f aca="false">AD864/J864</f>
        <v>218.633060388946</v>
      </c>
    </row>
    <row r="865" customFormat="false" ht="15" hidden="false" customHeight="false" outlineLevel="0" collapsed="false">
      <c r="A865" s="0" t="str">
        <f aca="false">Raw!A865</f>
        <v>SHP0864</v>
      </c>
      <c r="B865" s="0" t="str">
        <f aca="false">Raw!B865</f>
        <v>Outbound</v>
      </c>
      <c r="C865" s="0" t="str">
        <f aca="false">Raw!C865</f>
        <v>Surat</v>
      </c>
      <c r="D865" s="0" t="str">
        <f aca="false">Raw!D865</f>
        <v>Gujarat</v>
      </c>
      <c r="E865" s="0" t="str">
        <f aca="false">IFERROR(INDEX(Location_Map!$B$2:$B$15,MATCH(C865,Location_Map!$A$2:$A$15,0)),"UNMAPPED")</f>
        <v>Gujarat</v>
      </c>
      <c r="F865" s="0" t="str">
        <f aca="false">IFERROR(INDEX(Location_Map!$C$2:$C$15,MATCH(C865,Location_Map!$A$2:$A$15,0)),"UNMAPPED")</f>
        <v>West</v>
      </c>
      <c r="G865" s="0" t="str">
        <f aca="false">IFERROR(INDEX(Location_Map!$B$2:$B$15,MATCH(D865,Location_Map!$A$2:$A$15,0)),"UNMAPPED")</f>
        <v>Gujarat</v>
      </c>
      <c r="H865" s="0" t="str">
        <f aca="false">IFERROR(INDEX(Location_Map!$C$2:$C$15,MATCH(D865,Location_Map!$A$2:$A$15,0)),"UNMAPPED")</f>
        <v>West</v>
      </c>
      <c r="I865" s="0" t="str">
        <f aca="false">Raw!E865</f>
        <v>Raw Yarn</v>
      </c>
      <c r="J865" s="28" t="n">
        <f aca="false">Raw!F865</f>
        <v>14.17</v>
      </c>
      <c r="K865" s="30" t="n">
        <f aca="false">DATE(LEFT(Raw!G865,4),MID(Raw!G865,6,2),MID(Raw!G865,9,2))</f>
        <v>45679</v>
      </c>
      <c r="L865" s="30" t="n">
        <f aca="false">DATE(LEFT(Raw!H865,4),MID(Raw!H865,6,2),MID(Raw!H865,9,2))</f>
        <v>45680</v>
      </c>
      <c r="M865" s="30" t="n">
        <f aca="false">DATE(LEFT(Raw!I865,4),MID(Raw!I865,6,2),MID(Raw!I865,9,2))</f>
        <v>45686</v>
      </c>
      <c r="N865" s="31" t="n">
        <f aca="false">DATE(LEFT(Raw!J865,4),MID(Raw!J865,6,2),MID(Raw!J865,9,2))+TIME(MID(Raw!J865,12,2),MID(Raw!J865,15,2),MID(Raw!J865,18,2))</f>
        <v>45680.25</v>
      </c>
      <c r="O865" s="31" t="n">
        <f aca="false">DATE(LEFT(Raw!K865,4),MID(Raw!K865,6,2),MID(Raw!K865,9,2))+TIME(MID(Raw!K865,12,2),MID(Raw!K865,15,2),MID(Raw!K865,18,2))</f>
        <v>45688.8</v>
      </c>
      <c r="P865" s="32" t="n">
        <f aca="false">L865-K865</f>
        <v>1</v>
      </c>
      <c r="Q865" s="32" t="n">
        <f aca="false">M865-L865</f>
        <v>6</v>
      </c>
      <c r="R865" s="32" t="n">
        <f aca="false">O865-N865</f>
        <v>8.55</v>
      </c>
      <c r="S865" s="32" t="n">
        <f aca="false">Raw!L865</f>
        <v>2.8</v>
      </c>
      <c r="T865" s="32" t="n">
        <f aca="false">O865-M865</f>
        <v>2.8</v>
      </c>
      <c r="U865" s="0" t="str">
        <f aca="false">IF(ABS(T865-S865)&lt;0.01,"OK","MISMATCH")</f>
        <v>OK</v>
      </c>
      <c r="V865" s="33" t="n">
        <f aca="false">Raw!M865</f>
        <v>1</v>
      </c>
      <c r="W865" s="0" t="str">
        <f aca="false">IF((S865&gt;0)=(V865=1),"OK","MISMATCH")</f>
        <v>OK</v>
      </c>
      <c r="X865" s="0" t="str">
        <f aca="false">_xlfn.IFS(S865&lt;=0,"Early/On time",S865&lt;=2,"Minor (up to 2 days)",S865&lt;=5,"Moderate (2-5 days)",TRUE(),"Severe (over 5 days)")</f>
        <v>Moderate (2-5 days)</v>
      </c>
      <c r="Y865" s="0" t="str">
        <f aca="false">YEAR(K865)&amp;"-"&amp;TEXT(MONTH(K865),"00")</f>
        <v>2025-01</v>
      </c>
      <c r="Z865" s="0" t="str">
        <f aca="false">C865&amp;" → "&amp;D865</f>
        <v>Surat → Gujarat</v>
      </c>
      <c r="AA865" s="0" t="str">
        <f aca="false">Raw!Q865</f>
        <v>TCI Express</v>
      </c>
      <c r="AB865" s="0" t="str">
        <f aca="false">Raw!R865</f>
        <v>Yes</v>
      </c>
      <c r="AC865" s="0" t="str">
        <f aca="false">Raw!S865</f>
        <v>Returned</v>
      </c>
      <c r="AD865" s="29" t="n">
        <f aca="false">Raw!N865</f>
        <v>9133.17</v>
      </c>
      <c r="AE865" s="29" t="n">
        <f aca="false">Raw!O865</f>
        <v>3577.69</v>
      </c>
      <c r="AF865" s="29" t="n">
        <f aca="false">Raw!P865</f>
        <v>528.34</v>
      </c>
      <c r="AG865" s="29" t="n">
        <f aca="false">AD865/J865</f>
        <v>644.542695836274</v>
      </c>
    </row>
    <row r="866" customFormat="false" ht="15" hidden="false" customHeight="false" outlineLevel="0" collapsed="false">
      <c r="A866" s="0" t="str">
        <f aca="false">Raw!A866</f>
        <v>SHP0865</v>
      </c>
      <c r="B866" s="0" t="str">
        <f aca="false">Raw!B866</f>
        <v>Inbound</v>
      </c>
      <c r="C866" s="0" t="str">
        <f aca="false">Raw!C866</f>
        <v>Gujarat</v>
      </c>
      <c r="D866" s="0" t="str">
        <f aca="false">Raw!D866</f>
        <v>Surat</v>
      </c>
      <c r="E866" s="0" t="str">
        <f aca="false">IFERROR(INDEX(Location_Map!$B$2:$B$15,MATCH(C866,Location_Map!$A$2:$A$15,0)),"UNMAPPED")</f>
        <v>Gujarat</v>
      </c>
      <c r="F866" s="0" t="str">
        <f aca="false">IFERROR(INDEX(Location_Map!$C$2:$C$15,MATCH(C866,Location_Map!$A$2:$A$15,0)),"UNMAPPED")</f>
        <v>West</v>
      </c>
      <c r="G866" s="0" t="str">
        <f aca="false">IFERROR(INDEX(Location_Map!$B$2:$B$15,MATCH(D866,Location_Map!$A$2:$A$15,0)),"UNMAPPED")</f>
        <v>Gujarat</v>
      </c>
      <c r="H866" s="0" t="str">
        <f aca="false">IFERROR(INDEX(Location_Map!$C$2:$C$15,MATCH(D866,Location_Map!$A$2:$A$15,0)),"UNMAPPED")</f>
        <v>West</v>
      </c>
      <c r="I866" s="0" t="str">
        <f aca="false">Raw!E866</f>
        <v>Raw Yarn</v>
      </c>
      <c r="J866" s="28" t="n">
        <f aca="false">Raw!F866</f>
        <v>16.74</v>
      </c>
      <c r="K866" s="30" t="n">
        <f aca="false">DATE(LEFT(Raw!G866,4),MID(Raw!G866,6,2),MID(Raw!G866,9,2))</f>
        <v>45894</v>
      </c>
      <c r="L866" s="30" t="n">
        <f aca="false">DATE(LEFT(Raw!H866,4),MID(Raw!H866,6,2),MID(Raw!H866,9,2))</f>
        <v>45896</v>
      </c>
      <c r="M866" s="30" t="n">
        <f aca="false">DATE(LEFT(Raw!I866,4),MID(Raw!I866,6,2),MID(Raw!I866,9,2))</f>
        <v>45902</v>
      </c>
      <c r="N866" s="31" t="n">
        <f aca="false">DATE(LEFT(Raw!J866,4),MID(Raw!J866,6,2),MID(Raw!J866,9,2))+TIME(MID(Raw!J866,12,2),MID(Raw!J866,15,2),MID(Raw!J866,18,2))</f>
        <v>45896.375</v>
      </c>
      <c r="O866" s="31" t="n">
        <f aca="false">DATE(LEFT(Raw!K866,4),MID(Raw!K866,6,2),MID(Raw!K866,9,2))+TIME(MID(Raw!K866,12,2),MID(Raw!K866,15,2),MID(Raw!K866,18,2))</f>
        <v>45902.5</v>
      </c>
      <c r="P866" s="32" t="n">
        <f aca="false">L866-K866</f>
        <v>2</v>
      </c>
      <c r="Q866" s="32" t="n">
        <f aca="false">M866-L866</f>
        <v>6</v>
      </c>
      <c r="R866" s="32" t="n">
        <f aca="false">O866-N866</f>
        <v>6.125</v>
      </c>
      <c r="S866" s="32" t="n">
        <f aca="false">Raw!L866</f>
        <v>0.5</v>
      </c>
      <c r="T866" s="32" t="n">
        <f aca="false">O866-M866</f>
        <v>0.5</v>
      </c>
      <c r="U866" s="0" t="str">
        <f aca="false">IF(ABS(T866-S866)&lt;0.01,"OK","MISMATCH")</f>
        <v>OK</v>
      </c>
      <c r="V866" s="33" t="n">
        <f aca="false">Raw!M866</f>
        <v>1</v>
      </c>
      <c r="W866" s="0" t="str">
        <f aca="false">IF((S866&gt;0)=(V866=1),"OK","MISMATCH")</f>
        <v>OK</v>
      </c>
      <c r="X866" s="0" t="str">
        <f aca="false">_xlfn.IFS(S866&lt;=0,"Early/On time",S866&lt;=2,"Minor (up to 2 days)",S866&lt;=5,"Moderate (2-5 days)",TRUE(),"Severe (over 5 days)")</f>
        <v>Minor (up to 2 days)</v>
      </c>
      <c r="Y866" s="0" t="str">
        <f aca="false">YEAR(K866)&amp;"-"&amp;TEXT(MONTH(K866),"00")</f>
        <v>2025-08</v>
      </c>
      <c r="Z866" s="0" t="str">
        <f aca="false">C866&amp;" → "&amp;D866</f>
        <v>Gujarat → Surat</v>
      </c>
      <c r="AA866" s="0" t="str">
        <f aca="false">Raw!Q866</f>
        <v>BlueDart</v>
      </c>
      <c r="AB866" s="0" t="str">
        <f aca="false">Raw!R866</f>
        <v>Yes</v>
      </c>
      <c r="AC866" s="0" t="str">
        <f aca="false">Raw!S866</f>
        <v>Returned</v>
      </c>
      <c r="AD866" s="29" t="n">
        <f aca="false">Raw!N866</f>
        <v>10263.04</v>
      </c>
      <c r="AE866" s="29" t="n">
        <f aca="false">Raw!O866</f>
        <v>4943.69</v>
      </c>
      <c r="AF866" s="29" t="n">
        <f aca="false">Raw!P866</f>
        <v>1139.96</v>
      </c>
      <c r="AG866" s="29" t="n">
        <f aca="false">AD866/J866</f>
        <v>613.084826762246</v>
      </c>
    </row>
    <row r="867" customFormat="false" ht="15" hidden="false" customHeight="false" outlineLevel="0" collapsed="false">
      <c r="A867" s="0" t="str">
        <f aca="false">Raw!A867</f>
        <v>SHP0866</v>
      </c>
      <c r="B867" s="0" t="str">
        <f aca="false">Raw!B867</f>
        <v>Outbound</v>
      </c>
      <c r="C867" s="0" t="str">
        <f aca="false">Raw!C867</f>
        <v>Surat</v>
      </c>
      <c r="D867" s="0" t="str">
        <f aca="false">Raw!D867</f>
        <v>Assam</v>
      </c>
      <c r="E867" s="0" t="str">
        <f aca="false">IFERROR(INDEX(Location_Map!$B$2:$B$15,MATCH(C867,Location_Map!$A$2:$A$15,0)),"UNMAPPED")</f>
        <v>Gujarat</v>
      </c>
      <c r="F867" s="0" t="str">
        <f aca="false">IFERROR(INDEX(Location_Map!$C$2:$C$15,MATCH(C867,Location_Map!$A$2:$A$15,0)),"UNMAPPED")</f>
        <v>West</v>
      </c>
      <c r="G867" s="0" t="str">
        <f aca="false">IFERROR(INDEX(Location_Map!$B$2:$B$15,MATCH(D867,Location_Map!$A$2:$A$15,0)),"UNMAPPED")</f>
        <v>Assam</v>
      </c>
      <c r="H867" s="0" t="str">
        <f aca="false">IFERROR(INDEX(Location_Map!$C$2:$C$15,MATCH(D867,Location_Map!$A$2:$A$15,0)),"UNMAPPED")</f>
        <v>North-East</v>
      </c>
      <c r="I867" s="0" t="str">
        <f aca="false">Raw!E867</f>
        <v>Semi-Processed Yarn</v>
      </c>
      <c r="J867" s="28" t="n">
        <f aca="false">Raw!F867</f>
        <v>17.34</v>
      </c>
      <c r="K867" s="30" t="n">
        <f aca="false">DATE(LEFT(Raw!G867,4),MID(Raw!G867,6,2),MID(Raw!G867,9,2))</f>
        <v>45941</v>
      </c>
      <c r="L867" s="30" t="n">
        <f aca="false">DATE(LEFT(Raw!H867,4),MID(Raw!H867,6,2),MID(Raw!H867,9,2))</f>
        <v>45945</v>
      </c>
      <c r="M867" s="30" t="n">
        <f aca="false">DATE(LEFT(Raw!I867,4),MID(Raw!I867,6,2),MID(Raw!I867,9,2))</f>
        <v>45949</v>
      </c>
      <c r="N867" s="31" t="n">
        <f aca="false">DATE(LEFT(Raw!J867,4),MID(Raw!J867,6,2),MID(Raw!J867,9,2))+TIME(MID(Raw!J867,12,2),MID(Raw!J867,15,2),MID(Raw!J867,18,2))</f>
        <v>45945.0416666667</v>
      </c>
      <c r="O867" s="31" t="n">
        <f aca="false">DATE(LEFT(Raw!K867,4),MID(Raw!K867,6,2),MID(Raw!K867,9,2))+TIME(MID(Raw!K867,12,2),MID(Raw!K867,15,2),MID(Raw!K867,18,2))</f>
        <v>45948</v>
      </c>
      <c r="P867" s="32" t="n">
        <f aca="false">L867-K867</f>
        <v>4</v>
      </c>
      <c r="Q867" s="32" t="n">
        <f aca="false">M867-L867</f>
        <v>4</v>
      </c>
      <c r="R867" s="32" t="n">
        <f aca="false">O867-N867</f>
        <v>2.95833333333333</v>
      </c>
      <c r="S867" s="32" t="n">
        <f aca="false">Raw!L867</f>
        <v>-1</v>
      </c>
      <c r="T867" s="32" t="n">
        <f aca="false">O867-M867</f>
        <v>-1</v>
      </c>
      <c r="U867" s="0" t="str">
        <f aca="false">IF(ABS(T867-S867)&lt;0.01,"OK","MISMATCH")</f>
        <v>OK</v>
      </c>
      <c r="V867" s="33" t="n">
        <f aca="false">Raw!M867</f>
        <v>0</v>
      </c>
      <c r="W867" s="0" t="str">
        <f aca="false">IF((S867&gt;0)=(V867=1),"OK","MISMATCH")</f>
        <v>OK</v>
      </c>
      <c r="X867" s="0" t="str">
        <f aca="false">_xlfn.IFS(S867&lt;=0,"Early/On time",S867&lt;=2,"Minor (up to 2 days)",S867&lt;=5,"Moderate (2-5 days)",TRUE(),"Severe (over 5 days)")</f>
        <v>Early/On time</v>
      </c>
      <c r="Y867" s="0" t="str">
        <f aca="false">YEAR(K867)&amp;"-"&amp;TEXT(MONTH(K867),"00")</f>
        <v>2025-10</v>
      </c>
      <c r="Z867" s="0" t="str">
        <f aca="false">C867&amp;" → "&amp;D867</f>
        <v>Surat → Assam</v>
      </c>
      <c r="AA867" s="0" t="str">
        <f aca="false">Raw!Q867</f>
        <v>VRL Cargo</v>
      </c>
      <c r="AB867" s="0" t="str">
        <f aca="false">Raw!R867</f>
        <v>No</v>
      </c>
      <c r="AC867" s="0" t="str">
        <f aca="false">Raw!S867</f>
        <v>Returned</v>
      </c>
      <c r="AD867" s="29" t="n">
        <f aca="false">Raw!N867</f>
        <v>4488.54</v>
      </c>
      <c r="AE867" s="29" t="n">
        <f aca="false">Raw!O867</f>
        <v>1236.89</v>
      </c>
      <c r="AF867" s="29" t="n">
        <f aca="false">Raw!P867</f>
        <v>605.4</v>
      </c>
      <c r="AG867" s="29" t="n">
        <f aca="false">AD867/J867</f>
        <v>258.854671280277</v>
      </c>
    </row>
    <row r="868" customFormat="false" ht="15" hidden="false" customHeight="false" outlineLevel="0" collapsed="false">
      <c r="A868" s="0" t="str">
        <f aca="false">Raw!A868</f>
        <v>SHP0867</v>
      </c>
      <c r="B868" s="0" t="str">
        <f aca="false">Raw!B868</f>
        <v>Outbound</v>
      </c>
      <c r="C868" s="0" t="str">
        <f aca="false">Raw!C868</f>
        <v>Surat</v>
      </c>
      <c r="D868" s="0" t="str">
        <f aca="false">Raw!D868</f>
        <v>West Bengal</v>
      </c>
      <c r="E868" s="0" t="str">
        <f aca="false">IFERROR(INDEX(Location_Map!$B$2:$B$15,MATCH(C868,Location_Map!$A$2:$A$15,0)),"UNMAPPED")</f>
        <v>Gujarat</v>
      </c>
      <c r="F868" s="0" t="str">
        <f aca="false">IFERROR(INDEX(Location_Map!$C$2:$C$15,MATCH(C868,Location_Map!$A$2:$A$15,0)),"UNMAPPED")</f>
        <v>West</v>
      </c>
      <c r="G868" s="0" t="str">
        <f aca="false">IFERROR(INDEX(Location_Map!$B$2:$B$15,MATCH(D868,Location_Map!$A$2:$A$15,0)),"UNMAPPED")</f>
        <v>West Bengal</v>
      </c>
      <c r="H868" s="0" t="str">
        <f aca="false">IFERROR(INDEX(Location_Map!$C$2:$C$15,MATCH(D868,Location_Map!$A$2:$A$15,0)),"UNMAPPED")</f>
        <v>East</v>
      </c>
      <c r="I868" s="0" t="str">
        <f aca="false">Raw!E868</f>
        <v>Semi-Processed Yarn</v>
      </c>
      <c r="J868" s="28" t="n">
        <f aca="false">Raw!F868</f>
        <v>4.51</v>
      </c>
      <c r="K868" s="30" t="n">
        <f aca="false">DATE(LEFT(Raw!G868,4),MID(Raw!G868,6,2),MID(Raw!G868,9,2))</f>
        <v>45760</v>
      </c>
      <c r="L868" s="30" t="n">
        <f aca="false">DATE(LEFT(Raw!H868,4),MID(Raw!H868,6,2),MID(Raw!H868,9,2))</f>
        <v>45763</v>
      </c>
      <c r="M868" s="30" t="n">
        <f aca="false">DATE(LEFT(Raw!I868,4),MID(Raw!I868,6,2),MID(Raw!I868,9,2))</f>
        <v>45769</v>
      </c>
      <c r="N868" s="31" t="n">
        <f aca="false">DATE(LEFT(Raw!J868,4),MID(Raw!J868,6,2),MID(Raw!J868,9,2))+TIME(MID(Raw!J868,12,2),MID(Raw!J868,15,2),MID(Raw!J868,18,2))</f>
        <v>45763.3333333333</v>
      </c>
      <c r="O868" s="31" t="n">
        <f aca="false">DATE(LEFT(Raw!K868,4),MID(Raw!K868,6,2),MID(Raw!K868,9,2))+TIME(MID(Raw!K868,12,2),MID(Raw!K868,15,2),MID(Raw!K868,18,2))</f>
        <v>45770.7</v>
      </c>
      <c r="P868" s="32" t="n">
        <f aca="false">L868-K868</f>
        <v>3</v>
      </c>
      <c r="Q868" s="32" t="n">
        <f aca="false">M868-L868</f>
        <v>6</v>
      </c>
      <c r="R868" s="32" t="n">
        <f aca="false">O868-N868</f>
        <v>7.36666666666667</v>
      </c>
      <c r="S868" s="32" t="n">
        <f aca="false">Raw!L868</f>
        <v>1.7</v>
      </c>
      <c r="T868" s="32" t="n">
        <f aca="false">O868-M868</f>
        <v>1.7</v>
      </c>
      <c r="U868" s="0" t="str">
        <f aca="false">IF(ABS(T868-S868)&lt;0.01,"OK","MISMATCH")</f>
        <v>OK</v>
      </c>
      <c r="V868" s="33" t="n">
        <f aca="false">Raw!M868</f>
        <v>1</v>
      </c>
      <c r="W868" s="0" t="str">
        <f aca="false">IF((S868&gt;0)=(V868=1),"OK","MISMATCH")</f>
        <v>OK</v>
      </c>
      <c r="X868" s="0" t="str">
        <f aca="false">_xlfn.IFS(S868&lt;=0,"Early/On time",S868&lt;=2,"Minor (up to 2 days)",S868&lt;=5,"Moderate (2-5 days)",TRUE(),"Severe (over 5 days)")</f>
        <v>Minor (up to 2 days)</v>
      </c>
      <c r="Y868" s="0" t="str">
        <f aca="false">YEAR(K868)&amp;"-"&amp;TEXT(MONTH(K868),"00")</f>
        <v>2025-04</v>
      </c>
      <c r="Z868" s="0" t="str">
        <f aca="false">C868&amp;" → "&amp;D868</f>
        <v>Surat → West Bengal</v>
      </c>
      <c r="AA868" s="0" t="str">
        <f aca="false">Raw!Q868</f>
        <v>VRL Cargo</v>
      </c>
      <c r="AB868" s="0" t="str">
        <f aca="false">Raw!R868</f>
        <v>Yes</v>
      </c>
      <c r="AC868" s="0" t="str">
        <f aca="false">Raw!S868</f>
        <v>Damaged</v>
      </c>
      <c r="AD868" s="29" t="n">
        <f aca="false">Raw!N868</f>
        <v>2355.95</v>
      </c>
      <c r="AE868" s="29" t="n">
        <f aca="false">Raw!O868</f>
        <v>1506.85</v>
      </c>
      <c r="AF868" s="29" t="n">
        <f aca="false">Raw!P868</f>
        <v>1066.3</v>
      </c>
      <c r="AG868" s="29" t="n">
        <f aca="false">AD868/J868</f>
        <v>522.383592017738</v>
      </c>
    </row>
    <row r="869" customFormat="false" ht="15" hidden="false" customHeight="false" outlineLevel="0" collapsed="false">
      <c r="A869" s="0" t="str">
        <f aca="false">Raw!A869</f>
        <v>SHP0868</v>
      </c>
      <c r="B869" s="0" t="str">
        <f aca="false">Raw!B869</f>
        <v>Inbound</v>
      </c>
      <c r="C869" s="0" t="str">
        <f aca="false">Raw!C869</f>
        <v>Chennai</v>
      </c>
      <c r="D869" s="0" t="str">
        <f aca="false">Raw!D869</f>
        <v>Surat</v>
      </c>
      <c r="E869" s="0" t="str">
        <f aca="false">IFERROR(INDEX(Location_Map!$B$2:$B$15,MATCH(C869,Location_Map!$A$2:$A$15,0)),"UNMAPPED")</f>
        <v>Tamil Nadu</v>
      </c>
      <c r="F869" s="0" t="str">
        <f aca="false">IFERROR(INDEX(Location_Map!$C$2:$C$15,MATCH(C869,Location_Map!$A$2:$A$15,0)),"UNMAPPED")</f>
        <v>South</v>
      </c>
      <c r="G869" s="0" t="str">
        <f aca="false">IFERROR(INDEX(Location_Map!$B$2:$B$15,MATCH(D869,Location_Map!$A$2:$A$15,0)),"UNMAPPED")</f>
        <v>Gujarat</v>
      </c>
      <c r="H869" s="0" t="str">
        <f aca="false">IFERROR(INDEX(Location_Map!$C$2:$C$15,MATCH(D869,Location_Map!$A$2:$A$15,0)),"UNMAPPED")</f>
        <v>West</v>
      </c>
      <c r="I869" s="0" t="str">
        <f aca="false">Raw!E869</f>
        <v>Semi-Processed Yarn</v>
      </c>
      <c r="J869" s="28" t="n">
        <f aca="false">Raw!F869</f>
        <v>8.57</v>
      </c>
      <c r="K869" s="30" t="n">
        <f aca="false">DATE(LEFT(Raw!G869,4),MID(Raw!G869,6,2),MID(Raw!G869,9,2))</f>
        <v>45743</v>
      </c>
      <c r="L869" s="30" t="n">
        <f aca="false">DATE(LEFT(Raw!H869,4),MID(Raw!H869,6,2),MID(Raw!H869,9,2))</f>
        <v>45744</v>
      </c>
      <c r="M869" s="30" t="n">
        <f aca="false">DATE(LEFT(Raw!I869,4),MID(Raw!I869,6,2),MID(Raw!I869,9,2))</f>
        <v>45746</v>
      </c>
      <c r="N869" s="31" t="n">
        <f aca="false">DATE(LEFT(Raw!J869,4),MID(Raw!J869,6,2),MID(Raw!J869,9,2))+TIME(MID(Raw!J869,12,2),MID(Raw!J869,15,2),MID(Raw!J869,18,2))</f>
        <v>45743.8333333333</v>
      </c>
      <c r="O869" s="31" t="n">
        <f aca="false">DATE(LEFT(Raw!K869,4),MID(Raw!K869,6,2),MID(Raw!K869,9,2))+TIME(MID(Raw!K869,12,2),MID(Raw!K869,15,2),MID(Raw!K869,18,2))</f>
        <v>45751.3</v>
      </c>
      <c r="P869" s="32" t="n">
        <f aca="false">L869-K869</f>
        <v>1</v>
      </c>
      <c r="Q869" s="32" t="n">
        <f aca="false">M869-L869</f>
        <v>2</v>
      </c>
      <c r="R869" s="32" t="n">
        <f aca="false">O869-N869</f>
        <v>7.46666666666667</v>
      </c>
      <c r="S869" s="32" t="n">
        <f aca="false">Raw!L869</f>
        <v>5.3</v>
      </c>
      <c r="T869" s="32" t="n">
        <f aca="false">O869-M869</f>
        <v>5.3</v>
      </c>
      <c r="U869" s="0" t="str">
        <f aca="false">IF(ABS(T869-S869)&lt;0.01,"OK","MISMATCH")</f>
        <v>OK</v>
      </c>
      <c r="V869" s="33" t="n">
        <f aca="false">Raw!M869</f>
        <v>1</v>
      </c>
      <c r="W869" s="0" t="str">
        <f aca="false">IF((S869&gt;0)=(V869=1),"OK","MISMATCH")</f>
        <v>OK</v>
      </c>
      <c r="X869" s="0" t="str">
        <f aca="false">_xlfn.IFS(S869&lt;=0,"Early/On time",S869&lt;=2,"Minor (up to 2 days)",S869&lt;=5,"Moderate (2-5 days)",TRUE(),"Severe (over 5 days)")</f>
        <v>Severe (over 5 days)</v>
      </c>
      <c r="Y869" s="0" t="str">
        <f aca="false">YEAR(K869)&amp;"-"&amp;TEXT(MONTH(K869),"00")</f>
        <v>2025-03</v>
      </c>
      <c r="Z869" s="0" t="str">
        <f aca="false">C869&amp;" → "&amp;D869</f>
        <v>Chennai → Surat</v>
      </c>
      <c r="AA869" s="0" t="str">
        <f aca="false">Raw!Q869</f>
        <v>GATI Logistics</v>
      </c>
      <c r="AB869" s="0" t="str">
        <f aca="false">Raw!R869</f>
        <v>No</v>
      </c>
      <c r="AC869" s="0" t="str">
        <f aca="false">Raw!S869</f>
        <v>Damaged</v>
      </c>
      <c r="AD869" s="29" t="n">
        <f aca="false">Raw!N869</f>
        <v>5145.52</v>
      </c>
      <c r="AE869" s="29" t="n">
        <f aca="false">Raw!O869</f>
        <v>1654.5</v>
      </c>
      <c r="AF869" s="29" t="n">
        <f aca="false">Raw!P869</f>
        <v>624.92</v>
      </c>
      <c r="AG869" s="29" t="n">
        <f aca="false">AD869/J869</f>
        <v>600.410735122521</v>
      </c>
    </row>
    <row r="870" customFormat="false" ht="15" hidden="false" customHeight="false" outlineLevel="0" collapsed="false">
      <c r="A870" s="0" t="str">
        <f aca="false">Raw!A870</f>
        <v>SHP0869</v>
      </c>
      <c r="B870" s="0" t="str">
        <f aca="false">Raw!B870</f>
        <v>Inbound</v>
      </c>
      <c r="C870" s="0" t="str">
        <f aca="false">Raw!C870</f>
        <v>Uttar Pradesh</v>
      </c>
      <c r="D870" s="0" t="str">
        <f aca="false">Raw!D870</f>
        <v>Surat</v>
      </c>
      <c r="E870" s="0" t="str">
        <f aca="false">IFERROR(INDEX(Location_Map!$B$2:$B$15,MATCH(C870,Location_Map!$A$2:$A$15,0)),"UNMAPPED")</f>
        <v>Uttar Pradesh</v>
      </c>
      <c r="F870" s="0" t="str">
        <f aca="false">IFERROR(INDEX(Location_Map!$C$2:$C$15,MATCH(C870,Location_Map!$A$2:$A$15,0)),"UNMAPPED")</f>
        <v>North</v>
      </c>
      <c r="G870" s="0" t="str">
        <f aca="false">IFERROR(INDEX(Location_Map!$B$2:$B$15,MATCH(D870,Location_Map!$A$2:$A$15,0)),"UNMAPPED")</f>
        <v>Gujarat</v>
      </c>
      <c r="H870" s="0" t="str">
        <f aca="false">IFERROR(INDEX(Location_Map!$C$2:$C$15,MATCH(D870,Location_Map!$A$2:$A$15,0)),"UNMAPPED")</f>
        <v>West</v>
      </c>
      <c r="I870" s="0" t="str">
        <f aca="false">Raw!E870</f>
        <v>Finished Yarn</v>
      </c>
      <c r="J870" s="28" t="n">
        <f aca="false">Raw!F870</f>
        <v>1.51</v>
      </c>
      <c r="K870" s="30" t="n">
        <f aca="false">DATE(LEFT(Raw!G870,4),MID(Raw!G870,6,2),MID(Raw!G870,9,2))</f>
        <v>45661</v>
      </c>
      <c r="L870" s="30" t="n">
        <f aca="false">DATE(LEFT(Raw!H870,4),MID(Raw!H870,6,2),MID(Raw!H870,9,2))</f>
        <v>45665</v>
      </c>
      <c r="M870" s="30" t="n">
        <f aca="false">DATE(LEFT(Raw!I870,4),MID(Raw!I870,6,2),MID(Raw!I870,9,2))</f>
        <v>45670</v>
      </c>
      <c r="N870" s="31" t="n">
        <f aca="false">DATE(LEFT(Raw!J870,4),MID(Raw!J870,6,2),MID(Raw!J870,9,2))+TIME(MID(Raw!J870,12,2),MID(Raw!J870,15,2),MID(Raw!J870,18,2))</f>
        <v>45664.9166666667</v>
      </c>
      <c r="O870" s="31" t="n">
        <f aca="false">DATE(LEFT(Raw!K870,4),MID(Raw!K870,6,2),MID(Raw!K870,9,2))+TIME(MID(Raw!K870,12,2),MID(Raw!K870,15,2),MID(Raw!K870,18,2))</f>
        <v>45673.6</v>
      </c>
      <c r="P870" s="32" t="n">
        <f aca="false">L870-K870</f>
        <v>4</v>
      </c>
      <c r="Q870" s="32" t="n">
        <f aca="false">M870-L870</f>
        <v>5</v>
      </c>
      <c r="R870" s="32" t="n">
        <f aca="false">O870-N870</f>
        <v>8.68333333333333</v>
      </c>
      <c r="S870" s="32" t="n">
        <f aca="false">Raw!L870</f>
        <v>3.6</v>
      </c>
      <c r="T870" s="32" t="n">
        <f aca="false">O870-M870</f>
        <v>3.6</v>
      </c>
      <c r="U870" s="0" t="str">
        <f aca="false">IF(ABS(T870-S870)&lt;0.01,"OK","MISMATCH")</f>
        <v>OK</v>
      </c>
      <c r="V870" s="33" t="n">
        <f aca="false">Raw!M870</f>
        <v>1</v>
      </c>
      <c r="W870" s="0" t="str">
        <f aca="false">IF((S870&gt;0)=(V870=1),"OK","MISMATCH")</f>
        <v>OK</v>
      </c>
      <c r="X870" s="0" t="str">
        <f aca="false">_xlfn.IFS(S870&lt;=0,"Early/On time",S870&lt;=2,"Minor (up to 2 days)",S870&lt;=5,"Moderate (2-5 days)",TRUE(),"Severe (over 5 days)")</f>
        <v>Moderate (2-5 days)</v>
      </c>
      <c r="Y870" s="0" t="str">
        <f aca="false">YEAR(K870)&amp;"-"&amp;TEXT(MONTH(K870),"00")</f>
        <v>2025-01</v>
      </c>
      <c r="Z870" s="0" t="str">
        <f aca="false">C870&amp;" → "&amp;D870</f>
        <v>Uttar Pradesh → Surat</v>
      </c>
      <c r="AA870" s="0" t="str">
        <f aca="false">Raw!Q870</f>
        <v>TCI Express</v>
      </c>
      <c r="AB870" s="0" t="str">
        <f aca="false">Raw!R870</f>
        <v>Yes</v>
      </c>
      <c r="AC870" s="0" t="str">
        <f aca="false">Raw!S870</f>
        <v>Returned</v>
      </c>
      <c r="AD870" s="29" t="n">
        <f aca="false">Raw!N870</f>
        <v>1998.57</v>
      </c>
      <c r="AE870" s="29" t="n">
        <f aca="false">Raw!O870</f>
        <v>1789.26</v>
      </c>
      <c r="AF870" s="29" t="n">
        <f aca="false">Raw!P870</f>
        <v>817.26</v>
      </c>
      <c r="AG870" s="29" t="n">
        <f aca="false">AD870/J870</f>
        <v>1323.55629139073</v>
      </c>
    </row>
    <row r="871" customFormat="false" ht="15" hidden="false" customHeight="false" outlineLevel="0" collapsed="false">
      <c r="A871" s="0" t="str">
        <f aca="false">Raw!A871</f>
        <v>SHP0870</v>
      </c>
      <c r="B871" s="0" t="str">
        <f aca="false">Raw!B871</f>
        <v>Inbound</v>
      </c>
      <c r="C871" s="0" t="str">
        <f aca="false">Raw!C871</f>
        <v>Punjab</v>
      </c>
      <c r="D871" s="0" t="str">
        <f aca="false">Raw!D871</f>
        <v>Surat</v>
      </c>
      <c r="E871" s="0" t="str">
        <f aca="false">IFERROR(INDEX(Location_Map!$B$2:$B$15,MATCH(C871,Location_Map!$A$2:$A$15,0)),"UNMAPPED")</f>
        <v>Punjab</v>
      </c>
      <c r="F871" s="0" t="str">
        <f aca="false">IFERROR(INDEX(Location_Map!$C$2:$C$15,MATCH(C871,Location_Map!$A$2:$A$15,0)),"UNMAPPED")</f>
        <v>North</v>
      </c>
      <c r="G871" s="0" t="str">
        <f aca="false">IFERROR(INDEX(Location_Map!$B$2:$B$15,MATCH(D871,Location_Map!$A$2:$A$15,0)),"UNMAPPED")</f>
        <v>Gujarat</v>
      </c>
      <c r="H871" s="0" t="str">
        <f aca="false">IFERROR(INDEX(Location_Map!$C$2:$C$15,MATCH(D871,Location_Map!$A$2:$A$15,0)),"UNMAPPED")</f>
        <v>West</v>
      </c>
      <c r="I871" s="0" t="str">
        <f aca="false">Raw!E871</f>
        <v>Semi-Processed Yarn</v>
      </c>
      <c r="J871" s="28" t="n">
        <f aca="false">Raw!F871</f>
        <v>6.36</v>
      </c>
      <c r="K871" s="30" t="n">
        <f aca="false">DATE(LEFT(Raw!G871,4),MID(Raw!G871,6,2),MID(Raw!G871,9,2))</f>
        <v>45817</v>
      </c>
      <c r="L871" s="30" t="n">
        <f aca="false">DATE(LEFT(Raw!H871,4),MID(Raw!H871,6,2),MID(Raw!H871,9,2))</f>
        <v>45818</v>
      </c>
      <c r="M871" s="30" t="n">
        <f aca="false">DATE(LEFT(Raw!I871,4),MID(Raw!I871,6,2),MID(Raw!I871,9,2))</f>
        <v>45820</v>
      </c>
      <c r="N871" s="31" t="n">
        <f aca="false">DATE(LEFT(Raw!J871,4),MID(Raw!J871,6,2),MID(Raw!J871,9,2))+TIME(MID(Raw!J871,12,2),MID(Raw!J871,15,2),MID(Raw!J871,18,2))</f>
        <v>45818.125</v>
      </c>
      <c r="O871" s="31" t="n">
        <f aca="false">DATE(LEFT(Raw!K871,4),MID(Raw!K871,6,2),MID(Raw!K871,9,2))+TIME(MID(Raw!K871,12,2),MID(Raw!K871,15,2),MID(Raw!K871,18,2))</f>
        <v>45821.8</v>
      </c>
      <c r="P871" s="32" t="n">
        <f aca="false">L871-K871</f>
        <v>1</v>
      </c>
      <c r="Q871" s="32" t="n">
        <f aca="false">M871-L871</f>
        <v>2</v>
      </c>
      <c r="R871" s="32" t="n">
        <f aca="false">O871-N871</f>
        <v>3.675</v>
      </c>
      <c r="S871" s="32" t="n">
        <f aca="false">Raw!L871</f>
        <v>1.8</v>
      </c>
      <c r="T871" s="32" t="n">
        <f aca="false">O871-M871</f>
        <v>1.8</v>
      </c>
      <c r="U871" s="0" t="str">
        <f aca="false">IF(ABS(T871-S871)&lt;0.01,"OK","MISMATCH")</f>
        <v>OK</v>
      </c>
      <c r="V871" s="33" t="n">
        <f aca="false">Raw!M871</f>
        <v>1</v>
      </c>
      <c r="W871" s="0" t="str">
        <f aca="false">IF((S871&gt;0)=(V871=1),"OK","MISMATCH")</f>
        <v>OK</v>
      </c>
      <c r="X871" s="0" t="str">
        <f aca="false">_xlfn.IFS(S871&lt;=0,"Early/On time",S871&lt;=2,"Minor (up to 2 days)",S871&lt;=5,"Moderate (2-5 days)",TRUE(),"Severe (over 5 days)")</f>
        <v>Minor (up to 2 days)</v>
      </c>
      <c r="Y871" s="0" t="str">
        <f aca="false">YEAR(K871)&amp;"-"&amp;TEXT(MONTH(K871),"00")</f>
        <v>2025-06</v>
      </c>
      <c r="Z871" s="0" t="str">
        <f aca="false">C871&amp;" → "&amp;D871</f>
        <v>Punjab → Surat</v>
      </c>
      <c r="AA871" s="0" t="str">
        <f aca="false">Raw!Q871</f>
        <v>TCI Express</v>
      </c>
      <c r="AB871" s="0" t="str">
        <f aca="false">Raw!R871</f>
        <v>No</v>
      </c>
      <c r="AC871" s="0" t="str">
        <f aca="false">Raw!S871</f>
        <v>Returned</v>
      </c>
      <c r="AD871" s="29" t="n">
        <f aca="false">Raw!N871</f>
        <v>3412.92</v>
      </c>
      <c r="AE871" s="29" t="n">
        <f aca="false">Raw!O871</f>
        <v>1933.59</v>
      </c>
      <c r="AF871" s="29" t="n">
        <f aca="false">Raw!P871</f>
        <v>953.37</v>
      </c>
      <c r="AG871" s="29" t="n">
        <f aca="false">AD871/J871</f>
        <v>536.622641509434</v>
      </c>
    </row>
    <row r="872" customFormat="false" ht="15" hidden="false" customHeight="false" outlineLevel="0" collapsed="false">
      <c r="A872" s="0" t="str">
        <f aca="false">Raw!A872</f>
        <v>SHP0871</v>
      </c>
      <c r="B872" s="0" t="str">
        <f aca="false">Raw!B872</f>
        <v>Outbound</v>
      </c>
      <c r="C872" s="0" t="str">
        <f aca="false">Raw!C872</f>
        <v>Surat</v>
      </c>
      <c r="D872" s="0" t="str">
        <f aca="false">Raw!D872</f>
        <v>Uttarakhand</v>
      </c>
      <c r="E872" s="0" t="str">
        <f aca="false">IFERROR(INDEX(Location_Map!$B$2:$B$15,MATCH(C872,Location_Map!$A$2:$A$15,0)),"UNMAPPED")</f>
        <v>Gujarat</v>
      </c>
      <c r="F872" s="0" t="str">
        <f aca="false">IFERROR(INDEX(Location_Map!$C$2:$C$15,MATCH(C872,Location_Map!$A$2:$A$15,0)),"UNMAPPED")</f>
        <v>West</v>
      </c>
      <c r="G872" s="0" t="str">
        <f aca="false">IFERROR(INDEX(Location_Map!$B$2:$B$15,MATCH(D872,Location_Map!$A$2:$A$15,0)),"UNMAPPED")</f>
        <v>Uttarakhand</v>
      </c>
      <c r="H872" s="0" t="str">
        <f aca="false">IFERROR(INDEX(Location_Map!$C$2:$C$15,MATCH(D872,Location_Map!$A$2:$A$15,0)),"UNMAPPED")</f>
        <v>North</v>
      </c>
      <c r="I872" s="0" t="str">
        <f aca="false">Raw!E872</f>
        <v>Raw Yarn</v>
      </c>
      <c r="J872" s="28" t="n">
        <f aca="false">Raw!F872</f>
        <v>10.83</v>
      </c>
      <c r="K872" s="30" t="n">
        <f aca="false">DATE(LEFT(Raw!G872,4),MID(Raw!G872,6,2),MID(Raw!G872,9,2))</f>
        <v>45887</v>
      </c>
      <c r="L872" s="30" t="n">
        <f aca="false">DATE(LEFT(Raw!H872,4),MID(Raw!H872,6,2),MID(Raw!H872,9,2))</f>
        <v>45889</v>
      </c>
      <c r="M872" s="30" t="n">
        <f aca="false">DATE(LEFT(Raw!I872,4),MID(Raw!I872,6,2),MID(Raw!I872,9,2))</f>
        <v>45894</v>
      </c>
      <c r="N872" s="31" t="n">
        <f aca="false">DATE(LEFT(Raw!J872,4),MID(Raw!J872,6,2),MID(Raw!J872,9,2))+TIME(MID(Raw!J872,12,2),MID(Raw!J872,15,2),MID(Raw!J872,18,2))</f>
        <v>45888.875</v>
      </c>
      <c r="O872" s="31" t="n">
        <f aca="false">DATE(LEFT(Raw!K872,4),MID(Raw!K872,6,2),MID(Raw!K872,9,2))+TIME(MID(Raw!K872,12,2),MID(Raw!K872,15,2),MID(Raw!K872,18,2))</f>
        <v>45895.5</v>
      </c>
      <c r="P872" s="32" t="n">
        <f aca="false">L872-K872</f>
        <v>2</v>
      </c>
      <c r="Q872" s="32" t="n">
        <f aca="false">M872-L872</f>
        <v>5</v>
      </c>
      <c r="R872" s="32" t="n">
        <f aca="false">O872-N872</f>
        <v>6.625</v>
      </c>
      <c r="S872" s="32" t="n">
        <f aca="false">Raw!L872</f>
        <v>1.5</v>
      </c>
      <c r="T872" s="32" t="n">
        <f aca="false">O872-M872</f>
        <v>1.5</v>
      </c>
      <c r="U872" s="0" t="str">
        <f aca="false">IF(ABS(T872-S872)&lt;0.01,"OK","MISMATCH")</f>
        <v>OK</v>
      </c>
      <c r="V872" s="33" t="n">
        <f aca="false">Raw!M872</f>
        <v>1</v>
      </c>
      <c r="W872" s="0" t="str">
        <f aca="false">IF((S872&gt;0)=(V872=1),"OK","MISMATCH")</f>
        <v>OK</v>
      </c>
      <c r="X872" s="0" t="str">
        <f aca="false">_xlfn.IFS(S872&lt;=0,"Early/On time",S872&lt;=2,"Minor (up to 2 days)",S872&lt;=5,"Moderate (2-5 days)",TRUE(),"Severe (over 5 days)")</f>
        <v>Minor (up to 2 days)</v>
      </c>
      <c r="Y872" s="0" t="str">
        <f aca="false">YEAR(K872)&amp;"-"&amp;TEXT(MONTH(K872),"00")</f>
        <v>2025-08</v>
      </c>
      <c r="Z872" s="0" t="str">
        <f aca="false">C872&amp;" → "&amp;D872</f>
        <v>Surat → Uttarakhand</v>
      </c>
      <c r="AA872" s="0" t="str">
        <f aca="false">Raw!Q872</f>
        <v>GATI Logistics</v>
      </c>
      <c r="AB872" s="0" t="str">
        <f aca="false">Raw!R872</f>
        <v>Yes</v>
      </c>
      <c r="AC872" s="0" t="str">
        <f aca="false">Raw!S872</f>
        <v>Damaged</v>
      </c>
      <c r="AD872" s="29" t="n">
        <f aca="false">Raw!N872</f>
        <v>4063.08</v>
      </c>
      <c r="AE872" s="29" t="n">
        <f aca="false">Raw!O872</f>
        <v>2587.56</v>
      </c>
      <c r="AF872" s="29" t="n">
        <f aca="false">Raw!P872</f>
        <v>1243.54</v>
      </c>
      <c r="AG872" s="29" t="n">
        <f aca="false">AD872/J872</f>
        <v>375.168975069252</v>
      </c>
    </row>
    <row r="873" customFormat="false" ht="15" hidden="false" customHeight="false" outlineLevel="0" collapsed="false">
      <c r="A873" s="0" t="str">
        <f aca="false">Raw!A873</f>
        <v>SHP0872</v>
      </c>
      <c r="B873" s="0" t="str">
        <f aca="false">Raw!B873</f>
        <v>Inbound</v>
      </c>
      <c r="C873" s="0" t="str">
        <f aca="false">Raw!C873</f>
        <v>Punjab</v>
      </c>
      <c r="D873" s="0" t="str">
        <f aca="false">Raw!D873</f>
        <v>Surat</v>
      </c>
      <c r="E873" s="0" t="str">
        <f aca="false">IFERROR(INDEX(Location_Map!$B$2:$B$15,MATCH(C873,Location_Map!$A$2:$A$15,0)),"UNMAPPED")</f>
        <v>Punjab</v>
      </c>
      <c r="F873" s="0" t="str">
        <f aca="false">IFERROR(INDEX(Location_Map!$C$2:$C$15,MATCH(C873,Location_Map!$A$2:$A$15,0)),"UNMAPPED")</f>
        <v>North</v>
      </c>
      <c r="G873" s="0" t="str">
        <f aca="false">IFERROR(INDEX(Location_Map!$B$2:$B$15,MATCH(D873,Location_Map!$A$2:$A$15,0)),"UNMAPPED")</f>
        <v>Gujarat</v>
      </c>
      <c r="H873" s="0" t="str">
        <f aca="false">IFERROR(INDEX(Location_Map!$C$2:$C$15,MATCH(D873,Location_Map!$A$2:$A$15,0)),"UNMAPPED")</f>
        <v>West</v>
      </c>
      <c r="I873" s="0" t="str">
        <f aca="false">Raw!E873</f>
        <v>Finished Yarn</v>
      </c>
      <c r="J873" s="28" t="n">
        <f aca="false">Raw!F873</f>
        <v>12.03</v>
      </c>
      <c r="K873" s="30" t="n">
        <f aca="false">DATE(LEFT(Raw!G873,4),MID(Raw!G873,6,2),MID(Raw!G873,9,2))</f>
        <v>45774</v>
      </c>
      <c r="L873" s="30" t="n">
        <f aca="false">DATE(LEFT(Raw!H873,4),MID(Raw!H873,6,2),MID(Raw!H873,9,2))</f>
        <v>45775</v>
      </c>
      <c r="M873" s="30" t="n">
        <f aca="false">DATE(LEFT(Raw!I873,4),MID(Raw!I873,6,2),MID(Raw!I873,9,2))</f>
        <v>45779</v>
      </c>
      <c r="N873" s="31" t="n">
        <f aca="false">DATE(LEFT(Raw!J873,4),MID(Raw!J873,6,2),MID(Raw!J873,9,2))+TIME(MID(Raw!J873,12,2),MID(Raw!J873,15,2),MID(Raw!J873,18,2))</f>
        <v>45775.0833333333</v>
      </c>
      <c r="O873" s="31" t="n">
        <f aca="false">DATE(LEFT(Raw!K873,4),MID(Raw!K873,6,2),MID(Raw!K873,9,2))+TIME(MID(Raw!K873,12,2),MID(Raw!K873,15,2),MID(Raw!K873,18,2))</f>
        <v>45784.3</v>
      </c>
      <c r="P873" s="32" t="n">
        <f aca="false">L873-K873</f>
        <v>1</v>
      </c>
      <c r="Q873" s="32" t="n">
        <f aca="false">M873-L873</f>
        <v>4</v>
      </c>
      <c r="R873" s="32" t="n">
        <f aca="false">O873-N873</f>
        <v>9.21666666666667</v>
      </c>
      <c r="S873" s="32" t="n">
        <f aca="false">Raw!L873</f>
        <v>5.3</v>
      </c>
      <c r="T873" s="32" t="n">
        <f aca="false">O873-M873</f>
        <v>5.3</v>
      </c>
      <c r="U873" s="0" t="str">
        <f aca="false">IF(ABS(T873-S873)&lt;0.01,"OK","MISMATCH")</f>
        <v>OK</v>
      </c>
      <c r="V873" s="33" t="n">
        <f aca="false">Raw!M873</f>
        <v>1</v>
      </c>
      <c r="W873" s="0" t="str">
        <f aca="false">IF((S873&gt;0)=(V873=1),"OK","MISMATCH")</f>
        <v>OK</v>
      </c>
      <c r="X873" s="0" t="str">
        <f aca="false">_xlfn.IFS(S873&lt;=0,"Early/On time",S873&lt;=2,"Minor (up to 2 days)",S873&lt;=5,"Moderate (2-5 days)",TRUE(),"Severe (over 5 days)")</f>
        <v>Severe (over 5 days)</v>
      </c>
      <c r="Y873" s="0" t="str">
        <f aca="false">YEAR(K873)&amp;"-"&amp;TEXT(MONTH(K873),"00")</f>
        <v>2025-04</v>
      </c>
      <c r="Z873" s="0" t="str">
        <f aca="false">C873&amp;" → "&amp;D873</f>
        <v>Punjab → Surat</v>
      </c>
      <c r="AA873" s="0" t="str">
        <f aca="false">Raw!Q873</f>
        <v>BlueDart</v>
      </c>
      <c r="AB873" s="0" t="str">
        <f aca="false">Raw!R873</f>
        <v>No</v>
      </c>
      <c r="AC873" s="0" t="str">
        <f aca="false">Raw!S873</f>
        <v>Normal</v>
      </c>
      <c r="AD873" s="29" t="n">
        <f aca="false">Raw!N873</f>
        <v>6011.58</v>
      </c>
      <c r="AE873" s="29" t="n">
        <f aca="false">Raw!O873</f>
        <v>3059.71</v>
      </c>
      <c r="AF873" s="29" t="n">
        <f aca="false">Raw!P873</f>
        <v>670.68</v>
      </c>
      <c r="AG873" s="29" t="n">
        <f aca="false">AD873/J873</f>
        <v>499.715710723192</v>
      </c>
    </row>
    <row r="874" customFormat="false" ht="15" hidden="false" customHeight="false" outlineLevel="0" collapsed="false">
      <c r="A874" s="0" t="str">
        <f aca="false">Raw!A874</f>
        <v>SHP0873</v>
      </c>
      <c r="B874" s="0" t="str">
        <f aca="false">Raw!B874</f>
        <v>Outbound</v>
      </c>
      <c r="C874" s="0" t="str">
        <f aca="false">Raw!C874</f>
        <v>Surat</v>
      </c>
      <c r="D874" s="0" t="str">
        <f aca="false">Raw!D874</f>
        <v>Uttarakhand</v>
      </c>
      <c r="E874" s="0" t="str">
        <f aca="false">IFERROR(INDEX(Location_Map!$B$2:$B$15,MATCH(C874,Location_Map!$A$2:$A$15,0)),"UNMAPPED")</f>
        <v>Gujarat</v>
      </c>
      <c r="F874" s="0" t="str">
        <f aca="false">IFERROR(INDEX(Location_Map!$C$2:$C$15,MATCH(C874,Location_Map!$A$2:$A$15,0)),"UNMAPPED")</f>
        <v>West</v>
      </c>
      <c r="G874" s="0" t="str">
        <f aca="false">IFERROR(INDEX(Location_Map!$B$2:$B$15,MATCH(D874,Location_Map!$A$2:$A$15,0)),"UNMAPPED")</f>
        <v>Uttarakhand</v>
      </c>
      <c r="H874" s="0" t="str">
        <f aca="false">IFERROR(INDEX(Location_Map!$C$2:$C$15,MATCH(D874,Location_Map!$A$2:$A$15,0)),"UNMAPPED")</f>
        <v>North</v>
      </c>
      <c r="I874" s="0" t="str">
        <f aca="false">Raw!E874</f>
        <v>Semi-Processed Yarn</v>
      </c>
      <c r="J874" s="28" t="n">
        <f aca="false">Raw!F874</f>
        <v>13.6</v>
      </c>
      <c r="K874" s="30" t="n">
        <f aca="false">DATE(LEFT(Raw!G874,4),MID(Raw!G874,6,2),MID(Raw!G874,9,2))</f>
        <v>45913</v>
      </c>
      <c r="L874" s="30" t="n">
        <f aca="false">DATE(LEFT(Raw!H874,4),MID(Raw!H874,6,2),MID(Raw!H874,9,2))</f>
        <v>45915</v>
      </c>
      <c r="M874" s="30" t="n">
        <f aca="false">DATE(LEFT(Raw!I874,4),MID(Raw!I874,6,2),MID(Raw!I874,9,2))</f>
        <v>45920</v>
      </c>
      <c r="N874" s="31" t="n">
        <f aca="false">DATE(LEFT(Raw!J874,4),MID(Raw!J874,6,2),MID(Raw!J874,9,2))+TIME(MID(Raw!J874,12,2),MID(Raw!J874,15,2),MID(Raw!J874,18,2))</f>
        <v>45915.2916666667</v>
      </c>
      <c r="O874" s="31" t="n">
        <f aca="false">DATE(LEFT(Raw!K874,4),MID(Raw!K874,6,2),MID(Raw!K874,9,2))+TIME(MID(Raw!K874,12,2),MID(Raw!K874,15,2),MID(Raw!K874,18,2))</f>
        <v>45925.7</v>
      </c>
      <c r="P874" s="32" t="n">
        <f aca="false">L874-K874</f>
        <v>2</v>
      </c>
      <c r="Q874" s="32" t="n">
        <f aca="false">M874-L874</f>
        <v>5</v>
      </c>
      <c r="R874" s="32" t="n">
        <f aca="false">O874-N874</f>
        <v>10.4083333333333</v>
      </c>
      <c r="S874" s="32" t="n">
        <f aca="false">Raw!L874</f>
        <v>5.7</v>
      </c>
      <c r="T874" s="32" t="n">
        <f aca="false">O874-M874</f>
        <v>5.7</v>
      </c>
      <c r="U874" s="0" t="str">
        <f aca="false">IF(ABS(T874-S874)&lt;0.01,"OK","MISMATCH")</f>
        <v>OK</v>
      </c>
      <c r="V874" s="33" t="n">
        <f aca="false">Raw!M874</f>
        <v>1</v>
      </c>
      <c r="W874" s="0" t="str">
        <f aca="false">IF((S874&gt;0)=(V874=1),"OK","MISMATCH")</f>
        <v>OK</v>
      </c>
      <c r="X874" s="0" t="str">
        <f aca="false">_xlfn.IFS(S874&lt;=0,"Early/On time",S874&lt;=2,"Minor (up to 2 days)",S874&lt;=5,"Moderate (2-5 days)",TRUE(),"Severe (over 5 days)")</f>
        <v>Severe (over 5 days)</v>
      </c>
      <c r="Y874" s="0" t="str">
        <f aca="false">YEAR(K874)&amp;"-"&amp;TEXT(MONTH(K874),"00")</f>
        <v>2025-09</v>
      </c>
      <c r="Z874" s="0" t="str">
        <f aca="false">C874&amp;" → "&amp;D874</f>
        <v>Surat → Uttarakhand</v>
      </c>
      <c r="AA874" s="0" t="str">
        <f aca="false">Raw!Q874</f>
        <v>VRL Cargo</v>
      </c>
      <c r="AB874" s="0" t="str">
        <f aca="false">Raw!R874</f>
        <v>Yes</v>
      </c>
      <c r="AC874" s="0" t="str">
        <f aca="false">Raw!S874</f>
        <v>Returned</v>
      </c>
      <c r="AD874" s="29" t="n">
        <f aca="false">Raw!N874</f>
        <v>5306.38</v>
      </c>
      <c r="AE874" s="29" t="n">
        <f aca="false">Raw!O874</f>
        <v>3424.06</v>
      </c>
      <c r="AF874" s="29" t="n">
        <f aca="false">Raw!P874</f>
        <v>589.63</v>
      </c>
      <c r="AG874" s="29" t="n">
        <f aca="false">AD874/J874</f>
        <v>390.175</v>
      </c>
    </row>
    <row r="875" customFormat="false" ht="15" hidden="false" customHeight="false" outlineLevel="0" collapsed="false">
      <c r="A875" s="0" t="str">
        <f aca="false">Raw!A875</f>
        <v>SHP0874</v>
      </c>
      <c r="B875" s="0" t="str">
        <f aca="false">Raw!B875</f>
        <v>Outbound</v>
      </c>
      <c r="C875" s="0" t="str">
        <f aca="false">Raw!C875</f>
        <v>Surat</v>
      </c>
      <c r="D875" s="0" t="str">
        <f aca="false">Raw!D875</f>
        <v>Gujarat</v>
      </c>
      <c r="E875" s="0" t="str">
        <f aca="false">IFERROR(INDEX(Location_Map!$B$2:$B$15,MATCH(C875,Location_Map!$A$2:$A$15,0)),"UNMAPPED")</f>
        <v>Gujarat</v>
      </c>
      <c r="F875" s="0" t="str">
        <f aca="false">IFERROR(INDEX(Location_Map!$C$2:$C$15,MATCH(C875,Location_Map!$A$2:$A$15,0)),"UNMAPPED")</f>
        <v>West</v>
      </c>
      <c r="G875" s="0" t="str">
        <f aca="false">IFERROR(INDEX(Location_Map!$B$2:$B$15,MATCH(D875,Location_Map!$A$2:$A$15,0)),"UNMAPPED")</f>
        <v>Gujarat</v>
      </c>
      <c r="H875" s="0" t="str">
        <f aca="false">IFERROR(INDEX(Location_Map!$C$2:$C$15,MATCH(D875,Location_Map!$A$2:$A$15,0)),"UNMAPPED")</f>
        <v>West</v>
      </c>
      <c r="I875" s="0" t="str">
        <f aca="false">Raw!E875</f>
        <v>Semi-Processed Yarn</v>
      </c>
      <c r="J875" s="28" t="n">
        <f aca="false">Raw!F875</f>
        <v>19.23</v>
      </c>
      <c r="K875" s="30" t="n">
        <f aca="false">DATE(LEFT(Raw!G875,4),MID(Raw!G875,6,2),MID(Raw!G875,9,2))</f>
        <v>45872</v>
      </c>
      <c r="L875" s="30" t="n">
        <f aca="false">DATE(LEFT(Raw!H875,4),MID(Raw!H875,6,2),MID(Raw!H875,9,2))</f>
        <v>45876</v>
      </c>
      <c r="M875" s="30" t="n">
        <f aca="false">DATE(LEFT(Raw!I875,4),MID(Raw!I875,6,2),MID(Raw!I875,9,2))</f>
        <v>45880</v>
      </c>
      <c r="N875" s="31" t="n">
        <f aca="false">DATE(LEFT(Raw!J875,4),MID(Raw!J875,6,2),MID(Raw!J875,9,2))+TIME(MID(Raw!J875,12,2),MID(Raw!J875,15,2),MID(Raw!J875,18,2))</f>
        <v>45875.9166666667</v>
      </c>
      <c r="O875" s="31" t="n">
        <f aca="false">DATE(LEFT(Raw!K875,4),MID(Raw!K875,6,2),MID(Raw!K875,9,2))+TIME(MID(Raw!K875,12,2),MID(Raw!K875,15,2),MID(Raw!K875,18,2))</f>
        <v>45885.1</v>
      </c>
      <c r="P875" s="32" t="n">
        <f aca="false">L875-K875</f>
        <v>4</v>
      </c>
      <c r="Q875" s="32" t="n">
        <f aca="false">M875-L875</f>
        <v>4</v>
      </c>
      <c r="R875" s="32" t="n">
        <f aca="false">O875-N875</f>
        <v>9.18333333333333</v>
      </c>
      <c r="S875" s="32" t="n">
        <f aca="false">Raw!L875</f>
        <v>5.1</v>
      </c>
      <c r="T875" s="32" t="n">
        <f aca="false">O875-M875</f>
        <v>5.1</v>
      </c>
      <c r="U875" s="0" t="str">
        <f aca="false">IF(ABS(T875-S875)&lt;0.01,"OK","MISMATCH")</f>
        <v>OK</v>
      </c>
      <c r="V875" s="33" t="n">
        <f aca="false">Raw!M875</f>
        <v>1</v>
      </c>
      <c r="W875" s="0" t="str">
        <f aca="false">IF((S875&gt;0)=(V875=1),"OK","MISMATCH")</f>
        <v>OK</v>
      </c>
      <c r="X875" s="0" t="str">
        <f aca="false">_xlfn.IFS(S875&lt;=0,"Early/On time",S875&lt;=2,"Minor (up to 2 days)",S875&lt;=5,"Moderate (2-5 days)",TRUE(),"Severe (over 5 days)")</f>
        <v>Severe (over 5 days)</v>
      </c>
      <c r="Y875" s="0" t="str">
        <f aca="false">YEAR(K875)&amp;"-"&amp;TEXT(MONTH(K875),"00")</f>
        <v>2025-08</v>
      </c>
      <c r="Z875" s="0" t="str">
        <f aca="false">C875&amp;" → "&amp;D875</f>
        <v>Surat → Gujarat</v>
      </c>
      <c r="AA875" s="0" t="str">
        <f aca="false">Raw!Q875</f>
        <v>GATI Logistics</v>
      </c>
      <c r="AB875" s="0" t="str">
        <f aca="false">Raw!R875</f>
        <v>No</v>
      </c>
      <c r="AC875" s="0" t="str">
        <f aca="false">Raw!S875</f>
        <v>Expedited</v>
      </c>
      <c r="AD875" s="29" t="n">
        <f aca="false">Raw!N875</f>
        <v>9196.18</v>
      </c>
      <c r="AE875" s="29" t="n">
        <f aca="false">Raw!O875</f>
        <v>4433.49</v>
      </c>
      <c r="AF875" s="29" t="n">
        <f aca="false">Raw!P875</f>
        <v>1456.84</v>
      </c>
      <c r="AG875" s="29" t="n">
        <f aca="false">AD875/J875</f>
        <v>478.220488819553</v>
      </c>
    </row>
    <row r="876" customFormat="false" ht="15" hidden="false" customHeight="false" outlineLevel="0" collapsed="false">
      <c r="A876" s="0" t="str">
        <f aca="false">Raw!A876</f>
        <v>SHP0875</v>
      </c>
      <c r="B876" s="0" t="str">
        <f aca="false">Raw!B876</f>
        <v>Inbound</v>
      </c>
      <c r="C876" s="0" t="str">
        <f aca="false">Raw!C876</f>
        <v>Rajasthan</v>
      </c>
      <c r="D876" s="0" t="str">
        <f aca="false">Raw!D876</f>
        <v>Surat</v>
      </c>
      <c r="E876" s="0" t="str">
        <f aca="false">IFERROR(INDEX(Location_Map!$B$2:$B$15,MATCH(C876,Location_Map!$A$2:$A$15,0)),"UNMAPPED")</f>
        <v>Rajasthan</v>
      </c>
      <c r="F876" s="0" t="str">
        <f aca="false">IFERROR(INDEX(Location_Map!$C$2:$C$15,MATCH(C876,Location_Map!$A$2:$A$15,0)),"UNMAPPED")</f>
        <v>North</v>
      </c>
      <c r="G876" s="0" t="str">
        <f aca="false">IFERROR(INDEX(Location_Map!$B$2:$B$15,MATCH(D876,Location_Map!$A$2:$A$15,0)),"UNMAPPED")</f>
        <v>Gujarat</v>
      </c>
      <c r="H876" s="0" t="str">
        <f aca="false">IFERROR(INDEX(Location_Map!$C$2:$C$15,MATCH(D876,Location_Map!$A$2:$A$15,0)),"UNMAPPED")</f>
        <v>West</v>
      </c>
      <c r="I876" s="0" t="str">
        <f aca="false">Raw!E876</f>
        <v>Finished Yarn</v>
      </c>
      <c r="J876" s="28" t="n">
        <f aca="false">Raw!F876</f>
        <v>10.48</v>
      </c>
      <c r="K876" s="30" t="n">
        <f aca="false">DATE(LEFT(Raw!G876,4),MID(Raw!G876,6,2),MID(Raw!G876,9,2))</f>
        <v>45937</v>
      </c>
      <c r="L876" s="30" t="n">
        <f aca="false">DATE(LEFT(Raw!H876,4),MID(Raw!H876,6,2),MID(Raw!H876,9,2))</f>
        <v>45940</v>
      </c>
      <c r="M876" s="30" t="n">
        <f aca="false">DATE(LEFT(Raw!I876,4),MID(Raw!I876,6,2),MID(Raw!I876,9,2))</f>
        <v>45943</v>
      </c>
      <c r="N876" s="31" t="n">
        <f aca="false">DATE(LEFT(Raw!J876,4),MID(Raw!J876,6,2),MID(Raw!J876,9,2))+TIME(MID(Raw!J876,12,2),MID(Raw!J876,15,2),MID(Raw!J876,18,2))</f>
        <v>45940</v>
      </c>
      <c r="O876" s="31" t="n">
        <f aca="false">DATE(LEFT(Raw!K876,4),MID(Raw!K876,6,2),MID(Raw!K876,9,2))+TIME(MID(Raw!K876,12,2),MID(Raw!K876,15,2),MID(Raw!K876,18,2))</f>
        <v>45948.1</v>
      </c>
      <c r="P876" s="32" t="n">
        <f aca="false">L876-K876</f>
        <v>3</v>
      </c>
      <c r="Q876" s="32" t="n">
        <f aca="false">M876-L876</f>
        <v>3</v>
      </c>
      <c r="R876" s="32" t="n">
        <f aca="false">O876-N876</f>
        <v>8.1</v>
      </c>
      <c r="S876" s="32" t="n">
        <f aca="false">Raw!L876</f>
        <v>5.1</v>
      </c>
      <c r="T876" s="32" t="n">
        <f aca="false">O876-M876</f>
        <v>5.1</v>
      </c>
      <c r="U876" s="0" t="str">
        <f aca="false">IF(ABS(T876-S876)&lt;0.01,"OK","MISMATCH")</f>
        <v>OK</v>
      </c>
      <c r="V876" s="33" t="n">
        <f aca="false">Raw!M876</f>
        <v>1</v>
      </c>
      <c r="W876" s="0" t="str">
        <f aca="false">IF((S876&gt;0)=(V876=1),"OK","MISMATCH")</f>
        <v>OK</v>
      </c>
      <c r="X876" s="0" t="str">
        <f aca="false">_xlfn.IFS(S876&lt;=0,"Early/On time",S876&lt;=2,"Minor (up to 2 days)",S876&lt;=5,"Moderate (2-5 days)",TRUE(),"Severe (over 5 days)")</f>
        <v>Severe (over 5 days)</v>
      </c>
      <c r="Y876" s="0" t="str">
        <f aca="false">YEAR(K876)&amp;"-"&amp;TEXT(MONTH(K876),"00")</f>
        <v>2025-10</v>
      </c>
      <c r="Z876" s="0" t="str">
        <f aca="false">C876&amp;" → "&amp;D876</f>
        <v>Rajasthan → Surat</v>
      </c>
      <c r="AA876" s="0" t="str">
        <f aca="false">Raw!Q876</f>
        <v>VRL Cargo</v>
      </c>
      <c r="AB876" s="0" t="str">
        <f aca="false">Raw!R876</f>
        <v>No</v>
      </c>
      <c r="AC876" s="0" t="str">
        <f aca="false">Raw!S876</f>
        <v>Held at warehouse</v>
      </c>
      <c r="AD876" s="29" t="n">
        <f aca="false">Raw!N876</f>
        <v>3011.53</v>
      </c>
      <c r="AE876" s="29" t="n">
        <f aca="false">Raw!O876</f>
        <v>3038.89</v>
      </c>
      <c r="AF876" s="29" t="n">
        <f aca="false">Raw!P876</f>
        <v>879.96</v>
      </c>
      <c r="AG876" s="29" t="n">
        <f aca="false">AD876/J876</f>
        <v>287.359732824428</v>
      </c>
    </row>
    <row r="877" customFormat="false" ht="15" hidden="false" customHeight="false" outlineLevel="0" collapsed="false">
      <c r="A877" s="0" t="str">
        <f aca="false">Raw!A877</f>
        <v>SHP0876</v>
      </c>
      <c r="B877" s="0" t="str">
        <f aca="false">Raw!B877</f>
        <v>Inbound</v>
      </c>
      <c r="C877" s="0" t="str">
        <f aca="false">Raw!C877</f>
        <v>Punjab</v>
      </c>
      <c r="D877" s="0" t="str">
        <f aca="false">Raw!D877</f>
        <v>Surat</v>
      </c>
      <c r="E877" s="0" t="str">
        <f aca="false">IFERROR(INDEX(Location_Map!$B$2:$B$15,MATCH(C877,Location_Map!$A$2:$A$15,0)),"UNMAPPED")</f>
        <v>Punjab</v>
      </c>
      <c r="F877" s="0" t="str">
        <f aca="false">IFERROR(INDEX(Location_Map!$C$2:$C$15,MATCH(C877,Location_Map!$A$2:$A$15,0)),"UNMAPPED")</f>
        <v>North</v>
      </c>
      <c r="G877" s="0" t="str">
        <f aca="false">IFERROR(INDEX(Location_Map!$B$2:$B$15,MATCH(D877,Location_Map!$A$2:$A$15,0)),"UNMAPPED")</f>
        <v>Gujarat</v>
      </c>
      <c r="H877" s="0" t="str">
        <f aca="false">IFERROR(INDEX(Location_Map!$C$2:$C$15,MATCH(D877,Location_Map!$A$2:$A$15,0)),"UNMAPPED")</f>
        <v>West</v>
      </c>
      <c r="I877" s="0" t="str">
        <f aca="false">Raw!E877</f>
        <v>Raw Yarn</v>
      </c>
      <c r="J877" s="28" t="n">
        <f aca="false">Raw!F877</f>
        <v>9.52</v>
      </c>
      <c r="K877" s="30" t="n">
        <f aca="false">DATE(LEFT(Raw!G877,4),MID(Raw!G877,6,2),MID(Raw!G877,9,2))</f>
        <v>45952</v>
      </c>
      <c r="L877" s="30" t="n">
        <f aca="false">DATE(LEFT(Raw!H877,4),MID(Raw!H877,6,2),MID(Raw!H877,9,2))</f>
        <v>45954</v>
      </c>
      <c r="M877" s="30" t="n">
        <f aca="false">DATE(LEFT(Raw!I877,4),MID(Raw!I877,6,2),MID(Raw!I877,9,2))</f>
        <v>45958</v>
      </c>
      <c r="N877" s="31" t="n">
        <f aca="false">DATE(LEFT(Raw!J877,4),MID(Raw!J877,6,2),MID(Raw!J877,9,2))+TIME(MID(Raw!J877,12,2),MID(Raw!J877,15,2),MID(Raw!J877,18,2))</f>
        <v>45954.25</v>
      </c>
      <c r="O877" s="31" t="n">
        <f aca="false">DATE(LEFT(Raw!K877,4),MID(Raw!K877,6,2),MID(Raw!K877,9,2))+TIME(MID(Raw!K877,12,2),MID(Raw!K877,15,2),MID(Raw!K877,18,2))</f>
        <v>45958.6</v>
      </c>
      <c r="P877" s="32" t="n">
        <f aca="false">L877-K877</f>
        <v>2</v>
      </c>
      <c r="Q877" s="32" t="n">
        <f aca="false">M877-L877</f>
        <v>4</v>
      </c>
      <c r="R877" s="32" t="n">
        <f aca="false">O877-N877</f>
        <v>4.35</v>
      </c>
      <c r="S877" s="32" t="n">
        <f aca="false">Raw!L877</f>
        <v>0.6</v>
      </c>
      <c r="T877" s="32" t="n">
        <f aca="false">O877-M877</f>
        <v>0.6</v>
      </c>
      <c r="U877" s="0" t="str">
        <f aca="false">IF(ABS(T877-S877)&lt;0.01,"OK","MISMATCH")</f>
        <v>OK</v>
      </c>
      <c r="V877" s="33" t="n">
        <f aca="false">Raw!M877</f>
        <v>1</v>
      </c>
      <c r="W877" s="0" t="str">
        <f aca="false">IF((S877&gt;0)=(V877=1),"OK","MISMATCH")</f>
        <v>OK</v>
      </c>
      <c r="X877" s="0" t="str">
        <f aca="false">_xlfn.IFS(S877&lt;=0,"Early/On time",S877&lt;=2,"Minor (up to 2 days)",S877&lt;=5,"Moderate (2-5 days)",TRUE(),"Severe (over 5 days)")</f>
        <v>Minor (up to 2 days)</v>
      </c>
      <c r="Y877" s="0" t="str">
        <f aca="false">YEAR(K877)&amp;"-"&amp;TEXT(MONTH(K877),"00")</f>
        <v>2025-10</v>
      </c>
      <c r="Z877" s="0" t="str">
        <f aca="false">C877&amp;" → "&amp;D877</f>
        <v>Punjab → Surat</v>
      </c>
      <c r="AA877" s="0" t="str">
        <f aca="false">Raw!Q877</f>
        <v>GATI Logistics</v>
      </c>
      <c r="AB877" s="0" t="str">
        <f aca="false">Raw!R877</f>
        <v>Yes</v>
      </c>
      <c r="AC877" s="0" t="str">
        <f aca="false">Raw!S877</f>
        <v>Normal</v>
      </c>
      <c r="AD877" s="29" t="n">
        <f aca="false">Raw!N877</f>
        <v>8005.61</v>
      </c>
      <c r="AE877" s="29" t="n">
        <f aca="false">Raw!O877</f>
        <v>2272.75</v>
      </c>
      <c r="AF877" s="29" t="n">
        <f aca="false">Raw!P877</f>
        <v>665.99</v>
      </c>
      <c r="AG877" s="29" t="n">
        <f aca="false">AD877/J877</f>
        <v>840.925420168067</v>
      </c>
    </row>
    <row r="878" customFormat="false" ht="15" hidden="false" customHeight="false" outlineLevel="0" collapsed="false">
      <c r="A878" s="0" t="str">
        <f aca="false">Raw!A878</f>
        <v>SHP0877</v>
      </c>
      <c r="B878" s="0" t="str">
        <f aca="false">Raw!B878</f>
        <v>Outbound</v>
      </c>
      <c r="C878" s="0" t="str">
        <f aca="false">Raw!C878</f>
        <v>Surat</v>
      </c>
      <c r="D878" s="0" t="str">
        <f aca="false">Raw!D878</f>
        <v>Assam</v>
      </c>
      <c r="E878" s="0" t="str">
        <f aca="false">IFERROR(INDEX(Location_Map!$B$2:$B$15,MATCH(C878,Location_Map!$A$2:$A$15,0)),"UNMAPPED")</f>
        <v>Gujarat</v>
      </c>
      <c r="F878" s="0" t="str">
        <f aca="false">IFERROR(INDEX(Location_Map!$C$2:$C$15,MATCH(C878,Location_Map!$A$2:$A$15,0)),"UNMAPPED")</f>
        <v>West</v>
      </c>
      <c r="G878" s="0" t="str">
        <f aca="false">IFERROR(INDEX(Location_Map!$B$2:$B$15,MATCH(D878,Location_Map!$A$2:$A$15,0)),"UNMAPPED")</f>
        <v>Assam</v>
      </c>
      <c r="H878" s="0" t="str">
        <f aca="false">IFERROR(INDEX(Location_Map!$C$2:$C$15,MATCH(D878,Location_Map!$A$2:$A$15,0)),"UNMAPPED")</f>
        <v>North-East</v>
      </c>
      <c r="I878" s="0" t="str">
        <f aca="false">Raw!E878</f>
        <v>Raw Yarn</v>
      </c>
      <c r="J878" s="28" t="n">
        <f aca="false">Raw!F878</f>
        <v>15.17</v>
      </c>
      <c r="K878" s="30" t="n">
        <f aca="false">DATE(LEFT(Raw!G878,4),MID(Raw!G878,6,2),MID(Raw!G878,9,2))</f>
        <v>45771</v>
      </c>
      <c r="L878" s="30" t="n">
        <f aca="false">DATE(LEFT(Raw!H878,4),MID(Raw!H878,6,2),MID(Raw!H878,9,2))</f>
        <v>45773</v>
      </c>
      <c r="M878" s="30" t="n">
        <f aca="false">DATE(LEFT(Raw!I878,4),MID(Raw!I878,6,2),MID(Raw!I878,9,2))</f>
        <v>45778</v>
      </c>
      <c r="N878" s="31" t="n">
        <f aca="false">DATE(LEFT(Raw!J878,4),MID(Raw!J878,6,2),MID(Raw!J878,9,2))+TIME(MID(Raw!J878,12,2),MID(Raw!J878,15,2),MID(Raw!J878,18,2))</f>
        <v>45772.875</v>
      </c>
      <c r="O878" s="31" t="n">
        <f aca="false">DATE(LEFT(Raw!K878,4),MID(Raw!K878,6,2),MID(Raw!K878,9,2))+TIME(MID(Raw!K878,12,2),MID(Raw!K878,15,2),MID(Raw!K878,18,2))</f>
        <v>45778.8</v>
      </c>
      <c r="P878" s="32" t="n">
        <f aca="false">L878-K878</f>
        <v>2</v>
      </c>
      <c r="Q878" s="32" t="n">
        <f aca="false">M878-L878</f>
        <v>5</v>
      </c>
      <c r="R878" s="32" t="n">
        <f aca="false">O878-N878</f>
        <v>5.925</v>
      </c>
      <c r="S878" s="32" t="n">
        <f aca="false">Raw!L878</f>
        <v>0.8</v>
      </c>
      <c r="T878" s="32" t="n">
        <f aca="false">O878-M878</f>
        <v>0.8</v>
      </c>
      <c r="U878" s="0" t="str">
        <f aca="false">IF(ABS(T878-S878)&lt;0.01,"OK","MISMATCH")</f>
        <v>OK</v>
      </c>
      <c r="V878" s="33" t="n">
        <f aca="false">Raw!M878</f>
        <v>1</v>
      </c>
      <c r="W878" s="0" t="str">
        <f aca="false">IF((S878&gt;0)=(V878=1),"OK","MISMATCH")</f>
        <v>OK</v>
      </c>
      <c r="X878" s="0" t="str">
        <f aca="false">_xlfn.IFS(S878&lt;=0,"Early/On time",S878&lt;=2,"Minor (up to 2 days)",S878&lt;=5,"Moderate (2-5 days)",TRUE(),"Severe (over 5 days)")</f>
        <v>Minor (up to 2 days)</v>
      </c>
      <c r="Y878" s="0" t="str">
        <f aca="false">YEAR(K878)&amp;"-"&amp;TEXT(MONTH(K878),"00")</f>
        <v>2025-04</v>
      </c>
      <c r="Z878" s="0" t="str">
        <f aca="false">C878&amp;" → "&amp;D878</f>
        <v>Surat → Assam</v>
      </c>
      <c r="AA878" s="0" t="str">
        <f aca="false">Raw!Q878</f>
        <v>GATI Logistics</v>
      </c>
      <c r="AB878" s="0" t="str">
        <f aca="false">Raw!R878</f>
        <v>Yes</v>
      </c>
      <c r="AC878" s="0" t="str">
        <f aca="false">Raw!S878</f>
        <v>Normal</v>
      </c>
      <c r="AD878" s="29" t="n">
        <f aca="false">Raw!N878</f>
        <v>5776.35</v>
      </c>
      <c r="AE878" s="29" t="n">
        <f aca="false">Raw!O878</f>
        <v>4486.03</v>
      </c>
      <c r="AF878" s="29" t="n">
        <f aca="false">Raw!P878</f>
        <v>530.38</v>
      </c>
      <c r="AG878" s="29" t="n">
        <f aca="false">AD878/J878</f>
        <v>380.774555042848</v>
      </c>
    </row>
    <row r="879" customFormat="false" ht="15" hidden="false" customHeight="false" outlineLevel="0" collapsed="false">
      <c r="A879" s="0" t="str">
        <f aca="false">Raw!A879</f>
        <v>SHP0878</v>
      </c>
      <c r="B879" s="0" t="str">
        <f aca="false">Raw!B879</f>
        <v>Inbound</v>
      </c>
      <c r="C879" s="0" t="str">
        <f aca="false">Raw!C879</f>
        <v>Gujarat</v>
      </c>
      <c r="D879" s="0" t="str">
        <f aca="false">Raw!D879</f>
        <v>Surat</v>
      </c>
      <c r="E879" s="0" t="str">
        <f aca="false">IFERROR(INDEX(Location_Map!$B$2:$B$15,MATCH(C879,Location_Map!$A$2:$A$15,0)),"UNMAPPED")</f>
        <v>Gujarat</v>
      </c>
      <c r="F879" s="0" t="str">
        <f aca="false">IFERROR(INDEX(Location_Map!$C$2:$C$15,MATCH(C879,Location_Map!$A$2:$A$15,0)),"UNMAPPED")</f>
        <v>West</v>
      </c>
      <c r="G879" s="0" t="str">
        <f aca="false">IFERROR(INDEX(Location_Map!$B$2:$B$15,MATCH(D879,Location_Map!$A$2:$A$15,0)),"UNMAPPED")</f>
        <v>Gujarat</v>
      </c>
      <c r="H879" s="0" t="str">
        <f aca="false">IFERROR(INDEX(Location_Map!$C$2:$C$15,MATCH(D879,Location_Map!$A$2:$A$15,0)),"UNMAPPED")</f>
        <v>West</v>
      </c>
      <c r="I879" s="0" t="str">
        <f aca="false">Raw!E879</f>
        <v>Raw Yarn</v>
      </c>
      <c r="J879" s="28" t="n">
        <f aca="false">Raw!F879</f>
        <v>14.54</v>
      </c>
      <c r="K879" s="30" t="n">
        <f aca="false">DATE(LEFT(Raw!G879,4),MID(Raw!G879,6,2),MID(Raw!G879,9,2))</f>
        <v>45671</v>
      </c>
      <c r="L879" s="30" t="n">
        <f aca="false">DATE(LEFT(Raw!H879,4),MID(Raw!H879,6,2),MID(Raw!H879,9,2))</f>
        <v>45673</v>
      </c>
      <c r="M879" s="30" t="n">
        <f aca="false">DATE(LEFT(Raw!I879,4),MID(Raw!I879,6,2),MID(Raw!I879,9,2))</f>
        <v>45678</v>
      </c>
      <c r="N879" s="31" t="n">
        <f aca="false">DATE(LEFT(Raw!J879,4),MID(Raw!J879,6,2),MID(Raw!J879,9,2))+TIME(MID(Raw!J879,12,2),MID(Raw!J879,15,2),MID(Raw!J879,18,2))</f>
        <v>45673.3333333333</v>
      </c>
      <c r="O879" s="31" t="n">
        <f aca="false">DATE(LEFT(Raw!K879,4),MID(Raw!K879,6,2),MID(Raw!K879,9,2))+TIME(MID(Raw!K879,12,2),MID(Raw!K879,15,2),MID(Raw!K879,18,2))</f>
        <v>45677.7</v>
      </c>
      <c r="P879" s="32" t="n">
        <f aca="false">L879-K879</f>
        <v>2</v>
      </c>
      <c r="Q879" s="32" t="n">
        <f aca="false">M879-L879</f>
        <v>5</v>
      </c>
      <c r="R879" s="32" t="n">
        <f aca="false">O879-N879</f>
        <v>4.36666666666667</v>
      </c>
      <c r="S879" s="32" t="n">
        <f aca="false">Raw!L879</f>
        <v>-0.3</v>
      </c>
      <c r="T879" s="32" t="n">
        <f aca="false">O879-M879</f>
        <v>-0.300000000005833</v>
      </c>
      <c r="U879" s="0" t="str">
        <f aca="false">IF(ABS(T879-S879)&lt;0.01,"OK","MISMATCH")</f>
        <v>OK</v>
      </c>
      <c r="V879" s="33" t="n">
        <f aca="false">Raw!M879</f>
        <v>0</v>
      </c>
      <c r="W879" s="0" t="str">
        <f aca="false">IF((S879&gt;0)=(V879=1),"OK","MISMATCH")</f>
        <v>OK</v>
      </c>
      <c r="X879" s="0" t="str">
        <f aca="false">_xlfn.IFS(S879&lt;=0,"Early/On time",S879&lt;=2,"Minor (up to 2 days)",S879&lt;=5,"Moderate (2-5 days)",TRUE(),"Severe (over 5 days)")</f>
        <v>Early/On time</v>
      </c>
      <c r="Y879" s="0" t="str">
        <f aca="false">YEAR(K879)&amp;"-"&amp;TEXT(MONTH(K879),"00")</f>
        <v>2025-01</v>
      </c>
      <c r="Z879" s="0" t="str">
        <f aca="false">C879&amp;" → "&amp;D879</f>
        <v>Gujarat → Surat</v>
      </c>
      <c r="AA879" s="0" t="str">
        <f aca="false">Raw!Q879</f>
        <v>Delhivery</v>
      </c>
      <c r="AB879" s="0" t="str">
        <f aca="false">Raw!R879</f>
        <v>No</v>
      </c>
      <c r="AC879" s="0" t="str">
        <f aca="false">Raw!S879</f>
        <v>Damaged</v>
      </c>
      <c r="AD879" s="29" t="n">
        <f aca="false">Raw!N879</f>
        <v>4904.55</v>
      </c>
      <c r="AE879" s="29" t="n">
        <f aca="false">Raw!O879</f>
        <v>3910.83</v>
      </c>
      <c r="AF879" s="29" t="n">
        <f aca="false">Raw!P879</f>
        <v>1169.26</v>
      </c>
      <c r="AG879" s="29" t="n">
        <f aca="false">AD879/J879</f>
        <v>337.314305364512</v>
      </c>
    </row>
    <row r="880" customFormat="false" ht="15" hidden="false" customHeight="false" outlineLevel="0" collapsed="false">
      <c r="A880" s="0" t="str">
        <f aca="false">Raw!A880</f>
        <v>SHP0879</v>
      </c>
      <c r="B880" s="0" t="str">
        <f aca="false">Raw!B880</f>
        <v>Inbound</v>
      </c>
      <c r="C880" s="0" t="str">
        <f aca="false">Raw!C880</f>
        <v>Uttar Pradesh</v>
      </c>
      <c r="D880" s="0" t="str">
        <f aca="false">Raw!D880</f>
        <v>Surat</v>
      </c>
      <c r="E880" s="0" t="str">
        <f aca="false">IFERROR(INDEX(Location_Map!$B$2:$B$15,MATCH(C880,Location_Map!$A$2:$A$15,0)),"UNMAPPED")</f>
        <v>Uttar Pradesh</v>
      </c>
      <c r="F880" s="0" t="str">
        <f aca="false">IFERROR(INDEX(Location_Map!$C$2:$C$15,MATCH(C880,Location_Map!$A$2:$A$15,0)),"UNMAPPED")</f>
        <v>North</v>
      </c>
      <c r="G880" s="0" t="str">
        <f aca="false">IFERROR(INDEX(Location_Map!$B$2:$B$15,MATCH(D880,Location_Map!$A$2:$A$15,0)),"UNMAPPED")</f>
        <v>Gujarat</v>
      </c>
      <c r="H880" s="0" t="str">
        <f aca="false">IFERROR(INDEX(Location_Map!$C$2:$C$15,MATCH(D880,Location_Map!$A$2:$A$15,0)),"UNMAPPED")</f>
        <v>West</v>
      </c>
      <c r="I880" s="0" t="str">
        <f aca="false">Raw!E880</f>
        <v>Semi-Processed Yarn</v>
      </c>
      <c r="J880" s="28" t="n">
        <f aca="false">Raw!F880</f>
        <v>2.36</v>
      </c>
      <c r="K880" s="30" t="n">
        <f aca="false">DATE(LEFT(Raw!G880,4),MID(Raw!G880,6,2),MID(Raw!G880,9,2))</f>
        <v>45882</v>
      </c>
      <c r="L880" s="30" t="n">
        <f aca="false">DATE(LEFT(Raw!H880,4),MID(Raw!H880,6,2),MID(Raw!H880,9,2))</f>
        <v>45883</v>
      </c>
      <c r="M880" s="30" t="n">
        <f aca="false">DATE(LEFT(Raw!I880,4),MID(Raw!I880,6,2),MID(Raw!I880,9,2))</f>
        <v>45888</v>
      </c>
      <c r="N880" s="31" t="n">
        <f aca="false">DATE(LEFT(Raw!J880,4),MID(Raw!J880,6,2),MID(Raw!J880,9,2))+TIME(MID(Raw!J880,12,2),MID(Raw!J880,15,2),MID(Raw!J880,18,2))</f>
        <v>45883.3333333333</v>
      </c>
      <c r="O880" s="31" t="n">
        <f aca="false">DATE(LEFT(Raw!K880,4),MID(Raw!K880,6,2),MID(Raw!K880,9,2))+TIME(MID(Raw!K880,12,2),MID(Raw!K880,15,2),MID(Raw!K880,18,2))</f>
        <v>45887</v>
      </c>
      <c r="P880" s="32" t="n">
        <f aca="false">L880-K880</f>
        <v>1</v>
      </c>
      <c r="Q880" s="32" t="n">
        <f aca="false">M880-L880</f>
        <v>5</v>
      </c>
      <c r="R880" s="32" t="n">
        <f aca="false">O880-N880</f>
        <v>3.66666666666667</v>
      </c>
      <c r="S880" s="32" t="n">
        <f aca="false">Raw!L880</f>
        <v>-1</v>
      </c>
      <c r="T880" s="32" t="n">
        <f aca="false">O880-M880</f>
        <v>-1</v>
      </c>
      <c r="U880" s="0" t="str">
        <f aca="false">IF(ABS(T880-S880)&lt;0.01,"OK","MISMATCH")</f>
        <v>OK</v>
      </c>
      <c r="V880" s="33" t="n">
        <f aca="false">Raw!M880</f>
        <v>0</v>
      </c>
      <c r="W880" s="0" t="str">
        <f aca="false">IF((S880&gt;0)=(V880=1),"OK","MISMATCH")</f>
        <v>OK</v>
      </c>
      <c r="X880" s="0" t="str">
        <f aca="false">_xlfn.IFS(S880&lt;=0,"Early/On time",S880&lt;=2,"Minor (up to 2 days)",S880&lt;=5,"Moderate (2-5 days)",TRUE(),"Severe (over 5 days)")</f>
        <v>Early/On time</v>
      </c>
      <c r="Y880" s="0" t="str">
        <f aca="false">YEAR(K880)&amp;"-"&amp;TEXT(MONTH(K880),"00")</f>
        <v>2025-08</v>
      </c>
      <c r="Z880" s="0" t="str">
        <f aca="false">C880&amp;" → "&amp;D880</f>
        <v>Uttar Pradesh → Surat</v>
      </c>
      <c r="AA880" s="0" t="str">
        <f aca="false">Raw!Q880</f>
        <v>GATI Logistics</v>
      </c>
      <c r="AB880" s="0" t="str">
        <f aca="false">Raw!R880</f>
        <v>No</v>
      </c>
      <c r="AC880" s="0" t="str">
        <f aca="false">Raw!S880</f>
        <v>Expedited</v>
      </c>
      <c r="AD880" s="29" t="n">
        <f aca="false">Raw!N880</f>
        <v>2468.08</v>
      </c>
      <c r="AE880" s="29" t="n">
        <f aca="false">Raw!O880</f>
        <v>2238.91</v>
      </c>
      <c r="AF880" s="29" t="n">
        <f aca="false">Raw!P880</f>
        <v>741.96</v>
      </c>
      <c r="AG880" s="29" t="n">
        <f aca="false">AD880/J880</f>
        <v>1045.79661016949</v>
      </c>
    </row>
    <row r="881" customFormat="false" ht="15" hidden="false" customHeight="false" outlineLevel="0" collapsed="false">
      <c r="A881" s="0" t="str">
        <f aca="false">Raw!A881</f>
        <v>SHP0880</v>
      </c>
      <c r="B881" s="0" t="str">
        <f aca="false">Raw!B881</f>
        <v>Outbound</v>
      </c>
      <c r="C881" s="0" t="str">
        <f aca="false">Raw!C881</f>
        <v>Surat</v>
      </c>
      <c r="D881" s="0" t="str">
        <f aca="false">Raw!D881</f>
        <v>Madhya Pradesh</v>
      </c>
      <c r="E881" s="0" t="str">
        <f aca="false">IFERROR(INDEX(Location_Map!$B$2:$B$15,MATCH(C881,Location_Map!$A$2:$A$15,0)),"UNMAPPED")</f>
        <v>Gujarat</v>
      </c>
      <c r="F881" s="0" t="str">
        <f aca="false">IFERROR(INDEX(Location_Map!$C$2:$C$15,MATCH(C881,Location_Map!$A$2:$A$15,0)),"UNMAPPED")</f>
        <v>West</v>
      </c>
      <c r="G881" s="0" t="str">
        <f aca="false">IFERROR(INDEX(Location_Map!$B$2:$B$15,MATCH(D881,Location_Map!$A$2:$A$15,0)),"UNMAPPED")</f>
        <v>Madhya Pradesh</v>
      </c>
      <c r="H881" s="0" t="str">
        <f aca="false">IFERROR(INDEX(Location_Map!$C$2:$C$15,MATCH(D881,Location_Map!$A$2:$A$15,0)),"UNMAPPED")</f>
        <v>Central</v>
      </c>
      <c r="I881" s="0" t="str">
        <f aca="false">Raw!E881</f>
        <v>Raw Yarn</v>
      </c>
      <c r="J881" s="28" t="n">
        <f aca="false">Raw!F881</f>
        <v>6.29</v>
      </c>
      <c r="K881" s="30" t="n">
        <f aca="false">DATE(LEFT(Raw!G881,4),MID(Raw!G881,6,2),MID(Raw!G881,9,2))</f>
        <v>45926</v>
      </c>
      <c r="L881" s="30" t="n">
        <f aca="false">DATE(LEFT(Raw!H881,4),MID(Raw!H881,6,2),MID(Raw!H881,9,2))</f>
        <v>45929</v>
      </c>
      <c r="M881" s="30" t="n">
        <f aca="false">DATE(LEFT(Raw!I881,4),MID(Raw!I881,6,2),MID(Raw!I881,9,2))</f>
        <v>45933</v>
      </c>
      <c r="N881" s="31" t="n">
        <f aca="false">DATE(LEFT(Raw!J881,4),MID(Raw!J881,6,2),MID(Raw!J881,9,2))+TIME(MID(Raw!J881,12,2),MID(Raw!J881,15,2),MID(Raw!J881,18,2))</f>
        <v>45929.0416666667</v>
      </c>
      <c r="O881" s="31" t="n">
        <f aca="false">DATE(LEFT(Raw!K881,4),MID(Raw!K881,6,2),MID(Raw!K881,9,2))+TIME(MID(Raw!K881,12,2),MID(Raw!K881,15,2),MID(Raw!K881,18,2))</f>
        <v>45934</v>
      </c>
      <c r="P881" s="32" t="n">
        <f aca="false">L881-K881</f>
        <v>3</v>
      </c>
      <c r="Q881" s="32" t="n">
        <f aca="false">M881-L881</f>
        <v>4</v>
      </c>
      <c r="R881" s="32" t="n">
        <f aca="false">O881-N881</f>
        <v>4.95833333333333</v>
      </c>
      <c r="S881" s="32" t="n">
        <f aca="false">Raw!L881</f>
        <v>1</v>
      </c>
      <c r="T881" s="32" t="n">
        <f aca="false">O881-M881</f>
        <v>1</v>
      </c>
      <c r="U881" s="0" t="str">
        <f aca="false">IF(ABS(T881-S881)&lt;0.01,"OK","MISMATCH")</f>
        <v>OK</v>
      </c>
      <c r="V881" s="33" t="n">
        <f aca="false">Raw!M881</f>
        <v>1</v>
      </c>
      <c r="W881" s="0" t="str">
        <f aca="false">IF((S881&gt;0)=(V881=1),"OK","MISMATCH")</f>
        <v>OK</v>
      </c>
      <c r="X881" s="0" t="str">
        <f aca="false">_xlfn.IFS(S881&lt;=0,"Early/On time",S881&lt;=2,"Minor (up to 2 days)",S881&lt;=5,"Moderate (2-5 days)",TRUE(),"Severe (over 5 days)")</f>
        <v>Minor (up to 2 days)</v>
      </c>
      <c r="Y881" s="0" t="str">
        <f aca="false">YEAR(K881)&amp;"-"&amp;TEXT(MONTH(K881),"00")</f>
        <v>2025-09</v>
      </c>
      <c r="Z881" s="0" t="str">
        <f aca="false">C881&amp;" → "&amp;D881</f>
        <v>Surat → Madhya Pradesh</v>
      </c>
      <c r="AA881" s="0" t="str">
        <f aca="false">Raw!Q881</f>
        <v>VRL Cargo</v>
      </c>
      <c r="AB881" s="0" t="str">
        <f aca="false">Raw!R881</f>
        <v>No</v>
      </c>
      <c r="AC881" s="0" t="str">
        <f aca="false">Raw!S881</f>
        <v>Normal</v>
      </c>
      <c r="AD881" s="29" t="n">
        <f aca="false">Raw!N881</f>
        <v>5739.27</v>
      </c>
      <c r="AE881" s="29" t="n">
        <f aca="false">Raw!O881</f>
        <v>3955.78</v>
      </c>
      <c r="AF881" s="29" t="n">
        <f aca="false">Raw!P881</f>
        <v>697.82</v>
      </c>
      <c r="AG881" s="29" t="n">
        <f aca="false">AD881/J881</f>
        <v>912.443561208267</v>
      </c>
    </row>
    <row r="882" customFormat="false" ht="15" hidden="false" customHeight="false" outlineLevel="0" collapsed="false">
      <c r="A882" s="0" t="str">
        <f aca="false">Raw!A882</f>
        <v>SHP0881</v>
      </c>
      <c r="B882" s="0" t="str">
        <f aca="false">Raw!B882</f>
        <v>Inbound</v>
      </c>
      <c r="C882" s="0" t="str">
        <f aca="false">Raw!C882</f>
        <v>Gujarat</v>
      </c>
      <c r="D882" s="0" t="str">
        <f aca="false">Raw!D882</f>
        <v>Surat</v>
      </c>
      <c r="E882" s="0" t="str">
        <f aca="false">IFERROR(INDEX(Location_Map!$B$2:$B$15,MATCH(C882,Location_Map!$A$2:$A$15,0)),"UNMAPPED")</f>
        <v>Gujarat</v>
      </c>
      <c r="F882" s="0" t="str">
        <f aca="false">IFERROR(INDEX(Location_Map!$C$2:$C$15,MATCH(C882,Location_Map!$A$2:$A$15,0)),"UNMAPPED")</f>
        <v>West</v>
      </c>
      <c r="G882" s="0" t="str">
        <f aca="false">IFERROR(INDEX(Location_Map!$B$2:$B$15,MATCH(D882,Location_Map!$A$2:$A$15,0)),"UNMAPPED")</f>
        <v>Gujarat</v>
      </c>
      <c r="H882" s="0" t="str">
        <f aca="false">IFERROR(INDEX(Location_Map!$C$2:$C$15,MATCH(D882,Location_Map!$A$2:$A$15,0)),"UNMAPPED")</f>
        <v>West</v>
      </c>
      <c r="I882" s="0" t="str">
        <f aca="false">Raw!E882</f>
        <v>Semi-Processed Yarn</v>
      </c>
      <c r="J882" s="28" t="n">
        <f aca="false">Raw!F882</f>
        <v>17.02</v>
      </c>
      <c r="K882" s="30" t="n">
        <f aca="false">DATE(LEFT(Raw!G882,4),MID(Raw!G882,6,2),MID(Raw!G882,9,2))</f>
        <v>45719</v>
      </c>
      <c r="L882" s="30" t="n">
        <f aca="false">DATE(LEFT(Raw!H882,4),MID(Raw!H882,6,2),MID(Raw!H882,9,2))</f>
        <v>45722</v>
      </c>
      <c r="M882" s="30" t="n">
        <f aca="false">DATE(LEFT(Raw!I882,4),MID(Raw!I882,6,2),MID(Raw!I882,9,2))</f>
        <v>45728</v>
      </c>
      <c r="N882" s="31" t="n">
        <f aca="false">DATE(LEFT(Raw!J882,4),MID(Raw!J882,6,2),MID(Raw!J882,9,2))+TIME(MID(Raw!J882,12,2),MID(Raw!J882,15,2),MID(Raw!J882,18,2))</f>
        <v>45722.0416666667</v>
      </c>
      <c r="O882" s="31" t="n">
        <f aca="false">DATE(LEFT(Raw!K882,4),MID(Raw!K882,6,2),MID(Raw!K882,9,2))+TIME(MID(Raw!K882,12,2),MID(Raw!K882,15,2),MID(Raw!K882,18,2))</f>
        <v>45729.2</v>
      </c>
      <c r="P882" s="32" t="n">
        <f aca="false">L882-K882</f>
        <v>3</v>
      </c>
      <c r="Q882" s="32" t="n">
        <f aca="false">M882-L882</f>
        <v>6</v>
      </c>
      <c r="R882" s="32" t="n">
        <f aca="false">O882-N882</f>
        <v>7.15833333333333</v>
      </c>
      <c r="S882" s="32" t="n">
        <f aca="false">Raw!L882</f>
        <v>1.2</v>
      </c>
      <c r="T882" s="32" t="n">
        <f aca="false">O882-M882</f>
        <v>1.2</v>
      </c>
      <c r="U882" s="0" t="str">
        <f aca="false">IF(ABS(T882-S882)&lt;0.01,"OK","MISMATCH")</f>
        <v>OK</v>
      </c>
      <c r="V882" s="33" t="n">
        <f aca="false">Raw!M882</f>
        <v>1</v>
      </c>
      <c r="W882" s="0" t="str">
        <f aca="false">IF((S882&gt;0)=(V882=1),"OK","MISMATCH")</f>
        <v>OK</v>
      </c>
      <c r="X882" s="0" t="str">
        <f aca="false">_xlfn.IFS(S882&lt;=0,"Early/On time",S882&lt;=2,"Minor (up to 2 days)",S882&lt;=5,"Moderate (2-5 days)",TRUE(),"Severe (over 5 days)")</f>
        <v>Minor (up to 2 days)</v>
      </c>
      <c r="Y882" s="0" t="str">
        <f aca="false">YEAR(K882)&amp;"-"&amp;TEXT(MONTH(K882),"00")</f>
        <v>2025-03</v>
      </c>
      <c r="Z882" s="0" t="str">
        <f aca="false">C882&amp;" → "&amp;D882</f>
        <v>Gujarat → Surat</v>
      </c>
      <c r="AA882" s="0" t="str">
        <f aca="false">Raw!Q882</f>
        <v>Delhivery</v>
      </c>
      <c r="AB882" s="0" t="str">
        <f aca="false">Raw!R882</f>
        <v>No</v>
      </c>
      <c r="AC882" s="0" t="str">
        <f aca="false">Raw!S882</f>
        <v>Held at warehouse</v>
      </c>
      <c r="AD882" s="29" t="n">
        <f aca="false">Raw!N882</f>
        <v>11247.53</v>
      </c>
      <c r="AE882" s="29" t="n">
        <f aca="false">Raw!O882</f>
        <v>1404.35</v>
      </c>
      <c r="AF882" s="29" t="n">
        <f aca="false">Raw!P882</f>
        <v>808.85</v>
      </c>
      <c r="AG882" s="29" t="n">
        <f aca="false">AD882/J882</f>
        <v>660.841950646299</v>
      </c>
    </row>
    <row r="883" customFormat="false" ht="15" hidden="false" customHeight="false" outlineLevel="0" collapsed="false">
      <c r="A883" s="0" t="str">
        <f aca="false">Raw!A883</f>
        <v>SHP0882</v>
      </c>
      <c r="B883" s="0" t="str">
        <f aca="false">Raw!B883</f>
        <v>Outbound</v>
      </c>
      <c r="C883" s="0" t="str">
        <f aca="false">Raw!C883</f>
        <v>Surat</v>
      </c>
      <c r="D883" s="0" t="str">
        <f aca="false">Raw!D883</f>
        <v>Mumbai</v>
      </c>
      <c r="E883" s="0" t="str">
        <f aca="false">IFERROR(INDEX(Location_Map!$B$2:$B$15,MATCH(C883,Location_Map!$A$2:$A$15,0)),"UNMAPPED")</f>
        <v>Gujarat</v>
      </c>
      <c r="F883" s="0" t="str">
        <f aca="false">IFERROR(INDEX(Location_Map!$C$2:$C$15,MATCH(C883,Location_Map!$A$2:$A$15,0)),"UNMAPPED")</f>
        <v>West</v>
      </c>
      <c r="G883" s="0" t="str">
        <f aca="false">IFERROR(INDEX(Location_Map!$B$2:$B$15,MATCH(D883,Location_Map!$A$2:$A$15,0)),"UNMAPPED")</f>
        <v>Maharashtra</v>
      </c>
      <c r="H883" s="0" t="str">
        <f aca="false">IFERROR(INDEX(Location_Map!$C$2:$C$15,MATCH(D883,Location_Map!$A$2:$A$15,0)),"UNMAPPED")</f>
        <v>West</v>
      </c>
      <c r="I883" s="0" t="str">
        <f aca="false">Raw!E883</f>
        <v>Finished Yarn</v>
      </c>
      <c r="J883" s="28" t="n">
        <f aca="false">Raw!F883</f>
        <v>12.62</v>
      </c>
      <c r="K883" s="30" t="n">
        <f aca="false">DATE(LEFT(Raw!G883,4),MID(Raw!G883,6,2),MID(Raw!G883,9,2))</f>
        <v>45947</v>
      </c>
      <c r="L883" s="30" t="n">
        <f aca="false">DATE(LEFT(Raw!H883,4),MID(Raw!H883,6,2),MID(Raw!H883,9,2))</f>
        <v>45948</v>
      </c>
      <c r="M883" s="30" t="n">
        <f aca="false">DATE(LEFT(Raw!I883,4),MID(Raw!I883,6,2),MID(Raw!I883,9,2))</f>
        <v>45953</v>
      </c>
      <c r="N883" s="31" t="n">
        <f aca="false">DATE(LEFT(Raw!J883,4),MID(Raw!J883,6,2),MID(Raw!J883,9,2))+TIME(MID(Raw!J883,12,2),MID(Raw!J883,15,2),MID(Raw!J883,18,2))</f>
        <v>45947.8333333333</v>
      </c>
      <c r="O883" s="31" t="n">
        <f aca="false">DATE(LEFT(Raw!K883,4),MID(Raw!K883,6,2),MID(Raw!K883,9,2))+TIME(MID(Raw!K883,12,2),MID(Raw!K883,15,2),MID(Raw!K883,18,2))</f>
        <v>45956.5</v>
      </c>
      <c r="P883" s="32" t="n">
        <f aca="false">L883-K883</f>
        <v>1</v>
      </c>
      <c r="Q883" s="32" t="n">
        <f aca="false">M883-L883</f>
        <v>5</v>
      </c>
      <c r="R883" s="32" t="n">
        <f aca="false">O883-N883</f>
        <v>8.66666666666667</v>
      </c>
      <c r="S883" s="32" t="n">
        <f aca="false">Raw!L883</f>
        <v>3.5</v>
      </c>
      <c r="T883" s="32" t="n">
        <f aca="false">O883-M883</f>
        <v>3.5</v>
      </c>
      <c r="U883" s="0" t="str">
        <f aca="false">IF(ABS(T883-S883)&lt;0.01,"OK","MISMATCH")</f>
        <v>OK</v>
      </c>
      <c r="V883" s="33" t="n">
        <f aca="false">Raw!M883</f>
        <v>1</v>
      </c>
      <c r="W883" s="0" t="str">
        <f aca="false">IF((S883&gt;0)=(V883=1),"OK","MISMATCH")</f>
        <v>OK</v>
      </c>
      <c r="X883" s="0" t="str">
        <f aca="false">_xlfn.IFS(S883&lt;=0,"Early/On time",S883&lt;=2,"Minor (up to 2 days)",S883&lt;=5,"Moderate (2-5 days)",TRUE(),"Severe (over 5 days)")</f>
        <v>Moderate (2-5 days)</v>
      </c>
      <c r="Y883" s="0" t="str">
        <f aca="false">YEAR(K883)&amp;"-"&amp;TEXT(MONTH(K883),"00")</f>
        <v>2025-10</v>
      </c>
      <c r="Z883" s="0" t="str">
        <f aca="false">C883&amp;" → "&amp;D883</f>
        <v>Surat → Mumbai</v>
      </c>
      <c r="AA883" s="0" t="str">
        <f aca="false">Raw!Q883</f>
        <v>BlueDart</v>
      </c>
      <c r="AB883" s="0" t="str">
        <f aca="false">Raw!R883</f>
        <v>Yes</v>
      </c>
      <c r="AC883" s="0" t="str">
        <f aca="false">Raw!S883</f>
        <v>Normal</v>
      </c>
      <c r="AD883" s="29" t="n">
        <f aca="false">Raw!N883</f>
        <v>3125.07</v>
      </c>
      <c r="AE883" s="29" t="n">
        <f aca="false">Raw!O883</f>
        <v>4631.26</v>
      </c>
      <c r="AF883" s="29" t="n">
        <f aca="false">Raw!P883</f>
        <v>1221.26</v>
      </c>
      <c r="AG883" s="29" t="n">
        <f aca="false">AD883/J883</f>
        <v>247.628367670365</v>
      </c>
    </row>
    <row r="884" customFormat="false" ht="15" hidden="false" customHeight="false" outlineLevel="0" collapsed="false">
      <c r="A884" s="0" t="str">
        <f aca="false">Raw!A884</f>
        <v>SHP0883</v>
      </c>
      <c r="B884" s="0" t="str">
        <f aca="false">Raw!B884</f>
        <v>Outbound</v>
      </c>
      <c r="C884" s="0" t="str">
        <f aca="false">Raw!C884</f>
        <v>Surat</v>
      </c>
      <c r="D884" s="0" t="str">
        <f aca="false">Raw!D884</f>
        <v>Madhya Pradesh</v>
      </c>
      <c r="E884" s="0" t="str">
        <f aca="false">IFERROR(INDEX(Location_Map!$B$2:$B$15,MATCH(C884,Location_Map!$A$2:$A$15,0)),"UNMAPPED")</f>
        <v>Gujarat</v>
      </c>
      <c r="F884" s="0" t="str">
        <f aca="false">IFERROR(INDEX(Location_Map!$C$2:$C$15,MATCH(C884,Location_Map!$A$2:$A$15,0)),"UNMAPPED")</f>
        <v>West</v>
      </c>
      <c r="G884" s="0" t="str">
        <f aca="false">IFERROR(INDEX(Location_Map!$B$2:$B$15,MATCH(D884,Location_Map!$A$2:$A$15,0)),"UNMAPPED")</f>
        <v>Madhya Pradesh</v>
      </c>
      <c r="H884" s="0" t="str">
        <f aca="false">IFERROR(INDEX(Location_Map!$C$2:$C$15,MATCH(D884,Location_Map!$A$2:$A$15,0)),"UNMAPPED")</f>
        <v>Central</v>
      </c>
      <c r="I884" s="0" t="str">
        <f aca="false">Raw!E884</f>
        <v>Raw Yarn</v>
      </c>
      <c r="J884" s="28" t="n">
        <f aca="false">Raw!F884</f>
        <v>13.87</v>
      </c>
      <c r="K884" s="30" t="n">
        <f aca="false">DATE(LEFT(Raw!G884,4),MID(Raw!G884,6,2),MID(Raw!G884,9,2))</f>
        <v>45814</v>
      </c>
      <c r="L884" s="30" t="n">
        <f aca="false">DATE(LEFT(Raw!H884,4),MID(Raw!H884,6,2),MID(Raw!H884,9,2))</f>
        <v>45818</v>
      </c>
      <c r="M884" s="30" t="n">
        <f aca="false">DATE(LEFT(Raw!I884,4),MID(Raw!I884,6,2),MID(Raw!I884,9,2))</f>
        <v>45824</v>
      </c>
      <c r="N884" s="31" t="n">
        <f aca="false">DATE(LEFT(Raw!J884,4),MID(Raw!J884,6,2),MID(Raw!J884,9,2))+TIME(MID(Raw!J884,12,2),MID(Raw!J884,15,2),MID(Raw!J884,18,2))</f>
        <v>45818.0416666667</v>
      </c>
      <c r="O884" s="31" t="n">
        <f aca="false">DATE(LEFT(Raw!K884,4),MID(Raw!K884,6,2),MID(Raw!K884,9,2))+TIME(MID(Raw!K884,12,2),MID(Raw!K884,15,2),MID(Raw!K884,18,2))</f>
        <v>45828.8</v>
      </c>
      <c r="P884" s="32" t="n">
        <f aca="false">L884-K884</f>
        <v>4</v>
      </c>
      <c r="Q884" s="32" t="n">
        <f aca="false">M884-L884</f>
        <v>6</v>
      </c>
      <c r="R884" s="32" t="n">
        <f aca="false">O884-N884</f>
        <v>10.7583333333333</v>
      </c>
      <c r="S884" s="32" t="n">
        <f aca="false">Raw!L884</f>
        <v>4.8</v>
      </c>
      <c r="T884" s="32" t="n">
        <f aca="false">O884-M884</f>
        <v>4.8</v>
      </c>
      <c r="U884" s="0" t="str">
        <f aca="false">IF(ABS(T884-S884)&lt;0.01,"OK","MISMATCH")</f>
        <v>OK</v>
      </c>
      <c r="V884" s="33" t="n">
        <f aca="false">Raw!M884</f>
        <v>1</v>
      </c>
      <c r="W884" s="0" t="str">
        <f aca="false">IF((S884&gt;0)=(V884=1),"OK","MISMATCH")</f>
        <v>OK</v>
      </c>
      <c r="X884" s="0" t="str">
        <f aca="false">_xlfn.IFS(S884&lt;=0,"Early/On time",S884&lt;=2,"Minor (up to 2 days)",S884&lt;=5,"Moderate (2-5 days)",TRUE(),"Severe (over 5 days)")</f>
        <v>Moderate (2-5 days)</v>
      </c>
      <c r="Y884" s="0" t="str">
        <f aca="false">YEAR(K884)&amp;"-"&amp;TEXT(MONTH(K884),"00")</f>
        <v>2025-06</v>
      </c>
      <c r="Z884" s="0" t="str">
        <f aca="false">C884&amp;" → "&amp;D884</f>
        <v>Surat → Madhya Pradesh</v>
      </c>
      <c r="AA884" s="0" t="str">
        <f aca="false">Raw!Q884</f>
        <v>Delhivery</v>
      </c>
      <c r="AB884" s="0" t="str">
        <f aca="false">Raw!R884</f>
        <v>Yes</v>
      </c>
      <c r="AC884" s="0" t="str">
        <f aca="false">Raw!S884</f>
        <v>Normal</v>
      </c>
      <c r="AD884" s="29" t="n">
        <f aca="false">Raw!N884</f>
        <v>5650.32</v>
      </c>
      <c r="AE884" s="29" t="n">
        <f aca="false">Raw!O884</f>
        <v>4737.01</v>
      </c>
      <c r="AF884" s="29" t="n">
        <f aca="false">Raw!P884</f>
        <v>586.42</v>
      </c>
      <c r="AG884" s="29" t="n">
        <f aca="false">AD884/J884</f>
        <v>407.377072819034</v>
      </c>
    </row>
    <row r="885" customFormat="false" ht="15" hidden="false" customHeight="false" outlineLevel="0" collapsed="false">
      <c r="A885" s="0" t="str">
        <f aca="false">Raw!A885</f>
        <v>SHP0884</v>
      </c>
      <c r="B885" s="0" t="str">
        <f aca="false">Raw!B885</f>
        <v>Outbound</v>
      </c>
      <c r="C885" s="0" t="str">
        <f aca="false">Raw!C885</f>
        <v>Surat</v>
      </c>
      <c r="D885" s="0" t="str">
        <f aca="false">Raw!D885</f>
        <v>Uttarakhand</v>
      </c>
      <c r="E885" s="0" t="str">
        <f aca="false">IFERROR(INDEX(Location_Map!$B$2:$B$15,MATCH(C885,Location_Map!$A$2:$A$15,0)),"UNMAPPED")</f>
        <v>Gujarat</v>
      </c>
      <c r="F885" s="0" t="str">
        <f aca="false">IFERROR(INDEX(Location_Map!$C$2:$C$15,MATCH(C885,Location_Map!$A$2:$A$15,0)),"UNMAPPED")</f>
        <v>West</v>
      </c>
      <c r="G885" s="0" t="str">
        <f aca="false">IFERROR(INDEX(Location_Map!$B$2:$B$15,MATCH(D885,Location_Map!$A$2:$A$15,0)),"UNMAPPED")</f>
        <v>Uttarakhand</v>
      </c>
      <c r="H885" s="0" t="str">
        <f aca="false">IFERROR(INDEX(Location_Map!$C$2:$C$15,MATCH(D885,Location_Map!$A$2:$A$15,0)),"UNMAPPED")</f>
        <v>North</v>
      </c>
      <c r="I885" s="0" t="str">
        <f aca="false">Raw!E885</f>
        <v>Semi-Processed Yarn</v>
      </c>
      <c r="J885" s="28" t="n">
        <f aca="false">Raw!F885</f>
        <v>16.19</v>
      </c>
      <c r="K885" s="30" t="n">
        <f aca="false">DATE(LEFT(Raw!G885,4),MID(Raw!G885,6,2),MID(Raw!G885,9,2))</f>
        <v>45927</v>
      </c>
      <c r="L885" s="30" t="n">
        <f aca="false">DATE(LEFT(Raw!H885,4),MID(Raw!H885,6,2),MID(Raw!H885,9,2))</f>
        <v>45931</v>
      </c>
      <c r="M885" s="30" t="n">
        <f aca="false">DATE(LEFT(Raw!I885,4),MID(Raw!I885,6,2),MID(Raw!I885,9,2))</f>
        <v>45935</v>
      </c>
      <c r="N885" s="31" t="n">
        <f aca="false">DATE(LEFT(Raw!J885,4),MID(Raw!J885,6,2),MID(Raw!J885,9,2))+TIME(MID(Raw!J885,12,2),MID(Raw!J885,15,2),MID(Raw!J885,18,2))</f>
        <v>45930.7916666667</v>
      </c>
      <c r="O885" s="31" t="n">
        <f aca="false">DATE(LEFT(Raw!K885,4),MID(Raw!K885,6,2),MID(Raw!K885,9,2))+TIME(MID(Raw!K885,12,2),MID(Raw!K885,15,2),MID(Raw!K885,18,2))</f>
        <v>45939.3</v>
      </c>
      <c r="P885" s="32" t="n">
        <f aca="false">L885-K885</f>
        <v>4</v>
      </c>
      <c r="Q885" s="32" t="n">
        <f aca="false">M885-L885</f>
        <v>4</v>
      </c>
      <c r="R885" s="32" t="n">
        <f aca="false">O885-N885</f>
        <v>8.50833333333333</v>
      </c>
      <c r="S885" s="32" t="n">
        <f aca="false">Raw!L885</f>
        <v>4.3</v>
      </c>
      <c r="T885" s="32" t="n">
        <f aca="false">O885-M885</f>
        <v>4.3</v>
      </c>
      <c r="U885" s="0" t="str">
        <f aca="false">IF(ABS(T885-S885)&lt;0.01,"OK","MISMATCH")</f>
        <v>OK</v>
      </c>
      <c r="V885" s="33" t="n">
        <f aca="false">Raw!M885</f>
        <v>1</v>
      </c>
      <c r="W885" s="0" t="str">
        <f aca="false">IF((S885&gt;0)=(V885=1),"OK","MISMATCH")</f>
        <v>OK</v>
      </c>
      <c r="X885" s="0" t="str">
        <f aca="false">_xlfn.IFS(S885&lt;=0,"Early/On time",S885&lt;=2,"Minor (up to 2 days)",S885&lt;=5,"Moderate (2-5 days)",TRUE(),"Severe (over 5 days)")</f>
        <v>Moderate (2-5 days)</v>
      </c>
      <c r="Y885" s="0" t="str">
        <f aca="false">YEAR(K885)&amp;"-"&amp;TEXT(MONTH(K885),"00")</f>
        <v>2025-09</v>
      </c>
      <c r="Z885" s="0" t="str">
        <f aca="false">C885&amp;" → "&amp;D885</f>
        <v>Surat → Uttarakhand</v>
      </c>
      <c r="AA885" s="0" t="str">
        <f aca="false">Raw!Q885</f>
        <v>VRL Cargo</v>
      </c>
      <c r="AB885" s="0" t="str">
        <f aca="false">Raw!R885</f>
        <v>Yes</v>
      </c>
      <c r="AC885" s="0" t="str">
        <f aca="false">Raw!S885</f>
        <v>Returned</v>
      </c>
      <c r="AD885" s="29" t="n">
        <f aca="false">Raw!N885</f>
        <v>13446.23</v>
      </c>
      <c r="AE885" s="29" t="n">
        <f aca="false">Raw!O885</f>
        <v>3222.47</v>
      </c>
      <c r="AF885" s="29" t="n">
        <f aca="false">Raw!P885</f>
        <v>670.14</v>
      </c>
      <c r="AG885" s="29" t="n">
        <f aca="false">AD885/J885</f>
        <v>830.526868437307</v>
      </c>
    </row>
    <row r="886" customFormat="false" ht="15" hidden="false" customHeight="false" outlineLevel="0" collapsed="false">
      <c r="A886" s="0" t="str">
        <f aca="false">Raw!A886</f>
        <v>SHP0885</v>
      </c>
      <c r="B886" s="0" t="str">
        <f aca="false">Raw!B886</f>
        <v>Outbound</v>
      </c>
      <c r="C886" s="0" t="str">
        <f aca="false">Raw!C886</f>
        <v>Surat</v>
      </c>
      <c r="D886" s="0" t="str">
        <f aca="false">Raw!D886</f>
        <v>Assam</v>
      </c>
      <c r="E886" s="0" t="str">
        <f aca="false">IFERROR(INDEX(Location_Map!$B$2:$B$15,MATCH(C886,Location_Map!$A$2:$A$15,0)),"UNMAPPED")</f>
        <v>Gujarat</v>
      </c>
      <c r="F886" s="0" t="str">
        <f aca="false">IFERROR(INDEX(Location_Map!$C$2:$C$15,MATCH(C886,Location_Map!$A$2:$A$15,0)),"UNMAPPED")</f>
        <v>West</v>
      </c>
      <c r="G886" s="0" t="str">
        <f aca="false">IFERROR(INDEX(Location_Map!$B$2:$B$15,MATCH(D886,Location_Map!$A$2:$A$15,0)),"UNMAPPED")</f>
        <v>Assam</v>
      </c>
      <c r="H886" s="0" t="str">
        <f aca="false">IFERROR(INDEX(Location_Map!$C$2:$C$15,MATCH(D886,Location_Map!$A$2:$A$15,0)),"UNMAPPED")</f>
        <v>North-East</v>
      </c>
      <c r="I886" s="0" t="str">
        <f aca="false">Raw!E886</f>
        <v>Finished Yarn</v>
      </c>
      <c r="J886" s="28" t="n">
        <f aca="false">Raw!F886</f>
        <v>7.01</v>
      </c>
      <c r="K886" s="30" t="n">
        <f aca="false">DATE(LEFT(Raw!G886,4),MID(Raw!G886,6,2),MID(Raw!G886,9,2))</f>
        <v>45785</v>
      </c>
      <c r="L886" s="30" t="n">
        <f aca="false">DATE(LEFT(Raw!H886,4),MID(Raw!H886,6,2),MID(Raw!H886,9,2))</f>
        <v>45787</v>
      </c>
      <c r="M886" s="30" t="n">
        <f aca="false">DATE(LEFT(Raw!I886,4),MID(Raw!I886,6,2),MID(Raw!I886,9,2))</f>
        <v>45790</v>
      </c>
      <c r="N886" s="31" t="n">
        <f aca="false">DATE(LEFT(Raw!J886,4),MID(Raw!J886,6,2),MID(Raw!J886,9,2))+TIME(MID(Raw!J886,12,2),MID(Raw!J886,15,2),MID(Raw!J886,18,2))</f>
        <v>45787</v>
      </c>
      <c r="O886" s="31" t="n">
        <f aca="false">DATE(LEFT(Raw!K886,4),MID(Raw!K886,6,2),MID(Raw!K886,9,2))+TIME(MID(Raw!K886,12,2),MID(Raw!K886,15,2),MID(Raw!K886,18,2))</f>
        <v>45795.8</v>
      </c>
      <c r="P886" s="32" t="n">
        <f aca="false">L886-K886</f>
        <v>2</v>
      </c>
      <c r="Q886" s="32" t="n">
        <f aca="false">M886-L886</f>
        <v>3</v>
      </c>
      <c r="R886" s="32" t="n">
        <f aca="false">O886-N886</f>
        <v>8.8</v>
      </c>
      <c r="S886" s="32" t="n">
        <f aca="false">Raw!L886</f>
        <v>5.8</v>
      </c>
      <c r="T886" s="32" t="n">
        <f aca="false">O886-M886</f>
        <v>5.8</v>
      </c>
      <c r="U886" s="0" t="str">
        <f aca="false">IF(ABS(T886-S886)&lt;0.01,"OK","MISMATCH")</f>
        <v>OK</v>
      </c>
      <c r="V886" s="33" t="n">
        <f aca="false">Raw!M886</f>
        <v>1</v>
      </c>
      <c r="W886" s="0" t="str">
        <f aca="false">IF((S886&gt;0)=(V886=1),"OK","MISMATCH")</f>
        <v>OK</v>
      </c>
      <c r="X886" s="0" t="str">
        <f aca="false">_xlfn.IFS(S886&lt;=0,"Early/On time",S886&lt;=2,"Minor (up to 2 days)",S886&lt;=5,"Moderate (2-5 days)",TRUE(),"Severe (over 5 days)")</f>
        <v>Severe (over 5 days)</v>
      </c>
      <c r="Y886" s="0" t="str">
        <f aca="false">YEAR(K886)&amp;"-"&amp;TEXT(MONTH(K886),"00")</f>
        <v>2025-05</v>
      </c>
      <c r="Z886" s="0" t="str">
        <f aca="false">C886&amp;" → "&amp;D886</f>
        <v>Surat → Assam</v>
      </c>
      <c r="AA886" s="0" t="str">
        <f aca="false">Raw!Q886</f>
        <v>Delhivery</v>
      </c>
      <c r="AB886" s="0" t="str">
        <f aca="false">Raw!R886</f>
        <v>No</v>
      </c>
      <c r="AC886" s="0" t="str">
        <f aca="false">Raw!S886</f>
        <v>Normal</v>
      </c>
      <c r="AD886" s="29" t="n">
        <f aca="false">Raw!N886</f>
        <v>2925.07</v>
      </c>
      <c r="AE886" s="29" t="n">
        <f aca="false">Raw!O886</f>
        <v>4663.77</v>
      </c>
      <c r="AF886" s="29" t="n">
        <f aca="false">Raw!P886</f>
        <v>787.93</v>
      </c>
      <c r="AG886" s="29" t="n">
        <f aca="false">AD886/J886</f>
        <v>417.271041369472</v>
      </c>
    </row>
    <row r="887" customFormat="false" ht="15" hidden="false" customHeight="false" outlineLevel="0" collapsed="false">
      <c r="A887" s="0" t="str">
        <f aca="false">Raw!A887</f>
        <v>SHP0886</v>
      </c>
      <c r="B887" s="0" t="str">
        <f aca="false">Raw!B887</f>
        <v>Outbound</v>
      </c>
      <c r="C887" s="0" t="str">
        <f aca="false">Raw!C887</f>
        <v>Surat</v>
      </c>
      <c r="D887" s="0" t="str">
        <f aca="false">Raw!D887</f>
        <v>West Bengal</v>
      </c>
      <c r="E887" s="0" t="str">
        <f aca="false">IFERROR(INDEX(Location_Map!$B$2:$B$15,MATCH(C887,Location_Map!$A$2:$A$15,0)),"UNMAPPED")</f>
        <v>Gujarat</v>
      </c>
      <c r="F887" s="0" t="str">
        <f aca="false">IFERROR(INDEX(Location_Map!$C$2:$C$15,MATCH(C887,Location_Map!$A$2:$A$15,0)),"UNMAPPED")</f>
        <v>West</v>
      </c>
      <c r="G887" s="0" t="str">
        <f aca="false">IFERROR(INDEX(Location_Map!$B$2:$B$15,MATCH(D887,Location_Map!$A$2:$A$15,0)),"UNMAPPED")</f>
        <v>West Bengal</v>
      </c>
      <c r="H887" s="0" t="str">
        <f aca="false">IFERROR(INDEX(Location_Map!$C$2:$C$15,MATCH(D887,Location_Map!$A$2:$A$15,0)),"UNMAPPED")</f>
        <v>East</v>
      </c>
      <c r="I887" s="0" t="str">
        <f aca="false">Raw!E887</f>
        <v>Finished Yarn</v>
      </c>
      <c r="J887" s="28" t="n">
        <f aca="false">Raw!F887</f>
        <v>4.52</v>
      </c>
      <c r="K887" s="30" t="n">
        <f aca="false">DATE(LEFT(Raw!G887,4),MID(Raw!G887,6,2),MID(Raw!G887,9,2))</f>
        <v>45853</v>
      </c>
      <c r="L887" s="30" t="n">
        <f aca="false">DATE(LEFT(Raw!H887,4),MID(Raw!H887,6,2),MID(Raw!H887,9,2))</f>
        <v>45856</v>
      </c>
      <c r="M887" s="30" t="n">
        <f aca="false">DATE(LEFT(Raw!I887,4),MID(Raw!I887,6,2),MID(Raw!I887,9,2))</f>
        <v>45859</v>
      </c>
      <c r="N887" s="31" t="n">
        <f aca="false">DATE(LEFT(Raw!J887,4),MID(Raw!J887,6,2),MID(Raw!J887,9,2))+TIME(MID(Raw!J887,12,2),MID(Raw!J887,15,2),MID(Raw!J887,18,2))</f>
        <v>45856.0416666667</v>
      </c>
      <c r="O887" s="31" t="n">
        <f aca="false">DATE(LEFT(Raw!K887,4),MID(Raw!K887,6,2),MID(Raw!K887,9,2))+TIME(MID(Raw!K887,12,2),MID(Raw!K887,15,2),MID(Raw!K887,18,2))</f>
        <v>45864.2</v>
      </c>
      <c r="P887" s="32" t="n">
        <f aca="false">L887-K887</f>
        <v>3</v>
      </c>
      <c r="Q887" s="32" t="n">
        <f aca="false">M887-L887</f>
        <v>3</v>
      </c>
      <c r="R887" s="32" t="n">
        <f aca="false">O887-N887</f>
        <v>8.15833333333333</v>
      </c>
      <c r="S887" s="32" t="n">
        <f aca="false">Raw!L887</f>
        <v>5.2</v>
      </c>
      <c r="T887" s="32" t="n">
        <f aca="false">O887-M887</f>
        <v>5.2</v>
      </c>
      <c r="U887" s="0" t="str">
        <f aca="false">IF(ABS(T887-S887)&lt;0.01,"OK","MISMATCH")</f>
        <v>OK</v>
      </c>
      <c r="V887" s="33" t="n">
        <f aca="false">Raw!M887</f>
        <v>1</v>
      </c>
      <c r="W887" s="0" t="str">
        <f aca="false">IF((S887&gt;0)=(V887=1),"OK","MISMATCH")</f>
        <v>OK</v>
      </c>
      <c r="X887" s="0" t="str">
        <f aca="false">_xlfn.IFS(S887&lt;=0,"Early/On time",S887&lt;=2,"Minor (up to 2 days)",S887&lt;=5,"Moderate (2-5 days)",TRUE(),"Severe (over 5 days)")</f>
        <v>Severe (over 5 days)</v>
      </c>
      <c r="Y887" s="0" t="str">
        <f aca="false">YEAR(K887)&amp;"-"&amp;TEXT(MONTH(K887),"00")</f>
        <v>2025-07</v>
      </c>
      <c r="Z887" s="0" t="str">
        <f aca="false">C887&amp;" → "&amp;D887</f>
        <v>Surat → West Bengal</v>
      </c>
      <c r="AA887" s="0" t="str">
        <f aca="false">Raw!Q887</f>
        <v>TCI Express</v>
      </c>
      <c r="AB887" s="0" t="str">
        <f aca="false">Raw!R887</f>
        <v>No</v>
      </c>
      <c r="AC887" s="0" t="str">
        <f aca="false">Raw!S887</f>
        <v>Normal</v>
      </c>
      <c r="AD887" s="29" t="n">
        <f aca="false">Raw!N887</f>
        <v>2282.17</v>
      </c>
      <c r="AE887" s="29" t="n">
        <f aca="false">Raw!O887</f>
        <v>4823.68</v>
      </c>
      <c r="AF887" s="29" t="n">
        <f aca="false">Raw!P887</f>
        <v>1423.3</v>
      </c>
      <c r="AG887" s="29" t="n">
        <f aca="false">AD887/J887</f>
        <v>504.904867256637</v>
      </c>
    </row>
    <row r="888" customFormat="false" ht="15" hidden="false" customHeight="false" outlineLevel="0" collapsed="false">
      <c r="A888" s="0" t="str">
        <f aca="false">Raw!A888</f>
        <v>SHP0887</v>
      </c>
      <c r="B888" s="0" t="str">
        <f aca="false">Raw!B888</f>
        <v>Inbound</v>
      </c>
      <c r="C888" s="0" t="str">
        <f aca="false">Raw!C888</f>
        <v>Chennai</v>
      </c>
      <c r="D888" s="0" t="str">
        <f aca="false">Raw!D888</f>
        <v>Surat</v>
      </c>
      <c r="E888" s="0" t="str">
        <f aca="false">IFERROR(INDEX(Location_Map!$B$2:$B$15,MATCH(C888,Location_Map!$A$2:$A$15,0)),"UNMAPPED")</f>
        <v>Tamil Nadu</v>
      </c>
      <c r="F888" s="0" t="str">
        <f aca="false">IFERROR(INDEX(Location_Map!$C$2:$C$15,MATCH(C888,Location_Map!$A$2:$A$15,0)),"UNMAPPED")</f>
        <v>South</v>
      </c>
      <c r="G888" s="0" t="str">
        <f aca="false">IFERROR(INDEX(Location_Map!$B$2:$B$15,MATCH(D888,Location_Map!$A$2:$A$15,0)),"UNMAPPED")</f>
        <v>Gujarat</v>
      </c>
      <c r="H888" s="0" t="str">
        <f aca="false">IFERROR(INDEX(Location_Map!$C$2:$C$15,MATCH(D888,Location_Map!$A$2:$A$15,0)),"UNMAPPED")</f>
        <v>West</v>
      </c>
      <c r="I888" s="0" t="str">
        <f aca="false">Raw!E888</f>
        <v>Finished Yarn</v>
      </c>
      <c r="J888" s="28" t="n">
        <f aca="false">Raw!F888</f>
        <v>9.69</v>
      </c>
      <c r="K888" s="30" t="n">
        <f aca="false">DATE(LEFT(Raw!G888,4),MID(Raw!G888,6,2),MID(Raw!G888,9,2))</f>
        <v>45911</v>
      </c>
      <c r="L888" s="30" t="n">
        <f aca="false">DATE(LEFT(Raw!H888,4),MID(Raw!H888,6,2),MID(Raw!H888,9,2))</f>
        <v>45913</v>
      </c>
      <c r="M888" s="30" t="n">
        <f aca="false">DATE(LEFT(Raw!I888,4),MID(Raw!I888,6,2),MID(Raw!I888,9,2))</f>
        <v>45919</v>
      </c>
      <c r="N888" s="31" t="n">
        <f aca="false">DATE(LEFT(Raw!J888,4),MID(Raw!J888,6,2),MID(Raw!J888,9,2))+TIME(MID(Raw!J888,12,2),MID(Raw!J888,15,2),MID(Raw!J888,18,2))</f>
        <v>45913.1666666667</v>
      </c>
      <c r="O888" s="31" t="n">
        <f aca="false">DATE(LEFT(Raw!K888,4),MID(Raw!K888,6,2),MID(Raw!K888,9,2))+TIME(MID(Raw!K888,12,2),MID(Raw!K888,15,2),MID(Raw!K888,18,2))</f>
        <v>45918.7</v>
      </c>
      <c r="P888" s="32" t="n">
        <f aca="false">L888-K888</f>
        <v>2</v>
      </c>
      <c r="Q888" s="32" t="n">
        <f aca="false">M888-L888</f>
        <v>6</v>
      </c>
      <c r="R888" s="32" t="n">
        <f aca="false">O888-N888</f>
        <v>5.53333333333333</v>
      </c>
      <c r="S888" s="32" t="n">
        <f aca="false">Raw!L888</f>
        <v>-0.3</v>
      </c>
      <c r="T888" s="32" t="n">
        <f aca="false">O888-M888</f>
        <v>-0.300000000005833</v>
      </c>
      <c r="U888" s="0" t="str">
        <f aca="false">IF(ABS(T888-S888)&lt;0.01,"OK","MISMATCH")</f>
        <v>OK</v>
      </c>
      <c r="V888" s="33" t="n">
        <f aca="false">Raw!M888</f>
        <v>0</v>
      </c>
      <c r="W888" s="0" t="str">
        <f aca="false">IF((S888&gt;0)=(V888=1),"OK","MISMATCH")</f>
        <v>OK</v>
      </c>
      <c r="X888" s="0" t="str">
        <f aca="false">_xlfn.IFS(S888&lt;=0,"Early/On time",S888&lt;=2,"Minor (up to 2 days)",S888&lt;=5,"Moderate (2-5 days)",TRUE(),"Severe (over 5 days)")</f>
        <v>Early/On time</v>
      </c>
      <c r="Y888" s="0" t="str">
        <f aca="false">YEAR(K888)&amp;"-"&amp;TEXT(MONTH(K888),"00")</f>
        <v>2025-09</v>
      </c>
      <c r="Z888" s="0" t="str">
        <f aca="false">C888&amp;" → "&amp;D888</f>
        <v>Chennai → Surat</v>
      </c>
      <c r="AA888" s="0" t="str">
        <f aca="false">Raw!Q888</f>
        <v>TCI Express</v>
      </c>
      <c r="AB888" s="0" t="str">
        <f aca="false">Raw!R888</f>
        <v>No</v>
      </c>
      <c r="AC888" s="0" t="str">
        <f aca="false">Raw!S888</f>
        <v>Expedited</v>
      </c>
      <c r="AD888" s="29" t="n">
        <f aca="false">Raw!N888</f>
        <v>3336.44</v>
      </c>
      <c r="AE888" s="29" t="n">
        <f aca="false">Raw!O888</f>
        <v>4125.42</v>
      </c>
      <c r="AF888" s="29" t="n">
        <f aca="false">Raw!P888</f>
        <v>1180.05</v>
      </c>
      <c r="AG888" s="29" t="n">
        <f aca="false">AD888/J888</f>
        <v>344.317853457172</v>
      </c>
    </row>
    <row r="889" customFormat="false" ht="15" hidden="false" customHeight="false" outlineLevel="0" collapsed="false">
      <c r="A889" s="0" t="str">
        <f aca="false">Raw!A889</f>
        <v>SHP0888</v>
      </c>
      <c r="B889" s="0" t="str">
        <f aca="false">Raw!B889</f>
        <v>Inbound</v>
      </c>
      <c r="C889" s="0" t="str">
        <f aca="false">Raw!C889</f>
        <v>Uttar Pradesh</v>
      </c>
      <c r="D889" s="0" t="str">
        <f aca="false">Raw!D889</f>
        <v>Surat</v>
      </c>
      <c r="E889" s="0" t="str">
        <f aca="false">IFERROR(INDEX(Location_Map!$B$2:$B$15,MATCH(C889,Location_Map!$A$2:$A$15,0)),"UNMAPPED")</f>
        <v>Uttar Pradesh</v>
      </c>
      <c r="F889" s="0" t="str">
        <f aca="false">IFERROR(INDEX(Location_Map!$C$2:$C$15,MATCH(C889,Location_Map!$A$2:$A$15,0)),"UNMAPPED")</f>
        <v>North</v>
      </c>
      <c r="G889" s="0" t="str">
        <f aca="false">IFERROR(INDEX(Location_Map!$B$2:$B$15,MATCH(D889,Location_Map!$A$2:$A$15,0)),"UNMAPPED")</f>
        <v>Gujarat</v>
      </c>
      <c r="H889" s="0" t="str">
        <f aca="false">IFERROR(INDEX(Location_Map!$C$2:$C$15,MATCH(D889,Location_Map!$A$2:$A$15,0)),"UNMAPPED")</f>
        <v>West</v>
      </c>
      <c r="I889" s="0" t="str">
        <f aca="false">Raw!E889</f>
        <v>Semi-Processed Yarn</v>
      </c>
      <c r="J889" s="28" t="n">
        <f aca="false">Raw!F889</f>
        <v>13.07</v>
      </c>
      <c r="K889" s="30" t="n">
        <f aca="false">DATE(LEFT(Raw!G889,4),MID(Raw!G889,6,2),MID(Raw!G889,9,2))</f>
        <v>45930</v>
      </c>
      <c r="L889" s="30" t="n">
        <f aca="false">DATE(LEFT(Raw!H889,4),MID(Raw!H889,6,2),MID(Raw!H889,9,2))</f>
        <v>45931</v>
      </c>
      <c r="M889" s="30" t="n">
        <f aca="false">DATE(LEFT(Raw!I889,4),MID(Raw!I889,6,2),MID(Raw!I889,9,2))</f>
        <v>45933</v>
      </c>
      <c r="N889" s="31" t="n">
        <f aca="false">DATE(LEFT(Raw!J889,4),MID(Raw!J889,6,2),MID(Raw!J889,9,2))+TIME(MID(Raw!J889,12,2),MID(Raw!J889,15,2),MID(Raw!J889,18,2))</f>
        <v>45931.2083333333</v>
      </c>
      <c r="O889" s="31" t="n">
        <f aca="false">DATE(LEFT(Raw!K889,4),MID(Raw!K889,6,2),MID(Raw!K889,9,2))+TIME(MID(Raw!K889,12,2),MID(Raw!K889,15,2),MID(Raw!K889,18,2))</f>
        <v>45935.9</v>
      </c>
      <c r="P889" s="32" t="n">
        <f aca="false">L889-K889</f>
        <v>1</v>
      </c>
      <c r="Q889" s="32" t="n">
        <f aca="false">M889-L889</f>
        <v>2</v>
      </c>
      <c r="R889" s="32" t="n">
        <f aca="false">O889-N889</f>
        <v>4.69166666666667</v>
      </c>
      <c r="S889" s="32" t="n">
        <f aca="false">Raw!L889</f>
        <v>2.9</v>
      </c>
      <c r="T889" s="32" t="n">
        <f aca="false">O889-M889</f>
        <v>2.9</v>
      </c>
      <c r="U889" s="0" t="str">
        <f aca="false">IF(ABS(T889-S889)&lt;0.01,"OK","MISMATCH")</f>
        <v>OK</v>
      </c>
      <c r="V889" s="33" t="n">
        <f aca="false">Raw!M889</f>
        <v>1</v>
      </c>
      <c r="W889" s="0" t="str">
        <f aca="false">IF((S889&gt;0)=(V889=1),"OK","MISMATCH")</f>
        <v>OK</v>
      </c>
      <c r="X889" s="0" t="str">
        <f aca="false">_xlfn.IFS(S889&lt;=0,"Early/On time",S889&lt;=2,"Minor (up to 2 days)",S889&lt;=5,"Moderate (2-5 days)",TRUE(),"Severe (over 5 days)")</f>
        <v>Moderate (2-5 days)</v>
      </c>
      <c r="Y889" s="0" t="str">
        <f aca="false">YEAR(K889)&amp;"-"&amp;TEXT(MONTH(K889),"00")</f>
        <v>2025-09</v>
      </c>
      <c r="Z889" s="0" t="str">
        <f aca="false">C889&amp;" → "&amp;D889</f>
        <v>Uttar Pradesh → Surat</v>
      </c>
      <c r="AA889" s="0" t="str">
        <f aca="false">Raw!Q889</f>
        <v>BlueDart</v>
      </c>
      <c r="AB889" s="0" t="str">
        <f aca="false">Raw!R889</f>
        <v>No</v>
      </c>
      <c r="AC889" s="0" t="str">
        <f aca="false">Raw!S889</f>
        <v>Returned</v>
      </c>
      <c r="AD889" s="29" t="n">
        <f aca="false">Raw!N889</f>
        <v>7900.27</v>
      </c>
      <c r="AE889" s="29" t="n">
        <f aca="false">Raw!O889</f>
        <v>2295.58</v>
      </c>
      <c r="AF889" s="29" t="n">
        <f aca="false">Raw!P889</f>
        <v>636.25</v>
      </c>
      <c r="AG889" s="29" t="n">
        <f aca="false">AD889/J889</f>
        <v>604.458301453711</v>
      </c>
    </row>
    <row r="890" customFormat="false" ht="15" hidden="false" customHeight="false" outlineLevel="0" collapsed="false">
      <c r="A890" s="0" t="str">
        <f aca="false">Raw!A890</f>
        <v>SHP0889</v>
      </c>
      <c r="B890" s="0" t="str">
        <f aca="false">Raw!B890</f>
        <v>Outbound</v>
      </c>
      <c r="C890" s="0" t="str">
        <f aca="false">Raw!C890</f>
        <v>Surat</v>
      </c>
      <c r="D890" s="0" t="str">
        <f aca="false">Raw!D890</f>
        <v>West Bengal</v>
      </c>
      <c r="E890" s="0" t="str">
        <f aca="false">IFERROR(INDEX(Location_Map!$B$2:$B$15,MATCH(C890,Location_Map!$A$2:$A$15,0)),"UNMAPPED")</f>
        <v>Gujarat</v>
      </c>
      <c r="F890" s="0" t="str">
        <f aca="false">IFERROR(INDEX(Location_Map!$C$2:$C$15,MATCH(C890,Location_Map!$A$2:$A$15,0)),"UNMAPPED")</f>
        <v>West</v>
      </c>
      <c r="G890" s="0" t="str">
        <f aca="false">IFERROR(INDEX(Location_Map!$B$2:$B$15,MATCH(D890,Location_Map!$A$2:$A$15,0)),"UNMAPPED")</f>
        <v>West Bengal</v>
      </c>
      <c r="H890" s="0" t="str">
        <f aca="false">IFERROR(INDEX(Location_Map!$C$2:$C$15,MATCH(D890,Location_Map!$A$2:$A$15,0)),"UNMAPPED")</f>
        <v>East</v>
      </c>
      <c r="I890" s="0" t="str">
        <f aca="false">Raw!E890</f>
        <v>Semi-Processed Yarn</v>
      </c>
      <c r="J890" s="28" t="n">
        <f aca="false">Raw!F890</f>
        <v>17.86</v>
      </c>
      <c r="K890" s="30" t="n">
        <f aca="false">DATE(LEFT(Raw!G890,4),MID(Raw!G890,6,2),MID(Raw!G890,9,2))</f>
        <v>45799</v>
      </c>
      <c r="L890" s="30" t="n">
        <f aca="false">DATE(LEFT(Raw!H890,4),MID(Raw!H890,6,2),MID(Raw!H890,9,2))</f>
        <v>45803</v>
      </c>
      <c r="M890" s="30" t="n">
        <f aca="false">DATE(LEFT(Raw!I890,4),MID(Raw!I890,6,2),MID(Raw!I890,9,2))</f>
        <v>45808</v>
      </c>
      <c r="N890" s="31" t="n">
        <f aca="false">DATE(LEFT(Raw!J890,4),MID(Raw!J890,6,2),MID(Raw!J890,9,2))+TIME(MID(Raw!J890,12,2),MID(Raw!J890,15,2),MID(Raw!J890,18,2))</f>
        <v>45803.2083333333</v>
      </c>
      <c r="O890" s="31" t="n">
        <f aca="false">DATE(LEFT(Raw!K890,4),MID(Raw!K890,6,2),MID(Raw!K890,9,2))+TIME(MID(Raw!K890,12,2),MID(Raw!K890,15,2),MID(Raw!K890,18,2))</f>
        <v>45813.1</v>
      </c>
      <c r="P890" s="32" t="n">
        <f aca="false">L890-K890</f>
        <v>4</v>
      </c>
      <c r="Q890" s="32" t="n">
        <f aca="false">M890-L890</f>
        <v>5</v>
      </c>
      <c r="R890" s="32" t="n">
        <f aca="false">O890-N890</f>
        <v>9.89166666666667</v>
      </c>
      <c r="S890" s="32" t="n">
        <f aca="false">Raw!L890</f>
        <v>5.1</v>
      </c>
      <c r="T890" s="32" t="n">
        <f aca="false">O890-M890</f>
        <v>5.1</v>
      </c>
      <c r="U890" s="0" t="str">
        <f aca="false">IF(ABS(T890-S890)&lt;0.01,"OK","MISMATCH")</f>
        <v>OK</v>
      </c>
      <c r="V890" s="33" t="n">
        <f aca="false">Raw!M890</f>
        <v>1</v>
      </c>
      <c r="W890" s="0" t="str">
        <f aca="false">IF((S890&gt;0)=(V890=1),"OK","MISMATCH")</f>
        <v>OK</v>
      </c>
      <c r="X890" s="0" t="str">
        <f aca="false">_xlfn.IFS(S890&lt;=0,"Early/On time",S890&lt;=2,"Minor (up to 2 days)",S890&lt;=5,"Moderate (2-5 days)",TRUE(),"Severe (over 5 days)")</f>
        <v>Severe (over 5 days)</v>
      </c>
      <c r="Y890" s="0" t="str">
        <f aca="false">YEAR(K890)&amp;"-"&amp;TEXT(MONTH(K890),"00")</f>
        <v>2025-05</v>
      </c>
      <c r="Z890" s="0" t="str">
        <f aca="false">C890&amp;" → "&amp;D890</f>
        <v>Surat → West Bengal</v>
      </c>
      <c r="AA890" s="0" t="str">
        <f aca="false">Raw!Q890</f>
        <v>TCI Express</v>
      </c>
      <c r="AB890" s="0" t="str">
        <f aca="false">Raw!R890</f>
        <v>No</v>
      </c>
      <c r="AC890" s="0" t="str">
        <f aca="false">Raw!S890</f>
        <v>Held at warehouse</v>
      </c>
      <c r="AD890" s="29" t="n">
        <f aca="false">Raw!N890</f>
        <v>8028.59</v>
      </c>
      <c r="AE890" s="29" t="n">
        <f aca="false">Raw!O890</f>
        <v>4263.42</v>
      </c>
      <c r="AF890" s="29" t="n">
        <f aca="false">Raw!P890</f>
        <v>1302.56</v>
      </c>
      <c r="AG890" s="29" t="n">
        <f aca="false">AD890/J890</f>
        <v>449.529115341545</v>
      </c>
    </row>
    <row r="891" customFormat="false" ht="15" hidden="false" customHeight="false" outlineLevel="0" collapsed="false">
      <c r="A891" s="0" t="str">
        <f aca="false">Raw!A891</f>
        <v>SHP0890</v>
      </c>
      <c r="B891" s="0" t="str">
        <f aca="false">Raw!B891</f>
        <v>Outbound</v>
      </c>
      <c r="C891" s="0" t="str">
        <f aca="false">Raw!C891</f>
        <v>Surat</v>
      </c>
      <c r="D891" s="0" t="str">
        <f aca="false">Raw!D891</f>
        <v>Uttarakhand</v>
      </c>
      <c r="E891" s="0" t="str">
        <f aca="false">IFERROR(INDEX(Location_Map!$B$2:$B$15,MATCH(C891,Location_Map!$A$2:$A$15,0)),"UNMAPPED")</f>
        <v>Gujarat</v>
      </c>
      <c r="F891" s="0" t="str">
        <f aca="false">IFERROR(INDEX(Location_Map!$C$2:$C$15,MATCH(C891,Location_Map!$A$2:$A$15,0)),"UNMAPPED")</f>
        <v>West</v>
      </c>
      <c r="G891" s="0" t="str">
        <f aca="false">IFERROR(INDEX(Location_Map!$B$2:$B$15,MATCH(D891,Location_Map!$A$2:$A$15,0)),"UNMAPPED")</f>
        <v>Uttarakhand</v>
      </c>
      <c r="H891" s="0" t="str">
        <f aca="false">IFERROR(INDEX(Location_Map!$C$2:$C$15,MATCH(D891,Location_Map!$A$2:$A$15,0)),"UNMAPPED")</f>
        <v>North</v>
      </c>
      <c r="I891" s="0" t="str">
        <f aca="false">Raw!E891</f>
        <v>Raw Yarn</v>
      </c>
      <c r="J891" s="28" t="n">
        <f aca="false">Raw!F891</f>
        <v>17.07</v>
      </c>
      <c r="K891" s="30" t="n">
        <f aca="false">DATE(LEFT(Raw!G891,4),MID(Raw!G891,6,2),MID(Raw!G891,9,2))</f>
        <v>45692</v>
      </c>
      <c r="L891" s="30" t="n">
        <f aca="false">DATE(LEFT(Raw!H891,4),MID(Raw!H891,6,2),MID(Raw!H891,9,2))</f>
        <v>45696</v>
      </c>
      <c r="M891" s="30" t="n">
        <f aca="false">DATE(LEFT(Raw!I891,4),MID(Raw!I891,6,2),MID(Raw!I891,9,2))</f>
        <v>45702</v>
      </c>
      <c r="N891" s="31" t="n">
        <f aca="false">DATE(LEFT(Raw!J891,4),MID(Raw!J891,6,2),MID(Raw!J891,9,2))+TIME(MID(Raw!J891,12,2),MID(Raw!J891,15,2),MID(Raw!J891,18,2))</f>
        <v>45696.2916666667</v>
      </c>
      <c r="O891" s="31" t="n">
        <f aca="false">DATE(LEFT(Raw!K891,4),MID(Raw!K891,6,2),MID(Raw!K891,9,2))+TIME(MID(Raw!K891,12,2),MID(Raw!K891,15,2),MID(Raw!K891,18,2))</f>
        <v>45705.8</v>
      </c>
      <c r="P891" s="32" t="n">
        <f aca="false">L891-K891</f>
        <v>4</v>
      </c>
      <c r="Q891" s="32" t="n">
        <f aca="false">M891-L891</f>
        <v>6</v>
      </c>
      <c r="R891" s="32" t="n">
        <f aca="false">O891-N891</f>
        <v>9.50833333333333</v>
      </c>
      <c r="S891" s="32" t="n">
        <f aca="false">Raw!L891</f>
        <v>3.8</v>
      </c>
      <c r="T891" s="32" t="n">
        <f aca="false">O891-M891</f>
        <v>3.8</v>
      </c>
      <c r="U891" s="0" t="str">
        <f aca="false">IF(ABS(T891-S891)&lt;0.01,"OK","MISMATCH")</f>
        <v>OK</v>
      </c>
      <c r="V891" s="33" t="n">
        <f aca="false">Raw!M891</f>
        <v>1</v>
      </c>
      <c r="W891" s="0" t="str">
        <f aca="false">IF((S891&gt;0)=(V891=1),"OK","MISMATCH")</f>
        <v>OK</v>
      </c>
      <c r="X891" s="0" t="str">
        <f aca="false">_xlfn.IFS(S891&lt;=0,"Early/On time",S891&lt;=2,"Minor (up to 2 days)",S891&lt;=5,"Moderate (2-5 days)",TRUE(),"Severe (over 5 days)")</f>
        <v>Moderate (2-5 days)</v>
      </c>
      <c r="Y891" s="0" t="str">
        <f aca="false">YEAR(K891)&amp;"-"&amp;TEXT(MONTH(K891),"00")</f>
        <v>2025-02</v>
      </c>
      <c r="Z891" s="0" t="str">
        <f aca="false">C891&amp;" → "&amp;D891</f>
        <v>Surat → Uttarakhand</v>
      </c>
      <c r="AA891" s="0" t="str">
        <f aca="false">Raw!Q891</f>
        <v>TCI Express</v>
      </c>
      <c r="AB891" s="0" t="str">
        <f aca="false">Raw!R891</f>
        <v>No</v>
      </c>
      <c r="AC891" s="0" t="str">
        <f aca="false">Raw!S891</f>
        <v>Held at warehouse</v>
      </c>
      <c r="AD891" s="29" t="n">
        <f aca="false">Raw!N891</f>
        <v>5283.72</v>
      </c>
      <c r="AE891" s="29" t="n">
        <f aca="false">Raw!O891</f>
        <v>1668.22</v>
      </c>
      <c r="AF891" s="29" t="n">
        <f aca="false">Raw!P891</f>
        <v>1492.83</v>
      </c>
      <c r="AG891" s="29" t="n">
        <f aca="false">AD891/J891</f>
        <v>309.532513181019</v>
      </c>
    </row>
    <row r="892" customFormat="false" ht="15" hidden="false" customHeight="false" outlineLevel="0" collapsed="false">
      <c r="A892" s="0" t="str">
        <f aca="false">Raw!A892</f>
        <v>SHP0891</v>
      </c>
      <c r="B892" s="0" t="str">
        <f aca="false">Raw!B892</f>
        <v>Outbound</v>
      </c>
      <c r="C892" s="0" t="str">
        <f aca="false">Raw!C892</f>
        <v>Surat</v>
      </c>
      <c r="D892" s="0" t="str">
        <f aca="false">Raw!D892</f>
        <v>Jaipur</v>
      </c>
      <c r="E892" s="0" t="str">
        <f aca="false">IFERROR(INDEX(Location_Map!$B$2:$B$15,MATCH(C892,Location_Map!$A$2:$A$15,0)),"UNMAPPED")</f>
        <v>Gujarat</v>
      </c>
      <c r="F892" s="0" t="str">
        <f aca="false">IFERROR(INDEX(Location_Map!$C$2:$C$15,MATCH(C892,Location_Map!$A$2:$A$15,0)),"UNMAPPED")</f>
        <v>West</v>
      </c>
      <c r="G892" s="0" t="str">
        <f aca="false">IFERROR(INDEX(Location_Map!$B$2:$B$15,MATCH(D892,Location_Map!$A$2:$A$15,0)),"UNMAPPED")</f>
        <v>Rajasthan</v>
      </c>
      <c r="H892" s="0" t="str">
        <f aca="false">IFERROR(INDEX(Location_Map!$C$2:$C$15,MATCH(D892,Location_Map!$A$2:$A$15,0)),"UNMAPPED")</f>
        <v>North</v>
      </c>
      <c r="I892" s="0" t="str">
        <f aca="false">Raw!E892</f>
        <v>Semi-Processed Yarn</v>
      </c>
      <c r="J892" s="28" t="n">
        <f aca="false">Raw!F892</f>
        <v>11.7</v>
      </c>
      <c r="K892" s="30" t="n">
        <f aca="false">DATE(LEFT(Raw!G892,4),MID(Raw!G892,6,2),MID(Raw!G892,9,2))</f>
        <v>45764</v>
      </c>
      <c r="L892" s="30" t="n">
        <f aca="false">DATE(LEFT(Raw!H892,4),MID(Raw!H892,6,2),MID(Raw!H892,9,2))</f>
        <v>45766</v>
      </c>
      <c r="M892" s="30" t="n">
        <f aca="false">DATE(LEFT(Raw!I892,4),MID(Raw!I892,6,2),MID(Raw!I892,9,2))</f>
        <v>45772</v>
      </c>
      <c r="N892" s="31" t="n">
        <f aca="false">DATE(LEFT(Raw!J892,4),MID(Raw!J892,6,2),MID(Raw!J892,9,2))+TIME(MID(Raw!J892,12,2),MID(Raw!J892,15,2),MID(Raw!J892,18,2))</f>
        <v>45766.125</v>
      </c>
      <c r="O892" s="31" t="n">
        <f aca="false">DATE(LEFT(Raw!K892,4),MID(Raw!K892,6,2),MID(Raw!K892,9,2))+TIME(MID(Raw!K892,12,2),MID(Raw!K892,15,2),MID(Raw!K892,18,2))</f>
        <v>45771.3</v>
      </c>
      <c r="P892" s="32" t="n">
        <f aca="false">L892-K892</f>
        <v>2</v>
      </c>
      <c r="Q892" s="32" t="n">
        <f aca="false">M892-L892</f>
        <v>6</v>
      </c>
      <c r="R892" s="32" t="n">
        <f aca="false">O892-N892</f>
        <v>5.175</v>
      </c>
      <c r="S892" s="32" t="n">
        <f aca="false">Raw!L892</f>
        <v>-0.7</v>
      </c>
      <c r="T892" s="32" t="n">
        <f aca="false">O892-M892</f>
        <v>-0.7</v>
      </c>
      <c r="U892" s="0" t="str">
        <f aca="false">IF(ABS(T892-S892)&lt;0.01,"OK","MISMATCH")</f>
        <v>OK</v>
      </c>
      <c r="V892" s="33" t="n">
        <f aca="false">Raw!M892</f>
        <v>0</v>
      </c>
      <c r="W892" s="0" t="str">
        <f aca="false">IF((S892&gt;0)=(V892=1),"OK","MISMATCH")</f>
        <v>OK</v>
      </c>
      <c r="X892" s="0" t="str">
        <f aca="false">_xlfn.IFS(S892&lt;=0,"Early/On time",S892&lt;=2,"Minor (up to 2 days)",S892&lt;=5,"Moderate (2-5 days)",TRUE(),"Severe (over 5 days)")</f>
        <v>Early/On time</v>
      </c>
      <c r="Y892" s="0" t="str">
        <f aca="false">YEAR(K892)&amp;"-"&amp;TEXT(MONTH(K892),"00")</f>
        <v>2025-04</v>
      </c>
      <c r="Z892" s="0" t="str">
        <f aca="false">C892&amp;" → "&amp;D892</f>
        <v>Surat → Jaipur</v>
      </c>
      <c r="AA892" s="0" t="str">
        <f aca="false">Raw!Q892</f>
        <v>GATI Logistics</v>
      </c>
      <c r="AB892" s="0" t="str">
        <f aca="false">Raw!R892</f>
        <v>Yes</v>
      </c>
      <c r="AC892" s="0" t="str">
        <f aca="false">Raw!S892</f>
        <v>Held at warehouse</v>
      </c>
      <c r="AD892" s="29" t="n">
        <f aca="false">Raw!N892</f>
        <v>7997.92</v>
      </c>
      <c r="AE892" s="29" t="n">
        <f aca="false">Raw!O892</f>
        <v>2941.12</v>
      </c>
      <c r="AF892" s="29" t="n">
        <f aca="false">Raw!P892</f>
        <v>1042.03</v>
      </c>
      <c r="AG892" s="29" t="n">
        <f aca="false">AD892/J892</f>
        <v>683.582905982906</v>
      </c>
    </row>
    <row r="893" customFormat="false" ht="15" hidden="false" customHeight="false" outlineLevel="0" collapsed="false">
      <c r="A893" s="0" t="str">
        <f aca="false">Raw!A893</f>
        <v>SHP0892</v>
      </c>
      <c r="B893" s="0" t="str">
        <f aca="false">Raw!B893</f>
        <v>Inbound</v>
      </c>
      <c r="C893" s="0" t="str">
        <f aca="false">Raw!C893</f>
        <v>Uttar Pradesh</v>
      </c>
      <c r="D893" s="0" t="str">
        <f aca="false">Raw!D893</f>
        <v>Surat</v>
      </c>
      <c r="E893" s="0" t="str">
        <f aca="false">IFERROR(INDEX(Location_Map!$B$2:$B$15,MATCH(C893,Location_Map!$A$2:$A$15,0)),"UNMAPPED")</f>
        <v>Uttar Pradesh</v>
      </c>
      <c r="F893" s="0" t="str">
        <f aca="false">IFERROR(INDEX(Location_Map!$C$2:$C$15,MATCH(C893,Location_Map!$A$2:$A$15,0)),"UNMAPPED")</f>
        <v>North</v>
      </c>
      <c r="G893" s="0" t="str">
        <f aca="false">IFERROR(INDEX(Location_Map!$B$2:$B$15,MATCH(D893,Location_Map!$A$2:$A$15,0)),"UNMAPPED")</f>
        <v>Gujarat</v>
      </c>
      <c r="H893" s="0" t="str">
        <f aca="false">IFERROR(INDEX(Location_Map!$C$2:$C$15,MATCH(D893,Location_Map!$A$2:$A$15,0)),"UNMAPPED")</f>
        <v>West</v>
      </c>
      <c r="I893" s="0" t="str">
        <f aca="false">Raw!E893</f>
        <v>Raw Yarn</v>
      </c>
      <c r="J893" s="28" t="n">
        <f aca="false">Raw!F893</f>
        <v>18.46</v>
      </c>
      <c r="K893" s="30" t="n">
        <f aca="false">DATE(LEFT(Raw!G893,4),MID(Raw!G893,6,2),MID(Raw!G893,9,2))</f>
        <v>45927</v>
      </c>
      <c r="L893" s="30" t="n">
        <f aca="false">DATE(LEFT(Raw!H893,4),MID(Raw!H893,6,2),MID(Raw!H893,9,2))</f>
        <v>45929</v>
      </c>
      <c r="M893" s="30" t="n">
        <f aca="false">DATE(LEFT(Raw!I893,4),MID(Raw!I893,6,2),MID(Raw!I893,9,2))</f>
        <v>45931</v>
      </c>
      <c r="N893" s="31" t="n">
        <f aca="false">DATE(LEFT(Raw!J893,4),MID(Raw!J893,6,2),MID(Raw!J893,9,2))+TIME(MID(Raw!J893,12,2),MID(Raw!J893,15,2),MID(Raw!J893,18,2))</f>
        <v>45929.25</v>
      </c>
      <c r="O893" s="31" t="n">
        <f aca="false">DATE(LEFT(Raw!K893,4),MID(Raw!K893,6,2),MID(Raw!K893,9,2))+TIME(MID(Raw!K893,12,2),MID(Raw!K893,15,2),MID(Raw!K893,18,2))</f>
        <v>45938.4</v>
      </c>
      <c r="P893" s="32" t="n">
        <f aca="false">L893-K893</f>
        <v>2</v>
      </c>
      <c r="Q893" s="32" t="n">
        <f aca="false">M893-L893</f>
        <v>2</v>
      </c>
      <c r="R893" s="32" t="n">
        <f aca="false">O893-N893</f>
        <v>9.15</v>
      </c>
      <c r="S893" s="32" t="n">
        <f aca="false">Raw!L893</f>
        <v>7.4</v>
      </c>
      <c r="T893" s="32" t="n">
        <f aca="false">O893-M893</f>
        <v>7.4</v>
      </c>
      <c r="U893" s="0" t="str">
        <f aca="false">IF(ABS(T893-S893)&lt;0.01,"OK","MISMATCH")</f>
        <v>OK</v>
      </c>
      <c r="V893" s="33" t="n">
        <f aca="false">Raw!M893</f>
        <v>1</v>
      </c>
      <c r="W893" s="0" t="str">
        <f aca="false">IF((S893&gt;0)=(V893=1),"OK","MISMATCH")</f>
        <v>OK</v>
      </c>
      <c r="X893" s="0" t="str">
        <f aca="false">_xlfn.IFS(S893&lt;=0,"Early/On time",S893&lt;=2,"Minor (up to 2 days)",S893&lt;=5,"Moderate (2-5 days)",TRUE(),"Severe (over 5 days)")</f>
        <v>Severe (over 5 days)</v>
      </c>
      <c r="Y893" s="0" t="str">
        <f aca="false">YEAR(K893)&amp;"-"&amp;TEXT(MONTH(K893),"00")</f>
        <v>2025-09</v>
      </c>
      <c r="Z893" s="0" t="str">
        <f aca="false">C893&amp;" → "&amp;D893</f>
        <v>Uttar Pradesh → Surat</v>
      </c>
      <c r="AA893" s="0" t="str">
        <f aca="false">Raw!Q893</f>
        <v>BlueDart</v>
      </c>
      <c r="AB893" s="0" t="str">
        <f aca="false">Raw!R893</f>
        <v>Yes</v>
      </c>
      <c r="AC893" s="0" t="str">
        <f aca="false">Raw!S893</f>
        <v>Held at warehouse</v>
      </c>
      <c r="AD893" s="29" t="n">
        <f aca="false">Raw!N893</f>
        <v>7360.09</v>
      </c>
      <c r="AE893" s="29" t="n">
        <f aca="false">Raw!O893</f>
        <v>2147.47</v>
      </c>
      <c r="AF893" s="29" t="n">
        <f aca="false">Raw!P893</f>
        <v>768.58</v>
      </c>
      <c r="AG893" s="29" t="n">
        <f aca="false">AD893/J893</f>
        <v>398.704767063922</v>
      </c>
    </row>
    <row r="894" customFormat="false" ht="15" hidden="false" customHeight="false" outlineLevel="0" collapsed="false">
      <c r="A894" s="0" t="str">
        <f aca="false">Raw!A894</f>
        <v>SHP0893</v>
      </c>
      <c r="B894" s="0" t="str">
        <f aca="false">Raw!B894</f>
        <v>Outbound</v>
      </c>
      <c r="C894" s="0" t="str">
        <f aca="false">Raw!C894</f>
        <v>Surat</v>
      </c>
      <c r="D894" s="0" t="str">
        <f aca="false">Raw!D894</f>
        <v>Gujarat</v>
      </c>
      <c r="E894" s="0" t="str">
        <f aca="false">IFERROR(INDEX(Location_Map!$B$2:$B$15,MATCH(C894,Location_Map!$A$2:$A$15,0)),"UNMAPPED")</f>
        <v>Gujarat</v>
      </c>
      <c r="F894" s="0" t="str">
        <f aca="false">IFERROR(INDEX(Location_Map!$C$2:$C$15,MATCH(C894,Location_Map!$A$2:$A$15,0)),"UNMAPPED")</f>
        <v>West</v>
      </c>
      <c r="G894" s="0" t="str">
        <f aca="false">IFERROR(INDEX(Location_Map!$B$2:$B$15,MATCH(D894,Location_Map!$A$2:$A$15,0)),"UNMAPPED")</f>
        <v>Gujarat</v>
      </c>
      <c r="H894" s="0" t="str">
        <f aca="false">IFERROR(INDEX(Location_Map!$C$2:$C$15,MATCH(D894,Location_Map!$A$2:$A$15,0)),"UNMAPPED")</f>
        <v>West</v>
      </c>
      <c r="I894" s="0" t="str">
        <f aca="false">Raw!E894</f>
        <v>Semi-Processed Yarn</v>
      </c>
      <c r="J894" s="28" t="n">
        <f aca="false">Raw!F894</f>
        <v>17.36</v>
      </c>
      <c r="K894" s="30" t="n">
        <f aca="false">DATE(LEFT(Raw!G894,4),MID(Raw!G894,6,2),MID(Raw!G894,9,2))</f>
        <v>45678</v>
      </c>
      <c r="L894" s="30" t="n">
        <f aca="false">DATE(LEFT(Raw!H894,4),MID(Raw!H894,6,2),MID(Raw!H894,9,2))</f>
        <v>45681</v>
      </c>
      <c r="M894" s="30" t="n">
        <f aca="false">DATE(LEFT(Raw!I894,4),MID(Raw!I894,6,2),MID(Raw!I894,9,2))</f>
        <v>45684</v>
      </c>
      <c r="N894" s="31" t="n">
        <f aca="false">DATE(LEFT(Raw!J894,4),MID(Raw!J894,6,2),MID(Raw!J894,9,2))+TIME(MID(Raw!J894,12,2),MID(Raw!J894,15,2),MID(Raw!J894,18,2))</f>
        <v>45681.25</v>
      </c>
      <c r="O894" s="31" t="n">
        <f aca="false">DATE(LEFT(Raw!K894,4),MID(Raw!K894,6,2),MID(Raw!K894,9,2))+TIME(MID(Raw!K894,12,2),MID(Raw!K894,15,2),MID(Raw!K894,18,2))</f>
        <v>45683</v>
      </c>
      <c r="P894" s="32" t="n">
        <f aca="false">L894-K894</f>
        <v>3</v>
      </c>
      <c r="Q894" s="32" t="n">
        <f aca="false">M894-L894</f>
        <v>3</v>
      </c>
      <c r="R894" s="32" t="n">
        <f aca="false">O894-N894</f>
        <v>1.75</v>
      </c>
      <c r="S894" s="32" t="n">
        <f aca="false">Raw!L894</f>
        <v>-1</v>
      </c>
      <c r="T894" s="32" t="n">
        <f aca="false">O894-M894</f>
        <v>-1</v>
      </c>
      <c r="U894" s="0" t="str">
        <f aca="false">IF(ABS(T894-S894)&lt;0.01,"OK","MISMATCH")</f>
        <v>OK</v>
      </c>
      <c r="V894" s="33" t="n">
        <f aca="false">Raw!M894</f>
        <v>0</v>
      </c>
      <c r="W894" s="0" t="str">
        <f aca="false">IF((S894&gt;0)=(V894=1),"OK","MISMATCH")</f>
        <v>OK</v>
      </c>
      <c r="X894" s="0" t="str">
        <f aca="false">_xlfn.IFS(S894&lt;=0,"Early/On time",S894&lt;=2,"Minor (up to 2 days)",S894&lt;=5,"Moderate (2-5 days)",TRUE(),"Severe (over 5 days)")</f>
        <v>Early/On time</v>
      </c>
      <c r="Y894" s="0" t="str">
        <f aca="false">YEAR(K894)&amp;"-"&amp;TEXT(MONTH(K894),"00")</f>
        <v>2025-01</v>
      </c>
      <c r="Z894" s="0" t="str">
        <f aca="false">C894&amp;" → "&amp;D894</f>
        <v>Surat → Gujarat</v>
      </c>
      <c r="AA894" s="0" t="str">
        <f aca="false">Raw!Q894</f>
        <v>GATI Logistics</v>
      </c>
      <c r="AB894" s="0" t="str">
        <f aca="false">Raw!R894</f>
        <v>No</v>
      </c>
      <c r="AC894" s="0" t="str">
        <f aca="false">Raw!S894</f>
        <v>Returned</v>
      </c>
      <c r="AD894" s="29" t="n">
        <f aca="false">Raw!N894</f>
        <v>7864.18</v>
      </c>
      <c r="AE894" s="29" t="n">
        <f aca="false">Raw!O894</f>
        <v>4540.06</v>
      </c>
      <c r="AF894" s="29" t="n">
        <f aca="false">Raw!P894</f>
        <v>721.53</v>
      </c>
      <c r="AG894" s="29" t="n">
        <f aca="false">AD894/J894</f>
        <v>453.005760368664</v>
      </c>
    </row>
    <row r="895" customFormat="false" ht="15" hidden="false" customHeight="false" outlineLevel="0" collapsed="false">
      <c r="A895" s="0" t="str">
        <f aca="false">Raw!A895</f>
        <v>SHP0894</v>
      </c>
      <c r="B895" s="0" t="str">
        <f aca="false">Raw!B895</f>
        <v>Inbound</v>
      </c>
      <c r="C895" s="0" t="str">
        <f aca="false">Raw!C895</f>
        <v>Uttar Pradesh</v>
      </c>
      <c r="D895" s="0" t="str">
        <f aca="false">Raw!D895</f>
        <v>Surat</v>
      </c>
      <c r="E895" s="0" t="str">
        <f aca="false">IFERROR(INDEX(Location_Map!$B$2:$B$15,MATCH(C895,Location_Map!$A$2:$A$15,0)),"UNMAPPED")</f>
        <v>Uttar Pradesh</v>
      </c>
      <c r="F895" s="0" t="str">
        <f aca="false">IFERROR(INDEX(Location_Map!$C$2:$C$15,MATCH(C895,Location_Map!$A$2:$A$15,0)),"UNMAPPED")</f>
        <v>North</v>
      </c>
      <c r="G895" s="0" t="str">
        <f aca="false">IFERROR(INDEX(Location_Map!$B$2:$B$15,MATCH(D895,Location_Map!$A$2:$A$15,0)),"UNMAPPED")</f>
        <v>Gujarat</v>
      </c>
      <c r="H895" s="0" t="str">
        <f aca="false">IFERROR(INDEX(Location_Map!$C$2:$C$15,MATCH(D895,Location_Map!$A$2:$A$15,0)),"UNMAPPED")</f>
        <v>West</v>
      </c>
      <c r="I895" s="0" t="str">
        <f aca="false">Raw!E895</f>
        <v>Finished Yarn</v>
      </c>
      <c r="J895" s="28" t="n">
        <f aca="false">Raw!F895</f>
        <v>9.81</v>
      </c>
      <c r="K895" s="30" t="n">
        <f aca="false">DATE(LEFT(Raw!G895,4),MID(Raw!G895,6,2),MID(Raw!G895,9,2))</f>
        <v>45799</v>
      </c>
      <c r="L895" s="30" t="n">
        <f aca="false">DATE(LEFT(Raw!H895,4),MID(Raw!H895,6,2),MID(Raw!H895,9,2))</f>
        <v>45803</v>
      </c>
      <c r="M895" s="30" t="n">
        <f aca="false">DATE(LEFT(Raw!I895,4),MID(Raw!I895,6,2),MID(Raw!I895,9,2))</f>
        <v>45805</v>
      </c>
      <c r="N895" s="31" t="n">
        <f aca="false">DATE(LEFT(Raw!J895,4),MID(Raw!J895,6,2),MID(Raw!J895,9,2))+TIME(MID(Raw!J895,12,2),MID(Raw!J895,15,2),MID(Raw!J895,18,2))</f>
        <v>45803.125</v>
      </c>
      <c r="O895" s="31" t="n">
        <f aca="false">DATE(LEFT(Raw!K895,4),MID(Raw!K895,6,2),MID(Raw!K895,9,2))+TIME(MID(Raw!K895,12,2),MID(Raw!K895,15,2),MID(Raw!K895,18,2))</f>
        <v>45810</v>
      </c>
      <c r="P895" s="32" t="n">
        <f aca="false">L895-K895</f>
        <v>4</v>
      </c>
      <c r="Q895" s="32" t="n">
        <f aca="false">M895-L895</f>
        <v>2</v>
      </c>
      <c r="R895" s="32" t="n">
        <f aca="false">O895-N895</f>
        <v>6.875</v>
      </c>
      <c r="S895" s="32" t="n">
        <f aca="false">Raw!L895</f>
        <v>5</v>
      </c>
      <c r="T895" s="32" t="n">
        <f aca="false">O895-M895</f>
        <v>5</v>
      </c>
      <c r="U895" s="0" t="str">
        <f aca="false">IF(ABS(T895-S895)&lt;0.01,"OK","MISMATCH")</f>
        <v>OK</v>
      </c>
      <c r="V895" s="33" t="n">
        <f aca="false">Raw!M895</f>
        <v>1</v>
      </c>
      <c r="W895" s="0" t="str">
        <f aca="false">IF((S895&gt;0)=(V895=1),"OK","MISMATCH")</f>
        <v>OK</v>
      </c>
      <c r="X895" s="0" t="str">
        <f aca="false">_xlfn.IFS(S895&lt;=0,"Early/On time",S895&lt;=2,"Minor (up to 2 days)",S895&lt;=5,"Moderate (2-5 days)",TRUE(),"Severe (over 5 days)")</f>
        <v>Moderate (2-5 days)</v>
      </c>
      <c r="Y895" s="0" t="str">
        <f aca="false">YEAR(K895)&amp;"-"&amp;TEXT(MONTH(K895),"00")</f>
        <v>2025-05</v>
      </c>
      <c r="Z895" s="0" t="str">
        <f aca="false">C895&amp;" → "&amp;D895</f>
        <v>Uttar Pradesh → Surat</v>
      </c>
      <c r="AA895" s="0" t="str">
        <f aca="false">Raw!Q895</f>
        <v>VRL Cargo</v>
      </c>
      <c r="AB895" s="0" t="str">
        <f aca="false">Raw!R895</f>
        <v>Yes</v>
      </c>
      <c r="AC895" s="0" t="str">
        <f aca="false">Raw!S895</f>
        <v>Normal</v>
      </c>
      <c r="AD895" s="29" t="n">
        <f aca="false">Raw!N895</f>
        <v>5677.29</v>
      </c>
      <c r="AE895" s="29" t="n">
        <f aca="false">Raw!O895</f>
        <v>4389.42</v>
      </c>
      <c r="AF895" s="29" t="n">
        <f aca="false">Raw!P895</f>
        <v>509.54</v>
      </c>
      <c r="AG895" s="29" t="n">
        <f aca="false">AD895/J895</f>
        <v>578.724770642202</v>
      </c>
    </row>
    <row r="896" customFormat="false" ht="15" hidden="false" customHeight="false" outlineLevel="0" collapsed="false">
      <c r="A896" s="0" t="str">
        <f aca="false">Raw!A896</f>
        <v>SHP0895</v>
      </c>
      <c r="B896" s="0" t="str">
        <f aca="false">Raw!B896</f>
        <v>Inbound</v>
      </c>
      <c r="C896" s="0" t="str">
        <f aca="false">Raw!C896</f>
        <v>Chennai</v>
      </c>
      <c r="D896" s="0" t="str">
        <f aca="false">Raw!D896</f>
        <v>Surat</v>
      </c>
      <c r="E896" s="0" t="str">
        <f aca="false">IFERROR(INDEX(Location_Map!$B$2:$B$15,MATCH(C896,Location_Map!$A$2:$A$15,0)),"UNMAPPED")</f>
        <v>Tamil Nadu</v>
      </c>
      <c r="F896" s="0" t="str">
        <f aca="false">IFERROR(INDEX(Location_Map!$C$2:$C$15,MATCH(C896,Location_Map!$A$2:$A$15,0)),"UNMAPPED")</f>
        <v>South</v>
      </c>
      <c r="G896" s="0" t="str">
        <f aca="false">IFERROR(INDEX(Location_Map!$B$2:$B$15,MATCH(D896,Location_Map!$A$2:$A$15,0)),"UNMAPPED")</f>
        <v>Gujarat</v>
      </c>
      <c r="H896" s="0" t="str">
        <f aca="false">IFERROR(INDEX(Location_Map!$C$2:$C$15,MATCH(D896,Location_Map!$A$2:$A$15,0)),"UNMAPPED")</f>
        <v>West</v>
      </c>
      <c r="I896" s="0" t="str">
        <f aca="false">Raw!E896</f>
        <v>Raw Yarn</v>
      </c>
      <c r="J896" s="28" t="n">
        <f aca="false">Raw!F896</f>
        <v>8.65</v>
      </c>
      <c r="K896" s="30" t="n">
        <f aca="false">DATE(LEFT(Raw!G896,4),MID(Raw!G896,6,2),MID(Raw!G896,9,2))</f>
        <v>45930</v>
      </c>
      <c r="L896" s="30" t="n">
        <f aca="false">DATE(LEFT(Raw!H896,4),MID(Raw!H896,6,2),MID(Raw!H896,9,2))</f>
        <v>45933</v>
      </c>
      <c r="M896" s="30" t="n">
        <f aca="false">DATE(LEFT(Raw!I896,4),MID(Raw!I896,6,2),MID(Raw!I896,9,2))</f>
        <v>45937</v>
      </c>
      <c r="N896" s="31" t="n">
        <f aca="false">DATE(LEFT(Raw!J896,4),MID(Raw!J896,6,2),MID(Raw!J896,9,2))+TIME(MID(Raw!J896,12,2),MID(Raw!J896,15,2),MID(Raw!J896,18,2))</f>
        <v>45933.375</v>
      </c>
      <c r="O896" s="31" t="n">
        <f aca="false">DATE(LEFT(Raw!K896,4),MID(Raw!K896,6,2),MID(Raw!K896,9,2))+TIME(MID(Raw!K896,12,2),MID(Raw!K896,15,2),MID(Raw!K896,18,2))</f>
        <v>45936</v>
      </c>
      <c r="P896" s="32" t="n">
        <f aca="false">L896-K896</f>
        <v>3</v>
      </c>
      <c r="Q896" s="32" t="n">
        <f aca="false">M896-L896</f>
        <v>4</v>
      </c>
      <c r="R896" s="32" t="n">
        <f aca="false">O896-N896</f>
        <v>2.625</v>
      </c>
      <c r="S896" s="32" t="n">
        <f aca="false">Raw!L896</f>
        <v>-1</v>
      </c>
      <c r="T896" s="32" t="n">
        <f aca="false">O896-M896</f>
        <v>-1</v>
      </c>
      <c r="U896" s="0" t="str">
        <f aca="false">IF(ABS(T896-S896)&lt;0.01,"OK","MISMATCH")</f>
        <v>OK</v>
      </c>
      <c r="V896" s="33" t="n">
        <f aca="false">Raw!M896</f>
        <v>0</v>
      </c>
      <c r="W896" s="0" t="str">
        <f aca="false">IF((S896&gt;0)=(V896=1),"OK","MISMATCH")</f>
        <v>OK</v>
      </c>
      <c r="X896" s="0" t="str">
        <f aca="false">_xlfn.IFS(S896&lt;=0,"Early/On time",S896&lt;=2,"Minor (up to 2 days)",S896&lt;=5,"Moderate (2-5 days)",TRUE(),"Severe (over 5 days)")</f>
        <v>Early/On time</v>
      </c>
      <c r="Y896" s="0" t="str">
        <f aca="false">YEAR(K896)&amp;"-"&amp;TEXT(MONTH(K896),"00")</f>
        <v>2025-09</v>
      </c>
      <c r="Z896" s="0" t="str">
        <f aca="false">C896&amp;" → "&amp;D896</f>
        <v>Chennai → Surat</v>
      </c>
      <c r="AA896" s="0" t="str">
        <f aca="false">Raw!Q896</f>
        <v>BlueDart</v>
      </c>
      <c r="AB896" s="0" t="str">
        <f aca="false">Raw!R896</f>
        <v>No</v>
      </c>
      <c r="AC896" s="0" t="str">
        <f aca="false">Raw!S896</f>
        <v>Returned</v>
      </c>
      <c r="AD896" s="29" t="n">
        <f aca="false">Raw!N896</f>
        <v>4959.99</v>
      </c>
      <c r="AE896" s="29" t="n">
        <f aca="false">Raw!O896</f>
        <v>4444.93</v>
      </c>
      <c r="AF896" s="29" t="n">
        <f aca="false">Raw!P896</f>
        <v>654.68</v>
      </c>
      <c r="AG896" s="29" t="n">
        <f aca="false">AD896/J896</f>
        <v>573.409248554913</v>
      </c>
    </row>
    <row r="897" customFormat="false" ht="15" hidden="false" customHeight="false" outlineLevel="0" collapsed="false">
      <c r="A897" s="0" t="str">
        <f aca="false">Raw!A897</f>
        <v>SHP0896</v>
      </c>
      <c r="B897" s="0" t="str">
        <f aca="false">Raw!B897</f>
        <v>Inbound</v>
      </c>
      <c r="C897" s="0" t="str">
        <f aca="false">Raw!C897</f>
        <v>Punjab</v>
      </c>
      <c r="D897" s="0" t="str">
        <f aca="false">Raw!D897</f>
        <v>Surat</v>
      </c>
      <c r="E897" s="0" t="str">
        <f aca="false">IFERROR(INDEX(Location_Map!$B$2:$B$15,MATCH(C897,Location_Map!$A$2:$A$15,0)),"UNMAPPED")</f>
        <v>Punjab</v>
      </c>
      <c r="F897" s="0" t="str">
        <f aca="false">IFERROR(INDEX(Location_Map!$C$2:$C$15,MATCH(C897,Location_Map!$A$2:$A$15,0)),"UNMAPPED")</f>
        <v>North</v>
      </c>
      <c r="G897" s="0" t="str">
        <f aca="false">IFERROR(INDEX(Location_Map!$B$2:$B$15,MATCH(D897,Location_Map!$A$2:$A$15,0)),"UNMAPPED")</f>
        <v>Gujarat</v>
      </c>
      <c r="H897" s="0" t="str">
        <f aca="false">IFERROR(INDEX(Location_Map!$C$2:$C$15,MATCH(D897,Location_Map!$A$2:$A$15,0)),"UNMAPPED")</f>
        <v>West</v>
      </c>
      <c r="I897" s="0" t="str">
        <f aca="false">Raw!E897</f>
        <v>Semi-Processed Yarn</v>
      </c>
      <c r="J897" s="28" t="n">
        <f aca="false">Raw!F897</f>
        <v>9.58</v>
      </c>
      <c r="K897" s="30" t="n">
        <f aca="false">DATE(LEFT(Raw!G897,4),MID(Raw!G897,6,2),MID(Raw!G897,9,2))</f>
        <v>45780</v>
      </c>
      <c r="L897" s="30" t="n">
        <f aca="false">DATE(LEFT(Raw!H897,4),MID(Raw!H897,6,2),MID(Raw!H897,9,2))</f>
        <v>45783</v>
      </c>
      <c r="M897" s="30" t="n">
        <f aca="false">DATE(LEFT(Raw!I897,4),MID(Raw!I897,6,2),MID(Raw!I897,9,2))</f>
        <v>45785</v>
      </c>
      <c r="N897" s="31" t="n">
        <f aca="false">DATE(LEFT(Raw!J897,4),MID(Raw!J897,6,2),MID(Raw!J897,9,2))+TIME(MID(Raw!J897,12,2),MID(Raw!J897,15,2),MID(Raw!J897,18,2))</f>
        <v>45783.0833333333</v>
      </c>
      <c r="O897" s="31" t="n">
        <f aca="false">DATE(LEFT(Raw!K897,4),MID(Raw!K897,6,2),MID(Raw!K897,9,2))+TIME(MID(Raw!K897,12,2),MID(Raw!K897,15,2),MID(Raw!K897,18,2))</f>
        <v>45784</v>
      </c>
      <c r="P897" s="32" t="n">
        <f aca="false">L897-K897</f>
        <v>3</v>
      </c>
      <c r="Q897" s="32" t="n">
        <f aca="false">M897-L897</f>
        <v>2</v>
      </c>
      <c r="R897" s="32" t="n">
        <f aca="false">O897-N897</f>
        <v>0.916666666666667</v>
      </c>
      <c r="S897" s="32" t="n">
        <f aca="false">Raw!L897</f>
        <v>-1</v>
      </c>
      <c r="T897" s="32" t="n">
        <f aca="false">O897-M897</f>
        <v>-1</v>
      </c>
      <c r="U897" s="0" t="str">
        <f aca="false">IF(ABS(T897-S897)&lt;0.01,"OK","MISMATCH")</f>
        <v>OK</v>
      </c>
      <c r="V897" s="33" t="n">
        <f aca="false">Raw!M897</f>
        <v>0</v>
      </c>
      <c r="W897" s="0" t="str">
        <f aca="false">IF((S897&gt;0)=(V897=1),"OK","MISMATCH")</f>
        <v>OK</v>
      </c>
      <c r="X897" s="0" t="str">
        <f aca="false">_xlfn.IFS(S897&lt;=0,"Early/On time",S897&lt;=2,"Minor (up to 2 days)",S897&lt;=5,"Moderate (2-5 days)",TRUE(),"Severe (over 5 days)")</f>
        <v>Early/On time</v>
      </c>
      <c r="Y897" s="0" t="str">
        <f aca="false">YEAR(K897)&amp;"-"&amp;TEXT(MONTH(K897),"00")</f>
        <v>2025-05</v>
      </c>
      <c r="Z897" s="0" t="str">
        <f aca="false">C897&amp;" → "&amp;D897</f>
        <v>Punjab → Surat</v>
      </c>
      <c r="AA897" s="0" t="str">
        <f aca="false">Raw!Q897</f>
        <v>GATI Logistics</v>
      </c>
      <c r="AB897" s="0" t="str">
        <f aca="false">Raw!R897</f>
        <v>No</v>
      </c>
      <c r="AC897" s="0" t="str">
        <f aca="false">Raw!S897</f>
        <v>Returned</v>
      </c>
      <c r="AD897" s="29" t="n">
        <f aca="false">Raw!N897</f>
        <v>6726.25</v>
      </c>
      <c r="AE897" s="29" t="n">
        <f aca="false">Raw!O897</f>
        <v>2672.53</v>
      </c>
      <c r="AF897" s="29" t="n">
        <f aca="false">Raw!P897</f>
        <v>1411.02</v>
      </c>
      <c r="AG897" s="29" t="n">
        <f aca="false">AD897/J897</f>
        <v>702.113778705637</v>
      </c>
    </row>
    <row r="898" customFormat="false" ht="15" hidden="false" customHeight="false" outlineLevel="0" collapsed="false">
      <c r="A898" s="0" t="str">
        <f aca="false">Raw!A898</f>
        <v>SHP0897</v>
      </c>
      <c r="B898" s="0" t="str">
        <f aca="false">Raw!B898</f>
        <v>Outbound</v>
      </c>
      <c r="C898" s="0" t="str">
        <f aca="false">Raw!C898</f>
        <v>Surat</v>
      </c>
      <c r="D898" s="0" t="str">
        <f aca="false">Raw!D898</f>
        <v>Madhya Pradesh</v>
      </c>
      <c r="E898" s="0" t="str">
        <f aca="false">IFERROR(INDEX(Location_Map!$B$2:$B$15,MATCH(C898,Location_Map!$A$2:$A$15,0)),"UNMAPPED")</f>
        <v>Gujarat</v>
      </c>
      <c r="F898" s="0" t="str">
        <f aca="false">IFERROR(INDEX(Location_Map!$C$2:$C$15,MATCH(C898,Location_Map!$A$2:$A$15,0)),"UNMAPPED")</f>
        <v>West</v>
      </c>
      <c r="G898" s="0" t="str">
        <f aca="false">IFERROR(INDEX(Location_Map!$B$2:$B$15,MATCH(D898,Location_Map!$A$2:$A$15,0)),"UNMAPPED")</f>
        <v>Madhya Pradesh</v>
      </c>
      <c r="H898" s="0" t="str">
        <f aca="false">IFERROR(INDEX(Location_Map!$C$2:$C$15,MATCH(D898,Location_Map!$A$2:$A$15,0)),"UNMAPPED")</f>
        <v>Central</v>
      </c>
      <c r="I898" s="0" t="str">
        <f aca="false">Raw!E898</f>
        <v>Finished Yarn</v>
      </c>
      <c r="J898" s="28" t="n">
        <f aca="false">Raw!F898</f>
        <v>19.87</v>
      </c>
      <c r="K898" s="30" t="n">
        <f aca="false">DATE(LEFT(Raw!G898,4),MID(Raw!G898,6,2),MID(Raw!G898,9,2))</f>
        <v>45689</v>
      </c>
      <c r="L898" s="30" t="n">
        <f aca="false">DATE(LEFT(Raw!H898,4),MID(Raw!H898,6,2),MID(Raw!H898,9,2))</f>
        <v>45690</v>
      </c>
      <c r="M898" s="30" t="n">
        <f aca="false">DATE(LEFT(Raw!I898,4),MID(Raw!I898,6,2),MID(Raw!I898,9,2))</f>
        <v>45695</v>
      </c>
      <c r="N898" s="31" t="n">
        <f aca="false">DATE(LEFT(Raw!J898,4),MID(Raw!J898,6,2),MID(Raw!J898,9,2))+TIME(MID(Raw!J898,12,2),MID(Raw!J898,15,2),MID(Raw!J898,18,2))</f>
        <v>45690.3333333333</v>
      </c>
      <c r="O898" s="31" t="n">
        <f aca="false">DATE(LEFT(Raw!K898,4),MID(Raw!K898,6,2),MID(Raw!K898,9,2))+TIME(MID(Raw!K898,12,2),MID(Raw!K898,15,2),MID(Raw!K898,18,2))</f>
        <v>45697.2</v>
      </c>
      <c r="P898" s="32" t="n">
        <f aca="false">L898-K898</f>
        <v>1</v>
      </c>
      <c r="Q898" s="32" t="n">
        <f aca="false">M898-L898</f>
        <v>5</v>
      </c>
      <c r="R898" s="32" t="n">
        <f aca="false">O898-N898</f>
        <v>6.86666666666667</v>
      </c>
      <c r="S898" s="32" t="n">
        <f aca="false">Raw!L898</f>
        <v>2.2</v>
      </c>
      <c r="T898" s="32" t="n">
        <f aca="false">O898-M898</f>
        <v>2.2</v>
      </c>
      <c r="U898" s="0" t="str">
        <f aca="false">IF(ABS(T898-S898)&lt;0.01,"OK","MISMATCH")</f>
        <v>OK</v>
      </c>
      <c r="V898" s="33" t="n">
        <f aca="false">Raw!M898</f>
        <v>1</v>
      </c>
      <c r="W898" s="0" t="str">
        <f aca="false">IF((S898&gt;0)=(V898=1),"OK","MISMATCH")</f>
        <v>OK</v>
      </c>
      <c r="X898" s="0" t="str">
        <f aca="false">_xlfn.IFS(S898&lt;=0,"Early/On time",S898&lt;=2,"Minor (up to 2 days)",S898&lt;=5,"Moderate (2-5 days)",TRUE(),"Severe (over 5 days)")</f>
        <v>Moderate (2-5 days)</v>
      </c>
      <c r="Y898" s="0" t="str">
        <f aca="false">YEAR(K898)&amp;"-"&amp;TEXT(MONTH(K898),"00")</f>
        <v>2025-02</v>
      </c>
      <c r="Z898" s="0" t="str">
        <f aca="false">C898&amp;" → "&amp;D898</f>
        <v>Surat → Madhya Pradesh</v>
      </c>
      <c r="AA898" s="0" t="str">
        <f aca="false">Raw!Q898</f>
        <v>BlueDart</v>
      </c>
      <c r="AB898" s="0" t="str">
        <f aca="false">Raw!R898</f>
        <v>No</v>
      </c>
      <c r="AC898" s="0" t="str">
        <f aca="false">Raw!S898</f>
        <v>Expedited</v>
      </c>
      <c r="AD898" s="29" t="n">
        <f aca="false">Raw!N898</f>
        <v>8884.91</v>
      </c>
      <c r="AE898" s="29" t="n">
        <f aca="false">Raw!O898</f>
        <v>1720</v>
      </c>
      <c r="AF898" s="29" t="n">
        <f aca="false">Raw!P898</f>
        <v>1002.55</v>
      </c>
      <c r="AG898" s="29" t="n">
        <f aca="false">AD898/J898</f>
        <v>447.15198792149</v>
      </c>
    </row>
    <row r="899" customFormat="false" ht="15" hidden="false" customHeight="false" outlineLevel="0" collapsed="false">
      <c r="A899" s="0" t="str">
        <f aca="false">Raw!A899</f>
        <v>SHP0898</v>
      </c>
      <c r="B899" s="0" t="str">
        <f aca="false">Raw!B899</f>
        <v>Inbound</v>
      </c>
      <c r="C899" s="0" t="str">
        <f aca="false">Raw!C899</f>
        <v>Uttar Pradesh</v>
      </c>
      <c r="D899" s="0" t="str">
        <f aca="false">Raw!D899</f>
        <v>Surat</v>
      </c>
      <c r="E899" s="0" t="str">
        <f aca="false">IFERROR(INDEX(Location_Map!$B$2:$B$15,MATCH(C899,Location_Map!$A$2:$A$15,0)),"UNMAPPED")</f>
        <v>Uttar Pradesh</v>
      </c>
      <c r="F899" s="0" t="str">
        <f aca="false">IFERROR(INDEX(Location_Map!$C$2:$C$15,MATCH(C899,Location_Map!$A$2:$A$15,0)),"UNMAPPED")</f>
        <v>North</v>
      </c>
      <c r="G899" s="0" t="str">
        <f aca="false">IFERROR(INDEX(Location_Map!$B$2:$B$15,MATCH(D899,Location_Map!$A$2:$A$15,0)),"UNMAPPED")</f>
        <v>Gujarat</v>
      </c>
      <c r="H899" s="0" t="str">
        <f aca="false">IFERROR(INDEX(Location_Map!$C$2:$C$15,MATCH(D899,Location_Map!$A$2:$A$15,0)),"UNMAPPED")</f>
        <v>West</v>
      </c>
      <c r="I899" s="0" t="str">
        <f aca="false">Raw!E899</f>
        <v>Raw Yarn</v>
      </c>
      <c r="J899" s="28" t="n">
        <f aca="false">Raw!F899</f>
        <v>17.12</v>
      </c>
      <c r="K899" s="30" t="n">
        <f aca="false">DATE(LEFT(Raw!G899,4),MID(Raw!G899,6,2),MID(Raw!G899,9,2))</f>
        <v>45664</v>
      </c>
      <c r="L899" s="30" t="n">
        <f aca="false">DATE(LEFT(Raw!H899,4),MID(Raw!H899,6,2),MID(Raw!H899,9,2))</f>
        <v>45667</v>
      </c>
      <c r="M899" s="30" t="n">
        <f aca="false">DATE(LEFT(Raw!I899,4),MID(Raw!I899,6,2),MID(Raw!I899,9,2))</f>
        <v>45673</v>
      </c>
      <c r="N899" s="31" t="n">
        <f aca="false">DATE(LEFT(Raw!J899,4),MID(Raw!J899,6,2),MID(Raw!J899,9,2))+TIME(MID(Raw!J899,12,2),MID(Raw!J899,15,2),MID(Raw!J899,18,2))</f>
        <v>45667.125</v>
      </c>
      <c r="O899" s="31" t="n">
        <f aca="false">DATE(LEFT(Raw!K899,4),MID(Raw!K899,6,2),MID(Raw!K899,9,2))+TIME(MID(Raw!K899,12,2),MID(Raw!K899,15,2),MID(Raw!K899,18,2))</f>
        <v>45679.9</v>
      </c>
      <c r="P899" s="32" t="n">
        <f aca="false">L899-K899</f>
        <v>3</v>
      </c>
      <c r="Q899" s="32" t="n">
        <f aca="false">M899-L899</f>
        <v>6</v>
      </c>
      <c r="R899" s="32" t="n">
        <f aca="false">O899-N899</f>
        <v>12.775</v>
      </c>
      <c r="S899" s="32" t="n">
        <f aca="false">Raw!L899</f>
        <v>6.9</v>
      </c>
      <c r="T899" s="32" t="n">
        <f aca="false">O899-M899</f>
        <v>6.9</v>
      </c>
      <c r="U899" s="0" t="str">
        <f aca="false">IF(ABS(T899-S899)&lt;0.01,"OK","MISMATCH")</f>
        <v>OK</v>
      </c>
      <c r="V899" s="33" t="n">
        <f aca="false">Raw!M899</f>
        <v>1</v>
      </c>
      <c r="W899" s="0" t="str">
        <f aca="false">IF((S899&gt;0)=(V899=1),"OK","MISMATCH")</f>
        <v>OK</v>
      </c>
      <c r="X899" s="0" t="str">
        <f aca="false">_xlfn.IFS(S899&lt;=0,"Early/On time",S899&lt;=2,"Minor (up to 2 days)",S899&lt;=5,"Moderate (2-5 days)",TRUE(),"Severe (over 5 days)")</f>
        <v>Severe (over 5 days)</v>
      </c>
      <c r="Y899" s="0" t="str">
        <f aca="false">YEAR(K899)&amp;"-"&amp;TEXT(MONTH(K899),"00")</f>
        <v>2025-01</v>
      </c>
      <c r="Z899" s="0" t="str">
        <f aca="false">C899&amp;" → "&amp;D899</f>
        <v>Uttar Pradesh → Surat</v>
      </c>
      <c r="AA899" s="0" t="str">
        <f aca="false">Raw!Q899</f>
        <v>Delhivery</v>
      </c>
      <c r="AB899" s="0" t="str">
        <f aca="false">Raw!R899</f>
        <v>No</v>
      </c>
      <c r="AC899" s="0" t="str">
        <f aca="false">Raw!S899</f>
        <v>Normal</v>
      </c>
      <c r="AD899" s="29" t="n">
        <f aca="false">Raw!N899</f>
        <v>8838.99</v>
      </c>
      <c r="AE899" s="29" t="n">
        <f aca="false">Raw!O899</f>
        <v>3747.02</v>
      </c>
      <c r="AF899" s="29" t="n">
        <f aca="false">Raw!P899</f>
        <v>1174.22</v>
      </c>
      <c r="AG899" s="29" t="n">
        <f aca="false">AD899/J899</f>
        <v>516.296144859813</v>
      </c>
    </row>
    <row r="900" customFormat="false" ht="15" hidden="false" customHeight="false" outlineLevel="0" collapsed="false">
      <c r="A900" s="0" t="str">
        <f aca="false">Raw!A900</f>
        <v>SHP0899</v>
      </c>
      <c r="B900" s="0" t="str">
        <f aca="false">Raw!B900</f>
        <v>Outbound</v>
      </c>
      <c r="C900" s="0" t="str">
        <f aca="false">Raw!C900</f>
        <v>Surat</v>
      </c>
      <c r="D900" s="0" t="str">
        <f aca="false">Raw!D900</f>
        <v>Karnataka</v>
      </c>
      <c r="E900" s="0" t="str">
        <f aca="false">IFERROR(INDEX(Location_Map!$B$2:$B$15,MATCH(C900,Location_Map!$A$2:$A$15,0)),"UNMAPPED")</f>
        <v>Gujarat</v>
      </c>
      <c r="F900" s="0" t="str">
        <f aca="false">IFERROR(INDEX(Location_Map!$C$2:$C$15,MATCH(C900,Location_Map!$A$2:$A$15,0)),"UNMAPPED")</f>
        <v>West</v>
      </c>
      <c r="G900" s="0" t="str">
        <f aca="false">IFERROR(INDEX(Location_Map!$B$2:$B$15,MATCH(D900,Location_Map!$A$2:$A$15,0)),"UNMAPPED")</f>
        <v>Karnataka</v>
      </c>
      <c r="H900" s="0" t="str">
        <f aca="false">IFERROR(INDEX(Location_Map!$C$2:$C$15,MATCH(D900,Location_Map!$A$2:$A$15,0)),"UNMAPPED")</f>
        <v>South</v>
      </c>
      <c r="I900" s="0" t="str">
        <f aca="false">Raw!E900</f>
        <v>Raw Yarn</v>
      </c>
      <c r="J900" s="28" t="n">
        <f aca="false">Raw!F900</f>
        <v>5.21</v>
      </c>
      <c r="K900" s="30" t="n">
        <f aca="false">DATE(LEFT(Raw!G900,4),MID(Raw!G900,6,2),MID(Raw!G900,9,2))</f>
        <v>45668</v>
      </c>
      <c r="L900" s="30" t="n">
        <f aca="false">DATE(LEFT(Raw!H900,4),MID(Raw!H900,6,2),MID(Raw!H900,9,2))</f>
        <v>45670</v>
      </c>
      <c r="M900" s="30" t="n">
        <f aca="false">DATE(LEFT(Raw!I900,4),MID(Raw!I900,6,2),MID(Raw!I900,9,2))</f>
        <v>45674</v>
      </c>
      <c r="N900" s="31" t="n">
        <f aca="false">DATE(LEFT(Raw!J900,4),MID(Raw!J900,6,2),MID(Raw!J900,9,2))+TIME(MID(Raw!J900,12,2),MID(Raw!J900,15,2),MID(Raw!J900,18,2))</f>
        <v>45670.1666666667</v>
      </c>
      <c r="O900" s="31" t="n">
        <f aca="false">DATE(LEFT(Raw!K900,4),MID(Raw!K900,6,2),MID(Raw!K900,9,2))+TIME(MID(Raw!K900,12,2),MID(Raw!K900,15,2),MID(Raw!K900,18,2))</f>
        <v>45677.6</v>
      </c>
      <c r="P900" s="32" t="n">
        <f aca="false">L900-K900</f>
        <v>2</v>
      </c>
      <c r="Q900" s="32" t="n">
        <f aca="false">M900-L900</f>
        <v>4</v>
      </c>
      <c r="R900" s="32" t="n">
        <f aca="false">O900-N900</f>
        <v>7.43333333333333</v>
      </c>
      <c r="S900" s="32" t="n">
        <f aca="false">Raw!L900</f>
        <v>3.6</v>
      </c>
      <c r="T900" s="32" t="n">
        <f aca="false">O900-M900</f>
        <v>3.6</v>
      </c>
      <c r="U900" s="0" t="str">
        <f aca="false">IF(ABS(T900-S900)&lt;0.01,"OK","MISMATCH")</f>
        <v>OK</v>
      </c>
      <c r="V900" s="33" t="n">
        <f aca="false">Raw!M900</f>
        <v>1</v>
      </c>
      <c r="W900" s="0" t="str">
        <f aca="false">IF((S900&gt;0)=(V900=1),"OK","MISMATCH")</f>
        <v>OK</v>
      </c>
      <c r="X900" s="0" t="str">
        <f aca="false">_xlfn.IFS(S900&lt;=0,"Early/On time",S900&lt;=2,"Minor (up to 2 days)",S900&lt;=5,"Moderate (2-5 days)",TRUE(),"Severe (over 5 days)")</f>
        <v>Moderate (2-5 days)</v>
      </c>
      <c r="Y900" s="0" t="str">
        <f aca="false">YEAR(K900)&amp;"-"&amp;TEXT(MONTH(K900),"00")</f>
        <v>2025-01</v>
      </c>
      <c r="Z900" s="0" t="str">
        <f aca="false">C900&amp;" → "&amp;D900</f>
        <v>Surat → Karnataka</v>
      </c>
      <c r="AA900" s="0" t="str">
        <f aca="false">Raw!Q900</f>
        <v>GATI Logistics</v>
      </c>
      <c r="AB900" s="0" t="str">
        <f aca="false">Raw!R900</f>
        <v>No</v>
      </c>
      <c r="AC900" s="0" t="str">
        <f aca="false">Raw!S900</f>
        <v>Held at warehouse</v>
      </c>
      <c r="AD900" s="29" t="n">
        <f aca="false">Raw!N900</f>
        <v>4022.95</v>
      </c>
      <c r="AE900" s="29" t="n">
        <f aca="false">Raw!O900</f>
        <v>2432.58</v>
      </c>
      <c r="AF900" s="29" t="n">
        <f aca="false">Raw!P900</f>
        <v>878.64</v>
      </c>
      <c r="AG900" s="29" t="n">
        <f aca="false">AD900/J900</f>
        <v>772.159309021113</v>
      </c>
    </row>
    <row r="901" customFormat="false" ht="15" hidden="false" customHeight="false" outlineLevel="0" collapsed="false">
      <c r="A901" s="0" t="str">
        <f aca="false">Raw!A901</f>
        <v>SHP0900</v>
      </c>
      <c r="B901" s="0" t="str">
        <f aca="false">Raw!B901</f>
        <v>Outbound</v>
      </c>
      <c r="C901" s="0" t="str">
        <f aca="false">Raw!C901</f>
        <v>Surat</v>
      </c>
      <c r="D901" s="0" t="str">
        <f aca="false">Raw!D901</f>
        <v>Karnataka</v>
      </c>
      <c r="E901" s="0" t="str">
        <f aca="false">IFERROR(INDEX(Location_Map!$B$2:$B$15,MATCH(C901,Location_Map!$A$2:$A$15,0)),"UNMAPPED")</f>
        <v>Gujarat</v>
      </c>
      <c r="F901" s="0" t="str">
        <f aca="false">IFERROR(INDEX(Location_Map!$C$2:$C$15,MATCH(C901,Location_Map!$A$2:$A$15,0)),"UNMAPPED")</f>
        <v>West</v>
      </c>
      <c r="G901" s="0" t="str">
        <f aca="false">IFERROR(INDEX(Location_Map!$B$2:$B$15,MATCH(D901,Location_Map!$A$2:$A$15,0)),"UNMAPPED")</f>
        <v>Karnataka</v>
      </c>
      <c r="H901" s="0" t="str">
        <f aca="false">IFERROR(INDEX(Location_Map!$C$2:$C$15,MATCH(D901,Location_Map!$A$2:$A$15,0)),"UNMAPPED")</f>
        <v>South</v>
      </c>
      <c r="I901" s="0" t="str">
        <f aca="false">Raw!E901</f>
        <v>Semi-Processed Yarn</v>
      </c>
      <c r="J901" s="28" t="n">
        <f aca="false">Raw!F901</f>
        <v>8.94</v>
      </c>
      <c r="K901" s="30" t="n">
        <f aca="false">DATE(LEFT(Raw!G901,4),MID(Raw!G901,6,2),MID(Raw!G901,9,2))</f>
        <v>45821</v>
      </c>
      <c r="L901" s="30" t="n">
        <f aca="false">DATE(LEFT(Raw!H901,4),MID(Raw!H901,6,2),MID(Raw!H901,9,2))</f>
        <v>45824</v>
      </c>
      <c r="M901" s="30" t="n">
        <f aca="false">DATE(LEFT(Raw!I901,4),MID(Raw!I901,6,2),MID(Raw!I901,9,2))</f>
        <v>45826</v>
      </c>
      <c r="N901" s="31" t="n">
        <f aca="false">DATE(LEFT(Raw!J901,4),MID(Raw!J901,6,2),MID(Raw!J901,9,2))+TIME(MID(Raw!J901,12,2),MID(Raw!J901,15,2),MID(Raw!J901,18,2))</f>
        <v>45823.8333333333</v>
      </c>
      <c r="O901" s="31" t="n">
        <f aca="false">DATE(LEFT(Raw!K901,4),MID(Raw!K901,6,2),MID(Raw!K901,9,2))+TIME(MID(Raw!K901,12,2),MID(Raw!K901,15,2),MID(Raw!K901,18,2))</f>
        <v>45829.7</v>
      </c>
      <c r="P901" s="32" t="n">
        <f aca="false">L901-K901</f>
        <v>3</v>
      </c>
      <c r="Q901" s="32" t="n">
        <f aca="false">M901-L901</f>
        <v>2</v>
      </c>
      <c r="R901" s="32" t="n">
        <f aca="false">O901-N901</f>
        <v>5.86666666666667</v>
      </c>
      <c r="S901" s="32" t="n">
        <f aca="false">Raw!L901</f>
        <v>3.7</v>
      </c>
      <c r="T901" s="32" t="n">
        <f aca="false">O901-M901</f>
        <v>3.7</v>
      </c>
      <c r="U901" s="0" t="str">
        <f aca="false">IF(ABS(T901-S901)&lt;0.01,"OK","MISMATCH")</f>
        <v>OK</v>
      </c>
      <c r="V901" s="33" t="n">
        <f aca="false">Raw!M901</f>
        <v>1</v>
      </c>
      <c r="W901" s="0" t="str">
        <f aca="false">IF((S901&gt;0)=(V901=1),"OK","MISMATCH")</f>
        <v>OK</v>
      </c>
      <c r="X901" s="0" t="str">
        <f aca="false">_xlfn.IFS(S901&lt;=0,"Early/On time",S901&lt;=2,"Minor (up to 2 days)",S901&lt;=5,"Moderate (2-5 days)",TRUE(),"Severe (over 5 days)")</f>
        <v>Moderate (2-5 days)</v>
      </c>
      <c r="Y901" s="0" t="str">
        <f aca="false">YEAR(K901)&amp;"-"&amp;TEXT(MONTH(K901),"00")</f>
        <v>2025-06</v>
      </c>
      <c r="Z901" s="0" t="str">
        <f aca="false">C901&amp;" → "&amp;D901</f>
        <v>Surat → Karnataka</v>
      </c>
      <c r="AA901" s="0" t="str">
        <f aca="false">Raw!Q901</f>
        <v>GATI Logistics</v>
      </c>
      <c r="AB901" s="0" t="str">
        <f aca="false">Raw!R901</f>
        <v>Yes</v>
      </c>
      <c r="AC901" s="0" t="str">
        <f aca="false">Raw!S901</f>
        <v>Returned</v>
      </c>
      <c r="AD901" s="29" t="n">
        <f aca="false">Raw!N901</f>
        <v>5229.16</v>
      </c>
      <c r="AE901" s="29" t="n">
        <f aca="false">Raw!O901</f>
        <v>3354.34</v>
      </c>
      <c r="AF901" s="29" t="n">
        <f aca="false">Raw!P901</f>
        <v>907.74</v>
      </c>
      <c r="AG901" s="29" t="n">
        <f aca="false">AD901/J901</f>
        <v>584.917225950783</v>
      </c>
    </row>
    <row r="902" customFormat="false" ht="15" hidden="false" customHeight="false" outlineLevel="0" collapsed="false">
      <c r="A902" s="0" t="str">
        <f aca="false">Raw!A902</f>
        <v>SHP0901</v>
      </c>
      <c r="B902" s="0" t="str">
        <f aca="false">Raw!B902</f>
        <v>Outbound</v>
      </c>
      <c r="C902" s="0" t="str">
        <f aca="false">Raw!C902</f>
        <v>Surat</v>
      </c>
      <c r="D902" s="0" t="str">
        <f aca="false">Raw!D902</f>
        <v>Karnataka</v>
      </c>
      <c r="E902" s="0" t="str">
        <f aca="false">IFERROR(INDEX(Location_Map!$B$2:$B$15,MATCH(C902,Location_Map!$A$2:$A$15,0)),"UNMAPPED")</f>
        <v>Gujarat</v>
      </c>
      <c r="F902" s="0" t="str">
        <f aca="false">IFERROR(INDEX(Location_Map!$C$2:$C$15,MATCH(C902,Location_Map!$A$2:$A$15,0)),"UNMAPPED")</f>
        <v>West</v>
      </c>
      <c r="G902" s="0" t="str">
        <f aca="false">IFERROR(INDEX(Location_Map!$B$2:$B$15,MATCH(D902,Location_Map!$A$2:$A$15,0)),"UNMAPPED")</f>
        <v>Karnataka</v>
      </c>
      <c r="H902" s="0" t="str">
        <f aca="false">IFERROR(INDEX(Location_Map!$C$2:$C$15,MATCH(D902,Location_Map!$A$2:$A$15,0)),"UNMAPPED")</f>
        <v>South</v>
      </c>
      <c r="I902" s="0" t="str">
        <f aca="false">Raw!E902</f>
        <v>Raw Yarn</v>
      </c>
      <c r="J902" s="28" t="n">
        <f aca="false">Raw!F902</f>
        <v>13.37</v>
      </c>
      <c r="K902" s="30" t="n">
        <f aca="false">DATE(LEFT(Raw!G902,4),MID(Raw!G902,6,2),MID(Raw!G902,9,2))</f>
        <v>45888</v>
      </c>
      <c r="L902" s="30" t="n">
        <f aca="false">DATE(LEFT(Raw!H902,4),MID(Raw!H902,6,2),MID(Raw!H902,9,2))</f>
        <v>45892</v>
      </c>
      <c r="M902" s="30" t="n">
        <f aca="false">DATE(LEFT(Raw!I902,4),MID(Raw!I902,6,2),MID(Raw!I902,9,2))</f>
        <v>45897</v>
      </c>
      <c r="N902" s="31" t="n">
        <f aca="false">DATE(LEFT(Raw!J902,4),MID(Raw!J902,6,2),MID(Raw!J902,9,2))+TIME(MID(Raw!J902,12,2),MID(Raw!J902,15,2),MID(Raw!J902,18,2))</f>
        <v>45892.2916666667</v>
      </c>
      <c r="O902" s="31" t="n">
        <f aca="false">DATE(LEFT(Raw!K902,4),MID(Raw!K902,6,2),MID(Raw!K902,9,2))+TIME(MID(Raw!K902,12,2),MID(Raw!K902,15,2),MID(Raw!K902,18,2))</f>
        <v>45896</v>
      </c>
      <c r="P902" s="32" t="n">
        <f aca="false">L902-K902</f>
        <v>4</v>
      </c>
      <c r="Q902" s="32" t="n">
        <f aca="false">M902-L902</f>
        <v>5</v>
      </c>
      <c r="R902" s="32" t="n">
        <f aca="false">O902-N902</f>
        <v>3.70833333333333</v>
      </c>
      <c r="S902" s="32" t="n">
        <f aca="false">Raw!L902</f>
        <v>-1</v>
      </c>
      <c r="T902" s="32" t="n">
        <f aca="false">O902-M902</f>
        <v>-1</v>
      </c>
      <c r="U902" s="0" t="str">
        <f aca="false">IF(ABS(T902-S902)&lt;0.01,"OK","MISMATCH")</f>
        <v>OK</v>
      </c>
      <c r="V902" s="33" t="n">
        <f aca="false">Raw!M902</f>
        <v>0</v>
      </c>
      <c r="W902" s="0" t="str">
        <f aca="false">IF((S902&gt;0)=(V902=1),"OK","MISMATCH")</f>
        <v>OK</v>
      </c>
      <c r="X902" s="0" t="str">
        <f aca="false">_xlfn.IFS(S902&lt;=0,"Early/On time",S902&lt;=2,"Minor (up to 2 days)",S902&lt;=5,"Moderate (2-5 days)",TRUE(),"Severe (over 5 days)")</f>
        <v>Early/On time</v>
      </c>
      <c r="Y902" s="0" t="str">
        <f aca="false">YEAR(K902)&amp;"-"&amp;TEXT(MONTH(K902),"00")</f>
        <v>2025-08</v>
      </c>
      <c r="Z902" s="0" t="str">
        <f aca="false">C902&amp;" → "&amp;D902</f>
        <v>Surat → Karnataka</v>
      </c>
      <c r="AA902" s="0" t="str">
        <f aca="false">Raw!Q902</f>
        <v>BlueDart</v>
      </c>
      <c r="AB902" s="0" t="str">
        <f aca="false">Raw!R902</f>
        <v>Yes</v>
      </c>
      <c r="AC902" s="0" t="str">
        <f aca="false">Raw!S902</f>
        <v>Held at warehouse</v>
      </c>
      <c r="AD902" s="29" t="n">
        <f aca="false">Raw!N902</f>
        <v>7989.29</v>
      </c>
      <c r="AE902" s="29" t="n">
        <f aca="false">Raw!O902</f>
        <v>2579.2</v>
      </c>
      <c r="AF902" s="29" t="n">
        <f aca="false">Raw!P902</f>
        <v>1453.32</v>
      </c>
      <c r="AG902" s="29" t="n">
        <f aca="false">AD902/J902</f>
        <v>597.553477935677</v>
      </c>
    </row>
    <row r="903" customFormat="false" ht="15" hidden="false" customHeight="false" outlineLevel="0" collapsed="false">
      <c r="A903" s="0" t="str">
        <f aca="false">Raw!A903</f>
        <v>SHP0902</v>
      </c>
      <c r="B903" s="0" t="str">
        <f aca="false">Raw!B903</f>
        <v>Inbound</v>
      </c>
      <c r="C903" s="0" t="str">
        <f aca="false">Raw!C903</f>
        <v>Chennai</v>
      </c>
      <c r="D903" s="0" t="str">
        <f aca="false">Raw!D903</f>
        <v>Surat</v>
      </c>
      <c r="E903" s="0" t="str">
        <f aca="false">IFERROR(INDEX(Location_Map!$B$2:$B$15,MATCH(C903,Location_Map!$A$2:$A$15,0)),"UNMAPPED")</f>
        <v>Tamil Nadu</v>
      </c>
      <c r="F903" s="0" t="str">
        <f aca="false">IFERROR(INDEX(Location_Map!$C$2:$C$15,MATCH(C903,Location_Map!$A$2:$A$15,0)),"UNMAPPED")</f>
        <v>South</v>
      </c>
      <c r="G903" s="0" t="str">
        <f aca="false">IFERROR(INDEX(Location_Map!$B$2:$B$15,MATCH(D903,Location_Map!$A$2:$A$15,0)),"UNMAPPED")</f>
        <v>Gujarat</v>
      </c>
      <c r="H903" s="0" t="str">
        <f aca="false">IFERROR(INDEX(Location_Map!$C$2:$C$15,MATCH(D903,Location_Map!$A$2:$A$15,0)),"UNMAPPED")</f>
        <v>West</v>
      </c>
      <c r="I903" s="0" t="str">
        <f aca="false">Raw!E903</f>
        <v>Semi-Processed Yarn</v>
      </c>
      <c r="J903" s="28" t="n">
        <f aca="false">Raw!F903</f>
        <v>10.22</v>
      </c>
      <c r="K903" s="30" t="n">
        <f aca="false">DATE(LEFT(Raw!G903,4),MID(Raw!G903,6,2),MID(Raw!G903,9,2))</f>
        <v>45950</v>
      </c>
      <c r="L903" s="30" t="n">
        <f aca="false">DATE(LEFT(Raw!H903,4),MID(Raw!H903,6,2),MID(Raw!H903,9,2))</f>
        <v>45951</v>
      </c>
      <c r="M903" s="30" t="n">
        <f aca="false">DATE(LEFT(Raw!I903,4),MID(Raw!I903,6,2),MID(Raw!I903,9,2))</f>
        <v>45957</v>
      </c>
      <c r="N903" s="31" t="n">
        <f aca="false">DATE(LEFT(Raw!J903,4),MID(Raw!J903,6,2),MID(Raw!J903,9,2))+TIME(MID(Raw!J903,12,2),MID(Raw!J903,15,2),MID(Raw!J903,18,2))</f>
        <v>45950.9166666667</v>
      </c>
      <c r="O903" s="31" t="n">
        <f aca="false">DATE(LEFT(Raw!K903,4),MID(Raw!K903,6,2),MID(Raw!K903,9,2))+TIME(MID(Raw!K903,12,2),MID(Raw!K903,15,2),MID(Raw!K903,18,2))</f>
        <v>45962.6</v>
      </c>
      <c r="P903" s="32" t="n">
        <f aca="false">L903-K903</f>
        <v>1</v>
      </c>
      <c r="Q903" s="32" t="n">
        <f aca="false">M903-L903</f>
        <v>6</v>
      </c>
      <c r="R903" s="32" t="n">
        <f aca="false">O903-N903</f>
        <v>11.6833333333333</v>
      </c>
      <c r="S903" s="32" t="n">
        <f aca="false">Raw!L903</f>
        <v>5.6</v>
      </c>
      <c r="T903" s="32" t="n">
        <f aca="false">O903-M903</f>
        <v>5.6</v>
      </c>
      <c r="U903" s="0" t="str">
        <f aca="false">IF(ABS(T903-S903)&lt;0.01,"OK","MISMATCH")</f>
        <v>OK</v>
      </c>
      <c r="V903" s="33" t="n">
        <f aca="false">Raw!M903</f>
        <v>1</v>
      </c>
      <c r="W903" s="0" t="str">
        <f aca="false">IF((S903&gt;0)=(V903=1),"OK","MISMATCH")</f>
        <v>OK</v>
      </c>
      <c r="X903" s="0" t="str">
        <f aca="false">_xlfn.IFS(S903&lt;=0,"Early/On time",S903&lt;=2,"Minor (up to 2 days)",S903&lt;=5,"Moderate (2-5 days)",TRUE(),"Severe (over 5 days)")</f>
        <v>Severe (over 5 days)</v>
      </c>
      <c r="Y903" s="0" t="str">
        <f aca="false">YEAR(K903)&amp;"-"&amp;TEXT(MONTH(K903),"00")</f>
        <v>2025-10</v>
      </c>
      <c r="Z903" s="0" t="str">
        <f aca="false">C903&amp;" → "&amp;D903</f>
        <v>Chennai → Surat</v>
      </c>
      <c r="AA903" s="0" t="str">
        <f aca="false">Raw!Q903</f>
        <v>Delhivery</v>
      </c>
      <c r="AB903" s="0" t="str">
        <f aca="false">Raw!R903</f>
        <v>Yes</v>
      </c>
      <c r="AC903" s="0" t="str">
        <f aca="false">Raw!S903</f>
        <v>Expedited</v>
      </c>
      <c r="AD903" s="29" t="n">
        <f aca="false">Raw!N903</f>
        <v>8687.27</v>
      </c>
      <c r="AE903" s="29" t="n">
        <f aca="false">Raw!O903</f>
        <v>1052.31</v>
      </c>
      <c r="AF903" s="29" t="n">
        <f aca="false">Raw!P903</f>
        <v>671.7</v>
      </c>
      <c r="AG903" s="29" t="n">
        <f aca="false">AD903/J903</f>
        <v>850.026418786693</v>
      </c>
    </row>
    <row r="904" customFormat="false" ht="15" hidden="false" customHeight="false" outlineLevel="0" collapsed="false">
      <c r="A904" s="0" t="str">
        <f aca="false">Raw!A904</f>
        <v>SHP0903</v>
      </c>
      <c r="B904" s="0" t="str">
        <f aca="false">Raw!B904</f>
        <v>Inbound</v>
      </c>
      <c r="C904" s="0" t="str">
        <f aca="false">Raw!C904</f>
        <v>Rajasthan</v>
      </c>
      <c r="D904" s="0" t="str">
        <f aca="false">Raw!D904</f>
        <v>Surat</v>
      </c>
      <c r="E904" s="0" t="str">
        <f aca="false">IFERROR(INDEX(Location_Map!$B$2:$B$15,MATCH(C904,Location_Map!$A$2:$A$15,0)),"UNMAPPED")</f>
        <v>Rajasthan</v>
      </c>
      <c r="F904" s="0" t="str">
        <f aca="false">IFERROR(INDEX(Location_Map!$C$2:$C$15,MATCH(C904,Location_Map!$A$2:$A$15,0)),"UNMAPPED")</f>
        <v>North</v>
      </c>
      <c r="G904" s="0" t="str">
        <f aca="false">IFERROR(INDEX(Location_Map!$B$2:$B$15,MATCH(D904,Location_Map!$A$2:$A$15,0)),"UNMAPPED")</f>
        <v>Gujarat</v>
      </c>
      <c r="H904" s="0" t="str">
        <f aca="false">IFERROR(INDEX(Location_Map!$C$2:$C$15,MATCH(D904,Location_Map!$A$2:$A$15,0)),"UNMAPPED")</f>
        <v>West</v>
      </c>
      <c r="I904" s="0" t="str">
        <f aca="false">Raw!E904</f>
        <v>Semi-Processed Yarn</v>
      </c>
      <c r="J904" s="28" t="n">
        <f aca="false">Raw!F904</f>
        <v>13.42</v>
      </c>
      <c r="K904" s="30" t="n">
        <f aca="false">DATE(LEFT(Raw!G904,4),MID(Raw!G904,6,2),MID(Raw!G904,9,2))</f>
        <v>45665</v>
      </c>
      <c r="L904" s="30" t="n">
        <f aca="false">DATE(LEFT(Raw!H904,4),MID(Raw!H904,6,2),MID(Raw!H904,9,2))</f>
        <v>45666</v>
      </c>
      <c r="M904" s="30" t="n">
        <f aca="false">DATE(LEFT(Raw!I904,4),MID(Raw!I904,6,2),MID(Raw!I904,9,2))</f>
        <v>45669</v>
      </c>
      <c r="N904" s="31" t="n">
        <f aca="false">DATE(LEFT(Raw!J904,4),MID(Raw!J904,6,2),MID(Raw!J904,9,2))+TIME(MID(Raw!J904,12,2),MID(Raw!J904,15,2),MID(Raw!J904,18,2))</f>
        <v>45665.8333333333</v>
      </c>
      <c r="O904" s="31" t="n">
        <f aca="false">DATE(LEFT(Raw!K904,4),MID(Raw!K904,6,2),MID(Raw!K904,9,2))+TIME(MID(Raw!K904,12,2),MID(Raw!K904,15,2),MID(Raw!K904,18,2))</f>
        <v>45671</v>
      </c>
      <c r="P904" s="32" t="n">
        <f aca="false">L904-K904</f>
        <v>1</v>
      </c>
      <c r="Q904" s="32" t="n">
        <f aca="false">M904-L904</f>
        <v>3</v>
      </c>
      <c r="R904" s="32" t="n">
        <f aca="false">O904-N904</f>
        <v>5.16666666666667</v>
      </c>
      <c r="S904" s="32" t="n">
        <f aca="false">Raw!L904</f>
        <v>2</v>
      </c>
      <c r="T904" s="32" t="n">
        <f aca="false">O904-M904</f>
        <v>2</v>
      </c>
      <c r="U904" s="0" t="str">
        <f aca="false">IF(ABS(T904-S904)&lt;0.01,"OK","MISMATCH")</f>
        <v>OK</v>
      </c>
      <c r="V904" s="33" t="n">
        <f aca="false">Raw!M904</f>
        <v>1</v>
      </c>
      <c r="W904" s="0" t="str">
        <f aca="false">IF((S904&gt;0)=(V904=1),"OK","MISMATCH")</f>
        <v>OK</v>
      </c>
      <c r="X904" s="0" t="str">
        <f aca="false">_xlfn.IFS(S904&lt;=0,"Early/On time",S904&lt;=2,"Minor (up to 2 days)",S904&lt;=5,"Moderate (2-5 days)",TRUE(),"Severe (over 5 days)")</f>
        <v>Minor (up to 2 days)</v>
      </c>
      <c r="Y904" s="0" t="str">
        <f aca="false">YEAR(K904)&amp;"-"&amp;TEXT(MONTH(K904),"00")</f>
        <v>2025-01</v>
      </c>
      <c r="Z904" s="0" t="str">
        <f aca="false">C904&amp;" → "&amp;D904</f>
        <v>Rajasthan → Surat</v>
      </c>
      <c r="AA904" s="0" t="str">
        <f aca="false">Raw!Q904</f>
        <v>Delhivery</v>
      </c>
      <c r="AB904" s="0" t="str">
        <f aca="false">Raw!R904</f>
        <v>Yes</v>
      </c>
      <c r="AC904" s="0" t="str">
        <f aca="false">Raw!S904</f>
        <v>Expedited</v>
      </c>
      <c r="AD904" s="29" t="n">
        <f aca="false">Raw!N904</f>
        <v>3513.34</v>
      </c>
      <c r="AE904" s="29" t="n">
        <f aca="false">Raw!O904</f>
        <v>2998.82</v>
      </c>
      <c r="AF904" s="29" t="n">
        <f aca="false">Raw!P904</f>
        <v>1093.94</v>
      </c>
      <c r="AG904" s="29" t="n">
        <f aca="false">AD904/J904</f>
        <v>261.798807749627</v>
      </c>
    </row>
    <row r="905" customFormat="false" ht="15" hidden="false" customHeight="false" outlineLevel="0" collapsed="false">
      <c r="A905" s="0" t="str">
        <f aca="false">Raw!A905</f>
        <v>SHP0904</v>
      </c>
      <c r="B905" s="0" t="str">
        <f aca="false">Raw!B905</f>
        <v>Inbound</v>
      </c>
      <c r="C905" s="0" t="str">
        <f aca="false">Raw!C905</f>
        <v>Rajasthan</v>
      </c>
      <c r="D905" s="0" t="str">
        <f aca="false">Raw!D905</f>
        <v>Surat</v>
      </c>
      <c r="E905" s="0" t="str">
        <f aca="false">IFERROR(INDEX(Location_Map!$B$2:$B$15,MATCH(C905,Location_Map!$A$2:$A$15,0)),"UNMAPPED")</f>
        <v>Rajasthan</v>
      </c>
      <c r="F905" s="0" t="str">
        <f aca="false">IFERROR(INDEX(Location_Map!$C$2:$C$15,MATCH(C905,Location_Map!$A$2:$A$15,0)),"UNMAPPED")</f>
        <v>North</v>
      </c>
      <c r="G905" s="0" t="str">
        <f aca="false">IFERROR(INDEX(Location_Map!$B$2:$B$15,MATCH(D905,Location_Map!$A$2:$A$15,0)),"UNMAPPED")</f>
        <v>Gujarat</v>
      </c>
      <c r="H905" s="0" t="str">
        <f aca="false">IFERROR(INDEX(Location_Map!$C$2:$C$15,MATCH(D905,Location_Map!$A$2:$A$15,0)),"UNMAPPED")</f>
        <v>West</v>
      </c>
      <c r="I905" s="0" t="str">
        <f aca="false">Raw!E905</f>
        <v>Raw Yarn</v>
      </c>
      <c r="J905" s="28" t="n">
        <f aca="false">Raw!F905</f>
        <v>3.82</v>
      </c>
      <c r="K905" s="30" t="n">
        <f aca="false">DATE(LEFT(Raw!G905,4),MID(Raw!G905,6,2),MID(Raw!G905,9,2))</f>
        <v>45777</v>
      </c>
      <c r="L905" s="30" t="n">
        <f aca="false">DATE(LEFT(Raw!H905,4),MID(Raw!H905,6,2),MID(Raw!H905,9,2))</f>
        <v>45781</v>
      </c>
      <c r="M905" s="30" t="n">
        <f aca="false">DATE(LEFT(Raw!I905,4),MID(Raw!I905,6,2),MID(Raw!I905,9,2))</f>
        <v>45787</v>
      </c>
      <c r="N905" s="31" t="n">
        <f aca="false">DATE(LEFT(Raw!J905,4),MID(Raw!J905,6,2),MID(Raw!J905,9,2))+TIME(MID(Raw!J905,12,2),MID(Raw!J905,15,2),MID(Raw!J905,18,2))</f>
        <v>45781.2916666667</v>
      </c>
      <c r="O905" s="31" t="n">
        <f aca="false">DATE(LEFT(Raw!K905,4),MID(Raw!K905,6,2),MID(Raw!K905,9,2))+TIME(MID(Raw!K905,12,2),MID(Raw!K905,15,2),MID(Raw!K905,18,2))</f>
        <v>45786</v>
      </c>
      <c r="P905" s="32" t="n">
        <f aca="false">L905-K905</f>
        <v>4</v>
      </c>
      <c r="Q905" s="32" t="n">
        <f aca="false">M905-L905</f>
        <v>6</v>
      </c>
      <c r="R905" s="32" t="n">
        <f aca="false">O905-N905</f>
        <v>4.70833333333333</v>
      </c>
      <c r="S905" s="32" t="n">
        <f aca="false">Raw!L905</f>
        <v>-1</v>
      </c>
      <c r="T905" s="32" t="n">
        <f aca="false">O905-M905</f>
        <v>-1</v>
      </c>
      <c r="U905" s="0" t="str">
        <f aca="false">IF(ABS(T905-S905)&lt;0.01,"OK","MISMATCH")</f>
        <v>OK</v>
      </c>
      <c r="V905" s="33" t="n">
        <f aca="false">Raw!M905</f>
        <v>0</v>
      </c>
      <c r="W905" s="0" t="str">
        <f aca="false">IF((S905&gt;0)=(V905=1),"OK","MISMATCH")</f>
        <v>OK</v>
      </c>
      <c r="X905" s="0" t="str">
        <f aca="false">_xlfn.IFS(S905&lt;=0,"Early/On time",S905&lt;=2,"Minor (up to 2 days)",S905&lt;=5,"Moderate (2-5 days)",TRUE(),"Severe (over 5 days)")</f>
        <v>Early/On time</v>
      </c>
      <c r="Y905" s="0" t="str">
        <f aca="false">YEAR(K905)&amp;"-"&amp;TEXT(MONTH(K905),"00")</f>
        <v>2025-04</v>
      </c>
      <c r="Z905" s="0" t="str">
        <f aca="false">C905&amp;" → "&amp;D905</f>
        <v>Rajasthan → Surat</v>
      </c>
      <c r="AA905" s="0" t="str">
        <f aca="false">Raw!Q905</f>
        <v>VRL Cargo</v>
      </c>
      <c r="AB905" s="0" t="str">
        <f aca="false">Raw!R905</f>
        <v>No</v>
      </c>
      <c r="AC905" s="0" t="str">
        <f aca="false">Raw!S905</f>
        <v>Normal</v>
      </c>
      <c r="AD905" s="29" t="n">
        <f aca="false">Raw!N905</f>
        <v>4103.21</v>
      </c>
      <c r="AE905" s="29" t="n">
        <f aca="false">Raw!O905</f>
        <v>2578.64</v>
      </c>
      <c r="AF905" s="29" t="n">
        <f aca="false">Raw!P905</f>
        <v>1186.57</v>
      </c>
      <c r="AG905" s="29" t="n">
        <f aca="false">AD905/J905</f>
        <v>1074.1387434555</v>
      </c>
    </row>
    <row r="906" customFormat="false" ht="15" hidden="false" customHeight="false" outlineLevel="0" collapsed="false">
      <c r="A906" s="0" t="str">
        <f aca="false">Raw!A906</f>
        <v>SHP0905</v>
      </c>
      <c r="B906" s="0" t="str">
        <f aca="false">Raw!B906</f>
        <v>Inbound</v>
      </c>
      <c r="C906" s="0" t="str">
        <f aca="false">Raw!C906</f>
        <v>Gujarat</v>
      </c>
      <c r="D906" s="0" t="str">
        <f aca="false">Raw!D906</f>
        <v>Surat</v>
      </c>
      <c r="E906" s="0" t="str">
        <f aca="false">IFERROR(INDEX(Location_Map!$B$2:$B$15,MATCH(C906,Location_Map!$A$2:$A$15,0)),"UNMAPPED")</f>
        <v>Gujarat</v>
      </c>
      <c r="F906" s="0" t="str">
        <f aca="false">IFERROR(INDEX(Location_Map!$C$2:$C$15,MATCH(C906,Location_Map!$A$2:$A$15,0)),"UNMAPPED")</f>
        <v>West</v>
      </c>
      <c r="G906" s="0" t="str">
        <f aca="false">IFERROR(INDEX(Location_Map!$B$2:$B$15,MATCH(D906,Location_Map!$A$2:$A$15,0)),"UNMAPPED")</f>
        <v>Gujarat</v>
      </c>
      <c r="H906" s="0" t="str">
        <f aca="false">IFERROR(INDEX(Location_Map!$C$2:$C$15,MATCH(D906,Location_Map!$A$2:$A$15,0)),"UNMAPPED")</f>
        <v>West</v>
      </c>
      <c r="I906" s="0" t="str">
        <f aca="false">Raw!E906</f>
        <v>Finished Yarn</v>
      </c>
      <c r="J906" s="28" t="n">
        <f aca="false">Raw!F906</f>
        <v>8.92</v>
      </c>
      <c r="K906" s="30" t="n">
        <f aca="false">DATE(LEFT(Raw!G906,4),MID(Raw!G906,6,2),MID(Raw!G906,9,2))</f>
        <v>45852</v>
      </c>
      <c r="L906" s="30" t="n">
        <f aca="false">DATE(LEFT(Raw!H906,4),MID(Raw!H906,6,2),MID(Raw!H906,9,2))</f>
        <v>45854</v>
      </c>
      <c r="M906" s="30" t="n">
        <f aca="false">DATE(LEFT(Raw!I906,4),MID(Raw!I906,6,2),MID(Raw!I906,9,2))</f>
        <v>45857</v>
      </c>
      <c r="N906" s="31" t="n">
        <f aca="false">DATE(LEFT(Raw!J906,4),MID(Raw!J906,6,2),MID(Raw!J906,9,2))+TIME(MID(Raw!J906,12,2),MID(Raw!J906,15,2),MID(Raw!J906,18,2))</f>
        <v>45853.7916666667</v>
      </c>
      <c r="O906" s="31" t="n">
        <f aca="false">DATE(LEFT(Raw!K906,4),MID(Raw!K906,6,2),MID(Raw!K906,9,2))+TIME(MID(Raw!K906,12,2),MID(Raw!K906,15,2),MID(Raw!K906,18,2))</f>
        <v>45857.7</v>
      </c>
      <c r="P906" s="32" t="n">
        <f aca="false">L906-K906</f>
        <v>2</v>
      </c>
      <c r="Q906" s="32" t="n">
        <f aca="false">M906-L906</f>
        <v>3</v>
      </c>
      <c r="R906" s="32" t="n">
        <f aca="false">O906-N906</f>
        <v>3.90833333333333</v>
      </c>
      <c r="S906" s="32" t="n">
        <f aca="false">Raw!L906</f>
        <v>0.7</v>
      </c>
      <c r="T906" s="32" t="n">
        <f aca="false">O906-M906</f>
        <v>0.7</v>
      </c>
      <c r="U906" s="0" t="str">
        <f aca="false">IF(ABS(T906-S906)&lt;0.01,"OK","MISMATCH")</f>
        <v>OK</v>
      </c>
      <c r="V906" s="33" t="n">
        <f aca="false">Raw!M906</f>
        <v>1</v>
      </c>
      <c r="W906" s="0" t="str">
        <f aca="false">IF((S906&gt;0)=(V906=1),"OK","MISMATCH")</f>
        <v>OK</v>
      </c>
      <c r="X906" s="0" t="str">
        <f aca="false">_xlfn.IFS(S906&lt;=0,"Early/On time",S906&lt;=2,"Minor (up to 2 days)",S906&lt;=5,"Moderate (2-5 days)",TRUE(),"Severe (over 5 days)")</f>
        <v>Minor (up to 2 days)</v>
      </c>
      <c r="Y906" s="0" t="str">
        <f aca="false">YEAR(K906)&amp;"-"&amp;TEXT(MONTH(K906),"00")</f>
        <v>2025-07</v>
      </c>
      <c r="Z906" s="0" t="str">
        <f aca="false">C906&amp;" → "&amp;D906</f>
        <v>Gujarat → Surat</v>
      </c>
      <c r="AA906" s="0" t="str">
        <f aca="false">Raw!Q906</f>
        <v>TCI Express</v>
      </c>
      <c r="AB906" s="0" t="str">
        <f aca="false">Raw!R906</f>
        <v>No</v>
      </c>
      <c r="AC906" s="0" t="str">
        <f aca="false">Raw!S906</f>
        <v>Normal</v>
      </c>
      <c r="AD906" s="29" t="n">
        <f aca="false">Raw!N906</f>
        <v>2821.44</v>
      </c>
      <c r="AE906" s="29" t="n">
        <f aca="false">Raw!O906</f>
        <v>3075.75</v>
      </c>
      <c r="AF906" s="29" t="n">
        <f aca="false">Raw!P906</f>
        <v>1105.76</v>
      </c>
      <c r="AG906" s="29" t="n">
        <f aca="false">AD906/J906</f>
        <v>316.304932735426</v>
      </c>
    </row>
    <row r="907" customFormat="false" ht="15" hidden="false" customHeight="false" outlineLevel="0" collapsed="false">
      <c r="A907" s="0" t="str">
        <f aca="false">Raw!A907</f>
        <v>SHP0906</v>
      </c>
      <c r="B907" s="0" t="str">
        <f aca="false">Raw!B907</f>
        <v>Inbound</v>
      </c>
      <c r="C907" s="0" t="str">
        <f aca="false">Raw!C907</f>
        <v>Rajasthan</v>
      </c>
      <c r="D907" s="0" t="str">
        <f aca="false">Raw!D907</f>
        <v>Surat</v>
      </c>
      <c r="E907" s="0" t="str">
        <f aca="false">IFERROR(INDEX(Location_Map!$B$2:$B$15,MATCH(C907,Location_Map!$A$2:$A$15,0)),"UNMAPPED")</f>
        <v>Rajasthan</v>
      </c>
      <c r="F907" s="0" t="str">
        <f aca="false">IFERROR(INDEX(Location_Map!$C$2:$C$15,MATCH(C907,Location_Map!$A$2:$A$15,0)),"UNMAPPED")</f>
        <v>North</v>
      </c>
      <c r="G907" s="0" t="str">
        <f aca="false">IFERROR(INDEX(Location_Map!$B$2:$B$15,MATCH(D907,Location_Map!$A$2:$A$15,0)),"UNMAPPED")</f>
        <v>Gujarat</v>
      </c>
      <c r="H907" s="0" t="str">
        <f aca="false">IFERROR(INDEX(Location_Map!$C$2:$C$15,MATCH(D907,Location_Map!$A$2:$A$15,0)),"UNMAPPED")</f>
        <v>West</v>
      </c>
      <c r="I907" s="0" t="str">
        <f aca="false">Raw!E907</f>
        <v>Finished Yarn</v>
      </c>
      <c r="J907" s="28" t="n">
        <f aca="false">Raw!F907</f>
        <v>19.29</v>
      </c>
      <c r="K907" s="30" t="n">
        <f aca="false">DATE(LEFT(Raw!G907,4),MID(Raw!G907,6,2),MID(Raw!G907,9,2))</f>
        <v>45834</v>
      </c>
      <c r="L907" s="30" t="n">
        <f aca="false">DATE(LEFT(Raw!H907,4),MID(Raw!H907,6,2),MID(Raw!H907,9,2))</f>
        <v>45836</v>
      </c>
      <c r="M907" s="30" t="n">
        <f aca="false">DATE(LEFT(Raw!I907,4),MID(Raw!I907,6,2),MID(Raw!I907,9,2))</f>
        <v>45840</v>
      </c>
      <c r="N907" s="31" t="n">
        <f aca="false">DATE(LEFT(Raw!J907,4),MID(Raw!J907,6,2),MID(Raw!J907,9,2))+TIME(MID(Raw!J907,12,2),MID(Raw!J907,15,2),MID(Raw!J907,18,2))</f>
        <v>45835.7916666667</v>
      </c>
      <c r="O907" s="31" t="n">
        <f aca="false">DATE(LEFT(Raw!K907,4),MID(Raw!K907,6,2),MID(Raw!K907,9,2))+TIME(MID(Raw!K907,12,2),MID(Raw!K907,15,2),MID(Raw!K907,18,2))</f>
        <v>45842.1</v>
      </c>
      <c r="P907" s="32" t="n">
        <f aca="false">L907-K907</f>
        <v>2</v>
      </c>
      <c r="Q907" s="32" t="n">
        <f aca="false">M907-L907</f>
        <v>4</v>
      </c>
      <c r="R907" s="32" t="n">
        <f aca="false">O907-N907</f>
        <v>6.30833333333333</v>
      </c>
      <c r="S907" s="32" t="n">
        <f aca="false">Raw!L907</f>
        <v>2.1</v>
      </c>
      <c r="T907" s="32" t="n">
        <f aca="false">O907-M907</f>
        <v>2.1</v>
      </c>
      <c r="U907" s="0" t="str">
        <f aca="false">IF(ABS(T907-S907)&lt;0.01,"OK","MISMATCH")</f>
        <v>OK</v>
      </c>
      <c r="V907" s="33" t="n">
        <f aca="false">Raw!M907</f>
        <v>1</v>
      </c>
      <c r="W907" s="0" t="str">
        <f aca="false">IF((S907&gt;0)=(V907=1),"OK","MISMATCH")</f>
        <v>OK</v>
      </c>
      <c r="X907" s="0" t="str">
        <f aca="false">_xlfn.IFS(S907&lt;=0,"Early/On time",S907&lt;=2,"Minor (up to 2 days)",S907&lt;=5,"Moderate (2-5 days)",TRUE(),"Severe (over 5 days)")</f>
        <v>Moderate (2-5 days)</v>
      </c>
      <c r="Y907" s="0" t="str">
        <f aca="false">YEAR(K907)&amp;"-"&amp;TEXT(MONTH(K907),"00")</f>
        <v>2025-06</v>
      </c>
      <c r="Z907" s="0" t="str">
        <f aca="false">C907&amp;" → "&amp;D907</f>
        <v>Rajasthan → Surat</v>
      </c>
      <c r="AA907" s="0" t="str">
        <f aca="false">Raw!Q907</f>
        <v>VRL Cargo</v>
      </c>
      <c r="AB907" s="0" t="str">
        <f aca="false">Raw!R907</f>
        <v>Yes</v>
      </c>
      <c r="AC907" s="0" t="str">
        <f aca="false">Raw!S907</f>
        <v>Damaged</v>
      </c>
      <c r="AD907" s="29" t="n">
        <f aca="false">Raw!N907</f>
        <v>14112.93</v>
      </c>
      <c r="AE907" s="29" t="n">
        <f aca="false">Raw!O907</f>
        <v>2291.91</v>
      </c>
      <c r="AF907" s="29" t="n">
        <f aca="false">Raw!P907</f>
        <v>737.25</v>
      </c>
      <c r="AG907" s="29" t="n">
        <f aca="false">AD907/J907</f>
        <v>731.618973561431</v>
      </c>
    </row>
    <row r="908" customFormat="false" ht="15" hidden="false" customHeight="false" outlineLevel="0" collapsed="false">
      <c r="A908" s="0" t="str">
        <f aca="false">Raw!A908</f>
        <v>SHP0907</v>
      </c>
      <c r="B908" s="0" t="str">
        <f aca="false">Raw!B908</f>
        <v>Inbound</v>
      </c>
      <c r="C908" s="0" t="str">
        <f aca="false">Raw!C908</f>
        <v>Rajasthan</v>
      </c>
      <c r="D908" s="0" t="str">
        <f aca="false">Raw!D908</f>
        <v>Surat</v>
      </c>
      <c r="E908" s="0" t="str">
        <f aca="false">IFERROR(INDEX(Location_Map!$B$2:$B$15,MATCH(C908,Location_Map!$A$2:$A$15,0)),"UNMAPPED")</f>
        <v>Rajasthan</v>
      </c>
      <c r="F908" s="0" t="str">
        <f aca="false">IFERROR(INDEX(Location_Map!$C$2:$C$15,MATCH(C908,Location_Map!$A$2:$A$15,0)),"UNMAPPED")</f>
        <v>North</v>
      </c>
      <c r="G908" s="0" t="str">
        <f aca="false">IFERROR(INDEX(Location_Map!$B$2:$B$15,MATCH(D908,Location_Map!$A$2:$A$15,0)),"UNMAPPED")</f>
        <v>Gujarat</v>
      </c>
      <c r="H908" s="0" t="str">
        <f aca="false">IFERROR(INDEX(Location_Map!$C$2:$C$15,MATCH(D908,Location_Map!$A$2:$A$15,0)),"UNMAPPED")</f>
        <v>West</v>
      </c>
      <c r="I908" s="0" t="str">
        <f aca="false">Raw!E908</f>
        <v>Semi-Processed Yarn</v>
      </c>
      <c r="J908" s="28" t="n">
        <f aca="false">Raw!F908</f>
        <v>5.99</v>
      </c>
      <c r="K908" s="30" t="n">
        <f aca="false">DATE(LEFT(Raw!G908,4),MID(Raw!G908,6,2),MID(Raw!G908,9,2))</f>
        <v>45809</v>
      </c>
      <c r="L908" s="30" t="n">
        <f aca="false">DATE(LEFT(Raw!H908,4),MID(Raw!H908,6,2),MID(Raw!H908,9,2))</f>
        <v>45812</v>
      </c>
      <c r="M908" s="30" t="n">
        <f aca="false">DATE(LEFT(Raw!I908,4),MID(Raw!I908,6,2),MID(Raw!I908,9,2))</f>
        <v>45816</v>
      </c>
      <c r="N908" s="31" t="n">
        <f aca="false">DATE(LEFT(Raw!J908,4),MID(Raw!J908,6,2),MID(Raw!J908,9,2))+TIME(MID(Raw!J908,12,2),MID(Raw!J908,15,2),MID(Raw!J908,18,2))</f>
        <v>45812.25</v>
      </c>
      <c r="O908" s="31" t="n">
        <f aca="false">DATE(LEFT(Raw!K908,4),MID(Raw!K908,6,2),MID(Raw!K908,9,2))+TIME(MID(Raw!K908,12,2),MID(Raw!K908,15,2),MID(Raw!K908,18,2))</f>
        <v>45820.6</v>
      </c>
      <c r="P908" s="32" t="n">
        <f aca="false">L908-K908</f>
        <v>3</v>
      </c>
      <c r="Q908" s="32" t="n">
        <f aca="false">M908-L908</f>
        <v>4</v>
      </c>
      <c r="R908" s="32" t="n">
        <f aca="false">O908-N908</f>
        <v>8.35</v>
      </c>
      <c r="S908" s="32" t="n">
        <f aca="false">Raw!L908</f>
        <v>4.6</v>
      </c>
      <c r="T908" s="32" t="n">
        <f aca="false">O908-M908</f>
        <v>4.6</v>
      </c>
      <c r="U908" s="0" t="str">
        <f aca="false">IF(ABS(T908-S908)&lt;0.01,"OK","MISMATCH")</f>
        <v>OK</v>
      </c>
      <c r="V908" s="33" t="n">
        <f aca="false">Raw!M908</f>
        <v>1</v>
      </c>
      <c r="W908" s="0" t="str">
        <f aca="false">IF((S908&gt;0)=(V908=1),"OK","MISMATCH")</f>
        <v>OK</v>
      </c>
      <c r="X908" s="0" t="str">
        <f aca="false">_xlfn.IFS(S908&lt;=0,"Early/On time",S908&lt;=2,"Minor (up to 2 days)",S908&lt;=5,"Moderate (2-5 days)",TRUE(),"Severe (over 5 days)")</f>
        <v>Moderate (2-5 days)</v>
      </c>
      <c r="Y908" s="0" t="str">
        <f aca="false">YEAR(K908)&amp;"-"&amp;TEXT(MONTH(K908),"00")</f>
        <v>2025-06</v>
      </c>
      <c r="Z908" s="0" t="str">
        <f aca="false">C908&amp;" → "&amp;D908</f>
        <v>Rajasthan → Surat</v>
      </c>
      <c r="AA908" s="0" t="str">
        <f aca="false">Raw!Q908</f>
        <v>Delhivery</v>
      </c>
      <c r="AB908" s="0" t="str">
        <f aca="false">Raw!R908</f>
        <v>Yes</v>
      </c>
      <c r="AC908" s="0" t="str">
        <f aca="false">Raw!S908</f>
        <v>Returned</v>
      </c>
      <c r="AD908" s="29" t="n">
        <f aca="false">Raw!N908</f>
        <v>4822.49</v>
      </c>
      <c r="AE908" s="29" t="n">
        <f aca="false">Raw!O908</f>
        <v>3970.89</v>
      </c>
      <c r="AF908" s="29" t="n">
        <f aca="false">Raw!P908</f>
        <v>1346.56</v>
      </c>
      <c r="AG908" s="29" t="n">
        <f aca="false">AD908/J908</f>
        <v>805.090150250417</v>
      </c>
    </row>
    <row r="909" customFormat="false" ht="15" hidden="false" customHeight="false" outlineLevel="0" collapsed="false">
      <c r="A909" s="0" t="str">
        <f aca="false">Raw!A909</f>
        <v>SHP0908</v>
      </c>
      <c r="B909" s="0" t="str">
        <f aca="false">Raw!B909</f>
        <v>Outbound</v>
      </c>
      <c r="C909" s="0" t="str">
        <f aca="false">Raw!C909</f>
        <v>Surat</v>
      </c>
      <c r="D909" s="0" t="str">
        <f aca="false">Raw!D909</f>
        <v>Uttarakhand</v>
      </c>
      <c r="E909" s="0" t="str">
        <f aca="false">IFERROR(INDEX(Location_Map!$B$2:$B$15,MATCH(C909,Location_Map!$A$2:$A$15,0)),"UNMAPPED")</f>
        <v>Gujarat</v>
      </c>
      <c r="F909" s="0" t="str">
        <f aca="false">IFERROR(INDEX(Location_Map!$C$2:$C$15,MATCH(C909,Location_Map!$A$2:$A$15,0)),"UNMAPPED")</f>
        <v>West</v>
      </c>
      <c r="G909" s="0" t="str">
        <f aca="false">IFERROR(INDEX(Location_Map!$B$2:$B$15,MATCH(D909,Location_Map!$A$2:$A$15,0)),"UNMAPPED")</f>
        <v>Uttarakhand</v>
      </c>
      <c r="H909" s="0" t="str">
        <f aca="false">IFERROR(INDEX(Location_Map!$C$2:$C$15,MATCH(D909,Location_Map!$A$2:$A$15,0)),"UNMAPPED")</f>
        <v>North</v>
      </c>
      <c r="I909" s="0" t="str">
        <f aca="false">Raw!E909</f>
        <v>Raw Yarn</v>
      </c>
      <c r="J909" s="28" t="n">
        <f aca="false">Raw!F909</f>
        <v>2.21</v>
      </c>
      <c r="K909" s="30" t="n">
        <f aca="false">DATE(LEFT(Raw!G909,4),MID(Raw!G909,6,2),MID(Raw!G909,9,2))</f>
        <v>45667</v>
      </c>
      <c r="L909" s="30" t="n">
        <f aca="false">DATE(LEFT(Raw!H909,4),MID(Raw!H909,6,2),MID(Raw!H909,9,2))</f>
        <v>45669</v>
      </c>
      <c r="M909" s="30" t="n">
        <f aca="false">DATE(LEFT(Raw!I909,4),MID(Raw!I909,6,2),MID(Raw!I909,9,2))</f>
        <v>45671</v>
      </c>
      <c r="N909" s="31" t="n">
        <f aca="false">DATE(LEFT(Raw!J909,4),MID(Raw!J909,6,2),MID(Raw!J909,9,2))+TIME(MID(Raw!J909,12,2),MID(Raw!J909,15,2),MID(Raw!J909,18,2))</f>
        <v>45668.9166666667</v>
      </c>
      <c r="O909" s="31" t="n">
        <f aca="false">DATE(LEFT(Raw!K909,4),MID(Raw!K909,6,2),MID(Raw!K909,9,2))+TIME(MID(Raw!K909,12,2),MID(Raw!K909,15,2),MID(Raw!K909,18,2))</f>
        <v>45674.9</v>
      </c>
      <c r="P909" s="32" t="n">
        <f aca="false">L909-K909</f>
        <v>2</v>
      </c>
      <c r="Q909" s="32" t="n">
        <f aca="false">M909-L909</f>
        <v>2</v>
      </c>
      <c r="R909" s="32" t="n">
        <f aca="false">O909-N909</f>
        <v>5.98333333333333</v>
      </c>
      <c r="S909" s="32" t="n">
        <f aca="false">Raw!L909</f>
        <v>3.9</v>
      </c>
      <c r="T909" s="32" t="n">
        <f aca="false">O909-M909</f>
        <v>3.9</v>
      </c>
      <c r="U909" s="0" t="str">
        <f aca="false">IF(ABS(T909-S909)&lt;0.01,"OK","MISMATCH")</f>
        <v>OK</v>
      </c>
      <c r="V909" s="33" t="n">
        <f aca="false">Raw!M909</f>
        <v>1</v>
      </c>
      <c r="W909" s="0" t="str">
        <f aca="false">IF((S909&gt;0)=(V909=1),"OK","MISMATCH")</f>
        <v>OK</v>
      </c>
      <c r="X909" s="0" t="str">
        <f aca="false">_xlfn.IFS(S909&lt;=0,"Early/On time",S909&lt;=2,"Minor (up to 2 days)",S909&lt;=5,"Moderate (2-5 days)",TRUE(),"Severe (over 5 days)")</f>
        <v>Moderate (2-5 days)</v>
      </c>
      <c r="Y909" s="0" t="str">
        <f aca="false">YEAR(K909)&amp;"-"&amp;TEXT(MONTH(K909),"00")</f>
        <v>2025-01</v>
      </c>
      <c r="Z909" s="0" t="str">
        <f aca="false">C909&amp;" → "&amp;D909</f>
        <v>Surat → Uttarakhand</v>
      </c>
      <c r="AA909" s="0" t="str">
        <f aca="false">Raw!Q909</f>
        <v>VRL Cargo</v>
      </c>
      <c r="AB909" s="0" t="str">
        <f aca="false">Raw!R909</f>
        <v>Yes</v>
      </c>
      <c r="AC909" s="0" t="str">
        <f aca="false">Raw!S909</f>
        <v>Held at warehouse</v>
      </c>
      <c r="AD909" s="29" t="n">
        <f aca="false">Raw!N909</f>
        <v>2190.07</v>
      </c>
      <c r="AE909" s="29" t="n">
        <f aca="false">Raw!O909</f>
        <v>1880.27</v>
      </c>
      <c r="AF909" s="29" t="n">
        <f aca="false">Raw!P909</f>
        <v>888.53</v>
      </c>
      <c r="AG909" s="29" t="n">
        <f aca="false">AD909/J909</f>
        <v>990.981900452489</v>
      </c>
    </row>
    <row r="910" customFormat="false" ht="15" hidden="false" customHeight="false" outlineLevel="0" collapsed="false">
      <c r="A910" s="0" t="str">
        <f aca="false">Raw!A910</f>
        <v>SHP0909</v>
      </c>
      <c r="B910" s="0" t="str">
        <f aca="false">Raw!B910</f>
        <v>Outbound</v>
      </c>
      <c r="C910" s="0" t="str">
        <f aca="false">Raw!C910</f>
        <v>Surat</v>
      </c>
      <c r="D910" s="0" t="str">
        <f aca="false">Raw!D910</f>
        <v>West Bengal</v>
      </c>
      <c r="E910" s="0" t="str">
        <f aca="false">IFERROR(INDEX(Location_Map!$B$2:$B$15,MATCH(C910,Location_Map!$A$2:$A$15,0)),"UNMAPPED")</f>
        <v>Gujarat</v>
      </c>
      <c r="F910" s="0" t="str">
        <f aca="false">IFERROR(INDEX(Location_Map!$C$2:$C$15,MATCH(C910,Location_Map!$A$2:$A$15,0)),"UNMAPPED")</f>
        <v>West</v>
      </c>
      <c r="G910" s="0" t="str">
        <f aca="false">IFERROR(INDEX(Location_Map!$B$2:$B$15,MATCH(D910,Location_Map!$A$2:$A$15,0)),"UNMAPPED")</f>
        <v>West Bengal</v>
      </c>
      <c r="H910" s="0" t="str">
        <f aca="false">IFERROR(INDEX(Location_Map!$C$2:$C$15,MATCH(D910,Location_Map!$A$2:$A$15,0)),"UNMAPPED")</f>
        <v>East</v>
      </c>
      <c r="I910" s="0" t="str">
        <f aca="false">Raw!E910</f>
        <v>Finished Yarn</v>
      </c>
      <c r="J910" s="28" t="n">
        <f aca="false">Raw!F910</f>
        <v>17.45</v>
      </c>
      <c r="K910" s="30" t="n">
        <f aca="false">DATE(LEFT(Raw!G910,4),MID(Raw!G910,6,2),MID(Raw!G910,9,2))</f>
        <v>45875</v>
      </c>
      <c r="L910" s="30" t="n">
        <f aca="false">DATE(LEFT(Raw!H910,4),MID(Raw!H910,6,2),MID(Raw!H910,9,2))</f>
        <v>45877</v>
      </c>
      <c r="M910" s="30" t="n">
        <f aca="false">DATE(LEFT(Raw!I910,4),MID(Raw!I910,6,2),MID(Raw!I910,9,2))</f>
        <v>45882</v>
      </c>
      <c r="N910" s="31" t="n">
        <f aca="false">DATE(LEFT(Raw!J910,4),MID(Raw!J910,6,2),MID(Raw!J910,9,2))+TIME(MID(Raw!J910,12,2),MID(Raw!J910,15,2),MID(Raw!J910,18,2))</f>
        <v>45877.2083333333</v>
      </c>
      <c r="O910" s="31" t="n">
        <f aca="false">DATE(LEFT(Raw!K910,4),MID(Raw!K910,6,2),MID(Raw!K910,9,2))+TIME(MID(Raw!K910,12,2),MID(Raw!K910,15,2),MID(Raw!K910,18,2))</f>
        <v>45885.9</v>
      </c>
      <c r="P910" s="32" t="n">
        <f aca="false">L910-K910</f>
        <v>2</v>
      </c>
      <c r="Q910" s="32" t="n">
        <f aca="false">M910-L910</f>
        <v>5</v>
      </c>
      <c r="R910" s="32" t="n">
        <f aca="false">O910-N910</f>
        <v>8.69166666666667</v>
      </c>
      <c r="S910" s="32" t="n">
        <f aca="false">Raw!L910</f>
        <v>3.9</v>
      </c>
      <c r="T910" s="32" t="n">
        <f aca="false">O910-M910</f>
        <v>3.9</v>
      </c>
      <c r="U910" s="0" t="str">
        <f aca="false">IF(ABS(T910-S910)&lt;0.01,"OK","MISMATCH")</f>
        <v>OK</v>
      </c>
      <c r="V910" s="33" t="n">
        <f aca="false">Raw!M910</f>
        <v>1</v>
      </c>
      <c r="W910" s="0" t="str">
        <f aca="false">IF((S910&gt;0)=(V910=1),"OK","MISMATCH")</f>
        <v>OK</v>
      </c>
      <c r="X910" s="0" t="str">
        <f aca="false">_xlfn.IFS(S910&lt;=0,"Early/On time",S910&lt;=2,"Minor (up to 2 days)",S910&lt;=5,"Moderate (2-5 days)",TRUE(),"Severe (over 5 days)")</f>
        <v>Moderate (2-5 days)</v>
      </c>
      <c r="Y910" s="0" t="str">
        <f aca="false">YEAR(K910)&amp;"-"&amp;TEXT(MONTH(K910),"00")</f>
        <v>2025-08</v>
      </c>
      <c r="Z910" s="0" t="str">
        <f aca="false">C910&amp;" → "&amp;D910</f>
        <v>Surat → West Bengal</v>
      </c>
      <c r="AA910" s="0" t="str">
        <f aca="false">Raw!Q910</f>
        <v>Delhivery</v>
      </c>
      <c r="AB910" s="0" t="str">
        <f aca="false">Raw!R910</f>
        <v>Yes</v>
      </c>
      <c r="AC910" s="0" t="str">
        <f aca="false">Raw!S910</f>
        <v>Normal</v>
      </c>
      <c r="AD910" s="29" t="n">
        <f aca="false">Raw!N910</f>
        <v>7145.41</v>
      </c>
      <c r="AE910" s="29" t="n">
        <f aca="false">Raw!O910</f>
        <v>2008.28</v>
      </c>
      <c r="AF910" s="29" t="n">
        <f aca="false">Raw!P910</f>
        <v>954.17</v>
      </c>
      <c r="AG910" s="29" t="n">
        <f aca="false">AD910/J910</f>
        <v>409.479083094556</v>
      </c>
    </row>
    <row r="911" customFormat="false" ht="15" hidden="false" customHeight="false" outlineLevel="0" collapsed="false">
      <c r="A911" s="0" t="str">
        <f aca="false">Raw!A911</f>
        <v>SHP0910</v>
      </c>
      <c r="B911" s="0" t="str">
        <f aca="false">Raw!B911</f>
        <v>Outbound</v>
      </c>
      <c r="C911" s="0" t="str">
        <f aca="false">Raw!C911</f>
        <v>Surat</v>
      </c>
      <c r="D911" s="0" t="str">
        <f aca="false">Raw!D911</f>
        <v>Karnataka</v>
      </c>
      <c r="E911" s="0" t="str">
        <f aca="false">IFERROR(INDEX(Location_Map!$B$2:$B$15,MATCH(C911,Location_Map!$A$2:$A$15,0)),"UNMAPPED")</f>
        <v>Gujarat</v>
      </c>
      <c r="F911" s="0" t="str">
        <f aca="false">IFERROR(INDEX(Location_Map!$C$2:$C$15,MATCH(C911,Location_Map!$A$2:$A$15,0)),"UNMAPPED")</f>
        <v>West</v>
      </c>
      <c r="G911" s="0" t="str">
        <f aca="false">IFERROR(INDEX(Location_Map!$B$2:$B$15,MATCH(D911,Location_Map!$A$2:$A$15,0)),"UNMAPPED")</f>
        <v>Karnataka</v>
      </c>
      <c r="H911" s="0" t="str">
        <f aca="false">IFERROR(INDEX(Location_Map!$C$2:$C$15,MATCH(D911,Location_Map!$A$2:$A$15,0)),"UNMAPPED")</f>
        <v>South</v>
      </c>
      <c r="I911" s="0" t="str">
        <f aca="false">Raw!E911</f>
        <v>Semi-Processed Yarn</v>
      </c>
      <c r="J911" s="28" t="n">
        <f aca="false">Raw!F911</f>
        <v>8.33</v>
      </c>
      <c r="K911" s="30" t="n">
        <f aca="false">DATE(LEFT(Raw!G911,4),MID(Raw!G911,6,2),MID(Raw!G911,9,2))</f>
        <v>45952</v>
      </c>
      <c r="L911" s="30" t="n">
        <f aca="false">DATE(LEFT(Raw!H911,4),MID(Raw!H911,6,2),MID(Raw!H911,9,2))</f>
        <v>45954</v>
      </c>
      <c r="M911" s="30" t="n">
        <f aca="false">DATE(LEFT(Raw!I911,4),MID(Raw!I911,6,2),MID(Raw!I911,9,2))</f>
        <v>45956</v>
      </c>
      <c r="N911" s="31" t="n">
        <f aca="false">DATE(LEFT(Raw!J911,4),MID(Raw!J911,6,2),MID(Raw!J911,9,2))+TIME(MID(Raw!J911,12,2),MID(Raw!J911,15,2),MID(Raw!J911,18,2))</f>
        <v>45954.2083333333</v>
      </c>
      <c r="O911" s="31" t="n">
        <f aca="false">DATE(LEFT(Raw!K911,4),MID(Raw!K911,6,2),MID(Raw!K911,9,2))+TIME(MID(Raw!K911,12,2),MID(Raw!K911,15,2),MID(Raw!K911,18,2))</f>
        <v>45955</v>
      </c>
      <c r="P911" s="32" t="n">
        <f aca="false">L911-K911</f>
        <v>2</v>
      </c>
      <c r="Q911" s="32" t="n">
        <f aca="false">M911-L911</f>
        <v>2</v>
      </c>
      <c r="R911" s="32" t="n">
        <f aca="false">O911-N911</f>
        <v>0.791666666666667</v>
      </c>
      <c r="S911" s="32" t="n">
        <f aca="false">Raw!L911</f>
        <v>-1</v>
      </c>
      <c r="T911" s="32" t="n">
        <f aca="false">O911-M911</f>
        <v>-1</v>
      </c>
      <c r="U911" s="0" t="str">
        <f aca="false">IF(ABS(T911-S911)&lt;0.01,"OK","MISMATCH")</f>
        <v>OK</v>
      </c>
      <c r="V911" s="33" t="n">
        <f aca="false">Raw!M911</f>
        <v>0</v>
      </c>
      <c r="W911" s="0" t="str">
        <f aca="false">IF((S911&gt;0)=(V911=1),"OK","MISMATCH")</f>
        <v>OK</v>
      </c>
      <c r="X911" s="0" t="str">
        <f aca="false">_xlfn.IFS(S911&lt;=0,"Early/On time",S911&lt;=2,"Minor (up to 2 days)",S911&lt;=5,"Moderate (2-5 days)",TRUE(),"Severe (over 5 days)")</f>
        <v>Early/On time</v>
      </c>
      <c r="Y911" s="0" t="str">
        <f aca="false">YEAR(K911)&amp;"-"&amp;TEXT(MONTH(K911),"00")</f>
        <v>2025-10</v>
      </c>
      <c r="Z911" s="0" t="str">
        <f aca="false">C911&amp;" → "&amp;D911</f>
        <v>Surat → Karnataka</v>
      </c>
      <c r="AA911" s="0" t="str">
        <f aca="false">Raw!Q911</f>
        <v>BlueDart</v>
      </c>
      <c r="AB911" s="0" t="str">
        <f aca="false">Raw!R911</f>
        <v>Yes</v>
      </c>
      <c r="AC911" s="0" t="str">
        <f aca="false">Raw!S911</f>
        <v>Held at warehouse</v>
      </c>
      <c r="AD911" s="29" t="n">
        <f aca="false">Raw!N911</f>
        <v>3507.67</v>
      </c>
      <c r="AE911" s="29" t="n">
        <f aca="false">Raw!O911</f>
        <v>3397.45</v>
      </c>
      <c r="AF911" s="29" t="n">
        <f aca="false">Raw!P911</f>
        <v>918.76</v>
      </c>
      <c r="AG911" s="29" t="n">
        <f aca="false">AD911/J911</f>
        <v>421.088835534214</v>
      </c>
    </row>
    <row r="912" customFormat="false" ht="15" hidden="false" customHeight="false" outlineLevel="0" collapsed="false">
      <c r="A912" s="0" t="str">
        <f aca="false">Raw!A912</f>
        <v>SHP0911</v>
      </c>
      <c r="B912" s="0" t="str">
        <f aca="false">Raw!B912</f>
        <v>Inbound</v>
      </c>
      <c r="C912" s="0" t="str">
        <f aca="false">Raw!C912</f>
        <v>Gujarat</v>
      </c>
      <c r="D912" s="0" t="str">
        <f aca="false">Raw!D912</f>
        <v>Surat</v>
      </c>
      <c r="E912" s="0" t="str">
        <f aca="false">IFERROR(INDEX(Location_Map!$B$2:$B$15,MATCH(C912,Location_Map!$A$2:$A$15,0)),"UNMAPPED")</f>
        <v>Gujarat</v>
      </c>
      <c r="F912" s="0" t="str">
        <f aca="false">IFERROR(INDEX(Location_Map!$C$2:$C$15,MATCH(C912,Location_Map!$A$2:$A$15,0)),"UNMAPPED")</f>
        <v>West</v>
      </c>
      <c r="G912" s="0" t="str">
        <f aca="false">IFERROR(INDEX(Location_Map!$B$2:$B$15,MATCH(D912,Location_Map!$A$2:$A$15,0)),"UNMAPPED")</f>
        <v>Gujarat</v>
      </c>
      <c r="H912" s="0" t="str">
        <f aca="false">IFERROR(INDEX(Location_Map!$C$2:$C$15,MATCH(D912,Location_Map!$A$2:$A$15,0)),"UNMAPPED")</f>
        <v>West</v>
      </c>
      <c r="I912" s="0" t="str">
        <f aca="false">Raw!E912</f>
        <v>Semi-Processed Yarn</v>
      </c>
      <c r="J912" s="28" t="n">
        <f aca="false">Raw!F912</f>
        <v>9.21</v>
      </c>
      <c r="K912" s="30" t="n">
        <f aca="false">DATE(LEFT(Raw!G912,4),MID(Raw!G912,6,2),MID(Raw!G912,9,2))</f>
        <v>45674</v>
      </c>
      <c r="L912" s="30" t="n">
        <f aca="false">DATE(LEFT(Raw!H912,4),MID(Raw!H912,6,2),MID(Raw!H912,9,2))</f>
        <v>45677</v>
      </c>
      <c r="M912" s="30" t="n">
        <f aca="false">DATE(LEFT(Raw!I912,4),MID(Raw!I912,6,2),MID(Raw!I912,9,2))</f>
        <v>45679</v>
      </c>
      <c r="N912" s="31" t="n">
        <f aca="false">DATE(LEFT(Raw!J912,4),MID(Raw!J912,6,2),MID(Raw!J912,9,2))+TIME(MID(Raw!J912,12,2),MID(Raw!J912,15,2),MID(Raw!J912,18,2))</f>
        <v>45677</v>
      </c>
      <c r="O912" s="31" t="n">
        <f aca="false">DATE(LEFT(Raw!K912,4),MID(Raw!K912,6,2),MID(Raw!K912,9,2))+TIME(MID(Raw!K912,12,2),MID(Raw!K912,15,2),MID(Raw!K912,18,2))</f>
        <v>45678</v>
      </c>
      <c r="P912" s="32" t="n">
        <f aca="false">L912-K912</f>
        <v>3</v>
      </c>
      <c r="Q912" s="32" t="n">
        <f aca="false">M912-L912</f>
        <v>2</v>
      </c>
      <c r="R912" s="32" t="n">
        <f aca="false">O912-N912</f>
        <v>1</v>
      </c>
      <c r="S912" s="32" t="n">
        <f aca="false">Raw!L912</f>
        <v>-1</v>
      </c>
      <c r="T912" s="32" t="n">
        <f aca="false">O912-M912</f>
        <v>-1</v>
      </c>
      <c r="U912" s="0" t="str">
        <f aca="false">IF(ABS(T912-S912)&lt;0.01,"OK","MISMATCH")</f>
        <v>OK</v>
      </c>
      <c r="V912" s="33" t="n">
        <f aca="false">Raw!M912</f>
        <v>0</v>
      </c>
      <c r="W912" s="0" t="str">
        <f aca="false">IF((S912&gt;0)=(V912=1),"OK","MISMATCH")</f>
        <v>OK</v>
      </c>
      <c r="X912" s="0" t="str">
        <f aca="false">_xlfn.IFS(S912&lt;=0,"Early/On time",S912&lt;=2,"Minor (up to 2 days)",S912&lt;=5,"Moderate (2-5 days)",TRUE(),"Severe (over 5 days)")</f>
        <v>Early/On time</v>
      </c>
      <c r="Y912" s="0" t="str">
        <f aca="false">YEAR(K912)&amp;"-"&amp;TEXT(MONTH(K912),"00")</f>
        <v>2025-01</v>
      </c>
      <c r="Z912" s="0" t="str">
        <f aca="false">C912&amp;" → "&amp;D912</f>
        <v>Gujarat → Surat</v>
      </c>
      <c r="AA912" s="0" t="str">
        <f aca="false">Raw!Q912</f>
        <v>VRL Cargo</v>
      </c>
      <c r="AB912" s="0" t="str">
        <f aca="false">Raw!R912</f>
        <v>No</v>
      </c>
      <c r="AC912" s="0" t="str">
        <f aca="false">Raw!S912</f>
        <v>Returned</v>
      </c>
      <c r="AD912" s="29" t="n">
        <f aca="false">Raw!N912</f>
        <v>6898.05</v>
      </c>
      <c r="AE912" s="29" t="n">
        <f aca="false">Raw!O912</f>
        <v>2445.07</v>
      </c>
      <c r="AF912" s="29" t="n">
        <f aca="false">Raw!P912</f>
        <v>713.36</v>
      </c>
      <c r="AG912" s="29" t="n">
        <f aca="false">AD912/J912</f>
        <v>748.973941368078</v>
      </c>
    </row>
    <row r="913" customFormat="false" ht="15" hidden="false" customHeight="false" outlineLevel="0" collapsed="false">
      <c r="A913" s="0" t="str">
        <f aca="false">Raw!A913</f>
        <v>SHP0912</v>
      </c>
      <c r="B913" s="0" t="str">
        <f aca="false">Raw!B913</f>
        <v>Outbound</v>
      </c>
      <c r="C913" s="0" t="str">
        <f aca="false">Raw!C913</f>
        <v>Surat</v>
      </c>
      <c r="D913" s="0" t="str">
        <f aca="false">Raw!D913</f>
        <v>Jaipur</v>
      </c>
      <c r="E913" s="0" t="str">
        <f aca="false">IFERROR(INDEX(Location_Map!$B$2:$B$15,MATCH(C913,Location_Map!$A$2:$A$15,0)),"UNMAPPED")</f>
        <v>Gujarat</v>
      </c>
      <c r="F913" s="0" t="str">
        <f aca="false">IFERROR(INDEX(Location_Map!$C$2:$C$15,MATCH(C913,Location_Map!$A$2:$A$15,0)),"UNMAPPED")</f>
        <v>West</v>
      </c>
      <c r="G913" s="0" t="str">
        <f aca="false">IFERROR(INDEX(Location_Map!$B$2:$B$15,MATCH(D913,Location_Map!$A$2:$A$15,0)),"UNMAPPED")</f>
        <v>Rajasthan</v>
      </c>
      <c r="H913" s="0" t="str">
        <f aca="false">IFERROR(INDEX(Location_Map!$C$2:$C$15,MATCH(D913,Location_Map!$A$2:$A$15,0)),"UNMAPPED")</f>
        <v>North</v>
      </c>
      <c r="I913" s="0" t="str">
        <f aca="false">Raw!E913</f>
        <v>Finished Yarn</v>
      </c>
      <c r="J913" s="28" t="n">
        <f aca="false">Raw!F913</f>
        <v>8.32</v>
      </c>
      <c r="K913" s="30" t="n">
        <f aca="false">DATE(LEFT(Raw!G913,4),MID(Raw!G913,6,2),MID(Raw!G913,9,2))</f>
        <v>45879</v>
      </c>
      <c r="L913" s="30" t="n">
        <f aca="false">DATE(LEFT(Raw!H913,4),MID(Raw!H913,6,2),MID(Raw!H913,9,2))</f>
        <v>45881</v>
      </c>
      <c r="M913" s="30" t="n">
        <f aca="false">DATE(LEFT(Raw!I913,4),MID(Raw!I913,6,2),MID(Raw!I913,9,2))</f>
        <v>45887</v>
      </c>
      <c r="N913" s="31" t="n">
        <f aca="false">DATE(LEFT(Raw!J913,4),MID(Raw!J913,6,2),MID(Raw!J913,9,2))+TIME(MID(Raw!J913,12,2),MID(Raw!J913,15,2),MID(Raw!J913,18,2))</f>
        <v>45881.3333333333</v>
      </c>
      <c r="O913" s="31" t="n">
        <f aca="false">DATE(LEFT(Raw!K913,4),MID(Raw!K913,6,2),MID(Raw!K913,9,2))+TIME(MID(Raw!K913,12,2),MID(Raw!K913,15,2),MID(Raw!K913,18,2))</f>
        <v>45890.3</v>
      </c>
      <c r="P913" s="32" t="n">
        <f aca="false">L913-K913</f>
        <v>2</v>
      </c>
      <c r="Q913" s="32" t="n">
        <f aca="false">M913-L913</f>
        <v>6</v>
      </c>
      <c r="R913" s="32" t="n">
        <f aca="false">O913-N913</f>
        <v>8.96666666666667</v>
      </c>
      <c r="S913" s="32" t="n">
        <f aca="false">Raw!L913</f>
        <v>3.3</v>
      </c>
      <c r="T913" s="32" t="n">
        <f aca="false">O913-M913</f>
        <v>3.3</v>
      </c>
      <c r="U913" s="0" t="str">
        <f aca="false">IF(ABS(T913-S913)&lt;0.01,"OK","MISMATCH")</f>
        <v>OK</v>
      </c>
      <c r="V913" s="33" t="n">
        <f aca="false">Raw!M913</f>
        <v>1</v>
      </c>
      <c r="W913" s="0" t="str">
        <f aca="false">IF((S913&gt;0)=(V913=1),"OK","MISMATCH")</f>
        <v>OK</v>
      </c>
      <c r="X913" s="0" t="str">
        <f aca="false">_xlfn.IFS(S913&lt;=0,"Early/On time",S913&lt;=2,"Minor (up to 2 days)",S913&lt;=5,"Moderate (2-5 days)",TRUE(),"Severe (over 5 days)")</f>
        <v>Moderate (2-5 days)</v>
      </c>
      <c r="Y913" s="0" t="str">
        <f aca="false">YEAR(K913)&amp;"-"&amp;TEXT(MONTH(K913),"00")</f>
        <v>2025-08</v>
      </c>
      <c r="Z913" s="0" t="str">
        <f aca="false">C913&amp;" → "&amp;D913</f>
        <v>Surat → Jaipur</v>
      </c>
      <c r="AA913" s="0" t="str">
        <f aca="false">Raw!Q913</f>
        <v>VRL Cargo</v>
      </c>
      <c r="AB913" s="0" t="str">
        <f aca="false">Raw!R913</f>
        <v>No</v>
      </c>
      <c r="AC913" s="0" t="str">
        <f aca="false">Raw!S913</f>
        <v>Normal</v>
      </c>
      <c r="AD913" s="29" t="n">
        <f aca="false">Raw!N913</f>
        <v>5673.04</v>
      </c>
      <c r="AE913" s="29" t="n">
        <f aca="false">Raw!O913</f>
        <v>1657.57</v>
      </c>
      <c r="AF913" s="29" t="n">
        <f aca="false">Raw!P913</f>
        <v>1304.11</v>
      </c>
      <c r="AG913" s="29" t="n">
        <f aca="false">AD913/J913</f>
        <v>681.855769230769</v>
      </c>
    </row>
    <row r="914" customFormat="false" ht="15" hidden="false" customHeight="false" outlineLevel="0" collapsed="false">
      <c r="A914" s="0" t="str">
        <f aca="false">Raw!A914</f>
        <v>SHP0913</v>
      </c>
      <c r="B914" s="0" t="str">
        <f aca="false">Raw!B914</f>
        <v>Outbound</v>
      </c>
      <c r="C914" s="0" t="str">
        <f aca="false">Raw!C914</f>
        <v>Surat</v>
      </c>
      <c r="D914" s="0" t="str">
        <f aca="false">Raw!D914</f>
        <v>Gujarat</v>
      </c>
      <c r="E914" s="0" t="str">
        <f aca="false">IFERROR(INDEX(Location_Map!$B$2:$B$15,MATCH(C914,Location_Map!$A$2:$A$15,0)),"UNMAPPED")</f>
        <v>Gujarat</v>
      </c>
      <c r="F914" s="0" t="str">
        <f aca="false">IFERROR(INDEX(Location_Map!$C$2:$C$15,MATCH(C914,Location_Map!$A$2:$A$15,0)),"UNMAPPED")</f>
        <v>West</v>
      </c>
      <c r="G914" s="0" t="str">
        <f aca="false">IFERROR(INDEX(Location_Map!$B$2:$B$15,MATCH(D914,Location_Map!$A$2:$A$15,0)),"UNMAPPED")</f>
        <v>Gujarat</v>
      </c>
      <c r="H914" s="0" t="str">
        <f aca="false">IFERROR(INDEX(Location_Map!$C$2:$C$15,MATCH(D914,Location_Map!$A$2:$A$15,0)),"UNMAPPED")</f>
        <v>West</v>
      </c>
      <c r="I914" s="0" t="str">
        <f aca="false">Raw!E914</f>
        <v>Raw Yarn</v>
      </c>
      <c r="J914" s="28" t="n">
        <f aca="false">Raw!F914</f>
        <v>16.05</v>
      </c>
      <c r="K914" s="30" t="n">
        <f aca="false">DATE(LEFT(Raw!G914,4),MID(Raw!G914,6,2),MID(Raw!G914,9,2))</f>
        <v>45696</v>
      </c>
      <c r="L914" s="30" t="n">
        <f aca="false">DATE(LEFT(Raw!H914,4),MID(Raw!H914,6,2),MID(Raw!H914,9,2))</f>
        <v>45698</v>
      </c>
      <c r="M914" s="30" t="n">
        <f aca="false">DATE(LEFT(Raw!I914,4),MID(Raw!I914,6,2),MID(Raw!I914,9,2))</f>
        <v>45700</v>
      </c>
      <c r="N914" s="31" t="n">
        <f aca="false">DATE(LEFT(Raw!J914,4),MID(Raw!J914,6,2),MID(Raw!J914,9,2))+TIME(MID(Raw!J914,12,2),MID(Raw!J914,15,2),MID(Raw!J914,18,2))</f>
        <v>45698.0416666667</v>
      </c>
      <c r="O914" s="31" t="n">
        <f aca="false">DATE(LEFT(Raw!K914,4),MID(Raw!K914,6,2),MID(Raw!K914,9,2))+TIME(MID(Raw!K914,12,2),MID(Raw!K914,15,2),MID(Raw!K914,18,2))</f>
        <v>45700.3</v>
      </c>
      <c r="P914" s="32" t="n">
        <f aca="false">L914-K914</f>
        <v>2</v>
      </c>
      <c r="Q914" s="32" t="n">
        <f aca="false">M914-L914</f>
        <v>2</v>
      </c>
      <c r="R914" s="32" t="n">
        <f aca="false">O914-N914</f>
        <v>2.25833333333333</v>
      </c>
      <c r="S914" s="32" t="n">
        <f aca="false">Raw!L914</f>
        <v>0.3</v>
      </c>
      <c r="T914" s="32" t="n">
        <f aca="false">O914-M914</f>
        <v>0.3</v>
      </c>
      <c r="U914" s="0" t="str">
        <f aca="false">IF(ABS(T914-S914)&lt;0.01,"OK","MISMATCH")</f>
        <v>OK</v>
      </c>
      <c r="V914" s="33" t="n">
        <f aca="false">Raw!M914</f>
        <v>1</v>
      </c>
      <c r="W914" s="0" t="str">
        <f aca="false">IF((S914&gt;0)=(V914=1),"OK","MISMATCH")</f>
        <v>OK</v>
      </c>
      <c r="X914" s="0" t="str">
        <f aca="false">_xlfn.IFS(S914&lt;=0,"Early/On time",S914&lt;=2,"Minor (up to 2 days)",S914&lt;=5,"Moderate (2-5 days)",TRUE(),"Severe (over 5 days)")</f>
        <v>Minor (up to 2 days)</v>
      </c>
      <c r="Y914" s="0" t="str">
        <f aca="false">YEAR(K914)&amp;"-"&amp;TEXT(MONTH(K914),"00")</f>
        <v>2025-02</v>
      </c>
      <c r="Z914" s="0" t="str">
        <f aca="false">C914&amp;" → "&amp;D914</f>
        <v>Surat → Gujarat</v>
      </c>
      <c r="AA914" s="0" t="str">
        <f aca="false">Raw!Q914</f>
        <v>BlueDart</v>
      </c>
      <c r="AB914" s="0" t="str">
        <f aca="false">Raw!R914</f>
        <v>Yes</v>
      </c>
      <c r="AC914" s="0" t="str">
        <f aca="false">Raw!S914</f>
        <v>Normal</v>
      </c>
      <c r="AD914" s="29" t="n">
        <f aca="false">Raw!N914</f>
        <v>7888.08</v>
      </c>
      <c r="AE914" s="29" t="n">
        <f aca="false">Raw!O914</f>
        <v>1444.25</v>
      </c>
      <c r="AF914" s="29" t="n">
        <f aca="false">Raw!P914</f>
        <v>778.57</v>
      </c>
      <c r="AG914" s="29" t="n">
        <f aca="false">AD914/J914</f>
        <v>491.469158878505</v>
      </c>
    </row>
    <row r="915" customFormat="false" ht="15" hidden="false" customHeight="false" outlineLevel="0" collapsed="false">
      <c r="A915" s="0" t="str">
        <f aca="false">Raw!A915</f>
        <v>SHP0914</v>
      </c>
      <c r="B915" s="0" t="str">
        <f aca="false">Raw!B915</f>
        <v>Inbound</v>
      </c>
      <c r="C915" s="0" t="str">
        <f aca="false">Raw!C915</f>
        <v>Gujarat</v>
      </c>
      <c r="D915" s="0" t="str">
        <f aca="false">Raw!D915</f>
        <v>Surat</v>
      </c>
      <c r="E915" s="0" t="str">
        <f aca="false">IFERROR(INDEX(Location_Map!$B$2:$B$15,MATCH(C915,Location_Map!$A$2:$A$15,0)),"UNMAPPED")</f>
        <v>Gujarat</v>
      </c>
      <c r="F915" s="0" t="str">
        <f aca="false">IFERROR(INDEX(Location_Map!$C$2:$C$15,MATCH(C915,Location_Map!$A$2:$A$15,0)),"UNMAPPED")</f>
        <v>West</v>
      </c>
      <c r="G915" s="0" t="str">
        <f aca="false">IFERROR(INDEX(Location_Map!$B$2:$B$15,MATCH(D915,Location_Map!$A$2:$A$15,0)),"UNMAPPED")</f>
        <v>Gujarat</v>
      </c>
      <c r="H915" s="0" t="str">
        <f aca="false">IFERROR(INDEX(Location_Map!$C$2:$C$15,MATCH(D915,Location_Map!$A$2:$A$15,0)),"UNMAPPED")</f>
        <v>West</v>
      </c>
      <c r="I915" s="0" t="str">
        <f aca="false">Raw!E915</f>
        <v>Raw Yarn</v>
      </c>
      <c r="J915" s="28" t="n">
        <f aca="false">Raw!F915</f>
        <v>15.66</v>
      </c>
      <c r="K915" s="30" t="n">
        <f aca="false">DATE(LEFT(Raw!G915,4),MID(Raw!G915,6,2),MID(Raw!G915,9,2))</f>
        <v>45763</v>
      </c>
      <c r="L915" s="30" t="n">
        <f aca="false">DATE(LEFT(Raw!H915,4),MID(Raw!H915,6,2),MID(Raw!H915,9,2))</f>
        <v>45767</v>
      </c>
      <c r="M915" s="30" t="n">
        <f aca="false">DATE(LEFT(Raw!I915,4),MID(Raw!I915,6,2),MID(Raw!I915,9,2))</f>
        <v>45772</v>
      </c>
      <c r="N915" s="31" t="n">
        <f aca="false">DATE(LEFT(Raw!J915,4),MID(Raw!J915,6,2),MID(Raw!J915,9,2))+TIME(MID(Raw!J915,12,2),MID(Raw!J915,15,2),MID(Raw!J915,18,2))</f>
        <v>45767.1666666667</v>
      </c>
      <c r="O915" s="31" t="n">
        <f aca="false">DATE(LEFT(Raw!K915,4),MID(Raw!K915,6,2),MID(Raw!K915,9,2))+TIME(MID(Raw!K915,12,2),MID(Raw!K915,15,2),MID(Raw!K915,18,2))</f>
        <v>45774</v>
      </c>
      <c r="P915" s="32" t="n">
        <f aca="false">L915-K915</f>
        <v>4</v>
      </c>
      <c r="Q915" s="32" t="n">
        <f aca="false">M915-L915</f>
        <v>5</v>
      </c>
      <c r="R915" s="32" t="n">
        <f aca="false">O915-N915</f>
        <v>6.83333333333333</v>
      </c>
      <c r="S915" s="32" t="n">
        <f aca="false">Raw!L915</f>
        <v>2</v>
      </c>
      <c r="T915" s="32" t="n">
        <f aca="false">O915-M915</f>
        <v>2</v>
      </c>
      <c r="U915" s="0" t="str">
        <f aca="false">IF(ABS(T915-S915)&lt;0.01,"OK","MISMATCH")</f>
        <v>OK</v>
      </c>
      <c r="V915" s="33" t="n">
        <f aca="false">Raw!M915</f>
        <v>1</v>
      </c>
      <c r="W915" s="0" t="str">
        <f aca="false">IF((S915&gt;0)=(V915=1),"OK","MISMATCH")</f>
        <v>OK</v>
      </c>
      <c r="X915" s="0" t="str">
        <f aca="false">_xlfn.IFS(S915&lt;=0,"Early/On time",S915&lt;=2,"Minor (up to 2 days)",S915&lt;=5,"Moderate (2-5 days)",TRUE(),"Severe (over 5 days)")</f>
        <v>Minor (up to 2 days)</v>
      </c>
      <c r="Y915" s="0" t="str">
        <f aca="false">YEAR(K915)&amp;"-"&amp;TEXT(MONTH(K915),"00")</f>
        <v>2025-04</v>
      </c>
      <c r="Z915" s="0" t="str">
        <f aca="false">C915&amp;" → "&amp;D915</f>
        <v>Gujarat → Surat</v>
      </c>
      <c r="AA915" s="0" t="str">
        <f aca="false">Raw!Q915</f>
        <v>Delhivery</v>
      </c>
      <c r="AB915" s="0" t="str">
        <f aca="false">Raw!R915</f>
        <v>Yes</v>
      </c>
      <c r="AC915" s="0" t="str">
        <f aca="false">Raw!S915</f>
        <v>Held at warehouse</v>
      </c>
      <c r="AD915" s="29" t="n">
        <f aca="false">Raw!N915</f>
        <v>5415.38</v>
      </c>
      <c r="AE915" s="29" t="n">
        <f aca="false">Raw!O915</f>
        <v>2809.1</v>
      </c>
      <c r="AF915" s="29" t="n">
        <f aca="false">Raw!P915</f>
        <v>516.11</v>
      </c>
      <c r="AG915" s="29" t="n">
        <f aca="false">AD915/J915</f>
        <v>345.809706257982</v>
      </c>
    </row>
    <row r="916" customFormat="false" ht="15" hidden="false" customHeight="false" outlineLevel="0" collapsed="false">
      <c r="A916" s="0" t="str">
        <f aca="false">Raw!A916</f>
        <v>SHP0915</v>
      </c>
      <c r="B916" s="0" t="str">
        <f aca="false">Raw!B916</f>
        <v>Inbound</v>
      </c>
      <c r="C916" s="0" t="str">
        <f aca="false">Raw!C916</f>
        <v>Gujarat</v>
      </c>
      <c r="D916" s="0" t="str">
        <f aca="false">Raw!D916</f>
        <v>Surat</v>
      </c>
      <c r="E916" s="0" t="str">
        <f aca="false">IFERROR(INDEX(Location_Map!$B$2:$B$15,MATCH(C916,Location_Map!$A$2:$A$15,0)),"UNMAPPED")</f>
        <v>Gujarat</v>
      </c>
      <c r="F916" s="0" t="str">
        <f aca="false">IFERROR(INDEX(Location_Map!$C$2:$C$15,MATCH(C916,Location_Map!$A$2:$A$15,0)),"UNMAPPED")</f>
        <v>West</v>
      </c>
      <c r="G916" s="0" t="str">
        <f aca="false">IFERROR(INDEX(Location_Map!$B$2:$B$15,MATCH(D916,Location_Map!$A$2:$A$15,0)),"UNMAPPED")</f>
        <v>Gujarat</v>
      </c>
      <c r="H916" s="0" t="str">
        <f aca="false">IFERROR(INDEX(Location_Map!$C$2:$C$15,MATCH(D916,Location_Map!$A$2:$A$15,0)),"UNMAPPED")</f>
        <v>West</v>
      </c>
      <c r="I916" s="0" t="str">
        <f aca="false">Raw!E916</f>
        <v>Semi-Processed Yarn</v>
      </c>
      <c r="J916" s="28" t="n">
        <f aca="false">Raw!F916</f>
        <v>3.22</v>
      </c>
      <c r="K916" s="30" t="n">
        <f aca="false">DATE(LEFT(Raw!G916,4),MID(Raw!G916,6,2),MID(Raw!G916,9,2))</f>
        <v>45713</v>
      </c>
      <c r="L916" s="30" t="n">
        <f aca="false">DATE(LEFT(Raw!H916,4),MID(Raw!H916,6,2),MID(Raw!H916,9,2))</f>
        <v>45714</v>
      </c>
      <c r="M916" s="30" t="n">
        <f aca="false">DATE(LEFT(Raw!I916,4),MID(Raw!I916,6,2),MID(Raw!I916,9,2))</f>
        <v>45717</v>
      </c>
      <c r="N916" s="31" t="n">
        <f aca="false">DATE(LEFT(Raw!J916,4),MID(Raw!J916,6,2),MID(Raw!J916,9,2))+TIME(MID(Raw!J916,12,2),MID(Raw!J916,15,2),MID(Raw!J916,18,2))</f>
        <v>45713.9166666667</v>
      </c>
      <c r="O916" s="31" t="n">
        <f aca="false">DATE(LEFT(Raw!K916,4),MID(Raw!K916,6,2),MID(Raw!K916,9,2))+TIME(MID(Raw!K916,12,2),MID(Raw!K916,15,2),MID(Raw!K916,18,2))</f>
        <v>45720.3</v>
      </c>
      <c r="P916" s="32" t="n">
        <f aca="false">L916-K916</f>
        <v>1</v>
      </c>
      <c r="Q916" s="32" t="n">
        <f aca="false">M916-L916</f>
        <v>3</v>
      </c>
      <c r="R916" s="32" t="n">
        <f aca="false">O916-N916</f>
        <v>6.38333333333333</v>
      </c>
      <c r="S916" s="32" t="n">
        <f aca="false">Raw!L916</f>
        <v>3.3</v>
      </c>
      <c r="T916" s="32" t="n">
        <f aca="false">O916-M916</f>
        <v>3.3</v>
      </c>
      <c r="U916" s="0" t="str">
        <f aca="false">IF(ABS(T916-S916)&lt;0.01,"OK","MISMATCH")</f>
        <v>OK</v>
      </c>
      <c r="V916" s="33" t="n">
        <f aca="false">Raw!M916</f>
        <v>1</v>
      </c>
      <c r="W916" s="0" t="str">
        <f aca="false">IF((S916&gt;0)=(V916=1),"OK","MISMATCH")</f>
        <v>OK</v>
      </c>
      <c r="X916" s="0" t="str">
        <f aca="false">_xlfn.IFS(S916&lt;=0,"Early/On time",S916&lt;=2,"Minor (up to 2 days)",S916&lt;=5,"Moderate (2-5 days)",TRUE(),"Severe (over 5 days)")</f>
        <v>Moderate (2-5 days)</v>
      </c>
      <c r="Y916" s="0" t="str">
        <f aca="false">YEAR(K916)&amp;"-"&amp;TEXT(MONTH(K916),"00")</f>
        <v>2025-02</v>
      </c>
      <c r="Z916" s="0" t="str">
        <f aca="false">C916&amp;" → "&amp;D916</f>
        <v>Gujarat → Surat</v>
      </c>
      <c r="AA916" s="0" t="str">
        <f aca="false">Raw!Q916</f>
        <v>TCI Express</v>
      </c>
      <c r="AB916" s="0" t="str">
        <f aca="false">Raw!R916</f>
        <v>No</v>
      </c>
      <c r="AC916" s="0" t="str">
        <f aca="false">Raw!S916</f>
        <v>Normal</v>
      </c>
      <c r="AD916" s="29" t="n">
        <f aca="false">Raw!N916</f>
        <v>1596.89</v>
      </c>
      <c r="AE916" s="29" t="n">
        <f aca="false">Raw!O916</f>
        <v>3001.33</v>
      </c>
      <c r="AF916" s="29" t="n">
        <f aca="false">Raw!P916</f>
        <v>983.61</v>
      </c>
      <c r="AG916" s="29" t="n">
        <f aca="false">AD916/J916</f>
        <v>495.928571428571</v>
      </c>
    </row>
    <row r="917" customFormat="false" ht="15" hidden="false" customHeight="false" outlineLevel="0" collapsed="false">
      <c r="A917" s="0" t="str">
        <f aca="false">Raw!A917</f>
        <v>SHP0916</v>
      </c>
      <c r="B917" s="0" t="str">
        <f aca="false">Raw!B917</f>
        <v>Inbound</v>
      </c>
      <c r="C917" s="0" t="str">
        <f aca="false">Raw!C917</f>
        <v>Uttar Pradesh</v>
      </c>
      <c r="D917" s="0" t="str">
        <f aca="false">Raw!D917</f>
        <v>Surat</v>
      </c>
      <c r="E917" s="0" t="str">
        <f aca="false">IFERROR(INDEX(Location_Map!$B$2:$B$15,MATCH(C917,Location_Map!$A$2:$A$15,0)),"UNMAPPED")</f>
        <v>Uttar Pradesh</v>
      </c>
      <c r="F917" s="0" t="str">
        <f aca="false">IFERROR(INDEX(Location_Map!$C$2:$C$15,MATCH(C917,Location_Map!$A$2:$A$15,0)),"UNMAPPED")</f>
        <v>North</v>
      </c>
      <c r="G917" s="0" t="str">
        <f aca="false">IFERROR(INDEX(Location_Map!$B$2:$B$15,MATCH(D917,Location_Map!$A$2:$A$15,0)),"UNMAPPED")</f>
        <v>Gujarat</v>
      </c>
      <c r="H917" s="0" t="str">
        <f aca="false">IFERROR(INDEX(Location_Map!$C$2:$C$15,MATCH(D917,Location_Map!$A$2:$A$15,0)),"UNMAPPED")</f>
        <v>West</v>
      </c>
      <c r="I917" s="0" t="str">
        <f aca="false">Raw!E917</f>
        <v>Raw Yarn</v>
      </c>
      <c r="J917" s="28" t="n">
        <f aca="false">Raw!F917</f>
        <v>4</v>
      </c>
      <c r="K917" s="30" t="n">
        <f aca="false">DATE(LEFT(Raw!G917,4),MID(Raw!G917,6,2),MID(Raw!G917,9,2))</f>
        <v>45887</v>
      </c>
      <c r="L917" s="30" t="n">
        <f aca="false">DATE(LEFT(Raw!H917,4),MID(Raw!H917,6,2),MID(Raw!H917,9,2))</f>
        <v>45889</v>
      </c>
      <c r="M917" s="30" t="n">
        <f aca="false">DATE(LEFT(Raw!I917,4),MID(Raw!I917,6,2),MID(Raw!I917,9,2))</f>
        <v>45894</v>
      </c>
      <c r="N917" s="31" t="n">
        <f aca="false">DATE(LEFT(Raw!J917,4),MID(Raw!J917,6,2),MID(Raw!J917,9,2))+TIME(MID(Raw!J917,12,2),MID(Raw!J917,15,2),MID(Raw!J917,18,2))</f>
        <v>45889.0416666667</v>
      </c>
      <c r="O917" s="31" t="n">
        <f aca="false">DATE(LEFT(Raw!K917,4),MID(Raw!K917,6,2),MID(Raw!K917,9,2))+TIME(MID(Raw!K917,12,2),MID(Raw!K917,15,2),MID(Raw!K917,18,2))</f>
        <v>45893.8</v>
      </c>
      <c r="P917" s="32" t="n">
        <f aca="false">L917-K917</f>
        <v>2</v>
      </c>
      <c r="Q917" s="32" t="n">
        <f aca="false">M917-L917</f>
        <v>5</v>
      </c>
      <c r="R917" s="32" t="n">
        <f aca="false">O917-N917</f>
        <v>4.75833333333333</v>
      </c>
      <c r="S917" s="32" t="n">
        <f aca="false">Raw!L917</f>
        <v>-0.2</v>
      </c>
      <c r="T917" s="32" t="n">
        <f aca="false">O917-M917</f>
        <v>-0.2</v>
      </c>
      <c r="U917" s="0" t="str">
        <f aca="false">IF(ABS(T917-S917)&lt;0.01,"OK","MISMATCH")</f>
        <v>OK</v>
      </c>
      <c r="V917" s="33" t="n">
        <f aca="false">Raw!M917</f>
        <v>0</v>
      </c>
      <c r="W917" s="0" t="str">
        <f aca="false">IF((S917&gt;0)=(V917=1),"OK","MISMATCH")</f>
        <v>OK</v>
      </c>
      <c r="X917" s="0" t="str">
        <f aca="false">_xlfn.IFS(S917&lt;=0,"Early/On time",S917&lt;=2,"Minor (up to 2 days)",S917&lt;=5,"Moderate (2-5 days)",TRUE(),"Severe (over 5 days)")</f>
        <v>Early/On time</v>
      </c>
      <c r="Y917" s="0" t="str">
        <f aca="false">YEAR(K917)&amp;"-"&amp;TEXT(MONTH(K917),"00")</f>
        <v>2025-08</v>
      </c>
      <c r="Z917" s="0" t="str">
        <f aca="false">C917&amp;" → "&amp;D917</f>
        <v>Uttar Pradesh → Surat</v>
      </c>
      <c r="AA917" s="0" t="str">
        <f aca="false">Raw!Q917</f>
        <v>VRL Cargo</v>
      </c>
      <c r="AB917" s="0" t="str">
        <f aca="false">Raw!R917</f>
        <v>No</v>
      </c>
      <c r="AC917" s="0" t="str">
        <f aca="false">Raw!S917</f>
        <v>Returned</v>
      </c>
      <c r="AD917" s="29" t="n">
        <f aca="false">Raw!N917</f>
        <v>3829.7</v>
      </c>
      <c r="AE917" s="29" t="n">
        <f aca="false">Raw!O917</f>
        <v>4365.43</v>
      </c>
      <c r="AF917" s="29" t="n">
        <f aca="false">Raw!P917</f>
        <v>914.85</v>
      </c>
      <c r="AG917" s="29" t="n">
        <f aca="false">AD917/J917</f>
        <v>957.425</v>
      </c>
    </row>
    <row r="918" customFormat="false" ht="15" hidden="false" customHeight="false" outlineLevel="0" collapsed="false">
      <c r="A918" s="0" t="str">
        <f aca="false">Raw!A918</f>
        <v>SHP0917</v>
      </c>
      <c r="B918" s="0" t="str">
        <f aca="false">Raw!B918</f>
        <v>Inbound</v>
      </c>
      <c r="C918" s="0" t="str">
        <f aca="false">Raw!C918</f>
        <v>Chennai</v>
      </c>
      <c r="D918" s="0" t="str">
        <f aca="false">Raw!D918</f>
        <v>Surat</v>
      </c>
      <c r="E918" s="0" t="str">
        <f aca="false">IFERROR(INDEX(Location_Map!$B$2:$B$15,MATCH(C918,Location_Map!$A$2:$A$15,0)),"UNMAPPED")</f>
        <v>Tamil Nadu</v>
      </c>
      <c r="F918" s="0" t="str">
        <f aca="false">IFERROR(INDEX(Location_Map!$C$2:$C$15,MATCH(C918,Location_Map!$A$2:$A$15,0)),"UNMAPPED")</f>
        <v>South</v>
      </c>
      <c r="G918" s="0" t="str">
        <f aca="false">IFERROR(INDEX(Location_Map!$B$2:$B$15,MATCH(D918,Location_Map!$A$2:$A$15,0)),"UNMAPPED")</f>
        <v>Gujarat</v>
      </c>
      <c r="H918" s="0" t="str">
        <f aca="false">IFERROR(INDEX(Location_Map!$C$2:$C$15,MATCH(D918,Location_Map!$A$2:$A$15,0)),"UNMAPPED")</f>
        <v>West</v>
      </c>
      <c r="I918" s="0" t="str">
        <f aca="false">Raw!E918</f>
        <v>Finished Yarn</v>
      </c>
      <c r="J918" s="28" t="n">
        <f aca="false">Raw!F918</f>
        <v>15.59</v>
      </c>
      <c r="K918" s="30" t="n">
        <f aca="false">DATE(LEFT(Raw!G918,4),MID(Raw!G918,6,2),MID(Raw!G918,9,2))</f>
        <v>45670</v>
      </c>
      <c r="L918" s="30" t="n">
        <f aca="false">DATE(LEFT(Raw!H918,4),MID(Raw!H918,6,2),MID(Raw!H918,9,2))</f>
        <v>45671</v>
      </c>
      <c r="M918" s="30" t="n">
        <f aca="false">DATE(LEFT(Raw!I918,4),MID(Raw!I918,6,2),MID(Raw!I918,9,2))</f>
        <v>45677</v>
      </c>
      <c r="N918" s="31" t="n">
        <f aca="false">DATE(LEFT(Raw!J918,4),MID(Raw!J918,6,2),MID(Raw!J918,9,2))+TIME(MID(Raw!J918,12,2),MID(Raw!J918,15,2),MID(Raw!J918,18,2))</f>
        <v>45671.3333333333</v>
      </c>
      <c r="O918" s="31" t="n">
        <f aca="false">DATE(LEFT(Raw!K918,4),MID(Raw!K918,6,2),MID(Raw!K918,9,2))+TIME(MID(Raw!K918,12,2),MID(Raw!K918,15,2),MID(Raw!K918,18,2))</f>
        <v>45676.7</v>
      </c>
      <c r="P918" s="32" t="n">
        <f aca="false">L918-K918</f>
        <v>1</v>
      </c>
      <c r="Q918" s="32" t="n">
        <f aca="false">M918-L918</f>
        <v>6</v>
      </c>
      <c r="R918" s="32" t="n">
        <f aca="false">O918-N918</f>
        <v>5.36666666666667</v>
      </c>
      <c r="S918" s="32" t="n">
        <f aca="false">Raw!L918</f>
        <v>-0.3</v>
      </c>
      <c r="T918" s="32" t="n">
        <f aca="false">O918-M918</f>
        <v>-0.300000000005833</v>
      </c>
      <c r="U918" s="0" t="str">
        <f aca="false">IF(ABS(T918-S918)&lt;0.01,"OK","MISMATCH")</f>
        <v>OK</v>
      </c>
      <c r="V918" s="33" t="n">
        <f aca="false">Raw!M918</f>
        <v>0</v>
      </c>
      <c r="W918" s="0" t="str">
        <f aca="false">IF((S918&gt;0)=(V918=1),"OK","MISMATCH")</f>
        <v>OK</v>
      </c>
      <c r="X918" s="0" t="str">
        <f aca="false">_xlfn.IFS(S918&lt;=0,"Early/On time",S918&lt;=2,"Minor (up to 2 days)",S918&lt;=5,"Moderate (2-5 days)",TRUE(),"Severe (over 5 days)")</f>
        <v>Early/On time</v>
      </c>
      <c r="Y918" s="0" t="str">
        <f aca="false">YEAR(K918)&amp;"-"&amp;TEXT(MONTH(K918),"00")</f>
        <v>2025-01</v>
      </c>
      <c r="Z918" s="0" t="str">
        <f aca="false">C918&amp;" → "&amp;D918</f>
        <v>Chennai → Surat</v>
      </c>
      <c r="AA918" s="0" t="str">
        <f aca="false">Raw!Q918</f>
        <v>GATI Logistics</v>
      </c>
      <c r="AB918" s="0" t="str">
        <f aca="false">Raw!R918</f>
        <v>No</v>
      </c>
      <c r="AC918" s="0" t="str">
        <f aca="false">Raw!S918</f>
        <v>Returned</v>
      </c>
      <c r="AD918" s="29" t="n">
        <f aca="false">Raw!N918</f>
        <v>7219.11</v>
      </c>
      <c r="AE918" s="29" t="n">
        <f aca="false">Raw!O918</f>
        <v>3837.26</v>
      </c>
      <c r="AF918" s="29" t="n">
        <f aca="false">Raw!P918</f>
        <v>1086.18</v>
      </c>
      <c r="AG918" s="29" t="n">
        <f aca="false">AD918/J918</f>
        <v>463.060295060937</v>
      </c>
    </row>
    <row r="919" customFormat="false" ht="15" hidden="false" customHeight="false" outlineLevel="0" collapsed="false">
      <c r="A919" s="0" t="str">
        <f aca="false">Raw!A919</f>
        <v>SHP0918</v>
      </c>
      <c r="B919" s="0" t="str">
        <f aca="false">Raw!B919</f>
        <v>Outbound</v>
      </c>
      <c r="C919" s="0" t="str">
        <f aca="false">Raw!C919</f>
        <v>Surat</v>
      </c>
      <c r="D919" s="0" t="str">
        <f aca="false">Raw!D919</f>
        <v>Uttarakhand</v>
      </c>
      <c r="E919" s="0" t="str">
        <f aca="false">IFERROR(INDEX(Location_Map!$B$2:$B$15,MATCH(C919,Location_Map!$A$2:$A$15,0)),"UNMAPPED")</f>
        <v>Gujarat</v>
      </c>
      <c r="F919" s="0" t="str">
        <f aca="false">IFERROR(INDEX(Location_Map!$C$2:$C$15,MATCH(C919,Location_Map!$A$2:$A$15,0)),"UNMAPPED")</f>
        <v>West</v>
      </c>
      <c r="G919" s="0" t="str">
        <f aca="false">IFERROR(INDEX(Location_Map!$B$2:$B$15,MATCH(D919,Location_Map!$A$2:$A$15,0)),"UNMAPPED")</f>
        <v>Uttarakhand</v>
      </c>
      <c r="H919" s="0" t="str">
        <f aca="false">IFERROR(INDEX(Location_Map!$C$2:$C$15,MATCH(D919,Location_Map!$A$2:$A$15,0)),"UNMAPPED")</f>
        <v>North</v>
      </c>
      <c r="I919" s="0" t="str">
        <f aca="false">Raw!E919</f>
        <v>Raw Yarn</v>
      </c>
      <c r="J919" s="28" t="n">
        <f aca="false">Raw!F919</f>
        <v>7.79</v>
      </c>
      <c r="K919" s="30" t="n">
        <f aca="false">DATE(LEFT(Raw!G919,4),MID(Raw!G919,6,2),MID(Raw!G919,9,2))</f>
        <v>45831</v>
      </c>
      <c r="L919" s="30" t="n">
        <f aca="false">DATE(LEFT(Raw!H919,4),MID(Raw!H919,6,2),MID(Raw!H919,9,2))</f>
        <v>45833</v>
      </c>
      <c r="M919" s="30" t="n">
        <f aca="false">DATE(LEFT(Raw!I919,4),MID(Raw!I919,6,2),MID(Raw!I919,9,2))</f>
        <v>45839</v>
      </c>
      <c r="N919" s="31" t="n">
        <f aca="false">DATE(LEFT(Raw!J919,4),MID(Raw!J919,6,2),MID(Raw!J919,9,2))+TIME(MID(Raw!J919,12,2),MID(Raw!J919,15,2),MID(Raw!J919,18,2))</f>
        <v>45833.0833333333</v>
      </c>
      <c r="O919" s="31" t="n">
        <f aca="false">DATE(LEFT(Raw!K919,4),MID(Raw!K919,6,2),MID(Raw!K919,9,2))+TIME(MID(Raw!K919,12,2),MID(Raw!K919,15,2),MID(Raw!K919,18,2))</f>
        <v>45841.6</v>
      </c>
      <c r="P919" s="32" t="n">
        <f aca="false">L919-K919</f>
        <v>2</v>
      </c>
      <c r="Q919" s="32" t="n">
        <f aca="false">M919-L919</f>
        <v>6</v>
      </c>
      <c r="R919" s="32" t="n">
        <f aca="false">O919-N919</f>
        <v>8.51666666666667</v>
      </c>
      <c r="S919" s="32" t="n">
        <f aca="false">Raw!L919</f>
        <v>2.6</v>
      </c>
      <c r="T919" s="32" t="n">
        <f aca="false">O919-M919</f>
        <v>2.6</v>
      </c>
      <c r="U919" s="0" t="str">
        <f aca="false">IF(ABS(T919-S919)&lt;0.01,"OK","MISMATCH")</f>
        <v>OK</v>
      </c>
      <c r="V919" s="33" t="n">
        <f aca="false">Raw!M919</f>
        <v>1</v>
      </c>
      <c r="W919" s="0" t="str">
        <f aca="false">IF((S919&gt;0)=(V919=1),"OK","MISMATCH")</f>
        <v>OK</v>
      </c>
      <c r="X919" s="0" t="str">
        <f aca="false">_xlfn.IFS(S919&lt;=0,"Early/On time",S919&lt;=2,"Minor (up to 2 days)",S919&lt;=5,"Moderate (2-5 days)",TRUE(),"Severe (over 5 days)")</f>
        <v>Moderate (2-5 days)</v>
      </c>
      <c r="Y919" s="0" t="str">
        <f aca="false">YEAR(K919)&amp;"-"&amp;TEXT(MONTH(K919),"00")</f>
        <v>2025-06</v>
      </c>
      <c r="Z919" s="0" t="str">
        <f aca="false">C919&amp;" → "&amp;D919</f>
        <v>Surat → Uttarakhand</v>
      </c>
      <c r="AA919" s="0" t="str">
        <f aca="false">Raw!Q919</f>
        <v>BlueDart</v>
      </c>
      <c r="AB919" s="0" t="str">
        <f aca="false">Raw!R919</f>
        <v>Yes</v>
      </c>
      <c r="AC919" s="0" t="str">
        <f aca="false">Raw!S919</f>
        <v>Normal</v>
      </c>
      <c r="AD919" s="29" t="n">
        <f aca="false">Raw!N919</f>
        <v>4336.84</v>
      </c>
      <c r="AE919" s="29" t="n">
        <f aca="false">Raw!O919</f>
        <v>1289.39</v>
      </c>
      <c r="AF919" s="29" t="n">
        <f aca="false">Raw!P919</f>
        <v>1378.53</v>
      </c>
      <c r="AG919" s="29" t="n">
        <f aca="false">AD919/J919</f>
        <v>556.718870346598</v>
      </c>
    </row>
    <row r="920" customFormat="false" ht="15" hidden="false" customHeight="false" outlineLevel="0" collapsed="false">
      <c r="A920" s="0" t="str">
        <f aca="false">Raw!A920</f>
        <v>SHP0919</v>
      </c>
      <c r="B920" s="0" t="str">
        <f aca="false">Raw!B920</f>
        <v>Inbound</v>
      </c>
      <c r="C920" s="0" t="str">
        <f aca="false">Raw!C920</f>
        <v>Uttar Pradesh</v>
      </c>
      <c r="D920" s="0" t="str">
        <f aca="false">Raw!D920</f>
        <v>Surat</v>
      </c>
      <c r="E920" s="0" t="str">
        <f aca="false">IFERROR(INDEX(Location_Map!$B$2:$B$15,MATCH(C920,Location_Map!$A$2:$A$15,0)),"UNMAPPED")</f>
        <v>Uttar Pradesh</v>
      </c>
      <c r="F920" s="0" t="str">
        <f aca="false">IFERROR(INDEX(Location_Map!$C$2:$C$15,MATCH(C920,Location_Map!$A$2:$A$15,0)),"UNMAPPED")</f>
        <v>North</v>
      </c>
      <c r="G920" s="0" t="str">
        <f aca="false">IFERROR(INDEX(Location_Map!$B$2:$B$15,MATCH(D920,Location_Map!$A$2:$A$15,0)),"UNMAPPED")</f>
        <v>Gujarat</v>
      </c>
      <c r="H920" s="0" t="str">
        <f aca="false">IFERROR(INDEX(Location_Map!$C$2:$C$15,MATCH(D920,Location_Map!$A$2:$A$15,0)),"UNMAPPED")</f>
        <v>West</v>
      </c>
      <c r="I920" s="0" t="str">
        <f aca="false">Raw!E920</f>
        <v>Semi-Processed Yarn</v>
      </c>
      <c r="J920" s="28" t="n">
        <f aca="false">Raw!F920</f>
        <v>6.73</v>
      </c>
      <c r="K920" s="30" t="n">
        <f aca="false">DATE(LEFT(Raw!G920,4),MID(Raw!G920,6,2),MID(Raw!G920,9,2))</f>
        <v>45853</v>
      </c>
      <c r="L920" s="30" t="n">
        <f aca="false">DATE(LEFT(Raw!H920,4),MID(Raw!H920,6,2),MID(Raw!H920,9,2))</f>
        <v>45855</v>
      </c>
      <c r="M920" s="30" t="n">
        <f aca="false">DATE(LEFT(Raw!I920,4),MID(Raw!I920,6,2),MID(Raw!I920,9,2))</f>
        <v>45857</v>
      </c>
      <c r="N920" s="31" t="n">
        <f aca="false">DATE(LEFT(Raw!J920,4),MID(Raw!J920,6,2),MID(Raw!J920,9,2))+TIME(MID(Raw!J920,12,2),MID(Raw!J920,15,2),MID(Raw!J920,18,2))</f>
        <v>45855.0833333333</v>
      </c>
      <c r="O920" s="31" t="n">
        <f aca="false">DATE(LEFT(Raw!K920,4),MID(Raw!K920,6,2),MID(Raw!K920,9,2))+TIME(MID(Raw!K920,12,2),MID(Raw!K920,15,2),MID(Raw!K920,18,2))</f>
        <v>45857</v>
      </c>
      <c r="P920" s="32" t="n">
        <f aca="false">L920-K920</f>
        <v>2</v>
      </c>
      <c r="Q920" s="32" t="n">
        <f aca="false">M920-L920</f>
        <v>2</v>
      </c>
      <c r="R920" s="32" t="n">
        <f aca="false">O920-N920</f>
        <v>1.91666666666667</v>
      </c>
      <c r="S920" s="32" t="n">
        <f aca="false">Raw!L920</f>
        <v>0</v>
      </c>
      <c r="T920" s="32" t="n">
        <f aca="false">O920-M920</f>
        <v>0</v>
      </c>
      <c r="U920" s="0" t="str">
        <f aca="false">IF(ABS(T920-S920)&lt;0.01,"OK","MISMATCH")</f>
        <v>OK</v>
      </c>
      <c r="V920" s="33" t="n">
        <f aca="false">Raw!M920</f>
        <v>0</v>
      </c>
      <c r="W920" s="0" t="str">
        <f aca="false">IF((S920&gt;0)=(V920=1),"OK","MISMATCH")</f>
        <v>OK</v>
      </c>
      <c r="X920" s="0" t="str">
        <f aca="false">_xlfn.IFS(S920&lt;=0,"Early/On time",S920&lt;=2,"Minor (up to 2 days)",S920&lt;=5,"Moderate (2-5 days)",TRUE(),"Severe (over 5 days)")</f>
        <v>Early/On time</v>
      </c>
      <c r="Y920" s="0" t="str">
        <f aca="false">YEAR(K920)&amp;"-"&amp;TEXT(MONTH(K920),"00")</f>
        <v>2025-07</v>
      </c>
      <c r="Z920" s="0" t="str">
        <f aca="false">C920&amp;" → "&amp;D920</f>
        <v>Uttar Pradesh → Surat</v>
      </c>
      <c r="AA920" s="0" t="str">
        <f aca="false">Raw!Q920</f>
        <v>GATI Logistics</v>
      </c>
      <c r="AB920" s="0" t="str">
        <f aca="false">Raw!R920</f>
        <v>No</v>
      </c>
      <c r="AC920" s="0" t="str">
        <f aca="false">Raw!S920</f>
        <v>Normal</v>
      </c>
      <c r="AD920" s="29" t="n">
        <f aca="false">Raw!N920</f>
        <v>4401.29</v>
      </c>
      <c r="AE920" s="29" t="n">
        <f aca="false">Raw!O920</f>
        <v>4774.26</v>
      </c>
      <c r="AF920" s="29" t="n">
        <f aca="false">Raw!P920</f>
        <v>541.88</v>
      </c>
      <c r="AG920" s="29" t="n">
        <f aca="false">AD920/J920</f>
        <v>653.980683506686</v>
      </c>
    </row>
    <row r="921" customFormat="false" ht="15" hidden="false" customHeight="false" outlineLevel="0" collapsed="false">
      <c r="A921" s="0" t="str">
        <f aca="false">Raw!A921</f>
        <v>SHP0920</v>
      </c>
      <c r="B921" s="0" t="str">
        <f aca="false">Raw!B921</f>
        <v>Inbound</v>
      </c>
      <c r="C921" s="0" t="str">
        <f aca="false">Raw!C921</f>
        <v>Punjab</v>
      </c>
      <c r="D921" s="0" t="str">
        <f aca="false">Raw!D921</f>
        <v>Surat</v>
      </c>
      <c r="E921" s="0" t="str">
        <f aca="false">IFERROR(INDEX(Location_Map!$B$2:$B$15,MATCH(C921,Location_Map!$A$2:$A$15,0)),"UNMAPPED")</f>
        <v>Punjab</v>
      </c>
      <c r="F921" s="0" t="str">
        <f aca="false">IFERROR(INDEX(Location_Map!$C$2:$C$15,MATCH(C921,Location_Map!$A$2:$A$15,0)),"UNMAPPED")</f>
        <v>North</v>
      </c>
      <c r="G921" s="0" t="str">
        <f aca="false">IFERROR(INDEX(Location_Map!$B$2:$B$15,MATCH(D921,Location_Map!$A$2:$A$15,0)),"UNMAPPED")</f>
        <v>Gujarat</v>
      </c>
      <c r="H921" s="0" t="str">
        <f aca="false">IFERROR(INDEX(Location_Map!$C$2:$C$15,MATCH(D921,Location_Map!$A$2:$A$15,0)),"UNMAPPED")</f>
        <v>West</v>
      </c>
      <c r="I921" s="0" t="str">
        <f aca="false">Raw!E921</f>
        <v>Finished Yarn</v>
      </c>
      <c r="J921" s="28" t="n">
        <f aca="false">Raw!F921</f>
        <v>10.56</v>
      </c>
      <c r="K921" s="30" t="n">
        <f aca="false">DATE(LEFT(Raw!G921,4),MID(Raw!G921,6,2),MID(Raw!G921,9,2))</f>
        <v>45833</v>
      </c>
      <c r="L921" s="30" t="n">
        <f aca="false">DATE(LEFT(Raw!H921,4),MID(Raw!H921,6,2),MID(Raw!H921,9,2))</f>
        <v>45837</v>
      </c>
      <c r="M921" s="30" t="n">
        <f aca="false">DATE(LEFT(Raw!I921,4),MID(Raw!I921,6,2),MID(Raw!I921,9,2))</f>
        <v>45839</v>
      </c>
      <c r="N921" s="31" t="n">
        <f aca="false">DATE(LEFT(Raw!J921,4),MID(Raw!J921,6,2),MID(Raw!J921,9,2))+TIME(MID(Raw!J921,12,2),MID(Raw!J921,15,2),MID(Raw!J921,18,2))</f>
        <v>45837.125</v>
      </c>
      <c r="O921" s="31" t="n">
        <f aca="false">DATE(LEFT(Raw!K921,4),MID(Raw!K921,6,2),MID(Raw!K921,9,2))+TIME(MID(Raw!K921,12,2),MID(Raw!K921,15,2),MID(Raw!K921,18,2))</f>
        <v>45841.4</v>
      </c>
      <c r="P921" s="32" t="n">
        <f aca="false">L921-K921</f>
        <v>4</v>
      </c>
      <c r="Q921" s="32" t="n">
        <f aca="false">M921-L921</f>
        <v>2</v>
      </c>
      <c r="R921" s="32" t="n">
        <f aca="false">O921-N921</f>
        <v>4.275</v>
      </c>
      <c r="S921" s="32" t="n">
        <f aca="false">Raw!L921</f>
        <v>2.4</v>
      </c>
      <c r="T921" s="32" t="n">
        <f aca="false">O921-M921</f>
        <v>2.4</v>
      </c>
      <c r="U921" s="0" t="str">
        <f aca="false">IF(ABS(T921-S921)&lt;0.01,"OK","MISMATCH")</f>
        <v>OK</v>
      </c>
      <c r="V921" s="33" t="n">
        <f aca="false">Raw!M921</f>
        <v>1</v>
      </c>
      <c r="W921" s="0" t="str">
        <f aca="false">IF((S921&gt;0)=(V921=1),"OK","MISMATCH")</f>
        <v>OK</v>
      </c>
      <c r="X921" s="0" t="str">
        <f aca="false">_xlfn.IFS(S921&lt;=0,"Early/On time",S921&lt;=2,"Minor (up to 2 days)",S921&lt;=5,"Moderate (2-5 days)",TRUE(),"Severe (over 5 days)")</f>
        <v>Moderate (2-5 days)</v>
      </c>
      <c r="Y921" s="0" t="str">
        <f aca="false">YEAR(K921)&amp;"-"&amp;TEXT(MONTH(K921),"00")</f>
        <v>2025-06</v>
      </c>
      <c r="Z921" s="0" t="str">
        <f aca="false">C921&amp;" → "&amp;D921</f>
        <v>Punjab → Surat</v>
      </c>
      <c r="AA921" s="0" t="str">
        <f aca="false">Raw!Q921</f>
        <v>BlueDart</v>
      </c>
      <c r="AB921" s="0" t="str">
        <f aca="false">Raw!R921</f>
        <v>Yes</v>
      </c>
      <c r="AC921" s="0" t="str">
        <f aca="false">Raw!S921</f>
        <v>Normal</v>
      </c>
      <c r="AD921" s="29" t="n">
        <f aca="false">Raw!N921</f>
        <v>6888.27</v>
      </c>
      <c r="AE921" s="29" t="n">
        <f aca="false">Raw!O921</f>
        <v>1967.71</v>
      </c>
      <c r="AF921" s="29" t="n">
        <f aca="false">Raw!P921</f>
        <v>1376.29</v>
      </c>
      <c r="AG921" s="29" t="n">
        <f aca="false">AD921/J921</f>
        <v>652.298295454546</v>
      </c>
    </row>
    <row r="922" customFormat="false" ht="15" hidden="false" customHeight="false" outlineLevel="0" collapsed="false">
      <c r="A922" s="0" t="str">
        <f aca="false">Raw!A922</f>
        <v>SHP0921</v>
      </c>
      <c r="B922" s="0" t="str">
        <f aca="false">Raw!B922</f>
        <v>Inbound</v>
      </c>
      <c r="C922" s="0" t="str">
        <f aca="false">Raw!C922</f>
        <v>Rajasthan</v>
      </c>
      <c r="D922" s="0" t="str">
        <f aca="false">Raw!D922</f>
        <v>Surat</v>
      </c>
      <c r="E922" s="0" t="str">
        <f aca="false">IFERROR(INDEX(Location_Map!$B$2:$B$15,MATCH(C922,Location_Map!$A$2:$A$15,0)),"UNMAPPED")</f>
        <v>Rajasthan</v>
      </c>
      <c r="F922" s="0" t="str">
        <f aca="false">IFERROR(INDEX(Location_Map!$C$2:$C$15,MATCH(C922,Location_Map!$A$2:$A$15,0)),"UNMAPPED")</f>
        <v>North</v>
      </c>
      <c r="G922" s="0" t="str">
        <f aca="false">IFERROR(INDEX(Location_Map!$B$2:$B$15,MATCH(D922,Location_Map!$A$2:$A$15,0)),"UNMAPPED")</f>
        <v>Gujarat</v>
      </c>
      <c r="H922" s="0" t="str">
        <f aca="false">IFERROR(INDEX(Location_Map!$C$2:$C$15,MATCH(D922,Location_Map!$A$2:$A$15,0)),"UNMAPPED")</f>
        <v>West</v>
      </c>
      <c r="I922" s="0" t="str">
        <f aca="false">Raw!E922</f>
        <v>Raw Yarn</v>
      </c>
      <c r="J922" s="28" t="n">
        <f aca="false">Raw!F922</f>
        <v>1.36</v>
      </c>
      <c r="K922" s="30" t="n">
        <f aca="false">DATE(LEFT(Raw!G922,4),MID(Raw!G922,6,2),MID(Raw!G922,9,2))</f>
        <v>45877</v>
      </c>
      <c r="L922" s="30" t="n">
        <f aca="false">DATE(LEFT(Raw!H922,4),MID(Raw!H922,6,2),MID(Raw!H922,9,2))</f>
        <v>45881</v>
      </c>
      <c r="M922" s="30" t="n">
        <f aca="false">DATE(LEFT(Raw!I922,4),MID(Raw!I922,6,2),MID(Raw!I922,9,2))</f>
        <v>45884</v>
      </c>
      <c r="N922" s="31" t="n">
        <f aca="false">DATE(LEFT(Raw!J922,4),MID(Raw!J922,6,2),MID(Raw!J922,9,2))+TIME(MID(Raw!J922,12,2),MID(Raw!J922,15,2),MID(Raw!J922,18,2))</f>
        <v>45881.2916666667</v>
      </c>
      <c r="O922" s="31" t="n">
        <f aca="false">DATE(LEFT(Raw!K922,4),MID(Raw!K922,6,2),MID(Raw!K922,9,2))+TIME(MID(Raw!K922,12,2),MID(Raw!K922,15,2),MID(Raw!K922,18,2))</f>
        <v>45886.1</v>
      </c>
      <c r="P922" s="32" t="n">
        <f aca="false">L922-K922</f>
        <v>4</v>
      </c>
      <c r="Q922" s="32" t="n">
        <f aca="false">M922-L922</f>
        <v>3</v>
      </c>
      <c r="R922" s="32" t="n">
        <f aca="false">O922-N922</f>
        <v>4.80833333333333</v>
      </c>
      <c r="S922" s="32" t="n">
        <f aca="false">Raw!L922</f>
        <v>2.1</v>
      </c>
      <c r="T922" s="32" t="n">
        <f aca="false">O922-M922</f>
        <v>2.1</v>
      </c>
      <c r="U922" s="0" t="str">
        <f aca="false">IF(ABS(T922-S922)&lt;0.01,"OK","MISMATCH")</f>
        <v>OK</v>
      </c>
      <c r="V922" s="33" t="n">
        <f aca="false">Raw!M922</f>
        <v>1</v>
      </c>
      <c r="W922" s="0" t="str">
        <f aca="false">IF((S922&gt;0)=(V922=1),"OK","MISMATCH")</f>
        <v>OK</v>
      </c>
      <c r="X922" s="0" t="str">
        <f aca="false">_xlfn.IFS(S922&lt;=0,"Early/On time",S922&lt;=2,"Minor (up to 2 days)",S922&lt;=5,"Moderate (2-5 days)",TRUE(),"Severe (over 5 days)")</f>
        <v>Moderate (2-5 days)</v>
      </c>
      <c r="Y922" s="0" t="str">
        <f aca="false">YEAR(K922)&amp;"-"&amp;TEXT(MONTH(K922),"00")</f>
        <v>2025-08</v>
      </c>
      <c r="Z922" s="0" t="str">
        <f aca="false">C922&amp;" → "&amp;D922</f>
        <v>Rajasthan → Surat</v>
      </c>
      <c r="AA922" s="0" t="str">
        <f aca="false">Raw!Q922</f>
        <v>TCI Express</v>
      </c>
      <c r="AB922" s="0" t="str">
        <f aca="false">Raw!R922</f>
        <v>Yes</v>
      </c>
      <c r="AC922" s="0" t="str">
        <f aca="false">Raw!S922</f>
        <v>Held at warehouse</v>
      </c>
      <c r="AD922" s="29" t="n">
        <f aca="false">Raw!N922</f>
        <v>1646.99</v>
      </c>
      <c r="AE922" s="29" t="n">
        <f aca="false">Raw!O922</f>
        <v>2927.35</v>
      </c>
      <c r="AF922" s="29" t="n">
        <f aca="false">Raw!P922</f>
        <v>624.35</v>
      </c>
      <c r="AG922" s="29" t="n">
        <f aca="false">AD922/J922</f>
        <v>1211.02205882353</v>
      </c>
    </row>
    <row r="923" customFormat="false" ht="15" hidden="false" customHeight="false" outlineLevel="0" collapsed="false">
      <c r="A923" s="0" t="str">
        <f aca="false">Raw!A923</f>
        <v>SHP0922</v>
      </c>
      <c r="B923" s="0" t="str">
        <f aca="false">Raw!B923</f>
        <v>Inbound</v>
      </c>
      <c r="C923" s="0" t="str">
        <f aca="false">Raw!C923</f>
        <v>Uttar Pradesh</v>
      </c>
      <c r="D923" s="0" t="str">
        <f aca="false">Raw!D923</f>
        <v>Surat</v>
      </c>
      <c r="E923" s="0" t="str">
        <f aca="false">IFERROR(INDEX(Location_Map!$B$2:$B$15,MATCH(C923,Location_Map!$A$2:$A$15,0)),"UNMAPPED")</f>
        <v>Uttar Pradesh</v>
      </c>
      <c r="F923" s="0" t="str">
        <f aca="false">IFERROR(INDEX(Location_Map!$C$2:$C$15,MATCH(C923,Location_Map!$A$2:$A$15,0)),"UNMAPPED")</f>
        <v>North</v>
      </c>
      <c r="G923" s="0" t="str">
        <f aca="false">IFERROR(INDEX(Location_Map!$B$2:$B$15,MATCH(D923,Location_Map!$A$2:$A$15,0)),"UNMAPPED")</f>
        <v>Gujarat</v>
      </c>
      <c r="H923" s="0" t="str">
        <f aca="false">IFERROR(INDEX(Location_Map!$C$2:$C$15,MATCH(D923,Location_Map!$A$2:$A$15,0)),"UNMAPPED")</f>
        <v>West</v>
      </c>
      <c r="I923" s="0" t="str">
        <f aca="false">Raw!E923</f>
        <v>Finished Yarn</v>
      </c>
      <c r="J923" s="28" t="n">
        <f aca="false">Raw!F923</f>
        <v>5.07</v>
      </c>
      <c r="K923" s="30" t="n">
        <f aca="false">DATE(LEFT(Raw!G923,4),MID(Raw!G923,6,2),MID(Raw!G923,9,2))</f>
        <v>45677</v>
      </c>
      <c r="L923" s="30" t="n">
        <f aca="false">DATE(LEFT(Raw!H923,4),MID(Raw!H923,6,2),MID(Raw!H923,9,2))</f>
        <v>45680</v>
      </c>
      <c r="M923" s="30" t="n">
        <f aca="false">DATE(LEFT(Raw!I923,4),MID(Raw!I923,6,2),MID(Raw!I923,9,2))</f>
        <v>45682</v>
      </c>
      <c r="N923" s="31" t="n">
        <f aca="false">DATE(LEFT(Raw!J923,4),MID(Raw!J923,6,2),MID(Raw!J923,9,2))+TIME(MID(Raw!J923,12,2),MID(Raw!J923,15,2),MID(Raw!J923,18,2))</f>
        <v>45680.3333333333</v>
      </c>
      <c r="O923" s="31" t="n">
        <f aca="false">DATE(LEFT(Raw!K923,4),MID(Raw!K923,6,2),MID(Raw!K923,9,2))+TIME(MID(Raw!K923,12,2),MID(Raw!K923,15,2),MID(Raw!K923,18,2))</f>
        <v>45681.8</v>
      </c>
      <c r="P923" s="32" t="n">
        <f aca="false">L923-K923</f>
        <v>3</v>
      </c>
      <c r="Q923" s="32" t="n">
        <f aca="false">M923-L923</f>
        <v>2</v>
      </c>
      <c r="R923" s="32" t="n">
        <f aca="false">O923-N923</f>
        <v>1.46666666666667</v>
      </c>
      <c r="S923" s="32" t="n">
        <f aca="false">Raw!L923</f>
        <v>-0.2</v>
      </c>
      <c r="T923" s="32" t="n">
        <f aca="false">O923-M923</f>
        <v>-0.2</v>
      </c>
      <c r="U923" s="0" t="str">
        <f aca="false">IF(ABS(T923-S923)&lt;0.01,"OK","MISMATCH")</f>
        <v>OK</v>
      </c>
      <c r="V923" s="33" t="n">
        <f aca="false">Raw!M923</f>
        <v>0</v>
      </c>
      <c r="W923" s="0" t="str">
        <f aca="false">IF((S923&gt;0)=(V923=1),"OK","MISMATCH")</f>
        <v>OK</v>
      </c>
      <c r="X923" s="0" t="str">
        <f aca="false">_xlfn.IFS(S923&lt;=0,"Early/On time",S923&lt;=2,"Minor (up to 2 days)",S923&lt;=5,"Moderate (2-5 days)",TRUE(),"Severe (over 5 days)")</f>
        <v>Early/On time</v>
      </c>
      <c r="Y923" s="0" t="str">
        <f aca="false">YEAR(K923)&amp;"-"&amp;TEXT(MONTH(K923),"00")</f>
        <v>2025-01</v>
      </c>
      <c r="Z923" s="0" t="str">
        <f aca="false">C923&amp;" → "&amp;D923</f>
        <v>Uttar Pradesh → Surat</v>
      </c>
      <c r="AA923" s="0" t="str">
        <f aca="false">Raw!Q923</f>
        <v>GATI Logistics</v>
      </c>
      <c r="AB923" s="0" t="str">
        <f aca="false">Raw!R923</f>
        <v>Yes</v>
      </c>
      <c r="AC923" s="0" t="str">
        <f aca="false">Raw!S923</f>
        <v>Expedited</v>
      </c>
      <c r="AD923" s="29" t="n">
        <f aca="false">Raw!N923</f>
        <v>3818.52</v>
      </c>
      <c r="AE923" s="29" t="n">
        <f aca="false">Raw!O923</f>
        <v>4444.04</v>
      </c>
      <c r="AF923" s="29" t="n">
        <f aca="false">Raw!P923</f>
        <v>1115.62</v>
      </c>
      <c r="AG923" s="29" t="n">
        <f aca="false">AD923/J923</f>
        <v>753.15976331361</v>
      </c>
    </row>
    <row r="924" customFormat="false" ht="15" hidden="false" customHeight="false" outlineLevel="0" collapsed="false">
      <c r="A924" s="0" t="str">
        <f aca="false">Raw!A924</f>
        <v>SHP0923</v>
      </c>
      <c r="B924" s="0" t="str">
        <f aca="false">Raw!B924</f>
        <v>Inbound</v>
      </c>
      <c r="C924" s="0" t="str">
        <f aca="false">Raw!C924</f>
        <v>Rajasthan</v>
      </c>
      <c r="D924" s="0" t="str">
        <f aca="false">Raw!D924</f>
        <v>Surat</v>
      </c>
      <c r="E924" s="0" t="str">
        <f aca="false">IFERROR(INDEX(Location_Map!$B$2:$B$15,MATCH(C924,Location_Map!$A$2:$A$15,0)),"UNMAPPED")</f>
        <v>Rajasthan</v>
      </c>
      <c r="F924" s="0" t="str">
        <f aca="false">IFERROR(INDEX(Location_Map!$C$2:$C$15,MATCH(C924,Location_Map!$A$2:$A$15,0)),"UNMAPPED")</f>
        <v>North</v>
      </c>
      <c r="G924" s="0" t="str">
        <f aca="false">IFERROR(INDEX(Location_Map!$B$2:$B$15,MATCH(D924,Location_Map!$A$2:$A$15,0)),"UNMAPPED")</f>
        <v>Gujarat</v>
      </c>
      <c r="H924" s="0" t="str">
        <f aca="false">IFERROR(INDEX(Location_Map!$C$2:$C$15,MATCH(D924,Location_Map!$A$2:$A$15,0)),"UNMAPPED")</f>
        <v>West</v>
      </c>
      <c r="I924" s="0" t="str">
        <f aca="false">Raw!E924</f>
        <v>Finished Yarn</v>
      </c>
      <c r="J924" s="28" t="n">
        <f aca="false">Raw!F924</f>
        <v>1.24</v>
      </c>
      <c r="K924" s="30" t="n">
        <f aca="false">DATE(LEFT(Raw!G924,4),MID(Raw!G924,6,2),MID(Raw!G924,9,2))</f>
        <v>45866</v>
      </c>
      <c r="L924" s="30" t="n">
        <f aca="false">DATE(LEFT(Raw!H924,4),MID(Raw!H924,6,2),MID(Raw!H924,9,2))</f>
        <v>45868</v>
      </c>
      <c r="M924" s="30" t="n">
        <f aca="false">DATE(LEFT(Raw!I924,4),MID(Raw!I924,6,2),MID(Raw!I924,9,2))</f>
        <v>45872</v>
      </c>
      <c r="N924" s="31" t="n">
        <f aca="false">DATE(LEFT(Raw!J924,4),MID(Raw!J924,6,2),MID(Raw!J924,9,2))+TIME(MID(Raw!J924,12,2),MID(Raw!J924,15,2),MID(Raw!J924,18,2))</f>
        <v>45867.8333333333</v>
      </c>
      <c r="O924" s="31" t="n">
        <f aca="false">DATE(LEFT(Raw!K924,4),MID(Raw!K924,6,2),MID(Raw!K924,9,2))+TIME(MID(Raw!K924,12,2),MID(Raw!K924,15,2),MID(Raw!K924,18,2))</f>
        <v>45879.6</v>
      </c>
      <c r="P924" s="32" t="n">
        <f aca="false">L924-K924</f>
        <v>2</v>
      </c>
      <c r="Q924" s="32" t="n">
        <f aca="false">M924-L924</f>
        <v>4</v>
      </c>
      <c r="R924" s="32" t="n">
        <f aca="false">O924-N924</f>
        <v>11.7666666666667</v>
      </c>
      <c r="S924" s="32" t="n">
        <f aca="false">Raw!L924</f>
        <v>7.6</v>
      </c>
      <c r="T924" s="32" t="n">
        <f aca="false">O924-M924</f>
        <v>7.6</v>
      </c>
      <c r="U924" s="0" t="str">
        <f aca="false">IF(ABS(T924-S924)&lt;0.01,"OK","MISMATCH")</f>
        <v>OK</v>
      </c>
      <c r="V924" s="33" t="n">
        <f aca="false">Raw!M924</f>
        <v>1</v>
      </c>
      <c r="W924" s="0" t="str">
        <f aca="false">IF((S924&gt;0)=(V924=1),"OK","MISMATCH")</f>
        <v>OK</v>
      </c>
      <c r="X924" s="0" t="str">
        <f aca="false">_xlfn.IFS(S924&lt;=0,"Early/On time",S924&lt;=2,"Minor (up to 2 days)",S924&lt;=5,"Moderate (2-5 days)",TRUE(),"Severe (over 5 days)")</f>
        <v>Severe (over 5 days)</v>
      </c>
      <c r="Y924" s="0" t="str">
        <f aca="false">YEAR(K924)&amp;"-"&amp;TEXT(MONTH(K924),"00")</f>
        <v>2025-07</v>
      </c>
      <c r="Z924" s="0" t="str">
        <f aca="false">C924&amp;" → "&amp;D924</f>
        <v>Rajasthan → Surat</v>
      </c>
      <c r="AA924" s="0" t="str">
        <f aca="false">Raw!Q924</f>
        <v>GATI Logistics</v>
      </c>
      <c r="AB924" s="0" t="str">
        <f aca="false">Raw!R924</f>
        <v>Yes</v>
      </c>
      <c r="AC924" s="0" t="str">
        <f aca="false">Raw!S924</f>
        <v>Expedited</v>
      </c>
      <c r="AD924" s="29" t="n">
        <f aca="false">Raw!N924</f>
        <v>1420.36</v>
      </c>
      <c r="AE924" s="29" t="n">
        <f aca="false">Raw!O924</f>
        <v>3686.05</v>
      </c>
      <c r="AF924" s="29" t="n">
        <f aca="false">Raw!P924</f>
        <v>504.36</v>
      </c>
      <c r="AG924" s="29" t="n">
        <f aca="false">AD924/J924</f>
        <v>1145.45161290323</v>
      </c>
    </row>
    <row r="925" customFormat="false" ht="15" hidden="false" customHeight="false" outlineLevel="0" collapsed="false">
      <c r="A925" s="0" t="str">
        <f aca="false">Raw!A925</f>
        <v>SHP0924</v>
      </c>
      <c r="B925" s="0" t="str">
        <f aca="false">Raw!B925</f>
        <v>Outbound</v>
      </c>
      <c r="C925" s="0" t="str">
        <f aca="false">Raw!C925</f>
        <v>Surat</v>
      </c>
      <c r="D925" s="0" t="str">
        <f aca="false">Raw!D925</f>
        <v>Kerala</v>
      </c>
      <c r="E925" s="0" t="str">
        <f aca="false">IFERROR(INDEX(Location_Map!$B$2:$B$15,MATCH(C925,Location_Map!$A$2:$A$15,0)),"UNMAPPED")</f>
        <v>Gujarat</v>
      </c>
      <c r="F925" s="0" t="str">
        <f aca="false">IFERROR(INDEX(Location_Map!$C$2:$C$15,MATCH(C925,Location_Map!$A$2:$A$15,0)),"UNMAPPED")</f>
        <v>West</v>
      </c>
      <c r="G925" s="0" t="str">
        <f aca="false">IFERROR(INDEX(Location_Map!$B$2:$B$15,MATCH(D925,Location_Map!$A$2:$A$15,0)),"UNMAPPED")</f>
        <v>Kerala</v>
      </c>
      <c r="H925" s="0" t="str">
        <f aca="false">IFERROR(INDEX(Location_Map!$C$2:$C$15,MATCH(D925,Location_Map!$A$2:$A$15,0)),"UNMAPPED")</f>
        <v>South</v>
      </c>
      <c r="I925" s="0" t="str">
        <f aca="false">Raw!E925</f>
        <v>Semi-Processed Yarn</v>
      </c>
      <c r="J925" s="28" t="n">
        <f aca="false">Raw!F925</f>
        <v>18.57</v>
      </c>
      <c r="K925" s="30" t="n">
        <f aca="false">DATE(LEFT(Raw!G925,4),MID(Raw!G925,6,2),MID(Raw!G925,9,2))</f>
        <v>45691</v>
      </c>
      <c r="L925" s="30" t="n">
        <f aca="false">DATE(LEFT(Raw!H925,4),MID(Raw!H925,6,2),MID(Raw!H925,9,2))</f>
        <v>45692</v>
      </c>
      <c r="M925" s="30" t="n">
        <f aca="false">DATE(LEFT(Raw!I925,4),MID(Raw!I925,6,2),MID(Raw!I925,9,2))</f>
        <v>45695</v>
      </c>
      <c r="N925" s="31" t="n">
        <f aca="false">DATE(LEFT(Raw!J925,4),MID(Raw!J925,6,2),MID(Raw!J925,9,2))+TIME(MID(Raw!J925,12,2),MID(Raw!J925,15,2),MID(Raw!J925,18,2))</f>
        <v>45692.375</v>
      </c>
      <c r="O925" s="31" t="n">
        <f aca="false">DATE(LEFT(Raw!K925,4),MID(Raw!K925,6,2),MID(Raw!K925,9,2))+TIME(MID(Raw!K925,12,2),MID(Raw!K925,15,2),MID(Raw!K925,18,2))</f>
        <v>45695.6</v>
      </c>
      <c r="P925" s="32" t="n">
        <f aca="false">L925-K925</f>
        <v>1</v>
      </c>
      <c r="Q925" s="32" t="n">
        <f aca="false">M925-L925</f>
        <v>3</v>
      </c>
      <c r="R925" s="32" t="n">
        <f aca="false">O925-N925</f>
        <v>3.225</v>
      </c>
      <c r="S925" s="32" t="n">
        <f aca="false">Raw!L925</f>
        <v>0.6</v>
      </c>
      <c r="T925" s="32" t="n">
        <f aca="false">O925-M925</f>
        <v>0.6</v>
      </c>
      <c r="U925" s="0" t="str">
        <f aca="false">IF(ABS(T925-S925)&lt;0.01,"OK","MISMATCH")</f>
        <v>OK</v>
      </c>
      <c r="V925" s="33" t="n">
        <f aca="false">Raw!M925</f>
        <v>1</v>
      </c>
      <c r="W925" s="0" t="str">
        <f aca="false">IF((S925&gt;0)=(V925=1),"OK","MISMATCH")</f>
        <v>OK</v>
      </c>
      <c r="X925" s="0" t="str">
        <f aca="false">_xlfn.IFS(S925&lt;=0,"Early/On time",S925&lt;=2,"Minor (up to 2 days)",S925&lt;=5,"Moderate (2-5 days)",TRUE(),"Severe (over 5 days)")</f>
        <v>Minor (up to 2 days)</v>
      </c>
      <c r="Y925" s="0" t="str">
        <f aca="false">YEAR(K925)&amp;"-"&amp;TEXT(MONTH(K925),"00")</f>
        <v>2025-02</v>
      </c>
      <c r="Z925" s="0" t="str">
        <f aca="false">C925&amp;" → "&amp;D925</f>
        <v>Surat → Kerala</v>
      </c>
      <c r="AA925" s="0" t="str">
        <f aca="false">Raw!Q925</f>
        <v>TCI Express</v>
      </c>
      <c r="AB925" s="0" t="str">
        <f aca="false">Raw!R925</f>
        <v>No</v>
      </c>
      <c r="AC925" s="0" t="str">
        <f aca="false">Raw!S925</f>
        <v>Expedited</v>
      </c>
      <c r="AD925" s="29" t="n">
        <f aca="false">Raw!N925</f>
        <v>6455.45</v>
      </c>
      <c r="AE925" s="29" t="n">
        <f aca="false">Raw!O925</f>
        <v>3340.49</v>
      </c>
      <c r="AF925" s="29" t="n">
        <f aca="false">Raw!P925</f>
        <v>942.91</v>
      </c>
      <c r="AG925" s="29" t="n">
        <f aca="false">AD925/J925</f>
        <v>347.627894453419</v>
      </c>
    </row>
    <row r="926" customFormat="false" ht="15" hidden="false" customHeight="false" outlineLevel="0" collapsed="false">
      <c r="A926" s="0" t="str">
        <f aca="false">Raw!A926</f>
        <v>SHP0925</v>
      </c>
      <c r="B926" s="0" t="str">
        <f aca="false">Raw!B926</f>
        <v>Inbound</v>
      </c>
      <c r="C926" s="0" t="str">
        <f aca="false">Raw!C926</f>
        <v>Punjab</v>
      </c>
      <c r="D926" s="0" t="str">
        <f aca="false">Raw!D926</f>
        <v>Surat</v>
      </c>
      <c r="E926" s="0" t="str">
        <f aca="false">IFERROR(INDEX(Location_Map!$B$2:$B$15,MATCH(C926,Location_Map!$A$2:$A$15,0)),"UNMAPPED")</f>
        <v>Punjab</v>
      </c>
      <c r="F926" s="0" t="str">
        <f aca="false">IFERROR(INDEX(Location_Map!$C$2:$C$15,MATCH(C926,Location_Map!$A$2:$A$15,0)),"UNMAPPED")</f>
        <v>North</v>
      </c>
      <c r="G926" s="0" t="str">
        <f aca="false">IFERROR(INDEX(Location_Map!$B$2:$B$15,MATCH(D926,Location_Map!$A$2:$A$15,0)),"UNMAPPED")</f>
        <v>Gujarat</v>
      </c>
      <c r="H926" s="0" t="str">
        <f aca="false">IFERROR(INDEX(Location_Map!$C$2:$C$15,MATCH(D926,Location_Map!$A$2:$A$15,0)),"UNMAPPED")</f>
        <v>West</v>
      </c>
      <c r="I926" s="0" t="str">
        <f aca="false">Raw!E926</f>
        <v>Semi-Processed Yarn</v>
      </c>
      <c r="J926" s="28" t="n">
        <f aca="false">Raw!F926</f>
        <v>1.65</v>
      </c>
      <c r="K926" s="30" t="n">
        <f aca="false">DATE(LEFT(Raw!G926,4),MID(Raw!G926,6,2),MID(Raw!G926,9,2))</f>
        <v>45753</v>
      </c>
      <c r="L926" s="30" t="n">
        <f aca="false">DATE(LEFT(Raw!H926,4),MID(Raw!H926,6,2),MID(Raw!H926,9,2))</f>
        <v>45757</v>
      </c>
      <c r="M926" s="30" t="n">
        <f aca="false">DATE(LEFT(Raw!I926,4),MID(Raw!I926,6,2),MID(Raw!I926,9,2))</f>
        <v>45760</v>
      </c>
      <c r="N926" s="31" t="n">
        <f aca="false">DATE(LEFT(Raw!J926,4),MID(Raw!J926,6,2),MID(Raw!J926,9,2))+TIME(MID(Raw!J926,12,2),MID(Raw!J926,15,2),MID(Raw!J926,18,2))</f>
        <v>45756.9166666667</v>
      </c>
      <c r="O926" s="31" t="n">
        <f aca="false">DATE(LEFT(Raw!K926,4),MID(Raw!K926,6,2),MID(Raw!K926,9,2))+TIME(MID(Raw!K926,12,2),MID(Raw!K926,15,2),MID(Raw!K926,18,2))</f>
        <v>45759</v>
      </c>
      <c r="P926" s="32" t="n">
        <f aca="false">L926-K926</f>
        <v>4</v>
      </c>
      <c r="Q926" s="32" t="n">
        <f aca="false">M926-L926</f>
        <v>3</v>
      </c>
      <c r="R926" s="32" t="n">
        <f aca="false">O926-N926</f>
        <v>2.08333333333333</v>
      </c>
      <c r="S926" s="32" t="n">
        <f aca="false">Raw!L926</f>
        <v>-1</v>
      </c>
      <c r="T926" s="32" t="n">
        <f aca="false">O926-M926</f>
        <v>-1</v>
      </c>
      <c r="U926" s="0" t="str">
        <f aca="false">IF(ABS(T926-S926)&lt;0.01,"OK","MISMATCH")</f>
        <v>OK</v>
      </c>
      <c r="V926" s="33" t="n">
        <f aca="false">Raw!M926</f>
        <v>0</v>
      </c>
      <c r="W926" s="0" t="str">
        <f aca="false">IF((S926&gt;0)=(V926=1),"OK","MISMATCH")</f>
        <v>OK</v>
      </c>
      <c r="X926" s="0" t="str">
        <f aca="false">_xlfn.IFS(S926&lt;=0,"Early/On time",S926&lt;=2,"Minor (up to 2 days)",S926&lt;=5,"Moderate (2-5 days)",TRUE(),"Severe (over 5 days)")</f>
        <v>Early/On time</v>
      </c>
      <c r="Y926" s="0" t="str">
        <f aca="false">YEAR(K926)&amp;"-"&amp;TEXT(MONTH(K926),"00")</f>
        <v>2025-04</v>
      </c>
      <c r="Z926" s="0" t="str">
        <f aca="false">C926&amp;" → "&amp;D926</f>
        <v>Punjab → Surat</v>
      </c>
      <c r="AA926" s="0" t="str">
        <f aca="false">Raw!Q926</f>
        <v>BlueDart</v>
      </c>
      <c r="AB926" s="0" t="str">
        <f aca="false">Raw!R926</f>
        <v>Yes</v>
      </c>
      <c r="AC926" s="0" t="str">
        <f aca="false">Raw!S926</f>
        <v>Returned</v>
      </c>
      <c r="AD926" s="29" t="n">
        <f aca="false">Raw!N926</f>
        <v>1407.14</v>
      </c>
      <c r="AE926" s="29" t="n">
        <f aca="false">Raw!O926</f>
        <v>4395.17</v>
      </c>
      <c r="AF926" s="29" t="n">
        <f aca="false">Raw!P926</f>
        <v>798.19</v>
      </c>
      <c r="AG926" s="29" t="n">
        <f aca="false">AD926/J926</f>
        <v>852.812121212121</v>
      </c>
    </row>
    <row r="927" customFormat="false" ht="15" hidden="false" customHeight="false" outlineLevel="0" collapsed="false">
      <c r="A927" s="0" t="str">
        <f aca="false">Raw!A927</f>
        <v>SHP0926</v>
      </c>
      <c r="B927" s="0" t="str">
        <f aca="false">Raw!B927</f>
        <v>Inbound</v>
      </c>
      <c r="C927" s="0" t="str">
        <f aca="false">Raw!C927</f>
        <v>Gujarat</v>
      </c>
      <c r="D927" s="0" t="str">
        <f aca="false">Raw!D927</f>
        <v>Surat</v>
      </c>
      <c r="E927" s="0" t="str">
        <f aca="false">IFERROR(INDEX(Location_Map!$B$2:$B$15,MATCH(C927,Location_Map!$A$2:$A$15,0)),"UNMAPPED")</f>
        <v>Gujarat</v>
      </c>
      <c r="F927" s="0" t="str">
        <f aca="false">IFERROR(INDEX(Location_Map!$C$2:$C$15,MATCH(C927,Location_Map!$A$2:$A$15,0)),"UNMAPPED")</f>
        <v>West</v>
      </c>
      <c r="G927" s="0" t="str">
        <f aca="false">IFERROR(INDEX(Location_Map!$B$2:$B$15,MATCH(D927,Location_Map!$A$2:$A$15,0)),"UNMAPPED")</f>
        <v>Gujarat</v>
      </c>
      <c r="H927" s="0" t="str">
        <f aca="false">IFERROR(INDEX(Location_Map!$C$2:$C$15,MATCH(D927,Location_Map!$A$2:$A$15,0)),"UNMAPPED")</f>
        <v>West</v>
      </c>
      <c r="I927" s="0" t="str">
        <f aca="false">Raw!E927</f>
        <v>Finished Yarn</v>
      </c>
      <c r="J927" s="28" t="n">
        <f aca="false">Raw!F927</f>
        <v>12.37</v>
      </c>
      <c r="K927" s="30" t="n">
        <f aca="false">DATE(LEFT(Raw!G927,4),MID(Raw!G927,6,2),MID(Raw!G927,9,2))</f>
        <v>45808</v>
      </c>
      <c r="L927" s="30" t="n">
        <f aca="false">DATE(LEFT(Raw!H927,4),MID(Raw!H927,6,2),MID(Raw!H927,9,2))</f>
        <v>45809</v>
      </c>
      <c r="M927" s="30" t="n">
        <f aca="false">DATE(LEFT(Raw!I927,4),MID(Raw!I927,6,2),MID(Raw!I927,9,2))</f>
        <v>45811</v>
      </c>
      <c r="N927" s="31" t="n">
        <f aca="false">DATE(LEFT(Raw!J927,4),MID(Raw!J927,6,2),MID(Raw!J927,9,2))+TIME(MID(Raw!J927,12,2),MID(Raw!J927,15,2),MID(Raw!J927,18,2))</f>
        <v>45809.0416666667</v>
      </c>
      <c r="O927" s="31" t="n">
        <f aca="false">DATE(LEFT(Raw!K927,4),MID(Raw!K927,6,2),MID(Raw!K927,9,2))+TIME(MID(Raw!K927,12,2),MID(Raw!K927,15,2),MID(Raw!K927,18,2))</f>
        <v>45810</v>
      </c>
      <c r="P927" s="32" t="n">
        <f aca="false">L927-K927</f>
        <v>1</v>
      </c>
      <c r="Q927" s="32" t="n">
        <f aca="false">M927-L927</f>
        <v>2</v>
      </c>
      <c r="R927" s="32" t="n">
        <f aca="false">O927-N927</f>
        <v>0.958333333333333</v>
      </c>
      <c r="S927" s="32" t="n">
        <f aca="false">Raw!L927</f>
        <v>-1</v>
      </c>
      <c r="T927" s="32" t="n">
        <f aca="false">O927-M927</f>
        <v>-1</v>
      </c>
      <c r="U927" s="0" t="str">
        <f aca="false">IF(ABS(T927-S927)&lt;0.01,"OK","MISMATCH")</f>
        <v>OK</v>
      </c>
      <c r="V927" s="33" t="n">
        <f aca="false">Raw!M927</f>
        <v>0</v>
      </c>
      <c r="W927" s="0" t="str">
        <f aca="false">IF((S927&gt;0)=(V927=1),"OK","MISMATCH")</f>
        <v>OK</v>
      </c>
      <c r="X927" s="0" t="str">
        <f aca="false">_xlfn.IFS(S927&lt;=0,"Early/On time",S927&lt;=2,"Minor (up to 2 days)",S927&lt;=5,"Moderate (2-5 days)",TRUE(),"Severe (over 5 days)")</f>
        <v>Early/On time</v>
      </c>
      <c r="Y927" s="0" t="str">
        <f aca="false">YEAR(K927)&amp;"-"&amp;TEXT(MONTH(K927),"00")</f>
        <v>2025-05</v>
      </c>
      <c r="Z927" s="0" t="str">
        <f aca="false">C927&amp;" → "&amp;D927</f>
        <v>Gujarat → Surat</v>
      </c>
      <c r="AA927" s="0" t="str">
        <f aca="false">Raw!Q927</f>
        <v>BlueDart</v>
      </c>
      <c r="AB927" s="0" t="str">
        <f aca="false">Raw!R927</f>
        <v>No</v>
      </c>
      <c r="AC927" s="0" t="str">
        <f aca="false">Raw!S927</f>
        <v>Normal</v>
      </c>
      <c r="AD927" s="29" t="n">
        <f aca="false">Raw!N927</f>
        <v>5580.09</v>
      </c>
      <c r="AE927" s="29" t="n">
        <f aca="false">Raw!O927</f>
        <v>1632.51</v>
      </c>
      <c r="AF927" s="29" t="n">
        <f aca="false">Raw!P927</f>
        <v>838.53</v>
      </c>
      <c r="AG927" s="29" t="n">
        <f aca="false">AD927/J927</f>
        <v>451.098625707357</v>
      </c>
    </row>
    <row r="928" customFormat="false" ht="15" hidden="false" customHeight="false" outlineLevel="0" collapsed="false">
      <c r="A928" s="0" t="str">
        <f aca="false">Raw!A928</f>
        <v>SHP0927</v>
      </c>
      <c r="B928" s="0" t="str">
        <f aca="false">Raw!B928</f>
        <v>Outbound</v>
      </c>
      <c r="C928" s="0" t="str">
        <f aca="false">Raw!C928</f>
        <v>Surat</v>
      </c>
      <c r="D928" s="0" t="str">
        <f aca="false">Raw!D928</f>
        <v>Kerala</v>
      </c>
      <c r="E928" s="0" t="str">
        <f aca="false">IFERROR(INDEX(Location_Map!$B$2:$B$15,MATCH(C928,Location_Map!$A$2:$A$15,0)),"UNMAPPED")</f>
        <v>Gujarat</v>
      </c>
      <c r="F928" s="0" t="str">
        <f aca="false">IFERROR(INDEX(Location_Map!$C$2:$C$15,MATCH(C928,Location_Map!$A$2:$A$15,0)),"UNMAPPED")</f>
        <v>West</v>
      </c>
      <c r="G928" s="0" t="str">
        <f aca="false">IFERROR(INDEX(Location_Map!$B$2:$B$15,MATCH(D928,Location_Map!$A$2:$A$15,0)),"UNMAPPED")</f>
        <v>Kerala</v>
      </c>
      <c r="H928" s="0" t="str">
        <f aca="false">IFERROR(INDEX(Location_Map!$C$2:$C$15,MATCH(D928,Location_Map!$A$2:$A$15,0)),"UNMAPPED")</f>
        <v>South</v>
      </c>
      <c r="I928" s="0" t="str">
        <f aca="false">Raw!E928</f>
        <v>Raw Yarn</v>
      </c>
      <c r="J928" s="28" t="n">
        <f aca="false">Raw!F928</f>
        <v>1.39</v>
      </c>
      <c r="K928" s="30" t="n">
        <f aca="false">DATE(LEFT(Raw!G928,4),MID(Raw!G928,6,2),MID(Raw!G928,9,2))</f>
        <v>45767</v>
      </c>
      <c r="L928" s="30" t="n">
        <f aca="false">DATE(LEFT(Raw!H928,4),MID(Raw!H928,6,2),MID(Raw!H928,9,2))</f>
        <v>45770</v>
      </c>
      <c r="M928" s="30" t="n">
        <f aca="false">DATE(LEFT(Raw!I928,4),MID(Raw!I928,6,2),MID(Raw!I928,9,2))</f>
        <v>45776</v>
      </c>
      <c r="N928" s="31" t="n">
        <f aca="false">DATE(LEFT(Raw!J928,4),MID(Raw!J928,6,2),MID(Raw!J928,9,2))+TIME(MID(Raw!J928,12,2),MID(Raw!J928,15,2),MID(Raw!J928,18,2))</f>
        <v>45770.1666666667</v>
      </c>
      <c r="O928" s="31" t="n">
        <f aca="false">DATE(LEFT(Raw!K928,4),MID(Raw!K928,6,2),MID(Raw!K928,9,2))+TIME(MID(Raw!K928,12,2),MID(Raw!K928,15,2),MID(Raw!K928,18,2))</f>
        <v>45780.6</v>
      </c>
      <c r="P928" s="32" t="n">
        <f aca="false">L928-K928</f>
        <v>3</v>
      </c>
      <c r="Q928" s="32" t="n">
        <f aca="false">M928-L928</f>
        <v>6</v>
      </c>
      <c r="R928" s="32" t="n">
        <f aca="false">O928-N928</f>
        <v>10.4333333333333</v>
      </c>
      <c r="S928" s="32" t="n">
        <f aca="false">Raw!L928</f>
        <v>4.6</v>
      </c>
      <c r="T928" s="32" t="n">
        <f aca="false">O928-M928</f>
        <v>4.6</v>
      </c>
      <c r="U928" s="0" t="str">
        <f aca="false">IF(ABS(T928-S928)&lt;0.01,"OK","MISMATCH")</f>
        <v>OK</v>
      </c>
      <c r="V928" s="33" t="n">
        <f aca="false">Raw!M928</f>
        <v>1</v>
      </c>
      <c r="W928" s="0" t="str">
        <f aca="false">IF((S928&gt;0)=(V928=1),"OK","MISMATCH")</f>
        <v>OK</v>
      </c>
      <c r="X928" s="0" t="str">
        <f aca="false">_xlfn.IFS(S928&lt;=0,"Early/On time",S928&lt;=2,"Minor (up to 2 days)",S928&lt;=5,"Moderate (2-5 days)",TRUE(),"Severe (over 5 days)")</f>
        <v>Moderate (2-5 days)</v>
      </c>
      <c r="Y928" s="0" t="str">
        <f aca="false">YEAR(K928)&amp;"-"&amp;TEXT(MONTH(K928),"00")</f>
        <v>2025-04</v>
      </c>
      <c r="Z928" s="0" t="str">
        <f aca="false">C928&amp;" → "&amp;D928</f>
        <v>Surat → Kerala</v>
      </c>
      <c r="AA928" s="0" t="str">
        <f aca="false">Raw!Q928</f>
        <v>VRL Cargo</v>
      </c>
      <c r="AB928" s="0" t="str">
        <f aca="false">Raw!R928</f>
        <v>No</v>
      </c>
      <c r="AC928" s="0" t="str">
        <f aca="false">Raw!S928</f>
        <v>Damaged</v>
      </c>
      <c r="AD928" s="29" t="n">
        <f aca="false">Raw!N928</f>
        <v>1364.76</v>
      </c>
      <c r="AE928" s="29" t="n">
        <f aca="false">Raw!O928</f>
        <v>1111.4</v>
      </c>
      <c r="AF928" s="29" t="n">
        <f aca="false">Raw!P928</f>
        <v>1305.01</v>
      </c>
      <c r="AG928" s="29" t="n">
        <f aca="false">AD928/J928</f>
        <v>981.841726618705</v>
      </c>
    </row>
    <row r="929" customFormat="false" ht="15" hidden="false" customHeight="false" outlineLevel="0" collapsed="false">
      <c r="A929" s="0" t="str">
        <f aca="false">Raw!A929</f>
        <v>SHP0928</v>
      </c>
      <c r="B929" s="0" t="str">
        <f aca="false">Raw!B929</f>
        <v>Outbound</v>
      </c>
      <c r="C929" s="0" t="str">
        <f aca="false">Raw!C929</f>
        <v>Surat</v>
      </c>
      <c r="D929" s="0" t="str">
        <f aca="false">Raw!D929</f>
        <v>Madhya Pradesh</v>
      </c>
      <c r="E929" s="0" t="str">
        <f aca="false">IFERROR(INDEX(Location_Map!$B$2:$B$15,MATCH(C929,Location_Map!$A$2:$A$15,0)),"UNMAPPED")</f>
        <v>Gujarat</v>
      </c>
      <c r="F929" s="0" t="str">
        <f aca="false">IFERROR(INDEX(Location_Map!$C$2:$C$15,MATCH(C929,Location_Map!$A$2:$A$15,0)),"UNMAPPED")</f>
        <v>West</v>
      </c>
      <c r="G929" s="0" t="str">
        <f aca="false">IFERROR(INDEX(Location_Map!$B$2:$B$15,MATCH(D929,Location_Map!$A$2:$A$15,0)),"UNMAPPED")</f>
        <v>Madhya Pradesh</v>
      </c>
      <c r="H929" s="0" t="str">
        <f aca="false">IFERROR(INDEX(Location_Map!$C$2:$C$15,MATCH(D929,Location_Map!$A$2:$A$15,0)),"UNMAPPED")</f>
        <v>Central</v>
      </c>
      <c r="I929" s="0" t="str">
        <f aca="false">Raw!E929</f>
        <v>Finished Yarn</v>
      </c>
      <c r="J929" s="28" t="n">
        <f aca="false">Raw!F929</f>
        <v>1.37</v>
      </c>
      <c r="K929" s="30" t="n">
        <f aca="false">DATE(LEFT(Raw!G929,4),MID(Raw!G929,6,2),MID(Raw!G929,9,2))</f>
        <v>45907</v>
      </c>
      <c r="L929" s="30" t="n">
        <f aca="false">DATE(LEFT(Raw!H929,4),MID(Raw!H929,6,2),MID(Raw!H929,9,2))</f>
        <v>45908</v>
      </c>
      <c r="M929" s="30" t="n">
        <f aca="false">DATE(LEFT(Raw!I929,4),MID(Raw!I929,6,2),MID(Raw!I929,9,2))</f>
        <v>45914</v>
      </c>
      <c r="N929" s="31" t="n">
        <f aca="false">DATE(LEFT(Raw!J929,4),MID(Raw!J929,6,2),MID(Raw!J929,9,2))+TIME(MID(Raw!J929,12,2),MID(Raw!J929,15,2),MID(Raw!J929,18,2))</f>
        <v>45908.25</v>
      </c>
      <c r="O929" s="31" t="n">
        <f aca="false">DATE(LEFT(Raw!K929,4),MID(Raw!K929,6,2),MID(Raw!K929,9,2))+TIME(MID(Raw!K929,12,2),MID(Raw!K929,15,2),MID(Raw!K929,18,2))</f>
        <v>45922.3</v>
      </c>
      <c r="P929" s="32" t="n">
        <f aca="false">L929-K929</f>
        <v>1</v>
      </c>
      <c r="Q929" s="32" t="n">
        <f aca="false">M929-L929</f>
        <v>6</v>
      </c>
      <c r="R929" s="32" t="n">
        <f aca="false">O929-N929</f>
        <v>14.05</v>
      </c>
      <c r="S929" s="32" t="n">
        <f aca="false">Raw!L929</f>
        <v>8.3</v>
      </c>
      <c r="T929" s="32" t="n">
        <f aca="false">O929-M929</f>
        <v>8.3</v>
      </c>
      <c r="U929" s="0" t="str">
        <f aca="false">IF(ABS(T929-S929)&lt;0.01,"OK","MISMATCH")</f>
        <v>OK</v>
      </c>
      <c r="V929" s="33" t="n">
        <f aca="false">Raw!M929</f>
        <v>1</v>
      </c>
      <c r="W929" s="0" t="str">
        <f aca="false">IF((S929&gt;0)=(V929=1),"OK","MISMATCH")</f>
        <v>OK</v>
      </c>
      <c r="X929" s="0" t="str">
        <f aca="false">_xlfn.IFS(S929&lt;=0,"Early/On time",S929&lt;=2,"Minor (up to 2 days)",S929&lt;=5,"Moderate (2-5 days)",TRUE(),"Severe (over 5 days)")</f>
        <v>Severe (over 5 days)</v>
      </c>
      <c r="Y929" s="0" t="str">
        <f aca="false">YEAR(K929)&amp;"-"&amp;TEXT(MONTH(K929),"00")</f>
        <v>2025-09</v>
      </c>
      <c r="Z929" s="0" t="str">
        <f aca="false">C929&amp;" → "&amp;D929</f>
        <v>Surat → Madhya Pradesh</v>
      </c>
      <c r="AA929" s="0" t="str">
        <f aca="false">Raw!Q929</f>
        <v>TCI Express</v>
      </c>
      <c r="AB929" s="0" t="str">
        <f aca="false">Raw!R929</f>
        <v>Yes</v>
      </c>
      <c r="AC929" s="0" t="str">
        <f aca="false">Raw!S929</f>
        <v>Damaged</v>
      </c>
      <c r="AD929" s="29" t="n">
        <f aca="false">Raw!N929</f>
        <v>1747.09</v>
      </c>
      <c r="AE929" s="29" t="n">
        <f aca="false">Raw!O929</f>
        <v>3108.28</v>
      </c>
      <c r="AF929" s="29" t="n">
        <f aca="false">Raw!P929</f>
        <v>538.2</v>
      </c>
      <c r="AG929" s="29" t="n">
        <f aca="false">AD929/J929</f>
        <v>1275.24817518248</v>
      </c>
    </row>
    <row r="930" customFormat="false" ht="15" hidden="false" customHeight="false" outlineLevel="0" collapsed="false">
      <c r="A930" s="0" t="str">
        <f aca="false">Raw!A930</f>
        <v>SHP0929</v>
      </c>
      <c r="B930" s="0" t="str">
        <f aca="false">Raw!B930</f>
        <v>Inbound</v>
      </c>
      <c r="C930" s="0" t="str">
        <f aca="false">Raw!C930</f>
        <v>Chennai</v>
      </c>
      <c r="D930" s="0" t="str">
        <f aca="false">Raw!D930</f>
        <v>Surat</v>
      </c>
      <c r="E930" s="0" t="str">
        <f aca="false">IFERROR(INDEX(Location_Map!$B$2:$B$15,MATCH(C930,Location_Map!$A$2:$A$15,0)),"UNMAPPED")</f>
        <v>Tamil Nadu</v>
      </c>
      <c r="F930" s="0" t="str">
        <f aca="false">IFERROR(INDEX(Location_Map!$C$2:$C$15,MATCH(C930,Location_Map!$A$2:$A$15,0)),"UNMAPPED")</f>
        <v>South</v>
      </c>
      <c r="G930" s="0" t="str">
        <f aca="false">IFERROR(INDEX(Location_Map!$B$2:$B$15,MATCH(D930,Location_Map!$A$2:$A$15,0)),"UNMAPPED")</f>
        <v>Gujarat</v>
      </c>
      <c r="H930" s="0" t="str">
        <f aca="false">IFERROR(INDEX(Location_Map!$C$2:$C$15,MATCH(D930,Location_Map!$A$2:$A$15,0)),"UNMAPPED")</f>
        <v>West</v>
      </c>
      <c r="I930" s="0" t="str">
        <f aca="false">Raw!E930</f>
        <v>Semi-Processed Yarn</v>
      </c>
      <c r="J930" s="28" t="n">
        <f aca="false">Raw!F930</f>
        <v>12.69</v>
      </c>
      <c r="K930" s="30" t="n">
        <f aca="false">DATE(LEFT(Raw!G930,4),MID(Raw!G930,6,2),MID(Raw!G930,9,2))</f>
        <v>45906</v>
      </c>
      <c r="L930" s="30" t="n">
        <f aca="false">DATE(LEFT(Raw!H930,4),MID(Raw!H930,6,2),MID(Raw!H930,9,2))</f>
        <v>45907</v>
      </c>
      <c r="M930" s="30" t="n">
        <f aca="false">DATE(LEFT(Raw!I930,4),MID(Raw!I930,6,2),MID(Raw!I930,9,2))</f>
        <v>45909</v>
      </c>
      <c r="N930" s="31" t="n">
        <f aca="false">DATE(LEFT(Raw!J930,4),MID(Raw!J930,6,2),MID(Raw!J930,9,2))+TIME(MID(Raw!J930,12,2),MID(Raw!J930,15,2),MID(Raw!J930,18,2))</f>
        <v>45907.2083333333</v>
      </c>
      <c r="O930" s="31" t="n">
        <f aca="false">DATE(LEFT(Raw!K930,4),MID(Raw!K930,6,2),MID(Raw!K930,9,2))+TIME(MID(Raw!K930,12,2),MID(Raw!K930,15,2),MID(Raw!K930,18,2))</f>
        <v>45909.8</v>
      </c>
      <c r="P930" s="32" t="n">
        <f aca="false">L930-K930</f>
        <v>1</v>
      </c>
      <c r="Q930" s="32" t="n">
        <f aca="false">M930-L930</f>
        <v>2</v>
      </c>
      <c r="R930" s="32" t="n">
        <f aca="false">O930-N930</f>
        <v>2.59166666666667</v>
      </c>
      <c r="S930" s="32" t="n">
        <f aca="false">Raw!L930</f>
        <v>0.8</v>
      </c>
      <c r="T930" s="32" t="n">
        <f aca="false">O930-M930</f>
        <v>0.8</v>
      </c>
      <c r="U930" s="0" t="str">
        <f aca="false">IF(ABS(T930-S930)&lt;0.01,"OK","MISMATCH")</f>
        <v>OK</v>
      </c>
      <c r="V930" s="33" t="n">
        <f aca="false">Raw!M930</f>
        <v>1</v>
      </c>
      <c r="W930" s="0" t="str">
        <f aca="false">IF((S930&gt;0)=(V930=1),"OK","MISMATCH")</f>
        <v>OK</v>
      </c>
      <c r="X930" s="0" t="str">
        <f aca="false">_xlfn.IFS(S930&lt;=0,"Early/On time",S930&lt;=2,"Minor (up to 2 days)",S930&lt;=5,"Moderate (2-5 days)",TRUE(),"Severe (over 5 days)")</f>
        <v>Minor (up to 2 days)</v>
      </c>
      <c r="Y930" s="0" t="str">
        <f aca="false">YEAR(K930)&amp;"-"&amp;TEXT(MONTH(K930),"00")</f>
        <v>2025-09</v>
      </c>
      <c r="Z930" s="0" t="str">
        <f aca="false">C930&amp;" → "&amp;D930</f>
        <v>Chennai → Surat</v>
      </c>
      <c r="AA930" s="0" t="str">
        <f aca="false">Raw!Q930</f>
        <v>BlueDart</v>
      </c>
      <c r="AB930" s="0" t="str">
        <f aca="false">Raw!R930</f>
        <v>No</v>
      </c>
      <c r="AC930" s="0" t="str">
        <f aca="false">Raw!S930</f>
        <v>Damaged</v>
      </c>
      <c r="AD930" s="29" t="n">
        <f aca="false">Raw!N930</f>
        <v>4831.36</v>
      </c>
      <c r="AE930" s="29" t="n">
        <f aca="false">Raw!O930</f>
        <v>1685.3</v>
      </c>
      <c r="AF930" s="29" t="n">
        <f aca="false">Raw!P930</f>
        <v>1167.6</v>
      </c>
      <c r="AG930" s="29" t="n">
        <f aca="false">AD930/J930</f>
        <v>380.72182821119</v>
      </c>
    </row>
    <row r="931" customFormat="false" ht="15" hidden="false" customHeight="false" outlineLevel="0" collapsed="false">
      <c r="A931" s="0" t="str">
        <f aca="false">Raw!A931</f>
        <v>SHP0930</v>
      </c>
      <c r="B931" s="0" t="str">
        <f aca="false">Raw!B931</f>
        <v>Inbound</v>
      </c>
      <c r="C931" s="0" t="str">
        <f aca="false">Raw!C931</f>
        <v>Chennai</v>
      </c>
      <c r="D931" s="0" t="str">
        <f aca="false">Raw!D931</f>
        <v>Surat</v>
      </c>
      <c r="E931" s="0" t="str">
        <f aca="false">IFERROR(INDEX(Location_Map!$B$2:$B$15,MATCH(C931,Location_Map!$A$2:$A$15,0)),"UNMAPPED")</f>
        <v>Tamil Nadu</v>
      </c>
      <c r="F931" s="0" t="str">
        <f aca="false">IFERROR(INDEX(Location_Map!$C$2:$C$15,MATCH(C931,Location_Map!$A$2:$A$15,0)),"UNMAPPED")</f>
        <v>South</v>
      </c>
      <c r="G931" s="0" t="str">
        <f aca="false">IFERROR(INDEX(Location_Map!$B$2:$B$15,MATCH(D931,Location_Map!$A$2:$A$15,0)),"UNMAPPED")</f>
        <v>Gujarat</v>
      </c>
      <c r="H931" s="0" t="str">
        <f aca="false">IFERROR(INDEX(Location_Map!$C$2:$C$15,MATCH(D931,Location_Map!$A$2:$A$15,0)),"UNMAPPED")</f>
        <v>West</v>
      </c>
      <c r="I931" s="0" t="str">
        <f aca="false">Raw!E931</f>
        <v>Finished Yarn</v>
      </c>
      <c r="J931" s="28" t="n">
        <f aca="false">Raw!F931</f>
        <v>12.58</v>
      </c>
      <c r="K931" s="30" t="n">
        <f aca="false">DATE(LEFT(Raw!G931,4),MID(Raw!G931,6,2),MID(Raw!G931,9,2))</f>
        <v>45851</v>
      </c>
      <c r="L931" s="30" t="n">
        <f aca="false">DATE(LEFT(Raw!H931,4),MID(Raw!H931,6,2),MID(Raw!H931,9,2))</f>
        <v>45852</v>
      </c>
      <c r="M931" s="30" t="n">
        <f aca="false">DATE(LEFT(Raw!I931,4),MID(Raw!I931,6,2),MID(Raw!I931,9,2))</f>
        <v>45858</v>
      </c>
      <c r="N931" s="31" t="n">
        <f aca="false">DATE(LEFT(Raw!J931,4),MID(Raw!J931,6,2),MID(Raw!J931,9,2))+TIME(MID(Raw!J931,12,2),MID(Raw!J931,15,2),MID(Raw!J931,18,2))</f>
        <v>45852.0833333333</v>
      </c>
      <c r="O931" s="31" t="n">
        <f aca="false">DATE(LEFT(Raw!K931,4),MID(Raw!K931,6,2),MID(Raw!K931,9,2))+TIME(MID(Raw!K931,12,2),MID(Raw!K931,15,2),MID(Raw!K931,18,2))</f>
        <v>45863</v>
      </c>
      <c r="P931" s="32" t="n">
        <f aca="false">L931-K931</f>
        <v>1</v>
      </c>
      <c r="Q931" s="32" t="n">
        <f aca="false">M931-L931</f>
        <v>6</v>
      </c>
      <c r="R931" s="32" t="n">
        <f aca="false">O931-N931</f>
        <v>10.9166666666667</v>
      </c>
      <c r="S931" s="32" t="n">
        <f aca="false">Raw!L931</f>
        <v>5</v>
      </c>
      <c r="T931" s="32" t="n">
        <f aca="false">O931-M931</f>
        <v>5</v>
      </c>
      <c r="U931" s="0" t="str">
        <f aca="false">IF(ABS(T931-S931)&lt;0.01,"OK","MISMATCH")</f>
        <v>OK</v>
      </c>
      <c r="V931" s="33" t="n">
        <f aca="false">Raw!M931</f>
        <v>1</v>
      </c>
      <c r="W931" s="0" t="str">
        <f aca="false">IF((S931&gt;0)=(V931=1),"OK","MISMATCH")</f>
        <v>OK</v>
      </c>
      <c r="X931" s="0" t="str">
        <f aca="false">_xlfn.IFS(S931&lt;=0,"Early/On time",S931&lt;=2,"Minor (up to 2 days)",S931&lt;=5,"Moderate (2-5 days)",TRUE(),"Severe (over 5 days)")</f>
        <v>Moderate (2-5 days)</v>
      </c>
      <c r="Y931" s="0" t="str">
        <f aca="false">YEAR(K931)&amp;"-"&amp;TEXT(MONTH(K931),"00")</f>
        <v>2025-07</v>
      </c>
      <c r="Z931" s="0" t="str">
        <f aca="false">C931&amp;" → "&amp;D931</f>
        <v>Chennai → Surat</v>
      </c>
      <c r="AA931" s="0" t="str">
        <f aca="false">Raw!Q931</f>
        <v>VRL Cargo</v>
      </c>
      <c r="AB931" s="0" t="str">
        <f aca="false">Raw!R931</f>
        <v>Yes</v>
      </c>
      <c r="AC931" s="0" t="str">
        <f aca="false">Raw!S931</f>
        <v>Expedited</v>
      </c>
      <c r="AD931" s="29" t="n">
        <f aca="false">Raw!N931</f>
        <v>5081.6</v>
      </c>
      <c r="AE931" s="29" t="n">
        <f aca="false">Raw!O931</f>
        <v>2849.45</v>
      </c>
      <c r="AF931" s="29" t="n">
        <f aca="false">Raw!P931</f>
        <v>890.07</v>
      </c>
      <c r="AG931" s="29" t="n">
        <f aca="false">AD931/J931</f>
        <v>403.942766295708</v>
      </c>
    </row>
    <row r="932" customFormat="false" ht="15" hidden="false" customHeight="false" outlineLevel="0" collapsed="false">
      <c r="A932" s="0" t="str">
        <f aca="false">Raw!A932</f>
        <v>SHP0931</v>
      </c>
      <c r="B932" s="0" t="str">
        <f aca="false">Raw!B932</f>
        <v>Inbound</v>
      </c>
      <c r="C932" s="0" t="str">
        <f aca="false">Raw!C932</f>
        <v>Uttar Pradesh</v>
      </c>
      <c r="D932" s="0" t="str">
        <f aca="false">Raw!D932</f>
        <v>Surat</v>
      </c>
      <c r="E932" s="0" t="str">
        <f aca="false">IFERROR(INDEX(Location_Map!$B$2:$B$15,MATCH(C932,Location_Map!$A$2:$A$15,0)),"UNMAPPED")</f>
        <v>Uttar Pradesh</v>
      </c>
      <c r="F932" s="0" t="str">
        <f aca="false">IFERROR(INDEX(Location_Map!$C$2:$C$15,MATCH(C932,Location_Map!$A$2:$A$15,0)),"UNMAPPED")</f>
        <v>North</v>
      </c>
      <c r="G932" s="0" t="str">
        <f aca="false">IFERROR(INDEX(Location_Map!$B$2:$B$15,MATCH(D932,Location_Map!$A$2:$A$15,0)),"UNMAPPED")</f>
        <v>Gujarat</v>
      </c>
      <c r="H932" s="0" t="str">
        <f aca="false">IFERROR(INDEX(Location_Map!$C$2:$C$15,MATCH(D932,Location_Map!$A$2:$A$15,0)),"UNMAPPED")</f>
        <v>West</v>
      </c>
      <c r="I932" s="0" t="str">
        <f aca="false">Raw!E932</f>
        <v>Raw Yarn</v>
      </c>
      <c r="J932" s="28" t="n">
        <f aca="false">Raw!F932</f>
        <v>17.41</v>
      </c>
      <c r="K932" s="30" t="n">
        <f aca="false">DATE(LEFT(Raw!G932,4),MID(Raw!G932,6,2),MID(Raw!G932,9,2))</f>
        <v>45936</v>
      </c>
      <c r="L932" s="30" t="n">
        <f aca="false">DATE(LEFT(Raw!H932,4),MID(Raw!H932,6,2),MID(Raw!H932,9,2))</f>
        <v>45938</v>
      </c>
      <c r="M932" s="30" t="n">
        <f aca="false">DATE(LEFT(Raw!I932,4),MID(Raw!I932,6,2),MID(Raw!I932,9,2))</f>
        <v>45942</v>
      </c>
      <c r="N932" s="31" t="n">
        <f aca="false">DATE(LEFT(Raw!J932,4),MID(Raw!J932,6,2),MID(Raw!J932,9,2))+TIME(MID(Raw!J932,12,2),MID(Raw!J932,15,2),MID(Raw!J932,18,2))</f>
        <v>45938.3333333333</v>
      </c>
      <c r="O932" s="31" t="n">
        <f aca="false">DATE(LEFT(Raw!K932,4),MID(Raw!K932,6,2),MID(Raw!K932,9,2))+TIME(MID(Raw!K932,12,2),MID(Raw!K932,15,2),MID(Raw!K932,18,2))</f>
        <v>45945.4</v>
      </c>
      <c r="P932" s="32" t="n">
        <f aca="false">L932-K932</f>
        <v>2</v>
      </c>
      <c r="Q932" s="32" t="n">
        <f aca="false">M932-L932</f>
        <v>4</v>
      </c>
      <c r="R932" s="32" t="n">
        <f aca="false">O932-N932</f>
        <v>7.06666666666667</v>
      </c>
      <c r="S932" s="32" t="n">
        <f aca="false">Raw!L932</f>
        <v>3.4</v>
      </c>
      <c r="T932" s="32" t="n">
        <f aca="false">O932-M932</f>
        <v>3.4</v>
      </c>
      <c r="U932" s="0" t="str">
        <f aca="false">IF(ABS(T932-S932)&lt;0.01,"OK","MISMATCH")</f>
        <v>OK</v>
      </c>
      <c r="V932" s="33" t="n">
        <f aca="false">Raw!M932</f>
        <v>1</v>
      </c>
      <c r="W932" s="0" t="str">
        <f aca="false">IF((S932&gt;0)=(V932=1),"OK","MISMATCH")</f>
        <v>OK</v>
      </c>
      <c r="X932" s="0" t="str">
        <f aca="false">_xlfn.IFS(S932&lt;=0,"Early/On time",S932&lt;=2,"Minor (up to 2 days)",S932&lt;=5,"Moderate (2-5 days)",TRUE(),"Severe (over 5 days)")</f>
        <v>Moderate (2-5 days)</v>
      </c>
      <c r="Y932" s="0" t="str">
        <f aca="false">YEAR(K932)&amp;"-"&amp;TEXT(MONTH(K932),"00")</f>
        <v>2025-10</v>
      </c>
      <c r="Z932" s="0" t="str">
        <f aca="false">C932&amp;" → "&amp;D932</f>
        <v>Uttar Pradesh → Surat</v>
      </c>
      <c r="AA932" s="0" t="str">
        <f aca="false">Raw!Q932</f>
        <v>TCI Express</v>
      </c>
      <c r="AB932" s="0" t="str">
        <f aca="false">Raw!R932</f>
        <v>Yes</v>
      </c>
      <c r="AC932" s="0" t="str">
        <f aca="false">Raw!S932</f>
        <v>Returned</v>
      </c>
      <c r="AD932" s="29" t="n">
        <f aca="false">Raw!N932</f>
        <v>7061.74</v>
      </c>
      <c r="AE932" s="29" t="n">
        <f aca="false">Raw!O932</f>
        <v>3259.28</v>
      </c>
      <c r="AF932" s="29" t="n">
        <f aca="false">Raw!P932</f>
        <v>839.2</v>
      </c>
      <c r="AG932" s="29" t="n">
        <f aca="false">AD932/J932</f>
        <v>405.614014933946</v>
      </c>
    </row>
    <row r="933" customFormat="false" ht="15" hidden="false" customHeight="false" outlineLevel="0" collapsed="false">
      <c r="A933" s="0" t="str">
        <f aca="false">Raw!A933</f>
        <v>SHP0932</v>
      </c>
      <c r="B933" s="0" t="str">
        <f aca="false">Raw!B933</f>
        <v>Outbound</v>
      </c>
      <c r="C933" s="0" t="str">
        <f aca="false">Raw!C933</f>
        <v>Surat</v>
      </c>
      <c r="D933" s="0" t="str">
        <f aca="false">Raw!D933</f>
        <v>West Bengal</v>
      </c>
      <c r="E933" s="0" t="str">
        <f aca="false">IFERROR(INDEX(Location_Map!$B$2:$B$15,MATCH(C933,Location_Map!$A$2:$A$15,0)),"UNMAPPED")</f>
        <v>Gujarat</v>
      </c>
      <c r="F933" s="0" t="str">
        <f aca="false">IFERROR(INDEX(Location_Map!$C$2:$C$15,MATCH(C933,Location_Map!$A$2:$A$15,0)),"UNMAPPED")</f>
        <v>West</v>
      </c>
      <c r="G933" s="0" t="str">
        <f aca="false">IFERROR(INDEX(Location_Map!$B$2:$B$15,MATCH(D933,Location_Map!$A$2:$A$15,0)),"UNMAPPED")</f>
        <v>West Bengal</v>
      </c>
      <c r="H933" s="0" t="str">
        <f aca="false">IFERROR(INDEX(Location_Map!$C$2:$C$15,MATCH(D933,Location_Map!$A$2:$A$15,0)),"UNMAPPED")</f>
        <v>East</v>
      </c>
      <c r="I933" s="0" t="str">
        <f aca="false">Raw!E933</f>
        <v>Raw Yarn</v>
      </c>
      <c r="J933" s="28" t="n">
        <f aca="false">Raw!F933</f>
        <v>7.13</v>
      </c>
      <c r="K933" s="30" t="n">
        <f aca="false">DATE(LEFT(Raw!G933,4),MID(Raw!G933,6,2),MID(Raw!G933,9,2))</f>
        <v>45851</v>
      </c>
      <c r="L933" s="30" t="n">
        <f aca="false">DATE(LEFT(Raw!H933,4),MID(Raw!H933,6,2),MID(Raw!H933,9,2))</f>
        <v>45855</v>
      </c>
      <c r="M933" s="30" t="n">
        <f aca="false">DATE(LEFT(Raw!I933,4),MID(Raw!I933,6,2),MID(Raw!I933,9,2))</f>
        <v>45858</v>
      </c>
      <c r="N933" s="31" t="n">
        <f aca="false">DATE(LEFT(Raw!J933,4),MID(Raw!J933,6,2),MID(Raw!J933,9,2))+TIME(MID(Raw!J933,12,2),MID(Raw!J933,15,2),MID(Raw!J933,18,2))</f>
        <v>45855.1666666667</v>
      </c>
      <c r="O933" s="31" t="n">
        <f aca="false">DATE(LEFT(Raw!K933,4),MID(Raw!K933,6,2),MID(Raw!K933,9,2))+TIME(MID(Raw!K933,12,2),MID(Raw!K933,15,2),MID(Raw!K933,18,2))</f>
        <v>45857</v>
      </c>
      <c r="P933" s="32" t="n">
        <f aca="false">L933-K933</f>
        <v>4</v>
      </c>
      <c r="Q933" s="32" t="n">
        <f aca="false">M933-L933</f>
        <v>3</v>
      </c>
      <c r="R933" s="32" t="n">
        <f aca="false">O933-N933</f>
        <v>1.83333333333333</v>
      </c>
      <c r="S933" s="32" t="n">
        <f aca="false">Raw!L933</f>
        <v>-1</v>
      </c>
      <c r="T933" s="32" t="n">
        <f aca="false">O933-M933</f>
        <v>-1</v>
      </c>
      <c r="U933" s="0" t="str">
        <f aca="false">IF(ABS(T933-S933)&lt;0.01,"OK","MISMATCH")</f>
        <v>OK</v>
      </c>
      <c r="V933" s="33" t="n">
        <f aca="false">Raw!M933</f>
        <v>0</v>
      </c>
      <c r="W933" s="0" t="str">
        <f aca="false">IF((S933&gt;0)=(V933=1),"OK","MISMATCH")</f>
        <v>OK</v>
      </c>
      <c r="X933" s="0" t="str">
        <f aca="false">_xlfn.IFS(S933&lt;=0,"Early/On time",S933&lt;=2,"Minor (up to 2 days)",S933&lt;=5,"Moderate (2-5 days)",TRUE(),"Severe (over 5 days)")</f>
        <v>Early/On time</v>
      </c>
      <c r="Y933" s="0" t="str">
        <f aca="false">YEAR(K933)&amp;"-"&amp;TEXT(MONTH(K933),"00")</f>
        <v>2025-07</v>
      </c>
      <c r="Z933" s="0" t="str">
        <f aca="false">C933&amp;" → "&amp;D933</f>
        <v>Surat → West Bengal</v>
      </c>
      <c r="AA933" s="0" t="str">
        <f aca="false">Raw!Q933</f>
        <v>Delhivery</v>
      </c>
      <c r="AB933" s="0" t="str">
        <f aca="false">Raw!R933</f>
        <v>Yes</v>
      </c>
      <c r="AC933" s="0" t="str">
        <f aca="false">Raw!S933</f>
        <v>Expedited</v>
      </c>
      <c r="AD933" s="29" t="n">
        <f aca="false">Raw!N933</f>
        <v>4188.1</v>
      </c>
      <c r="AE933" s="29" t="n">
        <f aca="false">Raw!O933</f>
        <v>3078.01</v>
      </c>
      <c r="AF933" s="29" t="n">
        <f aca="false">Raw!P933</f>
        <v>950.54</v>
      </c>
      <c r="AG933" s="29" t="n">
        <f aca="false">AD933/J933</f>
        <v>587.391304347826</v>
      </c>
    </row>
    <row r="934" customFormat="false" ht="15" hidden="false" customHeight="false" outlineLevel="0" collapsed="false">
      <c r="A934" s="0" t="str">
        <f aca="false">Raw!A934</f>
        <v>SHP0933</v>
      </c>
      <c r="B934" s="0" t="str">
        <f aca="false">Raw!B934</f>
        <v>Inbound</v>
      </c>
      <c r="C934" s="0" t="str">
        <f aca="false">Raw!C934</f>
        <v>Chennai</v>
      </c>
      <c r="D934" s="0" t="str">
        <f aca="false">Raw!D934</f>
        <v>Surat</v>
      </c>
      <c r="E934" s="0" t="str">
        <f aca="false">IFERROR(INDEX(Location_Map!$B$2:$B$15,MATCH(C934,Location_Map!$A$2:$A$15,0)),"UNMAPPED")</f>
        <v>Tamil Nadu</v>
      </c>
      <c r="F934" s="0" t="str">
        <f aca="false">IFERROR(INDEX(Location_Map!$C$2:$C$15,MATCH(C934,Location_Map!$A$2:$A$15,0)),"UNMAPPED")</f>
        <v>South</v>
      </c>
      <c r="G934" s="0" t="str">
        <f aca="false">IFERROR(INDEX(Location_Map!$B$2:$B$15,MATCH(D934,Location_Map!$A$2:$A$15,0)),"UNMAPPED")</f>
        <v>Gujarat</v>
      </c>
      <c r="H934" s="0" t="str">
        <f aca="false">IFERROR(INDEX(Location_Map!$C$2:$C$15,MATCH(D934,Location_Map!$A$2:$A$15,0)),"UNMAPPED")</f>
        <v>West</v>
      </c>
      <c r="I934" s="0" t="str">
        <f aca="false">Raw!E934</f>
        <v>Finished Yarn</v>
      </c>
      <c r="J934" s="28" t="n">
        <f aca="false">Raw!F934</f>
        <v>1.22</v>
      </c>
      <c r="K934" s="30" t="n">
        <f aca="false">DATE(LEFT(Raw!G934,4),MID(Raw!G934,6,2),MID(Raw!G934,9,2))</f>
        <v>45825</v>
      </c>
      <c r="L934" s="30" t="n">
        <f aca="false">DATE(LEFT(Raw!H934,4),MID(Raw!H934,6,2),MID(Raw!H934,9,2))</f>
        <v>45828</v>
      </c>
      <c r="M934" s="30" t="n">
        <f aca="false">DATE(LEFT(Raw!I934,4),MID(Raw!I934,6,2),MID(Raw!I934,9,2))</f>
        <v>45834</v>
      </c>
      <c r="N934" s="31" t="n">
        <f aca="false">DATE(LEFT(Raw!J934,4),MID(Raw!J934,6,2),MID(Raw!J934,9,2))+TIME(MID(Raw!J934,12,2),MID(Raw!J934,15,2),MID(Raw!J934,18,2))</f>
        <v>45828</v>
      </c>
      <c r="O934" s="31" t="n">
        <f aca="false">DATE(LEFT(Raw!K934,4),MID(Raw!K934,6,2),MID(Raw!K934,9,2))+TIME(MID(Raw!K934,12,2),MID(Raw!K934,15,2),MID(Raw!K934,18,2))</f>
        <v>45833</v>
      </c>
      <c r="P934" s="32" t="n">
        <f aca="false">L934-K934</f>
        <v>3</v>
      </c>
      <c r="Q934" s="32" t="n">
        <f aca="false">M934-L934</f>
        <v>6</v>
      </c>
      <c r="R934" s="32" t="n">
        <f aca="false">O934-N934</f>
        <v>5</v>
      </c>
      <c r="S934" s="32" t="n">
        <f aca="false">Raw!L934</f>
        <v>-1</v>
      </c>
      <c r="T934" s="32" t="n">
        <f aca="false">O934-M934</f>
        <v>-1</v>
      </c>
      <c r="U934" s="0" t="str">
        <f aca="false">IF(ABS(T934-S934)&lt;0.01,"OK","MISMATCH")</f>
        <v>OK</v>
      </c>
      <c r="V934" s="33" t="n">
        <f aca="false">Raw!M934</f>
        <v>0</v>
      </c>
      <c r="W934" s="0" t="str">
        <f aca="false">IF((S934&gt;0)=(V934=1),"OK","MISMATCH")</f>
        <v>OK</v>
      </c>
      <c r="X934" s="0" t="str">
        <f aca="false">_xlfn.IFS(S934&lt;=0,"Early/On time",S934&lt;=2,"Minor (up to 2 days)",S934&lt;=5,"Moderate (2-5 days)",TRUE(),"Severe (over 5 days)")</f>
        <v>Early/On time</v>
      </c>
      <c r="Y934" s="0" t="str">
        <f aca="false">YEAR(K934)&amp;"-"&amp;TEXT(MONTH(K934),"00")</f>
        <v>2025-06</v>
      </c>
      <c r="Z934" s="0" t="str">
        <f aca="false">C934&amp;" → "&amp;D934</f>
        <v>Chennai → Surat</v>
      </c>
      <c r="AA934" s="0" t="str">
        <f aca="false">Raw!Q934</f>
        <v>GATI Logistics</v>
      </c>
      <c r="AB934" s="0" t="str">
        <f aca="false">Raw!R934</f>
        <v>No</v>
      </c>
      <c r="AC934" s="0" t="str">
        <f aca="false">Raw!S934</f>
        <v>Damaged</v>
      </c>
      <c r="AD934" s="29" t="n">
        <f aca="false">Raw!N934</f>
        <v>1118.14</v>
      </c>
      <c r="AE934" s="29" t="n">
        <f aca="false">Raw!O934</f>
        <v>3385.9</v>
      </c>
      <c r="AF934" s="29" t="n">
        <f aca="false">Raw!P934</f>
        <v>774.98</v>
      </c>
      <c r="AG934" s="29" t="n">
        <f aca="false">AD934/J934</f>
        <v>916.508196721312</v>
      </c>
    </row>
    <row r="935" customFormat="false" ht="15" hidden="false" customHeight="false" outlineLevel="0" collapsed="false">
      <c r="A935" s="0" t="str">
        <f aca="false">Raw!A935</f>
        <v>SHP0934</v>
      </c>
      <c r="B935" s="0" t="str">
        <f aca="false">Raw!B935</f>
        <v>Outbound</v>
      </c>
      <c r="C935" s="0" t="str">
        <f aca="false">Raw!C935</f>
        <v>Surat</v>
      </c>
      <c r="D935" s="0" t="str">
        <f aca="false">Raw!D935</f>
        <v>Kerala</v>
      </c>
      <c r="E935" s="0" t="str">
        <f aca="false">IFERROR(INDEX(Location_Map!$B$2:$B$15,MATCH(C935,Location_Map!$A$2:$A$15,0)),"UNMAPPED")</f>
        <v>Gujarat</v>
      </c>
      <c r="F935" s="0" t="str">
        <f aca="false">IFERROR(INDEX(Location_Map!$C$2:$C$15,MATCH(C935,Location_Map!$A$2:$A$15,0)),"UNMAPPED")</f>
        <v>West</v>
      </c>
      <c r="G935" s="0" t="str">
        <f aca="false">IFERROR(INDEX(Location_Map!$B$2:$B$15,MATCH(D935,Location_Map!$A$2:$A$15,0)),"UNMAPPED")</f>
        <v>Kerala</v>
      </c>
      <c r="H935" s="0" t="str">
        <f aca="false">IFERROR(INDEX(Location_Map!$C$2:$C$15,MATCH(D935,Location_Map!$A$2:$A$15,0)),"UNMAPPED")</f>
        <v>South</v>
      </c>
      <c r="I935" s="0" t="str">
        <f aca="false">Raw!E935</f>
        <v>Semi-Processed Yarn</v>
      </c>
      <c r="J935" s="28" t="n">
        <f aca="false">Raw!F935</f>
        <v>2.51</v>
      </c>
      <c r="K935" s="30" t="n">
        <f aca="false">DATE(LEFT(Raw!G935,4),MID(Raw!G935,6,2),MID(Raw!G935,9,2))</f>
        <v>45786</v>
      </c>
      <c r="L935" s="30" t="n">
        <f aca="false">DATE(LEFT(Raw!H935,4),MID(Raw!H935,6,2),MID(Raw!H935,9,2))</f>
        <v>45789</v>
      </c>
      <c r="M935" s="30" t="n">
        <f aca="false">DATE(LEFT(Raw!I935,4),MID(Raw!I935,6,2),MID(Raw!I935,9,2))</f>
        <v>45794</v>
      </c>
      <c r="N935" s="31" t="n">
        <f aca="false">DATE(LEFT(Raw!J935,4),MID(Raw!J935,6,2),MID(Raw!J935,9,2))+TIME(MID(Raw!J935,12,2),MID(Raw!J935,15,2),MID(Raw!J935,18,2))</f>
        <v>45789.25</v>
      </c>
      <c r="O935" s="31" t="n">
        <f aca="false">DATE(LEFT(Raw!K935,4),MID(Raw!K935,6,2),MID(Raw!K935,9,2))+TIME(MID(Raw!K935,12,2),MID(Raw!K935,15,2),MID(Raw!K935,18,2))</f>
        <v>45796.4</v>
      </c>
      <c r="P935" s="32" t="n">
        <f aca="false">L935-K935</f>
        <v>3</v>
      </c>
      <c r="Q935" s="32" t="n">
        <f aca="false">M935-L935</f>
        <v>5</v>
      </c>
      <c r="R935" s="32" t="n">
        <f aca="false">O935-N935</f>
        <v>7.15</v>
      </c>
      <c r="S935" s="32" t="n">
        <f aca="false">Raw!L935</f>
        <v>2.4</v>
      </c>
      <c r="T935" s="32" t="n">
        <f aca="false">O935-M935</f>
        <v>2.4</v>
      </c>
      <c r="U935" s="0" t="str">
        <f aca="false">IF(ABS(T935-S935)&lt;0.01,"OK","MISMATCH")</f>
        <v>OK</v>
      </c>
      <c r="V935" s="33" t="n">
        <f aca="false">Raw!M935</f>
        <v>1</v>
      </c>
      <c r="W935" s="0" t="str">
        <f aca="false">IF((S935&gt;0)=(V935=1),"OK","MISMATCH")</f>
        <v>OK</v>
      </c>
      <c r="X935" s="0" t="str">
        <f aca="false">_xlfn.IFS(S935&lt;=0,"Early/On time",S935&lt;=2,"Minor (up to 2 days)",S935&lt;=5,"Moderate (2-5 days)",TRUE(),"Severe (over 5 days)")</f>
        <v>Moderate (2-5 days)</v>
      </c>
      <c r="Y935" s="0" t="str">
        <f aca="false">YEAR(K935)&amp;"-"&amp;TEXT(MONTH(K935),"00")</f>
        <v>2025-05</v>
      </c>
      <c r="Z935" s="0" t="str">
        <f aca="false">C935&amp;" → "&amp;D935</f>
        <v>Surat → Kerala</v>
      </c>
      <c r="AA935" s="0" t="str">
        <f aca="false">Raw!Q935</f>
        <v>BlueDart</v>
      </c>
      <c r="AB935" s="0" t="str">
        <f aca="false">Raw!R935</f>
        <v>Yes</v>
      </c>
      <c r="AC935" s="0" t="str">
        <f aca="false">Raw!S935</f>
        <v>Expedited</v>
      </c>
      <c r="AD935" s="29" t="n">
        <f aca="false">Raw!N935</f>
        <v>2556.92</v>
      </c>
      <c r="AE935" s="29" t="n">
        <f aca="false">Raw!O935</f>
        <v>2331.27</v>
      </c>
      <c r="AF935" s="29" t="n">
        <f aca="false">Raw!P935</f>
        <v>1254.87</v>
      </c>
      <c r="AG935" s="29" t="n">
        <f aca="false">AD935/J935</f>
        <v>1018.69322709163</v>
      </c>
    </row>
    <row r="936" customFormat="false" ht="15" hidden="false" customHeight="false" outlineLevel="0" collapsed="false">
      <c r="A936" s="0" t="str">
        <f aca="false">Raw!A936</f>
        <v>SHP0935</v>
      </c>
      <c r="B936" s="0" t="str">
        <f aca="false">Raw!B936</f>
        <v>Inbound</v>
      </c>
      <c r="C936" s="0" t="str">
        <f aca="false">Raw!C936</f>
        <v>Chennai</v>
      </c>
      <c r="D936" s="0" t="str">
        <f aca="false">Raw!D936</f>
        <v>Surat</v>
      </c>
      <c r="E936" s="0" t="str">
        <f aca="false">IFERROR(INDEX(Location_Map!$B$2:$B$15,MATCH(C936,Location_Map!$A$2:$A$15,0)),"UNMAPPED")</f>
        <v>Tamil Nadu</v>
      </c>
      <c r="F936" s="0" t="str">
        <f aca="false">IFERROR(INDEX(Location_Map!$C$2:$C$15,MATCH(C936,Location_Map!$A$2:$A$15,0)),"UNMAPPED")</f>
        <v>South</v>
      </c>
      <c r="G936" s="0" t="str">
        <f aca="false">IFERROR(INDEX(Location_Map!$B$2:$B$15,MATCH(D936,Location_Map!$A$2:$A$15,0)),"UNMAPPED")</f>
        <v>Gujarat</v>
      </c>
      <c r="H936" s="0" t="str">
        <f aca="false">IFERROR(INDEX(Location_Map!$C$2:$C$15,MATCH(D936,Location_Map!$A$2:$A$15,0)),"UNMAPPED")</f>
        <v>West</v>
      </c>
      <c r="I936" s="0" t="str">
        <f aca="false">Raw!E936</f>
        <v>Raw Yarn</v>
      </c>
      <c r="J936" s="28" t="n">
        <f aca="false">Raw!F936</f>
        <v>13.33</v>
      </c>
      <c r="K936" s="30" t="n">
        <f aca="false">DATE(LEFT(Raw!G936,4),MID(Raw!G936,6,2),MID(Raw!G936,9,2))</f>
        <v>45849</v>
      </c>
      <c r="L936" s="30" t="n">
        <f aca="false">DATE(LEFT(Raw!H936,4),MID(Raw!H936,6,2),MID(Raw!H936,9,2))</f>
        <v>45852</v>
      </c>
      <c r="M936" s="30" t="n">
        <f aca="false">DATE(LEFT(Raw!I936,4),MID(Raw!I936,6,2),MID(Raw!I936,9,2))</f>
        <v>45857</v>
      </c>
      <c r="N936" s="31" t="n">
        <f aca="false">DATE(LEFT(Raw!J936,4),MID(Raw!J936,6,2),MID(Raw!J936,9,2))+TIME(MID(Raw!J936,12,2),MID(Raw!J936,15,2),MID(Raw!J936,18,2))</f>
        <v>45852.25</v>
      </c>
      <c r="O936" s="31" t="n">
        <f aca="false">DATE(LEFT(Raw!K936,4),MID(Raw!K936,6,2),MID(Raw!K936,9,2))+TIME(MID(Raw!K936,12,2),MID(Raw!K936,15,2),MID(Raw!K936,18,2))</f>
        <v>45856.2</v>
      </c>
      <c r="P936" s="32" t="n">
        <f aca="false">L936-K936</f>
        <v>3</v>
      </c>
      <c r="Q936" s="32" t="n">
        <f aca="false">M936-L936</f>
        <v>5</v>
      </c>
      <c r="R936" s="32" t="n">
        <f aca="false">O936-N936</f>
        <v>3.95</v>
      </c>
      <c r="S936" s="32" t="n">
        <f aca="false">Raw!L936</f>
        <v>-0.8</v>
      </c>
      <c r="T936" s="32" t="n">
        <f aca="false">O936-M936</f>
        <v>-0.800000000005833</v>
      </c>
      <c r="U936" s="0" t="str">
        <f aca="false">IF(ABS(T936-S936)&lt;0.01,"OK","MISMATCH")</f>
        <v>OK</v>
      </c>
      <c r="V936" s="33" t="n">
        <f aca="false">Raw!M936</f>
        <v>0</v>
      </c>
      <c r="W936" s="0" t="str">
        <f aca="false">IF((S936&gt;0)=(V936=1),"OK","MISMATCH")</f>
        <v>OK</v>
      </c>
      <c r="X936" s="0" t="str">
        <f aca="false">_xlfn.IFS(S936&lt;=0,"Early/On time",S936&lt;=2,"Minor (up to 2 days)",S936&lt;=5,"Moderate (2-5 days)",TRUE(),"Severe (over 5 days)")</f>
        <v>Early/On time</v>
      </c>
      <c r="Y936" s="0" t="str">
        <f aca="false">YEAR(K936)&amp;"-"&amp;TEXT(MONTH(K936),"00")</f>
        <v>2025-07</v>
      </c>
      <c r="Z936" s="0" t="str">
        <f aca="false">C936&amp;" → "&amp;D936</f>
        <v>Chennai → Surat</v>
      </c>
      <c r="AA936" s="0" t="str">
        <f aca="false">Raw!Q936</f>
        <v>Delhivery</v>
      </c>
      <c r="AB936" s="0" t="str">
        <f aca="false">Raw!R936</f>
        <v>No</v>
      </c>
      <c r="AC936" s="0" t="str">
        <f aca="false">Raw!S936</f>
        <v>Returned</v>
      </c>
      <c r="AD936" s="29" t="n">
        <f aca="false">Raw!N936</f>
        <v>7437.51</v>
      </c>
      <c r="AE936" s="29" t="n">
        <f aca="false">Raw!O936</f>
        <v>2834.63</v>
      </c>
      <c r="AF936" s="29" t="n">
        <f aca="false">Raw!P936</f>
        <v>1142.32</v>
      </c>
      <c r="AG936" s="29" t="n">
        <f aca="false">AD936/J936</f>
        <v>557.952738184546</v>
      </c>
    </row>
    <row r="937" customFormat="false" ht="15" hidden="false" customHeight="false" outlineLevel="0" collapsed="false">
      <c r="A937" s="0" t="str">
        <f aca="false">Raw!A937</f>
        <v>SHP0936</v>
      </c>
      <c r="B937" s="0" t="str">
        <f aca="false">Raw!B937</f>
        <v>Inbound</v>
      </c>
      <c r="C937" s="0" t="str">
        <f aca="false">Raw!C937</f>
        <v>Chennai</v>
      </c>
      <c r="D937" s="0" t="str">
        <f aca="false">Raw!D937</f>
        <v>Surat</v>
      </c>
      <c r="E937" s="0" t="str">
        <f aca="false">IFERROR(INDEX(Location_Map!$B$2:$B$15,MATCH(C937,Location_Map!$A$2:$A$15,0)),"UNMAPPED")</f>
        <v>Tamil Nadu</v>
      </c>
      <c r="F937" s="0" t="str">
        <f aca="false">IFERROR(INDEX(Location_Map!$C$2:$C$15,MATCH(C937,Location_Map!$A$2:$A$15,0)),"UNMAPPED")</f>
        <v>South</v>
      </c>
      <c r="G937" s="0" t="str">
        <f aca="false">IFERROR(INDEX(Location_Map!$B$2:$B$15,MATCH(D937,Location_Map!$A$2:$A$15,0)),"UNMAPPED")</f>
        <v>Gujarat</v>
      </c>
      <c r="H937" s="0" t="str">
        <f aca="false">IFERROR(INDEX(Location_Map!$C$2:$C$15,MATCH(D937,Location_Map!$A$2:$A$15,0)),"UNMAPPED")</f>
        <v>West</v>
      </c>
      <c r="I937" s="0" t="str">
        <f aca="false">Raw!E937</f>
        <v>Finished Yarn</v>
      </c>
      <c r="J937" s="28" t="n">
        <f aca="false">Raw!F937</f>
        <v>13.92</v>
      </c>
      <c r="K937" s="30" t="n">
        <f aca="false">DATE(LEFT(Raw!G937,4),MID(Raw!G937,6,2),MID(Raw!G937,9,2))</f>
        <v>45825</v>
      </c>
      <c r="L937" s="30" t="n">
        <f aca="false">DATE(LEFT(Raw!H937,4),MID(Raw!H937,6,2),MID(Raw!H937,9,2))</f>
        <v>45828</v>
      </c>
      <c r="M937" s="30" t="n">
        <f aca="false">DATE(LEFT(Raw!I937,4),MID(Raw!I937,6,2),MID(Raw!I937,9,2))</f>
        <v>45833</v>
      </c>
      <c r="N937" s="31" t="n">
        <f aca="false">DATE(LEFT(Raw!J937,4),MID(Raw!J937,6,2),MID(Raw!J937,9,2))+TIME(MID(Raw!J937,12,2),MID(Raw!J937,15,2),MID(Raw!J937,18,2))</f>
        <v>45827.9583333333</v>
      </c>
      <c r="O937" s="31" t="n">
        <f aca="false">DATE(LEFT(Raw!K937,4),MID(Raw!K937,6,2),MID(Raw!K937,9,2))+TIME(MID(Raw!K937,12,2),MID(Raw!K937,15,2),MID(Raw!K937,18,2))</f>
        <v>45839.4</v>
      </c>
      <c r="P937" s="32" t="n">
        <f aca="false">L937-K937</f>
        <v>3</v>
      </c>
      <c r="Q937" s="32" t="n">
        <f aca="false">M937-L937</f>
        <v>5</v>
      </c>
      <c r="R937" s="32" t="n">
        <f aca="false">O937-N937</f>
        <v>11.4416666666667</v>
      </c>
      <c r="S937" s="32" t="n">
        <f aca="false">Raw!L937</f>
        <v>6.4</v>
      </c>
      <c r="T937" s="32" t="n">
        <f aca="false">O937-M937</f>
        <v>6.4</v>
      </c>
      <c r="U937" s="0" t="str">
        <f aca="false">IF(ABS(T937-S937)&lt;0.01,"OK","MISMATCH")</f>
        <v>OK</v>
      </c>
      <c r="V937" s="33" t="n">
        <f aca="false">Raw!M937</f>
        <v>1</v>
      </c>
      <c r="W937" s="0" t="str">
        <f aca="false">IF((S937&gt;0)=(V937=1),"OK","MISMATCH")</f>
        <v>OK</v>
      </c>
      <c r="X937" s="0" t="str">
        <f aca="false">_xlfn.IFS(S937&lt;=0,"Early/On time",S937&lt;=2,"Minor (up to 2 days)",S937&lt;=5,"Moderate (2-5 days)",TRUE(),"Severe (over 5 days)")</f>
        <v>Severe (over 5 days)</v>
      </c>
      <c r="Y937" s="0" t="str">
        <f aca="false">YEAR(K937)&amp;"-"&amp;TEXT(MONTH(K937),"00")</f>
        <v>2025-06</v>
      </c>
      <c r="Z937" s="0" t="str">
        <f aca="false">C937&amp;" → "&amp;D937</f>
        <v>Chennai → Surat</v>
      </c>
      <c r="AA937" s="0" t="str">
        <f aca="false">Raw!Q937</f>
        <v>VRL Cargo</v>
      </c>
      <c r="AB937" s="0" t="str">
        <f aca="false">Raw!R937</f>
        <v>Yes</v>
      </c>
      <c r="AC937" s="0" t="str">
        <f aca="false">Raw!S937</f>
        <v>Normal</v>
      </c>
      <c r="AD937" s="29" t="n">
        <f aca="false">Raw!N937</f>
        <v>6642.07</v>
      </c>
      <c r="AE937" s="29" t="n">
        <f aca="false">Raw!O937</f>
        <v>1431.7</v>
      </c>
      <c r="AF937" s="29" t="n">
        <f aca="false">Raw!P937</f>
        <v>1431.94</v>
      </c>
      <c r="AG937" s="29" t="n">
        <f aca="false">AD937/J937</f>
        <v>477.160201149425</v>
      </c>
    </row>
    <row r="938" customFormat="false" ht="15" hidden="false" customHeight="false" outlineLevel="0" collapsed="false">
      <c r="A938" s="0" t="str">
        <f aca="false">Raw!A938</f>
        <v>SHP0937</v>
      </c>
      <c r="B938" s="0" t="str">
        <f aca="false">Raw!B938</f>
        <v>Inbound</v>
      </c>
      <c r="C938" s="0" t="str">
        <f aca="false">Raw!C938</f>
        <v>Rajasthan</v>
      </c>
      <c r="D938" s="0" t="str">
        <f aca="false">Raw!D938</f>
        <v>Surat</v>
      </c>
      <c r="E938" s="0" t="str">
        <f aca="false">IFERROR(INDEX(Location_Map!$B$2:$B$15,MATCH(C938,Location_Map!$A$2:$A$15,0)),"UNMAPPED")</f>
        <v>Rajasthan</v>
      </c>
      <c r="F938" s="0" t="str">
        <f aca="false">IFERROR(INDEX(Location_Map!$C$2:$C$15,MATCH(C938,Location_Map!$A$2:$A$15,0)),"UNMAPPED")</f>
        <v>North</v>
      </c>
      <c r="G938" s="0" t="str">
        <f aca="false">IFERROR(INDEX(Location_Map!$B$2:$B$15,MATCH(D938,Location_Map!$A$2:$A$15,0)),"UNMAPPED")</f>
        <v>Gujarat</v>
      </c>
      <c r="H938" s="0" t="str">
        <f aca="false">IFERROR(INDEX(Location_Map!$C$2:$C$15,MATCH(D938,Location_Map!$A$2:$A$15,0)),"UNMAPPED")</f>
        <v>West</v>
      </c>
      <c r="I938" s="0" t="str">
        <f aca="false">Raw!E938</f>
        <v>Raw Yarn</v>
      </c>
      <c r="J938" s="28" t="n">
        <f aca="false">Raw!F938</f>
        <v>18.36</v>
      </c>
      <c r="K938" s="30" t="n">
        <f aca="false">DATE(LEFT(Raw!G938,4),MID(Raw!G938,6,2),MID(Raw!G938,9,2))</f>
        <v>45815</v>
      </c>
      <c r="L938" s="30" t="n">
        <f aca="false">DATE(LEFT(Raw!H938,4),MID(Raw!H938,6,2),MID(Raw!H938,9,2))</f>
        <v>45818</v>
      </c>
      <c r="M938" s="30" t="n">
        <f aca="false">DATE(LEFT(Raw!I938,4),MID(Raw!I938,6,2),MID(Raw!I938,9,2))</f>
        <v>45820</v>
      </c>
      <c r="N938" s="31" t="n">
        <f aca="false">DATE(LEFT(Raw!J938,4),MID(Raw!J938,6,2),MID(Raw!J938,9,2))+TIME(MID(Raw!J938,12,2),MID(Raw!J938,15,2),MID(Raw!J938,18,2))</f>
        <v>45817.7916666667</v>
      </c>
      <c r="O938" s="31" t="n">
        <f aca="false">DATE(LEFT(Raw!K938,4),MID(Raw!K938,6,2),MID(Raw!K938,9,2))+TIME(MID(Raw!K938,12,2),MID(Raw!K938,15,2),MID(Raw!K938,18,2))</f>
        <v>45822.6</v>
      </c>
      <c r="P938" s="32" t="n">
        <f aca="false">L938-K938</f>
        <v>3</v>
      </c>
      <c r="Q938" s="32" t="n">
        <f aca="false">M938-L938</f>
        <v>2</v>
      </c>
      <c r="R938" s="32" t="n">
        <f aca="false">O938-N938</f>
        <v>4.80833333333333</v>
      </c>
      <c r="S938" s="32" t="n">
        <f aca="false">Raw!L938</f>
        <v>2.6</v>
      </c>
      <c r="T938" s="32" t="n">
        <f aca="false">O938-M938</f>
        <v>2.6</v>
      </c>
      <c r="U938" s="0" t="str">
        <f aca="false">IF(ABS(T938-S938)&lt;0.01,"OK","MISMATCH")</f>
        <v>OK</v>
      </c>
      <c r="V938" s="33" t="n">
        <f aca="false">Raw!M938</f>
        <v>1</v>
      </c>
      <c r="W938" s="0" t="str">
        <f aca="false">IF((S938&gt;0)=(V938=1),"OK","MISMATCH")</f>
        <v>OK</v>
      </c>
      <c r="X938" s="0" t="str">
        <f aca="false">_xlfn.IFS(S938&lt;=0,"Early/On time",S938&lt;=2,"Minor (up to 2 days)",S938&lt;=5,"Moderate (2-5 days)",TRUE(),"Severe (over 5 days)")</f>
        <v>Moderate (2-5 days)</v>
      </c>
      <c r="Y938" s="0" t="str">
        <f aca="false">YEAR(K938)&amp;"-"&amp;TEXT(MONTH(K938),"00")</f>
        <v>2025-06</v>
      </c>
      <c r="Z938" s="0" t="str">
        <f aca="false">C938&amp;" → "&amp;D938</f>
        <v>Rajasthan → Surat</v>
      </c>
      <c r="AA938" s="0" t="str">
        <f aca="false">Raw!Q938</f>
        <v>Delhivery</v>
      </c>
      <c r="AB938" s="0" t="str">
        <f aca="false">Raw!R938</f>
        <v>No</v>
      </c>
      <c r="AC938" s="0" t="str">
        <f aca="false">Raw!S938</f>
        <v>Held at warehouse</v>
      </c>
      <c r="AD938" s="29" t="n">
        <f aca="false">Raw!N938</f>
        <v>6289.49</v>
      </c>
      <c r="AE938" s="29" t="n">
        <f aca="false">Raw!O938</f>
        <v>1473.42</v>
      </c>
      <c r="AF938" s="29" t="n">
        <f aca="false">Raw!P938</f>
        <v>1260.68</v>
      </c>
      <c r="AG938" s="29" t="n">
        <f aca="false">AD938/J938</f>
        <v>342.564814814815</v>
      </c>
    </row>
    <row r="939" customFormat="false" ht="15" hidden="false" customHeight="false" outlineLevel="0" collapsed="false">
      <c r="A939" s="0" t="str">
        <f aca="false">Raw!A939</f>
        <v>SHP0938</v>
      </c>
      <c r="B939" s="0" t="str">
        <f aca="false">Raw!B939</f>
        <v>Inbound</v>
      </c>
      <c r="C939" s="0" t="str">
        <f aca="false">Raw!C939</f>
        <v>Rajasthan</v>
      </c>
      <c r="D939" s="0" t="str">
        <f aca="false">Raw!D939</f>
        <v>Surat</v>
      </c>
      <c r="E939" s="0" t="str">
        <f aca="false">IFERROR(INDEX(Location_Map!$B$2:$B$15,MATCH(C939,Location_Map!$A$2:$A$15,0)),"UNMAPPED")</f>
        <v>Rajasthan</v>
      </c>
      <c r="F939" s="0" t="str">
        <f aca="false">IFERROR(INDEX(Location_Map!$C$2:$C$15,MATCH(C939,Location_Map!$A$2:$A$15,0)),"UNMAPPED")</f>
        <v>North</v>
      </c>
      <c r="G939" s="0" t="str">
        <f aca="false">IFERROR(INDEX(Location_Map!$B$2:$B$15,MATCH(D939,Location_Map!$A$2:$A$15,0)),"UNMAPPED")</f>
        <v>Gujarat</v>
      </c>
      <c r="H939" s="0" t="str">
        <f aca="false">IFERROR(INDEX(Location_Map!$C$2:$C$15,MATCH(D939,Location_Map!$A$2:$A$15,0)),"UNMAPPED")</f>
        <v>West</v>
      </c>
      <c r="I939" s="0" t="str">
        <f aca="false">Raw!E939</f>
        <v>Semi-Processed Yarn</v>
      </c>
      <c r="J939" s="28" t="n">
        <f aca="false">Raw!F939</f>
        <v>18.62</v>
      </c>
      <c r="K939" s="30" t="n">
        <f aca="false">DATE(LEFT(Raw!G939,4),MID(Raw!G939,6,2),MID(Raw!G939,9,2))</f>
        <v>45795</v>
      </c>
      <c r="L939" s="30" t="n">
        <f aca="false">DATE(LEFT(Raw!H939,4),MID(Raw!H939,6,2),MID(Raw!H939,9,2))</f>
        <v>45798</v>
      </c>
      <c r="M939" s="30" t="n">
        <f aca="false">DATE(LEFT(Raw!I939,4),MID(Raw!I939,6,2),MID(Raw!I939,9,2))</f>
        <v>45800</v>
      </c>
      <c r="N939" s="31" t="n">
        <f aca="false">DATE(LEFT(Raw!J939,4),MID(Raw!J939,6,2),MID(Raw!J939,9,2))+TIME(MID(Raw!J939,12,2),MID(Raw!J939,15,2),MID(Raw!J939,18,2))</f>
        <v>45798.2916666667</v>
      </c>
      <c r="O939" s="31" t="n">
        <f aca="false">DATE(LEFT(Raw!K939,4),MID(Raw!K939,6,2),MID(Raw!K939,9,2))+TIME(MID(Raw!K939,12,2),MID(Raw!K939,15,2),MID(Raw!K939,18,2))</f>
        <v>45805.4</v>
      </c>
      <c r="P939" s="32" t="n">
        <f aca="false">L939-K939</f>
        <v>3</v>
      </c>
      <c r="Q939" s="32" t="n">
        <f aca="false">M939-L939</f>
        <v>2</v>
      </c>
      <c r="R939" s="32" t="n">
        <f aca="false">O939-N939</f>
        <v>7.10833333333333</v>
      </c>
      <c r="S939" s="32" t="n">
        <f aca="false">Raw!L939</f>
        <v>5.4</v>
      </c>
      <c r="T939" s="32" t="n">
        <f aca="false">O939-M939</f>
        <v>5.4</v>
      </c>
      <c r="U939" s="0" t="str">
        <f aca="false">IF(ABS(T939-S939)&lt;0.01,"OK","MISMATCH")</f>
        <v>OK</v>
      </c>
      <c r="V939" s="33" t="n">
        <f aca="false">Raw!M939</f>
        <v>1</v>
      </c>
      <c r="W939" s="0" t="str">
        <f aca="false">IF((S939&gt;0)=(V939=1),"OK","MISMATCH")</f>
        <v>OK</v>
      </c>
      <c r="X939" s="0" t="str">
        <f aca="false">_xlfn.IFS(S939&lt;=0,"Early/On time",S939&lt;=2,"Minor (up to 2 days)",S939&lt;=5,"Moderate (2-5 days)",TRUE(),"Severe (over 5 days)")</f>
        <v>Severe (over 5 days)</v>
      </c>
      <c r="Y939" s="0" t="str">
        <f aca="false">YEAR(K939)&amp;"-"&amp;TEXT(MONTH(K939),"00")</f>
        <v>2025-05</v>
      </c>
      <c r="Z939" s="0" t="str">
        <f aca="false">C939&amp;" → "&amp;D939</f>
        <v>Rajasthan → Surat</v>
      </c>
      <c r="AA939" s="0" t="str">
        <f aca="false">Raw!Q939</f>
        <v>TCI Express</v>
      </c>
      <c r="AB939" s="0" t="str">
        <f aca="false">Raw!R939</f>
        <v>Yes</v>
      </c>
      <c r="AC939" s="0" t="str">
        <f aca="false">Raw!S939</f>
        <v>Expedited</v>
      </c>
      <c r="AD939" s="29" t="n">
        <f aca="false">Raw!N939</f>
        <v>7001.22</v>
      </c>
      <c r="AE939" s="29" t="n">
        <f aca="false">Raw!O939</f>
        <v>3467.27</v>
      </c>
      <c r="AF939" s="29" t="n">
        <f aca="false">Raw!P939</f>
        <v>1098.64</v>
      </c>
      <c r="AG939" s="29" t="n">
        <f aca="false">AD939/J939</f>
        <v>376.00537056928</v>
      </c>
    </row>
    <row r="940" customFormat="false" ht="15" hidden="false" customHeight="false" outlineLevel="0" collapsed="false">
      <c r="A940" s="0" t="str">
        <f aca="false">Raw!A940</f>
        <v>SHP0939</v>
      </c>
      <c r="B940" s="0" t="str">
        <f aca="false">Raw!B940</f>
        <v>Inbound</v>
      </c>
      <c r="C940" s="0" t="str">
        <f aca="false">Raw!C940</f>
        <v>Gujarat</v>
      </c>
      <c r="D940" s="0" t="str">
        <f aca="false">Raw!D940</f>
        <v>Surat</v>
      </c>
      <c r="E940" s="0" t="str">
        <f aca="false">IFERROR(INDEX(Location_Map!$B$2:$B$15,MATCH(C940,Location_Map!$A$2:$A$15,0)),"UNMAPPED")</f>
        <v>Gujarat</v>
      </c>
      <c r="F940" s="0" t="str">
        <f aca="false">IFERROR(INDEX(Location_Map!$C$2:$C$15,MATCH(C940,Location_Map!$A$2:$A$15,0)),"UNMAPPED")</f>
        <v>West</v>
      </c>
      <c r="G940" s="0" t="str">
        <f aca="false">IFERROR(INDEX(Location_Map!$B$2:$B$15,MATCH(D940,Location_Map!$A$2:$A$15,0)),"UNMAPPED")</f>
        <v>Gujarat</v>
      </c>
      <c r="H940" s="0" t="str">
        <f aca="false">IFERROR(INDEX(Location_Map!$C$2:$C$15,MATCH(D940,Location_Map!$A$2:$A$15,0)),"UNMAPPED")</f>
        <v>West</v>
      </c>
      <c r="I940" s="0" t="str">
        <f aca="false">Raw!E940</f>
        <v>Semi-Processed Yarn</v>
      </c>
      <c r="J940" s="28" t="n">
        <f aca="false">Raw!F940</f>
        <v>6.56</v>
      </c>
      <c r="K940" s="30" t="n">
        <f aca="false">DATE(LEFT(Raw!G940,4),MID(Raw!G940,6,2),MID(Raw!G940,9,2))</f>
        <v>45863</v>
      </c>
      <c r="L940" s="30" t="n">
        <f aca="false">DATE(LEFT(Raw!H940,4),MID(Raw!H940,6,2),MID(Raw!H940,9,2))</f>
        <v>45867</v>
      </c>
      <c r="M940" s="30" t="n">
        <f aca="false">DATE(LEFT(Raw!I940,4),MID(Raw!I940,6,2),MID(Raw!I940,9,2))</f>
        <v>45872</v>
      </c>
      <c r="N940" s="31" t="n">
        <f aca="false">DATE(LEFT(Raw!J940,4),MID(Raw!J940,6,2),MID(Raw!J940,9,2))+TIME(MID(Raw!J940,12,2),MID(Raw!J940,15,2),MID(Raw!J940,18,2))</f>
        <v>45867.1666666667</v>
      </c>
      <c r="O940" s="31" t="n">
        <f aca="false">DATE(LEFT(Raw!K940,4),MID(Raw!K940,6,2),MID(Raw!K940,9,2))+TIME(MID(Raw!K940,12,2),MID(Raw!K940,15,2),MID(Raw!K940,18,2))</f>
        <v>45871</v>
      </c>
      <c r="P940" s="32" t="n">
        <f aca="false">L940-K940</f>
        <v>4</v>
      </c>
      <c r="Q940" s="32" t="n">
        <f aca="false">M940-L940</f>
        <v>5</v>
      </c>
      <c r="R940" s="32" t="n">
        <f aca="false">O940-N940</f>
        <v>3.83333333333333</v>
      </c>
      <c r="S940" s="32" t="n">
        <f aca="false">Raw!L940</f>
        <v>-1</v>
      </c>
      <c r="T940" s="32" t="n">
        <f aca="false">O940-M940</f>
        <v>-1</v>
      </c>
      <c r="U940" s="0" t="str">
        <f aca="false">IF(ABS(T940-S940)&lt;0.01,"OK","MISMATCH")</f>
        <v>OK</v>
      </c>
      <c r="V940" s="33" t="n">
        <f aca="false">Raw!M940</f>
        <v>0</v>
      </c>
      <c r="W940" s="0" t="str">
        <f aca="false">IF((S940&gt;0)=(V940=1),"OK","MISMATCH")</f>
        <v>OK</v>
      </c>
      <c r="X940" s="0" t="str">
        <f aca="false">_xlfn.IFS(S940&lt;=0,"Early/On time",S940&lt;=2,"Minor (up to 2 days)",S940&lt;=5,"Moderate (2-5 days)",TRUE(),"Severe (over 5 days)")</f>
        <v>Early/On time</v>
      </c>
      <c r="Y940" s="0" t="str">
        <f aca="false">YEAR(K940)&amp;"-"&amp;TEXT(MONTH(K940),"00")</f>
        <v>2025-07</v>
      </c>
      <c r="Z940" s="0" t="str">
        <f aca="false">C940&amp;" → "&amp;D940</f>
        <v>Gujarat → Surat</v>
      </c>
      <c r="AA940" s="0" t="str">
        <f aca="false">Raw!Q940</f>
        <v>GATI Logistics</v>
      </c>
      <c r="AB940" s="0" t="str">
        <f aca="false">Raw!R940</f>
        <v>No</v>
      </c>
      <c r="AC940" s="0" t="str">
        <f aca="false">Raw!S940</f>
        <v>Damaged</v>
      </c>
      <c r="AD940" s="29" t="n">
        <f aca="false">Raw!N940</f>
        <v>4655.15</v>
      </c>
      <c r="AE940" s="29" t="n">
        <f aca="false">Raw!O940</f>
        <v>4231.86</v>
      </c>
      <c r="AF940" s="29" t="n">
        <f aca="false">Raw!P940</f>
        <v>868.09</v>
      </c>
      <c r="AG940" s="29" t="n">
        <f aca="false">AD940/J940</f>
        <v>709.626524390244</v>
      </c>
    </row>
    <row r="941" customFormat="false" ht="15" hidden="false" customHeight="false" outlineLevel="0" collapsed="false">
      <c r="A941" s="0" t="str">
        <f aca="false">Raw!A941</f>
        <v>SHP0940</v>
      </c>
      <c r="B941" s="0" t="str">
        <f aca="false">Raw!B941</f>
        <v>Inbound</v>
      </c>
      <c r="C941" s="0" t="str">
        <f aca="false">Raw!C941</f>
        <v>Chennai</v>
      </c>
      <c r="D941" s="0" t="str">
        <f aca="false">Raw!D941</f>
        <v>Surat</v>
      </c>
      <c r="E941" s="0" t="str">
        <f aca="false">IFERROR(INDEX(Location_Map!$B$2:$B$15,MATCH(C941,Location_Map!$A$2:$A$15,0)),"UNMAPPED")</f>
        <v>Tamil Nadu</v>
      </c>
      <c r="F941" s="0" t="str">
        <f aca="false">IFERROR(INDEX(Location_Map!$C$2:$C$15,MATCH(C941,Location_Map!$A$2:$A$15,0)),"UNMAPPED")</f>
        <v>South</v>
      </c>
      <c r="G941" s="0" t="str">
        <f aca="false">IFERROR(INDEX(Location_Map!$B$2:$B$15,MATCH(D941,Location_Map!$A$2:$A$15,0)),"UNMAPPED")</f>
        <v>Gujarat</v>
      </c>
      <c r="H941" s="0" t="str">
        <f aca="false">IFERROR(INDEX(Location_Map!$C$2:$C$15,MATCH(D941,Location_Map!$A$2:$A$15,0)),"UNMAPPED")</f>
        <v>West</v>
      </c>
      <c r="I941" s="0" t="str">
        <f aca="false">Raw!E941</f>
        <v>Raw Yarn</v>
      </c>
      <c r="J941" s="28" t="n">
        <f aca="false">Raw!F941</f>
        <v>3.38</v>
      </c>
      <c r="K941" s="30" t="n">
        <f aca="false">DATE(LEFT(Raw!G941,4),MID(Raw!G941,6,2),MID(Raw!G941,9,2))</f>
        <v>45670</v>
      </c>
      <c r="L941" s="30" t="n">
        <f aca="false">DATE(LEFT(Raw!H941,4),MID(Raw!H941,6,2),MID(Raw!H941,9,2))</f>
        <v>45672</v>
      </c>
      <c r="M941" s="30" t="n">
        <f aca="false">DATE(LEFT(Raw!I941,4),MID(Raw!I941,6,2),MID(Raw!I941,9,2))</f>
        <v>45675</v>
      </c>
      <c r="N941" s="31" t="n">
        <f aca="false">DATE(LEFT(Raw!J941,4),MID(Raw!J941,6,2),MID(Raw!J941,9,2))+TIME(MID(Raw!J941,12,2),MID(Raw!J941,15,2),MID(Raw!J941,18,2))</f>
        <v>45672</v>
      </c>
      <c r="O941" s="31" t="n">
        <f aca="false">DATE(LEFT(Raw!K941,4),MID(Raw!K941,6,2),MID(Raw!K941,9,2))+TIME(MID(Raw!K941,12,2),MID(Raw!K941,15,2),MID(Raw!K941,18,2))</f>
        <v>45676.6</v>
      </c>
      <c r="P941" s="32" t="n">
        <f aca="false">L941-K941</f>
        <v>2</v>
      </c>
      <c r="Q941" s="32" t="n">
        <f aca="false">M941-L941</f>
        <v>3</v>
      </c>
      <c r="R941" s="32" t="n">
        <f aca="false">O941-N941</f>
        <v>4.6</v>
      </c>
      <c r="S941" s="32" t="n">
        <f aca="false">Raw!L941</f>
        <v>1.6</v>
      </c>
      <c r="T941" s="32" t="n">
        <f aca="false">O941-M941</f>
        <v>1.6</v>
      </c>
      <c r="U941" s="0" t="str">
        <f aca="false">IF(ABS(T941-S941)&lt;0.01,"OK","MISMATCH")</f>
        <v>OK</v>
      </c>
      <c r="V941" s="33" t="n">
        <f aca="false">Raw!M941</f>
        <v>1</v>
      </c>
      <c r="W941" s="0" t="str">
        <f aca="false">IF((S941&gt;0)=(V941=1),"OK","MISMATCH")</f>
        <v>OK</v>
      </c>
      <c r="X941" s="0" t="str">
        <f aca="false">_xlfn.IFS(S941&lt;=0,"Early/On time",S941&lt;=2,"Minor (up to 2 days)",S941&lt;=5,"Moderate (2-5 days)",TRUE(),"Severe (over 5 days)")</f>
        <v>Minor (up to 2 days)</v>
      </c>
      <c r="Y941" s="0" t="str">
        <f aca="false">YEAR(K941)&amp;"-"&amp;TEXT(MONTH(K941),"00")</f>
        <v>2025-01</v>
      </c>
      <c r="Z941" s="0" t="str">
        <f aca="false">C941&amp;" → "&amp;D941</f>
        <v>Chennai → Surat</v>
      </c>
      <c r="AA941" s="0" t="str">
        <f aca="false">Raw!Q941</f>
        <v>GATI Logistics</v>
      </c>
      <c r="AB941" s="0" t="str">
        <f aca="false">Raw!R941</f>
        <v>Yes</v>
      </c>
      <c r="AC941" s="0" t="str">
        <f aca="false">Raw!S941</f>
        <v>Damaged</v>
      </c>
      <c r="AD941" s="29" t="n">
        <f aca="false">Raw!N941</f>
        <v>1829.51</v>
      </c>
      <c r="AE941" s="29" t="n">
        <f aca="false">Raw!O941</f>
        <v>3082.28</v>
      </c>
      <c r="AF941" s="29" t="n">
        <f aca="false">Raw!P941</f>
        <v>891.77</v>
      </c>
      <c r="AG941" s="29" t="n">
        <f aca="false">AD941/J941</f>
        <v>541.275147928994</v>
      </c>
    </row>
    <row r="942" customFormat="false" ht="15" hidden="false" customHeight="false" outlineLevel="0" collapsed="false">
      <c r="A942" s="0" t="str">
        <f aca="false">Raw!A942</f>
        <v>SHP0941</v>
      </c>
      <c r="B942" s="0" t="str">
        <f aca="false">Raw!B942</f>
        <v>Outbound</v>
      </c>
      <c r="C942" s="0" t="str">
        <f aca="false">Raw!C942</f>
        <v>Surat</v>
      </c>
      <c r="D942" s="0" t="str">
        <f aca="false">Raw!D942</f>
        <v>Jaipur</v>
      </c>
      <c r="E942" s="0" t="str">
        <f aca="false">IFERROR(INDEX(Location_Map!$B$2:$B$15,MATCH(C942,Location_Map!$A$2:$A$15,0)),"UNMAPPED")</f>
        <v>Gujarat</v>
      </c>
      <c r="F942" s="0" t="str">
        <f aca="false">IFERROR(INDEX(Location_Map!$C$2:$C$15,MATCH(C942,Location_Map!$A$2:$A$15,0)),"UNMAPPED")</f>
        <v>West</v>
      </c>
      <c r="G942" s="0" t="str">
        <f aca="false">IFERROR(INDEX(Location_Map!$B$2:$B$15,MATCH(D942,Location_Map!$A$2:$A$15,0)),"UNMAPPED")</f>
        <v>Rajasthan</v>
      </c>
      <c r="H942" s="0" t="str">
        <f aca="false">IFERROR(INDEX(Location_Map!$C$2:$C$15,MATCH(D942,Location_Map!$A$2:$A$15,0)),"UNMAPPED")</f>
        <v>North</v>
      </c>
      <c r="I942" s="0" t="str">
        <f aca="false">Raw!E942</f>
        <v>Finished Yarn</v>
      </c>
      <c r="J942" s="28" t="n">
        <f aca="false">Raw!F942</f>
        <v>11.97</v>
      </c>
      <c r="K942" s="30" t="n">
        <f aca="false">DATE(LEFT(Raw!G942,4),MID(Raw!G942,6,2),MID(Raw!G942,9,2))</f>
        <v>45868</v>
      </c>
      <c r="L942" s="30" t="n">
        <f aca="false">DATE(LEFT(Raw!H942,4),MID(Raw!H942,6,2),MID(Raw!H942,9,2))</f>
        <v>45871</v>
      </c>
      <c r="M942" s="30" t="n">
        <f aca="false">DATE(LEFT(Raw!I942,4),MID(Raw!I942,6,2),MID(Raw!I942,9,2))</f>
        <v>45873</v>
      </c>
      <c r="N942" s="31" t="n">
        <f aca="false">DATE(LEFT(Raw!J942,4),MID(Raw!J942,6,2),MID(Raw!J942,9,2))+TIME(MID(Raw!J942,12,2),MID(Raw!J942,15,2),MID(Raw!J942,18,2))</f>
        <v>45871</v>
      </c>
      <c r="O942" s="31" t="n">
        <f aca="false">DATE(LEFT(Raw!K942,4),MID(Raw!K942,6,2),MID(Raw!K942,9,2))+TIME(MID(Raw!K942,12,2),MID(Raw!K942,15,2),MID(Raw!K942,18,2))</f>
        <v>45873.7</v>
      </c>
      <c r="P942" s="32" t="n">
        <f aca="false">L942-K942</f>
        <v>3</v>
      </c>
      <c r="Q942" s="32" t="n">
        <f aca="false">M942-L942</f>
        <v>2</v>
      </c>
      <c r="R942" s="32" t="n">
        <f aca="false">O942-N942</f>
        <v>2.7</v>
      </c>
      <c r="S942" s="32" t="n">
        <f aca="false">Raw!L942</f>
        <v>0.7</v>
      </c>
      <c r="T942" s="32" t="n">
        <f aca="false">O942-M942</f>
        <v>0.7</v>
      </c>
      <c r="U942" s="0" t="str">
        <f aca="false">IF(ABS(T942-S942)&lt;0.01,"OK","MISMATCH")</f>
        <v>OK</v>
      </c>
      <c r="V942" s="33" t="n">
        <f aca="false">Raw!M942</f>
        <v>1</v>
      </c>
      <c r="W942" s="0" t="str">
        <f aca="false">IF((S942&gt;0)=(V942=1),"OK","MISMATCH")</f>
        <v>OK</v>
      </c>
      <c r="X942" s="0" t="str">
        <f aca="false">_xlfn.IFS(S942&lt;=0,"Early/On time",S942&lt;=2,"Minor (up to 2 days)",S942&lt;=5,"Moderate (2-5 days)",TRUE(),"Severe (over 5 days)")</f>
        <v>Minor (up to 2 days)</v>
      </c>
      <c r="Y942" s="0" t="str">
        <f aca="false">YEAR(K942)&amp;"-"&amp;TEXT(MONTH(K942),"00")</f>
        <v>2025-07</v>
      </c>
      <c r="Z942" s="0" t="str">
        <f aca="false">C942&amp;" → "&amp;D942</f>
        <v>Surat → Jaipur</v>
      </c>
      <c r="AA942" s="0" t="str">
        <f aca="false">Raw!Q942</f>
        <v>BlueDart</v>
      </c>
      <c r="AB942" s="0" t="str">
        <f aca="false">Raw!R942</f>
        <v>No</v>
      </c>
      <c r="AC942" s="0" t="str">
        <f aca="false">Raw!S942</f>
        <v>Expedited</v>
      </c>
      <c r="AD942" s="29" t="n">
        <f aca="false">Raw!N942</f>
        <v>5371.86</v>
      </c>
      <c r="AE942" s="29" t="n">
        <f aca="false">Raw!O942</f>
        <v>3655.19</v>
      </c>
      <c r="AF942" s="29" t="n">
        <f aca="false">Raw!P942</f>
        <v>989.83</v>
      </c>
      <c r="AG942" s="29" t="n">
        <f aca="false">AD942/J942</f>
        <v>448.77694235589</v>
      </c>
    </row>
    <row r="943" customFormat="false" ht="15" hidden="false" customHeight="false" outlineLevel="0" collapsed="false">
      <c r="A943" s="0" t="str">
        <f aca="false">Raw!A943</f>
        <v>SHP0942</v>
      </c>
      <c r="B943" s="0" t="str">
        <f aca="false">Raw!B943</f>
        <v>Inbound</v>
      </c>
      <c r="C943" s="0" t="str">
        <f aca="false">Raw!C943</f>
        <v>Gujarat</v>
      </c>
      <c r="D943" s="0" t="str">
        <f aca="false">Raw!D943</f>
        <v>Surat</v>
      </c>
      <c r="E943" s="0" t="str">
        <f aca="false">IFERROR(INDEX(Location_Map!$B$2:$B$15,MATCH(C943,Location_Map!$A$2:$A$15,0)),"UNMAPPED")</f>
        <v>Gujarat</v>
      </c>
      <c r="F943" s="0" t="str">
        <f aca="false">IFERROR(INDEX(Location_Map!$C$2:$C$15,MATCH(C943,Location_Map!$A$2:$A$15,0)),"UNMAPPED")</f>
        <v>West</v>
      </c>
      <c r="G943" s="0" t="str">
        <f aca="false">IFERROR(INDEX(Location_Map!$B$2:$B$15,MATCH(D943,Location_Map!$A$2:$A$15,0)),"UNMAPPED")</f>
        <v>Gujarat</v>
      </c>
      <c r="H943" s="0" t="str">
        <f aca="false">IFERROR(INDEX(Location_Map!$C$2:$C$15,MATCH(D943,Location_Map!$A$2:$A$15,0)),"UNMAPPED")</f>
        <v>West</v>
      </c>
      <c r="I943" s="0" t="str">
        <f aca="false">Raw!E943</f>
        <v>Finished Yarn</v>
      </c>
      <c r="J943" s="28" t="n">
        <f aca="false">Raw!F943</f>
        <v>10.83</v>
      </c>
      <c r="K943" s="30" t="n">
        <f aca="false">DATE(LEFT(Raw!G943,4),MID(Raw!G943,6,2),MID(Raw!G943,9,2))</f>
        <v>45787</v>
      </c>
      <c r="L943" s="30" t="n">
        <f aca="false">DATE(LEFT(Raw!H943,4),MID(Raw!H943,6,2),MID(Raw!H943,9,2))</f>
        <v>45791</v>
      </c>
      <c r="M943" s="30" t="n">
        <f aca="false">DATE(LEFT(Raw!I943,4),MID(Raw!I943,6,2),MID(Raw!I943,9,2))</f>
        <v>45794</v>
      </c>
      <c r="N943" s="31" t="n">
        <f aca="false">DATE(LEFT(Raw!J943,4),MID(Raw!J943,6,2),MID(Raw!J943,9,2))+TIME(MID(Raw!J943,12,2),MID(Raw!J943,15,2),MID(Raw!J943,18,2))</f>
        <v>45791.0416666667</v>
      </c>
      <c r="O943" s="31" t="n">
        <f aca="false">DATE(LEFT(Raw!K943,4),MID(Raw!K943,6,2),MID(Raw!K943,9,2))+TIME(MID(Raw!K943,12,2),MID(Raw!K943,15,2),MID(Raw!K943,18,2))</f>
        <v>45793.5</v>
      </c>
      <c r="P943" s="32" t="n">
        <f aca="false">L943-K943</f>
        <v>4</v>
      </c>
      <c r="Q943" s="32" t="n">
        <f aca="false">M943-L943</f>
        <v>3</v>
      </c>
      <c r="R943" s="32" t="n">
        <f aca="false">O943-N943</f>
        <v>2.45833333333333</v>
      </c>
      <c r="S943" s="32" t="n">
        <f aca="false">Raw!L943</f>
        <v>-0.5</v>
      </c>
      <c r="T943" s="32" t="n">
        <f aca="false">O943-M943</f>
        <v>-0.5</v>
      </c>
      <c r="U943" s="0" t="str">
        <f aca="false">IF(ABS(T943-S943)&lt;0.01,"OK","MISMATCH")</f>
        <v>OK</v>
      </c>
      <c r="V943" s="33" t="n">
        <f aca="false">Raw!M943</f>
        <v>0</v>
      </c>
      <c r="W943" s="0" t="str">
        <f aca="false">IF((S943&gt;0)=(V943=1),"OK","MISMATCH")</f>
        <v>OK</v>
      </c>
      <c r="X943" s="0" t="str">
        <f aca="false">_xlfn.IFS(S943&lt;=0,"Early/On time",S943&lt;=2,"Minor (up to 2 days)",S943&lt;=5,"Moderate (2-5 days)",TRUE(),"Severe (over 5 days)")</f>
        <v>Early/On time</v>
      </c>
      <c r="Y943" s="0" t="str">
        <f aca="false">YEAR(K943)&amp;"-"&amp;TEXT(MONTH(K943),"00")</f>
        <v>2025-05</v>
      </c>
      <c r="Z943" s="0" t="str">
        <f aca="false">C943&amp;" → "&amp;D943</f>
        <v>Gujarat → Surat</v>
      </c>
      <c r="AA943" s="0" t="str">
        <f aca="false">Raw!Q943</f>
        <v>TCI Express</v>
      </c>
      <c r="AB943" s="0" t="str">
        <f aca="false">Raw!R943</f>
        <v>No</v>
      </c>
      <c r="AC943" s="0" t="str">
        <f aca="false">Raw!S943</f>
        <v>Damaged</v>
      </c>
      <c r="AD943" s="29" t="n">
        <f aca="false">Raw!N943</f>
        <v>4897.07</v>
      </c>
      <c r="AE943" s="29" t="n">
        <f aca="false">Raw!O943</f>
        <v>4988.68</v>
      </c>
      <c r="AF943" s="29" t="n">
        <f aca="false">Raw!P943</f>
        <v>792.61</v>
      </c>
      <c r="AG943" s="29" t="n">
        <f aca="false">AD943/J943</f>
        <v>452.176361957525</v>
      </c>
    </row>
    <row r="944" customFormat="false" ht="15" hidden="false" customHeight="false" outlineLevel="0" collapsed="false">
      <c r="A944" s="0" t="str">
        <f aca="false">Raw!A944</f>
        <v>SHP0943</v>
      </c>
      <c r="B944" s="0" t="str">
        <f aca="false">Raw!B944</f>
        <v>Outbound</v>
      </c>
      <c r="C944" s="0" t="str">
        <f aca="false">Raw!C944</f>
        <v>Surat</v>
      </c>
      <c r="D944" s="0" t="str">
        <f aca="false">Raw!D944</f>
        <v>Uttarakhand</v>
      </c>
      <c r="E944" s="0" t="str">
        <f aca="false">IFERROR(INDEX(Location_Map!$B$2:$B$15,MATCH(C944,Location_Map!$A$2:$A$15,0)),"UNMAPPED")</f>
        <v>Gujarat</v>
      </c>
      <c r="F944" s="0" t="str">
        <f aca="false">IFERROR(INDEX(Location_Map!$C$2:$C$15,MATCH(C944,Location_Map!$A$2:$A$15,0)),"UNMAPPED")</f>
        <v>West</v>
      </c>
      <c r="G944" s="0" t="str">
        <f aca="false">IFERROR(INDEX(Location_Map!$B$2:$B$15,MATCH(D944,Location_Map!$A$2:$A$15,0)),"UNMAPPED")</f>
        <v>Uttarakhand</v>
      </c>
      <c r="H944" s="0" t="str">
        <f aca="false">IFERROR(INDEX(Location_Map!$C$2:$C$15,MATCH(D944,Location_Map!$A$2:$A$15,0)),"UNMAPPED")</f>
        <v>North</v>
      </c>
      <c r="I944" s="0" t="str">
        <f aca="false">Raw!E944</f>
        <v>Finished Yarn</v>
      </c>
      <c r="J944" s="28" t="n">
        <f aca="false">Raw!F944</f>
        <v>7.8</v>
      </c>
      <c r="K944" s="30" t="n">
        <f aca="false">DATE(LEFT(Raw!G944,4),MID(Raw!G944,6,2),MID(Raw!G944,9,2))</f>
        <v>45940</v>
      </c>
      <c r="L944" s="30" t="n">
        <f aca="false">DATE(LEFT(Raw!H944,4),MID(Raw!H944,6,2),MID(Raw!H944,9,2))</f>
        <v>45943</v>
      </c>
      <c r="M944" s="30" t="n">
        <f aca="false">DATE(LEFT(Raw!I944,4),MID(Raw!I944,6,2),MID(Raw!I944,9,2))</f>
        <v>45947</v>
      </c>
      <c r="N944" s="31" t="n">
        <f aca="false">DATE(LEFT(Raw!J944,4),MID(Raw!J944,6,2),MID(Raw!J944,9,2))+TIME(MID(Raw!J944,12,2),MID(Raw!J944,15,2),MID(Raw!J944,18,2))</f>
        <v>45943.0833333333</v>
      </c>
      <c r="O944" s="31" t="n">
        <f aca="false">DATE(LEFT(Raw!K944,4),MID(Raw!K944,6,2),MID(Raw!K944,9,2))+TIME(MID(Raw!K944,12,2),MID(Raw!K944,15,2),MID(Raw!K944,18,2))</f>
        <v>45947.4</v>
      </c>
      <c r="P944" s="32" t="n">
        <f aca="false">L944-K944</f>
        <v>3</v>
      </c>
      <c r="Q944" s="32" t="n">
        <f aca="false">M944-L944</f>
        <v>4</v>
      </c>
      <c r="R944" s="32" t="n">
        <f aca="false">O944-N944</f>
        <v>4.31666666666667</v>
      </c>
      <c r="S944" s="32" t="n">
        <f aca="false">Raw!L944</f>
        <v>0.4</v>
      </c>
      <c r="T944" s="32" t="n">
        <f aca="false">O944-M944</f>
        <v>0.4</v>
      </c>
      <c r="U944" s="0" t="str">
        <f aca="false">IF(ABS(T944-S944)&lt;0.01,"OK","MISMATCH")</f>
        <v>OK</v>
      </c>
      <c r="V944" s="33" t="n">
        <f aca="false">Raw!M944</f>
        <v>1</v>
      </c>
      <c r="W944" s="0" t="str">
        <f aca="false">IF((S944&gt;0)=(V944=1),"OK","MISMATCH")</f>
        <v>OK</v>
      </c>
      <c r="X944" s="0" t="str">
        <f aca="false">_xlfn.IFS(S944&lt;=0,"Early/On time",S944&lt;=2,"Minor (up to 2 days)",S944&lt;=5,"Moderate (2-5 days)",TRUE(),"Severe (over 5 days)")</f>
        <v>Minor (up to 2 days)</v>
      </c>
      <c r="Y944" s="0" t="str">
        <f aca="false">YEAR(K944)&amp;"-"&amp;TEXT(MONTH(K944),"00")</f>
        <v>2025-10</v>
      </c>
      <c r="Z944" s="0" t="str">
        <f aca="false">C944&amp;" → "&amp;D944</f>
        <v>Surat → Uttarakhand</v>
      </c>
      <c r="AA944" s="0" t="str">
        <f aca="false">Raw!Q944</f>
        <v>GATI Logistics</v>
      </c>
      <c r="AB944" s="0" t="str">
        <f aca="false">Raw!R944</f>
        <v>Yes</v>
      </c>
      <c r="AC944" s="0" t="str">
        <f aca="false">Raw!S944</f>
        <v>Damaged</v>
      </c>
      <c r="AD944" s="29" t="n">
        <f aca="false">Raw!N944</f>
        <v>3564.05</v>
      </c>
      <c r="AE944" s="29" t="n">
        <f aca="false">Raw!O944</f>
        <v>3020.11</v>
      </c>
      <c r="AF944" s="29" t="n">
        <f aca="false">Raw!P944</f>
        <v>530.5</v>
      </c>
      <c r="AG944" s="29" t="n">
        <f aca="false">AD944/J944</f>
        <v>456.929487179487</v>
      </c>
    </row>
    <row r="945" customFormat="false" ht="15" hidden="false" customHeight="false" outlineLevel="0" collapsed="false">
      <c r="A945" s="0" t="str">
        <f aca="false">Raw!A945</f>
        <v>SHP0944</v>
      </c>
      <c r="B945" s="0" t="str">
        <f aca="false">Raw!B945</f>
        <v>Inbound</v>
      </c>
      <c r="C945" s="0" t="str">
        <f aca="false">Raw!C945</f>
        <v>Gujarat</v>
      </c>
      <c r="D945" s="0" t="str">
        <f aca="false">Raw!D945</f>
        <v>Surat</v>
      </c>
      <c r="E945" s="0" t="str">
        <f aca="false">IFERROR(INDEX(Location_Map!$B$2:$B$15,MATCH(C945,Location_Map!$A$2:$A$15,0)),"UNMAPPED")</f>
        <v>Gujarat</v>
      </c>
      <c r="F945" s="0" t="str">
        <f aca="false">IFERROR(INDEX(Location_Map!$C$2:$C$15,MATCH(C945,Location_Map!$A$2:$A$15,0)),"UNMAPPED")</f>
        <v>West</v>
      </c>
      <c r="G945" s="0" t="str">
        <f aca="false">IFERROR(INDEX(Location_Map!$B$2:$B$15,MATCH(D945,Location_Map!$A$2:$A$15,0)),"UNMAPPED")</f>
        <v>Gujarat</v>
      </c>
      <c r="H945" s="0" t="str">
        <f aca="false">IFERROR(INDEX(Location_Map!$C$2:$C$15,MATCH(D945,Location_Map!$A$2:$A$15,0)),"UNMAPPED")</f>
        <v>West</v>
      </c>
      <c r="I945" s="0" t="str">
        <f aca="false">Raw!E945</f>
        <v>Raw Yarn</v>
      </c>
      <c r="J945" s="28" t="n">
        <f aca="false">Raw!F945</f>
        <v>3.5</v>
      </c>
      <c r="K945" s="30" t="n">
        <f aca="false">DATE(LEFT(Raw!G945,4),MID(Raw!G945,6,2),MID(Raw!G945,9,2))</f>
        <v>45923</v>
      </c>
      <c r="L945" s="30" t="n">
        <f aca="false">DATE(LEFT(Raw!H945,4),MID(Raw!H945,6,2),MID(Raw!H945,9,2))</f>
        <v>45927</v>
      </c>
      <c r="M945" s="30" t="n">
        <f aca="false">DATE(LEFT(Raw!I945,4),MID(Raw!I945,6,2),MID(Raw!I945,9,2))</f>
        <v>45933</v>
      </c>
      <c r="N945" s="31" t="n">
        <f aca="false">DATE(LEFT(Raw!J945,4),MID(Raw!J945,6,2),MID(Raw!J945,9,2))+TIME(MID(Raw!J945,12,2),MID(Raw!J945,15,2),MID(Raw!J945,18,2))</f>
        <v>45927.2083333333</v>
      </c>
      <c r="O945" s="31" t="n">
        <f aca="false">DATE(LEFT(Raw!K945,4),MID(Raw!K945,6,2),MID(Raw!K945,9,2))+TIME(MID(Raw!K945,12,2),MID(Raw!K945,15,2),MID(Raw!K945,18,2))</f>
        <v>45939.1</v>
      </c>
      <c r="P945" s="32" t="n">
        <f aca="false">L945-K945</f>
        <v>4</v>
      </c>
      <c r="Q945" s="32" t="n">
        <f aca="false">M945-L945</f>
        <v>6</v>
      </c>
      <c r="R945" s="32" t="n">
        <f aca="false">O945-N945</f>
        <v>11.8916666666667</v>
      </c>
      <c r="S945" s="32" t="n">
        <f aca="false">Raw!L945</f>
        <v>6.1</v>
      </c>
      <c r="T945" s="32" t="n">
        <f aca="false">O945-M945</f>
        <v>6.1</v>
      </c>
      <c r="U945" s="0" t="str">
        <f aca="false">IF(ABS(T945-S945)&lt;0.01,"OK","MISMATCH")</f>
        <v>OK</v>
      </c>
      <c r="V945" s="33" t="n">
        <f aca="false">Raw!M945</f>
        <v>1</v>
      </c>
      <c r="W945" s="0" t="str">
        <f aca="false">IF((S945&gt;0)=(V945=1),"OK","MISMATCH")</f>
        <v>OK</v>
      </c>
      <c r="X945" s="0" t="str">
        <f aca="false">_xlfn.IFS(S945&lt;=0,"Early/On time",S945&lt;=2,"Minor (up to 2 days)",S945&lt;=5,"Moderate (2-5 days)",TRUE(),"Severe (over 5 days)")</f>
        <v>Severe (over 5 days)</v>
      </c>
      <c r="Y945" s="0" t="str">
        <f aca="false">YEAR(K945)&amp;"-"&amp;TEXT(MONTH(K945),"00")</f>
        <v>2025-09</v>
      </c>
      <c r="Z945" s="0" t="str">
        <f aca="false">C945&amp;" → "&amp;D945</f>
        <v>Gujarat → Surat</v>
      </c>
      <c r="AA945" s="0" t="str">
        <f aca="false">Raw!Q945</f>
        <v>Delhivery</v>
      </c>
      <c r="AB945" s="0" t="str">
        <f aca="false">Raw!R945</f>
        <v>No</v>
      </c>
      <c r="AC945" s="0" t="str">
        <f aca="false">Raw!S945</f>
        <v>Normal</v>
      </c>
      <c r="AD945" s="29" t="n">
        <f aca="false">Raw!N945</f>
        <v>2375.34</v>
      </c>
      <c r="AE945" s="29" t="n">
        <f aca="false">Raw!O945</f>
        <v>3963.12</v>
      </c>
      <c r="AF945" s="29" t="n">
        <f aca="false">Raw!P945</f>
        <v>1284.19</v>
      </c>
      <c r="AG945" s="29" t="n">
        <f aca="false">AD945/J945</f>
        <v>678.668571428572</v>
      </c>
    </row>
    <row r="946" customFormat="false" ht="15" hidden="false" customHeight="false" outlineLevel="0" collapsed="false">
      <c r="A946" s="0" t="str">
        <f aca="false">Raw!A946</f>
        <v>SHP0945</v>
      </c>
      <c r="B946" s="0" t="str">
        <f aca="false">Raw!B946</f>
        <v>Inbound</v>
      </c>
      <c r="C946" s="0" t="str">
        <f aca="false">Raw!C946</f>
        <v>Uttar Pradesh</v>
      </c>
      <c r="D946" s="0" t="str">
        <f aca="false">Raw!D946</f>
        <v>Surat</v>
      </c>
      <c r="E946" s="0" t="str">
        <f aca="false">IFERROR(INDEX(Location_Map!$B$2:$B$15,MATCH(C946,Location_Map!$A$2:$A$15,0)),"UNMAPPED")</f>
        <v>Uttar Pradesh</v>
      </c>
      <c r="F946" s="0" t="str">
        <f aca="false">IFERROR(INDEX(Location_Map!$C$2:$C$15,MATCH(C946,Location_Map!$A$2:$A$15,0)),"UNMAPPED")</f>
        <v>North</v>
      </c>
      <c r="G946" s="0" t="str">
        <f aca="false">IFERROR(INDEX(Location_Map!$B$2:$B$15,MATCH(D946,Location_Map!$A$2:$A$15,0)),"UNMAPPED")</f>
        <v>Gujarat</v>
      </c>
      <c r="H946" s="0" t="str">
        <f aca="false">IFERROR(INDEX(Location_Map!$C$2:$C$15,MATCH(D946,Location_Map!$A$2:$A$15,0)),"UNMAPPED")</f>
        <v>West</v>
      </c>
      <c r="I946" s="0" t="str">
        <f aca="false">Raw!E946</f>
        <v>Finished Yarn</v>
      </c>
      <c r="J946" s="28" t="n">
        <f aca="false">Raw!F946</f>
        <v>15.5</v>
      </c>
      <c r="K946" s="30" t="n">
        <f aca="false">DATE(LEFT(Raw!G946,4),MID(Raw!G946,6,2),MID(Raw!G946,9,2))</f>
        <v>45874</v>
      </c>
      <c r="L946" s="30" t="n">
        <f aca="false">DATE(LEFT(Raw!H946,4),MID(Raw!H946,6,2),MID(Raw!H946,9,2))</f>
        <v>45875</v>
      </c>
      <c r="M946" s="30" t="n">
        <f aca="false">DATE(LEFT(Raw!I946,4),MID(Raw!I946,6,2),MID(Raw!I946,9,2))</f>
        <v>45881</v>
      </c>
      <c r="N946" s="31" t="n">
        <f aca="false">DATE(LEFT(Raw!J946,4),MID(Raw!J946,6,2),MID(Raw!J946,9,2))+TIME(MID(Raw!J946,12,2),MID(Raw!J946,15,2),MID(Raw!J946,18,2))</f>
        <v>45875.1666666667</v>
      </c>
      <c r="O946" s="31" t="n">
        <f aca="false">DATE(LEFT(Raw!K946,4),MID(Raw!K946,6,2),MID(Raw!K946,9,2))+TIME(MID(Raw!K946,12,2),MID(Raw!K946,15,2),MID(Raw!K946,18,2))</f>
        <v>45886.5</v>
      </c>
      <c r="P946" s="32" t="n">
        <f aca="false">L946-K946</f>
        <v>1</v>
      </c>
      <c r="Q946" s="32" t="n">
        <f aca="false">M946-L946</f>
        <v>6</v>
      </c>
      <c r="R946" s="32" t="n">
        <f aca="false">O946-N946</f>
        <v>11.3333333333333</v>
      </c>
      <c r="S946" s="32" t="n">
        <f aca="false">Raw!L946</f>
        <v>5.5</v>
      </c>
      <c r="T946" s="32" t="n">
        <f aca="false">O946-M946</f>
        <v>5.5</v>
      </c>
      <c r="U946" s="0" t="str">
        <f aca="false">IF(ABS(T946-S946)&lt;0.01,"OK","MISMATCH")</f>
        <v>OK</v>
      </c>
      <c r="V946" s="33" t="n">
        <f aca="false">Raw!M946</f>
        <v>1</v>
      </c>
      <c r="W946" s="0" t="str">
        <f aca="false">IF((S946&gt;0)=(V946=1),"OK","MISMATCH")</f>
        <v>OK</v>
      </c>
      <c r="X946" s="0" t="str">
        <f aca="false">_xlfn.IFS(S946&lt;=0,"Early/On time",S946&lt;=2,"Minor (up to 2 days)",S946&lt;=5,"Moderate (2-5 days)",TRUE(),"Severe (over 5 days)")</f>
        <v>Severe (over 5 days)</v>
      </c>
      <c r="Y946" s="0" t="str">
        <f aca="false">YEAR(K946)&amp;"-"&amp;TEXT(MONTH(K946),"00")</f>
        <v>2025-08</v>
      </c>
      <c r="Z946" s="0" t="str">
        <f aca="false">C946&amp;" → "&amp;D946</f>
        <v>Uttar Pradesh → Surat</v>
      </c>
      <c r="AA946" s="0" t="str">
        <f aca="false">Raw!Q946</f>
        <v>GATI Logistics</v>
      </c>
      <c r="AB946" s="0" t="str">
        <f aca="false">Raw!R946</f>
        <v>Yes</v>
      </c>
      <c r="AC946" s="0" t="str">
        <f aca="false">Raw!S946</f>
        <v>Held at warehouse</v>
      </c>
      <c r="AD946" s="29" t="n">
        <f aca="false">Raw!N946</f>
        <v>9295.43</v>
      </c>
      <c r="AE946" s="29" t="n">
        <f aca="false">Raw!O946</f>
        <v>4416.07</v>
      </c>
      <c r="AF946" s="29" t="n">
        <f aca="false">Raw!P946</f>
        <v>1302.46</v>
      </c>
      <c r="AG946" s="29" t="n">
        <f aca="false">AD946/J946</f>
        <v>599.705161290323</v>
      </c>
    </row>
    <row r="947" customFormat="false" ht="15" hidden="false" customHeight="false" outlineLevel="0" collapsed="false">
      <c r="A947" s="0" t="str">
        <f aca="false">Raw!A947</f>
        <v>SHP0946</v>
      </c>
      <c r="B947" s="0" t="str">
        <f aca="false">Raw!B947</f>
        <v>Inbound</v>
      </c>
      <c r="C947" s="0" t="str">
        <f aca="false">Raw!C947</f>
        <v>Punjab</v>
      </c>
      <c r="D947" s="0" t="str">
        <f aca="false">Raw!D947</f>
        <v>Surat</v>
      </c>
      <c r="E947" s="0" t="str">
        <f aca="false">IFERROR(INDEX(Location_Map!$B$2:$B$15,MATCH(C947,Location_Map!$A$2:$A$15,0)),"UNMAPPED")</f>
        <v>Punjab</v>
      </c>
      <c r="F947" s="0" t="str">
        <f aca="false">IFERROR(INDEX(Location_Map!$C$2:$C$15,MATCH(C947,Location_Map!$A$2:$A$15,0)),"UNMAPPED")</f>
        <v>North</v>
      </c>
      <c r="G947" s="0" t="str">
        <f aca="false">IFERROR(INDEX(Location_Map!$B$2:$B$15,MATCH(D947,Location_Map!$A$2:$A$15,0)),"UNMAPPED")</f>
        <v>Gujarat</v>
      </c>
      <c r="H947" s="0" t="str">
        <f aca="false">IFERROR(INDEX(Location_Map!$C$2:$C$15,MATCH(D947,Location_Map!$A$2:$A$15,0)),"UNMAPPED")</f>
        <v>West</v>
      </c>
      <c r="I947" s="0" t="str">
        <f aca="false">Raw!E947</f>
        <v>Semi-Processed Yarn</v>
      </c>
      <c r="J947" s="28" t="n">
        <f aca="false">Raw!F947</f>
        <v>1.79</v>
      </c>
      <c r="K947" s="30" t="n">
        <f aca="false">DATE(LEFT(Raw!G947,4),MID(Raw!G947,6,2),MID(Raw!G947,9,2))</f>
        <v>45771</v>
      </c>
      <c r="L947" s="30" t="n">
        <f aca="false">DATE(LEFT(Raw!H947,4),MID(Raw!H947,6,2),MID(Raw!H947,9,2))</f>
        <v>45772</v>
      </c>
      <c r="M947" s="30" t="n">
        <f aca="false">DATE(LEFT(Raw!I947,4),MID(Raw!I947,6,2),MID(Raw!I947,9,2))</f>
        <v>45778</v>
      </c>
      <c r="N947" s="31" t="n">
        <f aca="false">DATE(LEFT(Raw!J947,4),MID(Raw!J947,6,2),MID(Raw!J947,9,2))+TIME(MID(Raw!J947,12,2),MID(Raw!J947,15,2),MID(Raw!J947,18,2))</f>
        <v>45772</v>
      </c>
      <c r="O947" s="31" t="n">
        <f aca="false">DATE(LEFT(Raw!K947,4),MID(Raw!K947,6,2),MID(Raw!K947,9,2))+TIME(MID(Raw!K947,12,2),MID(Raw!K947,15,2),MID(Raw!K947,18,2))</f>
        <v>45777.7</v>
      </c>
      <c r="P947" s="32" t="n">
        <f aca="false">L947-K947</f>
        <v>1</v>
      </c>
      <c r="Q947" s="32" t="n">
        <f aca="false">M947-L947</f>
        <v>6</v>
      </c>
      <c r="R947" s="32" t="n">
        <f aca="false">O947-N947</f>
        <v>5.7</v>
      </c>
      <c r="S947" s="32" t="n">
        <f aca="false">Raw!L947</f>
        <v>-0.3</v>
      </c>
      <c r="T947" s="32" t="n">
        <f aca="false">O947-M947</f>
        <v>-0.300000000005833</v>
      </c>
      <c r="U947" s="0" t="str">
        <f aca="false">IF(ABS(T947-S947)&lt;0.01,"OK","MISMATCH")</f>
        <v>OK</v>
      </c>
      <c r="V947" s="33" t="n">
        <f aca="false">Raw!M947</f>
        <v>0</v>
      </c>
      <c r="W947" s="0" t="str">
        <f aca="false">IF((S947&gt;0)=(V947=1),"OK","MISMATCH")</f>
        <v>OK</v>
      </c>
      <c r="X947" s="0" t="str">
        <f aca="false">_xlfn.IFS(S947&lt;=0,"Early/On time",S947&lt;=2,"Minor (up to 2 days)",S947&lt;=5,"Moderate (2-5 days)",TRUE(),"Severe (over 5 days)")</f>
        <v>Early/On time</v>
      </c>
      <c r="Y947" s="0" t="str">
        <f aca="false">YEAR(K947)&amp;"-"&amp;TEXT(MONTH(K947),"00")</f>
        <v>2025-04</v>
      </c>
      <c r="Z947" s="0" t="str">
        <f aca="false">C947&amp;" → "&amp;D947</f>
        <v>Punjab → Surat</v>
      </c>
      <c r="AA947" s="0" t="str">
        <f aca="false">Raw!Q947</f>
        <v>TCI Express</v>
      </c>
      <c r="AB947" s="0" t="str">
        <f aca="false">Raw!R947</f>
        <v>Yes</v>
      </c>
      <c r="AC947" s="0" t="str">
        <f aca="false">Raw!S947</f>
        <v>Damaged</v>
      </c>
      <c r="AD947" s="29" t="n">
        <f aca="false">Raw!N947</f>
        <v>2372.97</v>
      </c>
      <c r="AE947" s="29" t="n">
        <f aca="false">Raw!O947</f>
        <v>1479.3</v>
      </c>
      <c r="AF947" s="29" t="n">
        <f aca="false">Raw!P947</f>
        <v>951.09</v>
      </c>
      <c r="AG947" s="29" t="n">
        <f aca="false">AD947/J947</f>
        <v>1325.68156424581</v>
      </c>
    </row>
    <row r="948" customFormat="false" ht="15" hidden="false" customHeight="false" outlineLevel="0" collapsed="false">
      <c r="A948" s="0" t="str">
        <f aca="false">Raw!A948</f>
        <v>SHP0947</v>
      </c>
      <c r="B948" s="0" t="str">
        <f aca="false">Raw!B948</f>
        <v>Inbound</v>
      </c>
      <c r="C948" s="0" t="str">
        <f aca="false">Raw!C948</f>
        <v>Gujarat</v>
      </c>
      <c r="D948" s="0" t="str">
        <f aca="false">Raw!D948</f>
        <v>Surat</v>
      </c>
      <c r="E948" s="0" t="str">
        <f aca="false">IFERROR(INDEX(Location_Map!$B$2:$B$15,MATCH(C948,Location_Map!$A$2:$A$15,0)),"UNMAPPED")</f>
        <v>Gujarat</v>
      </c>
      <c r="F948" s="0" t="str">
        <f aca="false">IFERROR(INDEX(Location_Map!$C$2:$C$15,MATCH(C948,Location_Map!$A$2:$A$15,0)),"UNMAPPED")</f>
        <v>West</v>
      </c>
      <c r="G948" s="0" t="str">
        <f aca="false">IFERROR(INDEX(Location_Map!$B$2:$B$15,MATCH(D948,Location_Map!$A$2:$A$15,0)),"UNMAPPED")</f>
        <v>Gujarat</v>
      </c>
      <c r="H948" s="0" t="str">
        <f aca="false">IFERROR(INDEX(Location_Map!$C$2:$C$15,MATCH(D948,Location_Map!$A$2:$A$15,0)),"UNMAPPED")</f>
        <v>West</v>
      </c>
      <c r="I948" s="0" t="str">
        <f aca="false">Raw!E948</f>
        <v>Finished Yarn</v>
      </c>
      <c r="J948" s="28" t="n">
        <f aca="false">Raw!F948</f>
        <v>18.31</v>
      </c>
      <c r="K948" s="30" t="n">
        <f aca="false">DATE(LEFT(Raw!G948,4),MID(Raw!G948,6,2),MID(Raw!G948,9,2))</f>
        <v>45902</v>
      </c>
      <c r="L948" s="30" t="n">
        <f aca="false">DATE(LEFT(Raw!H948,4),MID(Raw!H948,6,2),MID(Raw!H948,9,2))</f>
        <v>45905</v>
      </c>
      <c r="M948" s="30" t="n">
        <f aca="false">DATE(LEFT(Raw!I948,4),MID(Raw!I948,6,2),MID(Raw!I948,9,2))</f>
        <v>45908</v>
      </c>
      <c r="N948" s="31" t="n">
        <f aca="false">DATE(LEFT(Raw!J948,4),MID(Raw!J948,6,2),MID(Raw!J948,9,2))+TIME(MID(Raw!J948,12,2),MID(Raw!J948,15,2),MID(Raw!J948,18,2))</f>
        <v>45904.875</v>
      </c>
      <c r="O948" s="31" t="n">
        <f aca="false">DATE(LEFT(Raw!K948,4),MID(Raw!K948,6,2),MID(Raw!K948,9,2))+TIME(MID(Raw!K948,12,2),MID(Raw!K948,15,2),MID(Raw!K948,18,2))</f>
        <v>45914.1</v>
      </c>
      <c r="P948" s="32" t="n">
        <f aca="false">L948-K948</f>
        <v>3</v>
      </c>
      <c r="Q948" s="32" t="n">
        <f aca="false">M948-L948</f>
        <v>3</v>
      </c>
      <c r="R948" s="32" t="n">
        <f aca="false">O948-N948</f>
        <v>9.225</v>
      </c>
      <c r="S948" s="32" t="n">
        <f aca="false">Raw!L948</f>
        <v>6.1</v>
      </c>
      <c r="T948" s="32" t="n">
        <f aca="false">O948-M948</f>
        <v>6.1</v>
      </c>
      <c r="U948" s="0" t="str">
        <f aca="false">IF(ABS(T948-S948)&lt;0.01,"OK","MISMATCH")</f>
        <v>OK</v>
      </c>
      <c r="V948" s="33" t="n">
        <f aca="false">Raw!M948</f>
        <v>1</v>
      </c>
      <c r="W948" s="0" t="str">
        <f aca="false">IF((S948&gt;0)=(V948=1),"OK","MISMATCH")</f>
        <v>OK</v>
      </c>
      <c r="X948" s="0" t="str">
        <f aca="false">_xlfn.IFS(S948&lt;=0,"Early/On time",S948&lt;=2,"Minor (up to 2 days)",S948&lt;=5,"Moderate (2-5 days)",TRUE(),"Severe (over 5 days)")</f>
        <v>Severe (over 5 days)</v>
      </c>
      <c r="Y948" s="0" t="str">
        <f aca="false">YEAR(K948)&amp;"-"&amp;TEXT(MONTH(K948),"00")</f>
        <v>2025-09</v>
      </c>
      <c r="Z948" s="0" t="str">
        <f aca="false">C948&amp;" → "&amp;D948</f>
        <v>Gujarat → Surat</v>
      </c>
      <c r="AA948" s="0" t="str">
        <f aca="false">Raw!Q948</f>
        <v>Delhivery</v>
      </c>
      <c r="AB948" s="0" t="str">
        <f aca="false">Raw!R948</f>
        <v>Yes</v>
      </c>
      <c r="AC948" s="0" t="str">
        <f aca="false">Raw!S948</f>
        <v>Damaged</v>
      </c>
      <c r="AD948" s="29" t="n">
        <f aca="false">Raw!N948</f>
        <v>4982.81</v>
      </c>
      <c r="AE948" s="29" t="n">
        <f aca="false">Raw!O948</f>
        <v>2403.69</v>
      </c>
      <c r="AF948" s="29" t="n">
        <f aca="false">Raw!P948</f>
        <v>1430.53</v>
      </c>
      <c r="AG948" s="29" t="n">
        <f aca="false">AD948/J948</f>
        <v>272.135991261606</v>
      </c>
    </row>
    <row r="949" customFormat="false" ht="15" hidden="false" customHeight="false" outlineLevel="0" collapsed="false">
      <c r="A949" s="0" t="str">
        <f aca="false">Raw!A949</f>
        <v>SHP0948</v>
      </c>
      <c r="B949" s="0" t="str">
        <f aca="false">Raw!B949</f>
        <v>Outbound</v>
      </c>
      <c r="C949" s="0" t="str">
        <f aca="false">Raw!C949</f>
        <v>Surat</v>
      </c>
      <c r="D949" s="0" t="str">
        <f aca="false">Raw!D949</f>
        <v>Jaipur</v>
      </c>
      <c r="E949" s="0" t="str">
        <f aca="false">IFERROR(INDEX(Location_Map!$B$2:$B$15,MATCH(C949,Location_Map!$A$2:$A$15,0)),"UNMAPPED")</f>
        <v>Gujarat</v>
      </c>
      <c r="F949" s="0" t="str">
        <f aca="false">IFERROR(INDEX(Location_Map!$C$2:$C$15,MATCH(C949,Location_Map!$A$2:$A$15,0)),"UNMAPPED")</f>
        <v>West</v>
      </c>
      <c r="G949" s="0" t="str">
        <f aca="false">IFERROR(INDEX(Location_Map!$B$2:$B$15,MATCH(D949,Location_Map!$A$2:$A$15,0)),"UNMAPPED")</f>
        <v>Rajasthan</v>
      </c>
      <c r="H949" s="0" t="str">
        <f aca="false">IFERROR(INDEX(Location_Map!$C$2:$C$15,MATCH(D949,Location_Map!$A$2:$A$15,0)),"UNMAPPED")</f>
        <v>North</v>
      </c>
      <c r="I949" s="0" t="str">
        <f aca="false">Raw!E949</f>
        <v>Raw Yarn</v>
      </c>
      <c r="J949" s="28" t="n">
        <f aca="false">Raw!F949</f>
        <v>16.19</v>
      </c>
      <c r="K949" s="30" t="n">
        <f aca="false">DATE(LEFT(Raw!G949,4),MID(Raw!G949,6,2),MID(Raw!G949,9,2))</f>
        <v>45787</v>
      </c>
      <c r="L949" s="30" t="n">
        <f aca="false">DATE(LEFT(Raw!H949,4),MID(Raw!H949,6,2),MID(Raw!H949,9,2))</f>
        <v>45789</v>
      </c>
      <c r="M949" s="30" t="n">
        <f aca="false">DATE(LEFT(Raw!I949,4),MID(Raw!I949,6,2),MID(Raw!I949,9,2))</f>
        <v>45794</v>
      </c>
      <c r="N949" s="31" t="n">
        <f aca="false">DATE(LEFT(Raw!J949,4),MID(Raw!J949,6,2),MID(Raw!J949,9,2))+TIME(MID(Raw!J949,12,2),MID(Raw!J949,15,2),MID(Raw!J949,18,2))</f>
        <v>45789.0416666667</v>
      </c>
      <c r="O949" s="31" t="n">
        <f aca="false">DATE(LEFT(Raw!K949,4),MID(Raw!K949,6,2),MID(Raw!K949,9,2))+TIME(MID(Raw!K949,12,2),MID(Raw!K949,15,2),MID(Raw!K949,18,2))</f>
        <v>45797.1</v>
      </c>
      <c r="P949" s="32" t="n">
        <f aca="false">L949-K949</f>
        <v>2</v>
      </c>
      <c r="Q949" s="32" t="n">
        <f aca="false">M949-L949</f>
        <v>5</v>
      </c>
      <c r="R949" s="32" t="n">
        <f aca="false">O949-N949</f>
        <v>8.05833333333333</v>
      </c>
      <c r="S949" s="32" t="n">
        <f aca="false">Raw!L949</f>
        <v>3.1</v>
      </c>
      <c r="T949" s="32" t="n">
        <f aca="false">O949-M949</f>
        <v>3.1</v>
      </c>
      <c r="U949" s="0" t="str">
        <f aca="false">IF(ABS(T949-S949)&lt;0.01,"OK","MISMATCH")</f>
        <v>OK</v>
      </c>
      <c r="V949" s="33" t="n">
        <f aca="false">Raw!M949</f>
        <v>1</v>
      </c>
      <c r="W949" s="0" t="str">
        <f aca="false">IF((S949&gt;0)=(V949=1),"OK","MISMATCH")</f>
        <v>OK</v>
      </c>
      <c r="X949" s="0" t="str">
        <f aca="false">_xlfn.IFS(S949&lt;=0,"Early/On time",S949&lt;=2,"Minor (up to 2 days)",S949&lt;=5,"Moderate (2-5 days)",TRUE(),"Severe (over 5 days)")</f>
        <v>Moderate (2-5 days)</v>
      </c>
      <c r="Y949" s="0" t="str">
        <f aca="false">YEAR(K949)&amp;"-"&amp;TEXT(MONTH(K949),"00")</f>
        <v>2025-05</v>
      </c>
      <c r="Z949" s="0" t="str">
        <f aca="false">C949&amp;" → "&amp;D949</f>
        <v>Surat → Jaipur</v>
      </c>
      <c r="AA949" s="0" t="str">
        <f aca="false">Raw!Q949</f>
        <v>Delhivery</v>
      </c>
      <c r="AB949" s="0" t="str">
        <f aca="false">Raw!R949</f>
        <v>Yes</v>
      </c>
      <c r="AC949" s="0" t="str">
        <f aca="false">Raw!S949</f>
        <v>Expedited</v>
      </c>
      <c r="AD949" s="29" t="n">
        <f aca="false">Raw!N949</f>
        <v>10431.13</v>
      </c>
      <c r="AE949" s="29" t="n">
        <f aca="false">Raw!O949</f>
        <v>1955.62</v>
      </c>
      <c r="AF949" s="29" t="n">
        <f aca="false">Raw!P949</f>
        <v>541.82</v>
      </c>
      <c r="AG949" s="29" t="n">
        <f aca="false">AD949/J949</f>
        <v>644.294626312539</v>
      </c>
    </row>
    <row r="950" customFormat="false" ht="15" hidden="false" customHeight="false" outlineLevel="0" collapsed="false">
      <c r="A950" s="0" t="str">
        <f aca="false">Raw!A950</f>
        <v>SHP0949</v>
      </c>
      <c r="B950" s="0" t="str">
        <f aca="false">Raw!B950</f>
        <v>Outbound</v>
      </c>
      <c r="C950" s="0" t="str">
        <f aca="false">Raw!C950</f>
        <v>Surat</v>
      </c>
      <c r="D950" s="0" t="str">
        <f aca="false">Raw!D950</f>
        <v>Uttarakhand</v>
      </c>
      <c r="E950" s="0" t="str">
        <f aca="false">IFERROR(INDEX(Location_Map!$B$2:$B$15,MATCH(C950,Location_Map!$A$2:$A$15,0)),"UNMAPPED")</f>
        <v>Gujarat</v>
      </c>
      <c r="F950" s="0" t="str">
        <f aca="false">IFERROR(INDEX(Location_Map!$C$2:$C$15,MATCH(C950,Location_Map!$A$2:$A$15,0)),"UNMAPPED")</f>
        <v>West</v>
      </c>
      <c r="G950" s="0" t="str">
        <f aca="false">IFERROR(INDEX(Location_Map!$B$2:$B$15,MATCH(D950,Location_Map!$A$2:$A$15,0)),"UNMAPPED")</f>
        <v>Uttarakhand</v>
      </c>
      <c r="H950" s="0" t="str">
        <f aca="false">IFERROR(INDEX(Location_Map!$C$2:$C$15,MATCH(D950,Location_Map!$A$2:$A$15,0)),"UNMAPPED")</f>
        <v>North</v>
      </c>
      <c r="I950" s="0" t="str">
        <f aca="false">Raw!E950</f>
        <v>Raw Yarn</v>
      </c>
      <c r="J950" s="28" t="n">
        <f aca="false">Raw!F950</f>
        <v>12.85</v>
      </c>
      <c r="K950" s="30" t="n">
        <f aca="false">DATE(LEFT(Raw!G950,4),MID(Raw!G950,6,2),MID(Raw!G950,9,2))</f>
        <v>45826</v>
      </c>
      <c r="L950" s="30" t="n">
        <f aca="false">DATE(LEFT(Raw!H950,4),MID(Raw!H950,6,2),MID(Raw!H950,9,2))</f>
        <v>45828</v>
      </c>
      <c r="M950" s="30" t="n">
        <f aca="false">DATE(LEFT(Raw!I950,4),MID(Raw!I950,6,2),MID(Raw!I950,9,2))</f>
        <v>45832</v>
      </c>
      <c r="N950" s="31" t="n">
        <f aca="false">DATE(LEFT(Raw!J950,4),MID(Raw!J950,6,2),MID(Raw!J950,9,2))+TIME(MID(Raw!J950,12,2),MID(Raw!J950,15,2),MID(Raw!J950,18,2))</f>
        <v>45827.7916666667</v>
      </c>
      <c r="O950" s="31" t="n">
        <f aca="false">DATE(LEFT(Raw!K950,4),MID(Raw!K950,6,2),MID(Raw!K950,9,2))+TIME(MID(Raw!K950,12,2),MID(Raw!K950,15,2),MID(Raw!K950,18,2))</f>
        <v>45833.8</v>
      </c>
      <c r="P950" s="32" t="n">
        <f aca="false">L950-K950</f>
        <v>2</v>
      </c>
      <c r="Q950" s="32" t="n">
        <f aca="false">M950-L950</f>
        <v>4</v>
      </c>
      <c r="R950" s="32" t="n">
        <f aca="false">O950-N950</f>
        <v>6.00833333333333</v>
      </c>
      <c r="S950" s="32" t="n">
        <f aca="false">Raw!L950</f>
        <v>1.8</v>
      </c>
      <c r="T950" s="32" t="n">
        <f aca="false">O950-M950</f>
        <v>1.8</v>
      </c>
      <c r="U950" s="0" t="str">
        <f aca="false">IF(ABS(T950-S950)&lt;0.01,"OK","MISMATCH")</f>
        <v>OK</v>
      </c>
      <c r="V950" s="33" t="n">
        <f aca="false">Raw!M950</f>
        <v>1</v>
      </c>
      <c r="W950" s="0" t="str">
        <f aca="false">IF((S950&gt;0)=(V950=1),"OK","MISMATCH")</f>
        <v>OK</v>
      </c>
      <c r="X950" s="0" t="str">
        <f aca="false">_xlfn.IFS(S950&lt;=0,"Early/On time",S950&lt;=2,"Minor (up to 2 days)",S950&lt;=5,"Moderate (2-5 days)",TRUE(),"Severe (over 5 days)")</f>
        <v>Minor (up to 2 days)</v>
      </c>
      <c r="Y950" s="0" t="str">
        <f aca="false">YEAR(K950)&amp;"-"&amp;TEXT(MONTH(K950),"00")</f>
        <v>2025-06</v>
      </c>
      <c r="Z950" s="0" t="str">
        <f aca="false">C950&amp;" → "&amp;D950</f>
        <v>Surat → Uttarakhand</v>
      </c>
      <c r="AA950" s="0" t="str">
        <f aca="false">Raw!Q950</f>
        <v>TCI Express</v>
      </c>
      <c r="AB950" s="0" t="str">
        <f aca="false">Raw!R950</f>
        <v>No</v>
      </c>
      <c r="AC950" s="0" t="str">
        <f aca="false">Raw!S950</f>
        <v>Held at warehouse</v>
      </c>
      <c r="AD950" s="29" t="n">
        <f aca="false">Raw!N950</f>
        <v>10254.47</v>
      </c>
      <c r="AE950" s="29" t="n">
        <f aca="false">Raw!O950</f>
        <v>4572.01</v>
      </c>
      <c r="AF950" s="29" t="n">
        <f aca="false">Raw!P950</f>
        <v>1219.18</v>
      </c>
      <c r="AG950" s="29" t="n">
        <f aca="false">AD950/J950</f>
        <v>798.013229571984</v>
      </c>
    </row>
    <row r="951" customFormat="false" ht="15" hidden="false" customHeight="false" outlineLevel="0" collapsed="false">
      <c r="A951" s="0" t="str">
        <f aca="false">Raw!A951</f>
        <v>SHP0950</v>
      </c>
      <c r="B951" s="0" t="str">
        <f aca="false">Raw!B951</f>
        <v>Inbound</v>
      </c>
      <c r="C951" s="0" t="str">
        <f aca="false">Raw!C951</f>
        <v>Chennai</v>
      </c>
      <c r="D951" s="0" t="str">
        <f aca="false">Raw!D951</f>
        <v>Surat</v>
      </c>
      <c r="E951" s="0" t="str">
        <f aca="false">IFERROR(INDEX(Location_Map!$B$2:$B$15,MATCH(C951,Location_Map!$A$2:$A$15,0)),"UNMAPPED")</f>
        <v>Tamil Nadu</v>
      </c>
      <c r="F951" s="0" t="str">
        <f aca="false">IFERROR(INDEX(Location_Map!$C$2:$C$15,MATCH(C951,Location_Map!$A$2:$A$15,0)),"UNMAPPED")</f>
        <v>South</v>
      </c>
      <c r="G951" s="0" t="str">
        <f aca="false">IFERROR(INDEX(Location_Map!$B$2:$B$15,MATCH(D951,Location_Map!$A$2:$A$15,0)),"UNMAPPED")</f>
        <v>Gujarat</v>
      </c>
      <c r="H951" s="0" t="str">
        <f aca="false">IFERROR(INDEX(Location_Map!$C$2:$C$15,MATCH(D951,Location_Map!$A$2:$A$15,0)),"UNMAPPED")</f>
        <v>West</v>
      </c>
      <c r="I951" s="0" t="str">
        <f aca="false">Raw!E951</f>
        <v>Semi-Processed Yarn</v>
      </c>
      <c r="J951" s="28" t="n">
        <f aca="false">Raw!F951</f>
        <v>12.11</v>
      </c>
      <c r="K951" s="30" t="n">
        <f aca="false">DATE(LEFT(Raw!G951,4),MID(Raw!G951,6,2),MID(Raw!G951,9,2))</f>
        <v>45864</v>
      </c>
      <c r="L951" s="30" t="n">
        <f aca="false">DATE(LEFT(Raw!H951,4),MID(Raw!H951,6,2),MID(Raw!H951,9,2))</f>
        <v>45868</v>
      </c>
      <c r="M951" s="30" t="n">
        <f aca="false">DATE(LEFT(Raw!I951,4),MID(Raw!I951,6,2),MID(Raw!I951,9,2))</f>
        <v>45870</v>
      </c>
      <c r="N951" s="31" t="n">
        <f aca="false">DATE(LEFT(Raw!J951,4),MID(Raw!J951,6,2),MID(Raw!J951,9,2))+TIME(MID(Raw!J951,12,2),MID(Raw!J951,15,2),MID(Raw!J951,18,2))</f>
        <v>45867.7916666667</v>
      </c>
      <c r="O951" s="31" t="n">
        <f aca="false">DATE(LEFT(Raw!K951,4),MID(Raw!K951,6,2),MID(Raw!K951,9,2))+TIME(MID(Raw!K951,12,2),MID(Raw!K951,15,2),MID(Raw!K951,18,2))</f>
        <v>45875</v>
      </c>
      <c r="P951" s="32" t="n">
        <f aca="false">L951-K951</f>
        <v>4</v>
      </c>
      <c r="Q951" s="32" t="n">
        <f aca="false">M951-L951</f>
        <v>2</v>
      </c>
      <c r="R951" s="32" t="n">
        <f aca="false">O951-N951</f>
        <v>7.20833333333333</v>
      </c>
      <c r="S951" s="32" t="n">
        <f aca="false">Raw!L951</f>
        <v>5</v>
      </c>
      <c r="T951" s="32" t="n">
        <f aca="false">O951-M951</f>
        <v>5</v>
      </c>
      <c r="U951" s="0" t="str">
        <f aca="false">IF(ABS(T951-S951)&lt;0.01,"OK","MISMATCH")</f>
        <v>OK</v>
      </c>
      <c r="V951" s="33" t="n">
        <f aca="false">Raw!M951</f>
        <v>1</v>
      </c>
      <c r="W951" s="0" t="str">
        <f aca="false">IF((S951&gt;0)=(V951=1),"OK","MISMATCH")</f>
        <v>OK</v>
      </c>
      <c r="X951" s="0" t="str">
        <f aca="false">_xlfn.IFS(S951&lt;=0,"Early/On time",S951&lt;=2,"Minor (up to 2 days)",S951&lt;=5,"Moderate (2-5 days)",TRUE(),"Severe (over 5 days)")</f>
        <v>Moderate (2-5 days)</v>
      </c>
      <c r="Y951" s="0" t="str">
        <f aca="false">YEAR(K951)&amp;"-"&amp;TEXT(MONTH(K951),"00")</f>
        <v>2025-07</v>
      </c>
      <c r="Z951" s="0" t="str">
        <f aca="false">C951&amp;" → "&amp;D951</f>
        <v>Chennai → Surat</v>
      </c>
      <c r="AA951" s="0" t="str">
        <f aca="false">Raw!Q951</f>
        <v>Delhivery</v>
      </c>
      <c r="AB951" s="0" t="str">
        <f aca="false">Raw!R951</f>
        <v>Yes</v>
      </c>
      <c r="AC951" s="0" t="str">
        <f aca="false">Raw!S951</f>
        <v>Damaged</v>
      </c>
      <c r="AD951" s="29" t="n">
        <f aca="false">Raw!N951</f>
        <v>6883.22</v>
      </c>
      <c r="AE951" s="29" t="n">
        <f aca="false">Raw!O951</f>
        <v>3716.99</v>
      </c>
      <c r="AF951" s="29" t="n">
        <f aca="false">Raw!P951</f>
        <v>752.28</v>
      </c>
      <c r="AG951" s="29" t="n">
        <f aca="false">AD951/J951</f>
        <v>568.391412056152</v>
      </c>
    </row>
    <row r="952" customFormat="false" ht="15" hidden="false" customHeight="false" outlineLevel="0" collapsed="false">
      <c r="A952" s="0" t="str">
        <f aca="false">Raw!A952</f>
        <v>SHP0951</v>
      </c>
      <c r="B952" s="0" t="str">
        <f aca="false">Raw!B952</f>
        <v>Inbound</v>
      </c>
      <c r="C952" s="0" t="str">
        <f aca="false">Raw!C952</f>
        <v>Punjab</v>
      </c>
      <c r="D952" s="0" t="str">
        <f aca="false">Raw!D952</f>
        <v>Surat</v>
      </c>
      <c r="E952" s="0" t="str">
        <f aca="false">IFERROR(INDEX(Location_Map!$B$2:$B$15,MATCH(C952,Location_Map!$A$2:$A$15,0)),"UNMAPPED")</f>
        <v>Punjab</v>
      </c>
      <c r="F952" s="0" t="str">
        <f aca="false">IFERROR(INDEX(Location_Map!$C$2:$C$15,MATCH(C952,Location_Map!$A$2:$A$15,0)),"UNMAPPED")</f>
        <v>North</v>
      </c>
      <c r="G952" s="0" t="str">
        <f aca="false">IFERROR(INDEX(Location_Map!$B$2:$B$15,MATCH(D952,Location_Map!$A$2:$A$15,0)),"UNMAPPED")</f>
        <v>Gujarat</v>
      </c>
      <c r="H952" s="0" t="str">
        <f aca="false">IFERROR(INDEX(Location_Map!$C$2:$C$15,MATCH(D952,Location_Map!$A$2:$A$15,0)),"UNMAPPED")</f>
        <v>West</v>
      </c>
      <c r="I952" s="0" t="str">
        <f aca="false">Raw!E952</f>
        <v>Finished Yarn</v>
      </c>
      <c r="J952" s="28" t="n">
        <f aca="false">Raw!F952</f>
        <v>12.15</v>
      </c>
      <c r="K952" s="30" t="n">
        <f aca="false">DATE(LEFT(Raw!G952,4),MID(Raw!G952,6,2),MID(Raw!G952,9,2))</f>
        <v>45896</v>
      </c>
      <c r="L952" s="30" t="n">
        <f aca="false">DATE(LEFT(Raw!H952,4),MID(Raw!H952,6,2),MID(Raw!H952,9,2))</f>
        <v>45898</v>
      </c>
      <c r="M952" s="30" t="n">
        <f aca="false">DATE(LEFT(Raw!I952,4),MID(Raw!I952,6,2),MID(Raw!I952,9,2))</f>
        <v>45904</v>
      </c>
      <c r="N952" s="31" t="n">
        <f aca="false">DATE(LEFT(Raw!J952,4),MID(Raw!J952,6,2),MID(Raw!J952,9,2))+TIME(MID(Raw!J952,12,2),MID(Raw!J952,15,2),MID(Raw!J952,18,2))</f>
        <v>45898.1666666667</v>
      </c>
      <c r="O952" s="31" t="n">
        <f aca="false">DATE(LEFT(Raw!K952,4),MID(Raw!K952,6,2),MID(Raw!K952,9,2))+TIME(MID(Raw!K952,12,2),MID(Raw!K952,15,2),MID(Raw!K952,18,2))</f>
        <v>45907.6</v>
      </c>
      <c r="P952" s="32" t="n">
        <f aca="false">L952-K952</f>
        <v>2</v>
      </c>
      <c r="Q952" s="32" t="n">
        <f aca="false">M952-L952</f>
        <v>6</v>
      </c>
      <c r="R952" s="32" t="n">
        <f aca="false">O952-N952</f>
        <v>9.43333333333333</v>
      </c>
      <c r="S952" s="32" t="n">
        <f aca="false">Raw!L952</f>
        <v>3.6</v>
      </c>
      <c r="T952" s="32" t="n">
        <f aca="false">O952-M952</f>
        <v>3.6</v>
      </c>
      <c r="U952" s="0" t="str">
        <f aca="false">IF(ABS(T952-S952)&lt;0.01,"OK","MISMATCH")</f>
        <v>OK</v>
      </c>
      <c r="V952" s="33" t="n">
        <f aca="false">Raw!M952</f>
        <v>1</v>
      </c>
      <c r="W952" s="0" t="str">
        <f aca="false">IF((S952&gt;0)=(V952=1),"OK","MISMATCH")</f>
        <v>OK</v>
      </c>
      <c r="X952" s="0" t="str">
        <f aca="false">_xlfn.IFS(S952&lt;=0,"Early/On time",S952&lt;=2,"Minor (up to 2 days)",S952&lt;=5,"Moderate (2-5 days)",TRUE(),"Severe (over 5 days)")</f>
        <v>Moderate (2-5 days)</v>
      </c>
      <c r="Y952" s="0" t="str">
        <f aca="false">YEAR(K952)&amp;"-"&amp;TEXT(MONTH(K952),"00")</f>
        <v>2025-08</v>
      </c>
      <c r="Z952" s="0" t="str">
        <f aca="false">C952&amp;" → "&amp;D952</f>
        <v>Punjab → Surat</v>
      </c>
      <c r="AA952" s="0" t="str">
        <f aca="false">Raw!Q952</f>
        <v>VRL Cargo</v>
      </c>
      <c r="AB952" s="0" t="str">
        <f aca="false">Raw!R952</f>
        <v>Yes</v>
      </c>
      <c r="AC952" s="0" t="str">
        <f aca="false">Raw!S952</f>
        <v>Normal</v>
      </c>
      <c r="AD952" s="29" t="n">
        <f aca="false">Raw!N952</f>
        <v>6118.09</v>
      </c>
      <c r="AE952" s="29" t="n">
        <f aca="false">Raw!O952</f>
        <v>3045.87</v>
      </c>
      <c r="AF952" s="29" t="n">
        <f aca="false">Raw!P952</f>
        <v>1233.92</v>
      </c>
      <c r="AG952" s="29" t="n">
        <f aca="false">AD952/J952</f>
        <v>503.546502057613</v>
      </c>
    </row>
    <row r="953" customFormat="false" ht="15" hidden="false" customHeight="false" outlineLevel="0" collapsed="false">
      <c r="A953" s="0" t="str">
        <f aca="false">Raw!A953</f>
        <v>SHP0952</v>
      </c>
      <c r="B953" s="0" t="str">
        <f aca="false">Raw!B953</f>
        <v>Inbound</v>
      </c>
      <c r="C953" s="0" t="str">
        <f aca="false">Raw!C953</f>
        <v>Rajasthan</v>
      </c>
      <c r="D953" s="0" t="str">
        <f aca="false">Raw!D953</f>
        <v>Surat</v>
      </c>
      <c r="E953" s="0" t="str">
        <f aca="false">IFERROR(INDEX(Location_Map!$B$2:$B$15,MATCH(C953,Location_Map!$A$2:$A$15,0)),"UNMAPPED")</f>
        <v>Rajasthan</v>
      </c>
      <c r="F953" s="0" t="str">
        <f aca="false">IFERROR(INDEX(Location_Map!$C$2:$C$15,MATCH(C953,Location_Map!$A$2:$A$15,0)),"UNMAPPED")</f>
        <v>North</v>
      </c>
      <c r="G953" s="0" t="str">
        <f aca="false">IFERROR(INDEX(Location_Map!$B$2:$B$15,MATCH(D953,Location_Map!$A$2:$A$15,0)),"UNMAPPED")</f>
        <v>Gujarat</v>
      </c>
      <c r="H953" s="0" t="str">
        <f aca="false">IFERROR(INDEX(Location_Map!$C$2:$C$15,MATCH(D953,Location_Map!$A$2:$A$15,0)),"UNMAPPED")</f>
        <v>West</v>
      </c>
      <c r="I953" s="0" t="str">
        <f aca="false">Raw!E953</f>
        <v>Finished Yarn</v>
      </c>
      <c r="J953" s="28" t="n">
        <f aca="false">Raw!F953</f>
        <v>8.81</v>
      </c>
      <c r="K953" s="30" t="n">
        <f aca="false">DATE(LEFT(Raw!G953,4),MID(Raw!G953,6,2),MID(Raw!G953,9,2))</f>
        <v>45764</v>
      </c>
      <c r="L953" s="30" t="n">
        <f aca="false">DATE(LEFT(Raw!H953,4),MID(Raw!H953,6,2),MID(Raw!H953,9,2))</f>
        <v>45766</v>
      </c>
      <c r="M953" s="30" t="n">
        <f aca="false">DATE(LEFT(Raw!I953,4),MID(Raw!I953,6,2),MID(Raw!I953,9,2))</f>
        <v>45772</v>
      </c>
      <c r="N953" s="31" t="n">
        <f aca="false">DATE(LEFT(Raw!J953,4),MID(Raw!J953,6,2),MID(Raw!J953,9,2))+TIME(MID(Raw!J953,12,2),MID(Raw!J953,15,2),MID(Raw!J953,18,2))</f>
        <v>45765.8333333333</v>
      </c>
      <c r="O953" s="31" t="n">
        <f aca="false">DATE(LEFT(Raw!K953,4),MID(Raw!K953,6,2),MID(Raw!K953,9,2))+TIME(MID(Raw!K953,12,2),MID(Raw!K953,15,2),MID(Raw!K953,18,2))</f>
        <v>45773.5</v>
      </c>
      <c r="P953" s="32" t="n">
        <f aca="false">L953-K953</f>
        <v>2</v>
      </c>
      <c r="Q953" s="32" t="n">
        <f aca="false">M953-L953</f>
        <v>6</v>
      </c>
      <c r="R953" s="32" t="n">
        <f aca="false">O953-N953</f>
        <v>7.66666666666667</v>
      </c>
      <c r="S953" s="32" t="n">
        <f aca="false">Raw!L953</f>
        <v>1.5</v>
      </c>
      <c r="T953" s="32" t="n">
        <f aca="false">O953-M953</f>
        <v>1.5</v>
      </c>
      <c r="U953" s="0" t="str">
        <f aca="false">IF(ABS(T953-S953)&lt;0.01,"OK","MISMATCH")</f>
        <v>OK</v>
      </c>
      <c r="V953" s="33" t="n">
        <f aca="false">Raw!M953</f>
        <v>1</v>
      </c>
      <c r="W953" s="0" t="str">
        <f aca="false">IF((S953&gt;0)=(V953=1),"OK","MISMATCH")</f>
        <v>OK</v>
      </c>
      <c r="X953" s="0" t="str">
        <f aca="false">_xlfn.IFS(S953&lt;=0,"Early/On time",S953&lt;=2,"Minor (up to 2 days)",S953&lt;=5,"Moderate (2-5 days)",TRUE(),"Severe (over 5 days)")</f>
        <v>Minor (up to 2 days)</v>
      </c>
      <c r="Y953" s="0" t="str">
        <f aca="false">YEAR(K953)&amp;"-"&amp;TEXT(MONTH(K953),"00")</f>
        <v>2025-04</v>
      </c>
      <c r="Z953" s="0" t="str">
        <f aca="false">C953&amp;" → "&amp;D953</f>
        <v>Rajasthan → Surat</v>
      </c>
      <c r="AA953" s="0" t="str">
        <f aca="false">Raw!Q953</f>
        <v>BlueDart</v>
      </c>
      <c r="AB953" s="0" t="str">
        <f aca="false">Raw!R953</f>
        <v>Yes</v>
      </c>
      <c r="AC953" s="0" t="str">
        <f aca="false">Raw!S953</f>
        <v>Returned</v>
      </c>
      <c r="AD953" s="29" t="n">
        <f aca="false">Raw!N953</f>
        <v>4958.12</v>
      </c>
      <c r="AE953" s="29" t="n">
        <f aca="false">Raw!O953</f>
        <v>2988.62</v>
      </c>
      <c r="AF953" s="29" t="n">
        <f aca="false">Raw!P953</f>
        <v>634.79</v>
      </c>
      <c r="AG953" s="29" t="n">
        <f aca="false">AD953/J953</f>
        <v>562.783200908059</v>
      </c>
    </row>
    <row r="954" customFormat="false" ht="15" hidden="false" customHeight="false" outlineLevel="0" collapsed="false">
      <c r="A954" s="0" t="str">
        <f aca="false">Raw!A954</f>
        <v>SHP0953</v>
      </c>
      <c r="B954" s="0" t="str">
        <f aca="false">Raw!B954</f>
        <v>Outbound</v>
      </c>
      <c r="C954" s="0" t="str">
        <f aca="false">Raw!C954</f>
        <v>Surat</v>
      </c>
      <c r="D954" s="0" t="str">
        <f aca="false">Raw!D954</f>
        <v>Uttarakhand</v>
      </c>
      <c r="E954" s="0" t="str">
        <f aca="false">IFERROR(INDEX(Location_Map!$B$2:$B$15,MATCH(C954,Location_Map!$A$2:$A$15,0)),"UNMAPPED")</f>
        <v>Gujarat</v>
      </c>
      <c r="F954" s="0" t="str">
        <f aca="false">IFERROR(INDEX(Location_Map!$C$2:$C$15,MATCH(C954,Location_Map!$A$2:$A$15,0)),"UNMAPPED")</f>
        <v>West</v>
      </c>
      <c r="G954" s="0" t="str">
        <f aca="false">IFERROR(INDEX(Location_Map!$B$2:$B$15,MATCH(D954,Location_Map!$A$2:$A$15,0)),"UNMAPPED")</f>
        <v>Uttarakhand</v>
      </c>
      <c r="H954" s="0" t="str">
        <f aca="false">IFERROR(INDEX(Location_Map!$C$2:$C$15,MATCH(D954,Location_Map!$A$2:$A$15,0)),"UNMAPPED")</f>
        <v>North</v>
      </c>
      <c r="I954" s="0" t="str">
        <f aca="false">Raw!E954</f>
        <v>Finished Yarn</v>
      </c>
      <c r="J954" s="28" t="n">
        <f aca="false">Raw!F954</f>
        <v>10.43</v>
      </c>
      <c r="K954" s="30" t="n">
        <f aca="false">DATE(LEFT(Raw!G954,4),MID(Raw!G954,6,2),MID(Raw!G954,9,2))</f>
        <v>45708</v>
      </c>
      <c r="L954" s="30" t="n">
        <f aca="false">DATE(LEFT(Raw!H954,4),MID(Raw!H954,6,2),MID(Raw!H954,9,2))</f>
        <v>45709</v>
      </c>
      <c r="M954" s="30" t="n">
        <f aca="false">DATE(LEFT(Raw!I954,4),MID(Raw!I954,6,2),MID(Raw!I954,9,2))</f>
        <v>45712</v>
      </c>
      <c r="N954" s="31" t="n">
        <f aca="false">DATE(LEFT(Raw!J954,4),MID(Raw!J954,6,2),MID(Raw!J954,9,2))+TIME(MID(Raw!J954,12,2),MID(Raw!J954,15,2),MID(Raw!J954,18,2))</f>
        <v>45709.25</v>
      </c>
      <c r="O954" s="31" t="n">
        <f aca="false">DATE(LEFT(Raw!K954,4),MID(Raw!K954,6,2),MID(Raw!K954,9,2))+TIME(MID(Raw!K954,12,2),MID(Raw!K954,15,2),MID(Raw!K954,18,2))</f>
        <v>45712</v>
      </c>
      <c r="P954" s="32" t="n">
        <f aca="false">L954-K954</f>
        <v>1</v>
      </c>
      <c r="Q954" s="32" t="n">
        <f aca="false">M954-L954</f>
        <v>3</v>
      </c>
      <c r="R954" s="32" t="n">
        <f aca="false">O954-N954</f>
        <v>2.75</v>
      </c>
      <c r="S954" s="32" t="n">
        <f aca="false">Raw!L954</f>
        <v>0</v>
      </c>
      <c r="T954" s="32" t="n">
        <f aca="false">O954-M954</f>
        <v>0</v>
      </c>
      <c r="U954" s="0" t="str">
        <f aca="false">IF(ABS(T954-S954)&lt;0.01,"OK","MISMATCH")</f>
        <v>OK</v>
      </c>
      <c r="V954" s="33" t="n">
        <f aca="false">Raw!M954</f>
        <v>0</v>
      </c>
      <c r="W954" s="0" t="str">
        <f aca="false">IF((S954&gt;0)=(V954=1),"OK","MISMATCH")</f>
        <v>OK</v>
      </c>
      <c r="X954" s="0" t="str">
        <f aca="false">_xlfn.IFS(S954&lt;=0,"Early/On time",S954&lt;=2,"Minor (up to 2 days)",S954&lt;=5,"Moderate (2-5 days)",TRUE(),"Severe (over 5 days)")</f>
        <v>Early/On time</v>
      </c>
      <c r="Y954" s="0" t="str">
        <f aca="false">YEAR(K954)&amp;"-"&amp;TEXT(MONTH(K954),"00")</f>
        <v>2025-02</v>
      </c>
      <c r="Z954" s="0" t="str">
        <f aca="false">C954&amp;" → "&amp;D954</f>
        <v>Surat → Uttarakhand</v>
      </c>
      <c r="AA954" s="0" t="str">
        <f aca="false">Raw!Q954</f>
        <v>VRL Cargo</v>
      </c>
      <c r="AB954" s="0" t="str">
        <f aca="false">Raw!R954</f>
        <v>No</v>
      </c>
      <c r="AC954" s="0" t="str">
        <f aca="false">Raw!S954</f>
        <v>Returned</v>
      </c>
      <c r="AD954" s="29" t="n">
        <f aca="false">Raw!N954</f>
        <v>6238.1</v>
      </c>
      <c r="AE954" s="29" t="n">
        <f aca="false">Raw!O954</f>
        <v>3551.72</v>
      </c>
      <c r="AF954" s="29" t="n">
        <f aca="false">Raw!P954</f>
        <v>1269.17</v>
      </c>
      <c r="AG954" s="29" t="n">
        <f aca="false">AD954/J954</f>
        <v>598.092042186002</v>
      </c>
    </row>
    <row r="955" customFormat="false" ht="15" hidden="false" customHeight="false" outlineLevel="0" collapsed="false">
      <c r="A955" s="0" t="str">
        <f aca="false">Raw!A955</f>
        <v>SHP0954</v>
      </c>
      <c r="B955" s="0" t="str">
        <f aca="false">Raw!B955</f>
        <v>Inbound</v>
      </c>
      <c r="C955" s="0" t="str">
        <f aca="false">Raw!C955</f>
        <v>Chennai</v>
      </c>
      <c r="D955" s="0" t="str">
        <f aca="false">Raw!D955</f>
        <v>Surat</v>
      </c>
      <c r="E955" s="0" t="str">
        <f aca="false">IFERROR(INDEX(Location_Map!$B$2:$B$15,MATCH(C955,Location_Map!$A$2:$A$15,0)),"UNMAPPED")</f>
        <v>Tamil Nadu</v>
      </c>
      <c r="F955" s="0" t="str">
        <f aca="false">IFERROR(INDEX(Location_Map!$C$2:$C$15,MATCH(C955,Location_Map!$A$2:$A$15,0)),"UNMAPPED")</f>
        <v>South</v>
      </c>
      <c r="G955" s="0" t="str">
        <f aca="false">IFERROR(INDEX(Location_Map!$B$2:$B$15,MATCH(D955,Location_Map!$A$2:$A$15,0)),"UNMAPPED")</f>
        <v>Gujarat</v>
      </c>
      <c r="H955" s="0" t="str">
        <f aca="false">IFERROR(INDEX(Location_Map!$C$2:$C$15,MATCH(D955,Location_Map!$A$2:$A$15,0)),"UNMAPPED")</f>
        <v>West</v>
      </c>
      <c r="I955" s="0" t="str">
        <f aca="false">Raw!E955</f>
        <v>Semi-Processed Yarn</v>
      </c>
      <c r="J955" s="28" t="n">
        <f aca="false">Raw!F955</f>
        <v>8</v>
      </c>
      <c r="K955" s="30" t="n">
        <f aca="false">DATE(LEFT(Raw!G955,4),MID(Raw!G955,6,2),MID(Raw!G955,9,2))</f>
        <v>45946</v>
      </c>
      <c r="L955" s="30" t="n">
        <f aca="false">DATE(LEFT(Raw!H955,4),MID(Raw!H955,6,2),MID(Raw!H955,9,2))</f>
        <v>45950</v>
      </c>
      <c r="M955" s="30" t="n">
        <f aca="false">DATE(LEFT(Raw!I955,4),MID(Raw!I955,6,2),MID(Raw!I955,9,2))</f>
        <v>45952</v>
      </c>
      <c r="N955" s="31" t="n">
        <f aca="false">DATE(LEFT(Raw!J955,4),MID(Raw!J955,6,2),MID(Raw!J955,9,2))+TIME(MID(Raw!J955,12,2),MID(Raw!J955,15,2),MID(Raw!J955,18,2))</f>
        <v>45950.2083333333</v>
      </c>
      <c r="O955" s="31" t="n">
        <f aca="false">DATE(LEFT(Raw!K955,4),MID(Raw!K955,6,2),MID(Raw!K955,9,2))+TIME(MID(Raw!K955,12,2),MID(Raw!K955,15,2),MID(Raw!K955,18,2))</f>
        <v>45951</v>
      </c>
      <c r="P955" s="32" t="n">
        <f aca="false">L955-K955</f>
        <v>4</v>
      </c>
      <c r="Q955" s="32" t="n">
        <f aca="false">M955-L955</f>
        <v>2</v>
      </c>
      <c r="R955" s="32" t="n">
        <f aca="false">O955-N955</f>
        <v>0.791666666666667</v>
      </c>
      <c r="S955" s="32" t="n">
        <f aca="false">Raw!L955</f>
        <v>-1</v>
      </c>
      <c r="T955" s="32" t="n">
        <f aca="false">O955-M955</f>
        <v>-1</v>
      </c>
      <c r="U955" s="0" t="str">
        <f aca="false">IF(ABS(T955-S955)&lt;0.01,"OK","MISMATCH")</f>
        <v>OK</v>
      </c>
      <c r="V955" s="33" t="n">
        <f aca="false">Raw!M955</f>
        <v>0</v>
      </c>
      <c r="W955" s="0" t="str">
        <f aca="false">IF((S955&gt;0)=(V955=1),"OK","MISMATCH")</f>
        <v>OK</v>
      </c>
      <c r="X955" s="0" t="str">
        <f aca="false">_xlfn.IFS(S955&lt;=0,"Early/On time",S955&lt;=2,"Minor (up to 2 days)",S955&lt;=5,"Moderate (2-5 days)",TRUE(),"Severe (over 5 days)")</f>
        <v>Early/On time</v>
      </c>
      <c r="Y955" s="0" t="str">
        <f aca="false">YEAR(K955)&amp;"-"&amp;TEXT(MONTH(K955),"00")</f>
        <v>2025-10</v>
      </c>
      <c r="Z955" s="0" t="str">
        <f aca="false">C955&amp;" → "&amp;D955</f>
        <v>Chennai → Surat</v>
      </c>
      <c r="AA955" s="0" t="str">
        <f aca="false">Raw!Q955</f>
        <v>Delhivery</v>
      </c>
      <c r="AB955" s="0" t="str">
        <f aca="false">Raw!R955</f>
        <v>Yes</v>
      </c>
      <c r="AC955" s="0" t="str">
        <f aca="false">Raw!S955</f>
        <v>Expedited</v>
      </c>
      <c r="AD955" s="29" t="n">
        <f aca="false">Raw!N955</f>
        <v>2982.15</v>
      </c>
      <c r="AE955" s="29" t="n">
        <f aca="false">Raw!O955</f>
        <v>2142.51</v>
      </c>
      <c r="AF955" s="29" t="n">
        <f aca="false">Raw!P955</f>
        <v>770.91</v>
      </c>
      <c r="AG955" s="29" t="n">
        <f aca="false">AD955/J955</f>
        <v>372.76875</v>
      </c>
    </row>
    <row r="956" customFormat="false" ht="15" hidden="false" customHeight="false" outlineLevel="0" collapsed="false">
      <c r="A956" s="0" t="str">
        <f aca="false">Raw!A956</f>
        <v>SHP0955</v>
      </c>
      <c r="B956" s="0" t="str">
        <f aca="false">Raw!B956</f>
        <v>Outbound</v>
      </c>
      <c r="C956" s="0" t="str">
        <f aca="false">Raw!C956</f>
        <v>Surat</v>
      </c>
      <c r="D956" s="0" t="str">
        <f aca="false">Raw!D956</f>
        <v>Assam</v>
      </c>
      <c r="E956" s="0" t="str">
        <f aca="false">IFERROR(INDEX(Location_Map!$B$2:$B$15,MATCH(C956,Location_Map!$A$2:$A$15,0)),"UNMAPPED")</f>
        <v>Gujarat</v>
      </c>
      <c r="F956" s="0" t="str">
        <f aca="false">IFERROR(INDEX(Location_Map!$C$2:$C$15,MATCH(C956,Location_Map!$A$2:$A$15,0)),"UNMAPPED")</f>
        <v>West</v>
      </c>
      <c r="G956" s="0" t="str">
        <f aca="false">IFERROR(INDEX(Location_Map!$B$2:$B$15,MATCH(D956,Location_Map!$A$2:$A$15,0)),"UNMAPPED")</f>
        <v>Assam</v>
      </c>
      <c r="H956" s="0" t="str">
        <f aca="false">IFERROR(INDEX(Location_Map!$C$2:$C$15,MATCH(D956,Location_Map!$A$2:$A$15,0)),"UNMAPPED")</f>
        <v>North-East</v>
      </c>
      <c r="I956" s="0" t="str">
        <f aca="false">Raw!E956</f>
        <v>Finished Yarn</v>
      </c>
      <c r="J956" s="28" t="n">
        <f aca="false">Raw!F956</f>
        <v>17.25</v>
      </c>
      <c r="K956" s="30" t="n">
        <f aca="false">DATE(LEFT(Raw!G956,4),MID(Raw!G956,6,2),MID(Raw!G956,9,2))</f>
        <v>45667</v>
      </c>
      <c r="L956" s="30" t="n">
        <f aca="false">DATE(LEFT(Raw!H956,4),MID(Raw!H956,6,2),MID(Raw!H956,9,2))</f>
        <v>45668</v>
      </c>
      <c r="M956" s="30" t="n">
        <f aca="false">DATE(LEFT(Raw!I956,4),MID(Raw!I956,6,2),MID(Raw!I956,9,2))</f>
        <v>45674</v>
      </c>
      <c r="N956" s="31" t="n">
        <f aca="false">DATE(LEFT(Raw!J956,4),MID(Raw!J956,6,2),MID(Raw!J956,9,2))+TIME(MID(Raw!J956,12,2),MID(Raw!J956,15,2),MID(Raw!J956,18,2))</f>
        <v>45668.375</v>
      </c>
      <c r="O956" s="31" t="n">
        <f aca="false">DATE(LEFT(Raw!K956,4),MID(Raw!K956,6,2),MID(Raw!K956,9,2))+TIME(MID(Raw!K956,12,2),MID(Raw!K956,15,2),MID(Raw!K956,18,2))</f>
        <v>45679</v>
      </c>
      <c r="P956" s="32" t="n">
        <f aca="false">L956-K956</f>
        <v>1</v>
      </c>
      <c r="Q956" s="32" t="n">
        <f aca="false">M956-L956</f>
        <v>6</v>
      </c>
      <c r="R956" s="32" t="n">
        <f aca="false">O956-N956</f>
        <v>10.625</v>
      </c>
      <c r="S956" s="32" t="n">
        <f aca="false">Raw!L956</f>
        <v>5</v>
      </c>
      <c r="T956" s="32" t="n">
        <f aca="false">O956-M956</f>
        <v>5</v>
      </c>
      <c r="U956" s="0" t="str">
        <f aca="false">IF(ABS(T956-S956)&lt;0.01,"OK","MISMATCH")</f>
        <v>OK</v>
      </c>
      <c r="V956" s="33" t="n">
        <f aca="false">Raw!M956</f>
        <v>1</v>
      </c>
      <c r="W956" s="0" t="str">
        <f aca="false">IF((S956&gt;0)=(V956=1),"OK","MISMATCH")</f>
        <v>OK</v>
      </c>
      <c r="X956" s="0" t="str">
        <f aca="false">_xlfn.IFS(S956&lt;=0,"Early/On time",S956&lt;=2,"Minor (up to 2 days)",S956&lt;=5,"Moderate (2-5 days)",TRUE(),"Severe (over 5 days)")</f>
        <v>Moderate (2-5 days)</v>
      </c>
      <c r="Y956" s="0" t="str">
        <f aca="false">YEAR(K956)&amp;"-"&amp;TEXT(MONTH(K956),"00")</f>
        <v>2025-01</v>
      </c>
      <c r="Z956" s="0" t="str">
        <f aca="false">C956&amp;" → "&amp;D956</f>
        <v>Surat → Assam</v>
      </c>
      <c r="AA956" s="0" t="str">
        <f aca="false">Raw!Q956</f>
        <v>GATI Logistics</v>
      </c>
      <c r="AB956" s="0" t="str">
        <f aca="false">Raw!R956</f>
        <v>No</v>
      </c>
      <c r="AC956" s="0" t="str">
        <f aca="false">Raw!S956</f>
        <v>Held at warehouse</v>
      </c>
      <c r="AD956" s="29" t="n">
        <f aca="false">Raw!N956</f>
        <v>10245.37</v>
      </c>
      <c r="AE956" s="29" t="n">
        <f aca="false">Raw!O956</f>
        <v>1023.08</v>
      </c>
      <c r="AF956" s="29" t="n">
        <f aca="false">Raw!P956</f>
        <v>929.32</v>
      </c>
      <c r="AG956" s="29" t="n">
        <f aca="false">AD956/J956</f>
        <v>593.934492753623</v>
      </c>
    </row>
    <row r="957" customFormat="false" ht="15" hidden="false" customHeight="false" outlineLevel="0" collapsed="false">
      <c r="A957" s="0" t="str">
        <f aca="false">Raw!A957</f>
        <v>SHP0956</v>
      </c>
      <c r="B957" s="0" t="str">
        <f aca="false">Raw!B957</f>
        <v>Inbound</v>
      </c>
      <c r="C957" s="0" t="str">
        <f aca="false">Raw!C957</f>
        <v>Rajasthan</v>
      </c>
      <c r="D957" s="0" t="str">
        <f aca="false">Raw!D957</f>
        <v>Surat</v>
      </c>
      <c r="E957" s="0" t="str">
        <f aca="false">IFERROR(INDEX(Location_Map!$B$2:$B$15,MATCH(C957,Location_Map!$A$2:$A$15,0)),"UNMAPPED")</f>
        <v>Rajasthan</v>
      </c>
      <c r="F957" s="0" t="str">
        <f aca="false">IFERROR(INDEX(Location_Map!$C$2:$C$15,MATCH(C957,Location_Map!$A$2:$A$15,0)),"UNMAPPED")</f>
        <v>North</v>
      </c>
      <c r="G957" s="0" t="str">
        <f aca="false">IFERROR(INDEX(Location_Map!$B$2:$B$15,MATCH(D957,Location_Map!$A$2:$A$15,0)),"UNMAPPED")</f>
        <v>Gujarat</v>
      </c>
      <c r="H957" s="0" t="str">
        <f aca="false">IFERROR(INDEX(Location_Map!$C$2:$C$15,MATCH(D957,Location_Map!$A$2:$A$15,0)),"UNMAPPED")</f>
        <v>West</v>
      </c>
      <c r="I957" s="0" t="str">
        <f aca="false">Raw!E957</f>
        <v>Semi-Processed Yarn</v>
      </c>
      <c r="J957" s="28" t="n">
        <f aca="false">Raw!F957</f>
        <v>8.75</v>
      </c>
      <c r="K957" s="30" t="n">
        <f aca="false">DATE(LEFT(Raw!G957,4),MID(Raw!G957,6,2),MID(Raw!G957,9,2))</f>
        <v>45692</v>
      </c>
      <c r="L957" s="30" t="n">
        <f aca="false">DATE(LEFT(Raw!H957,4),MID(Raw!H957,6,2),MID(Raw!H957,9,2))</f>
        <v>45695</v>
      </c>
      <c r="M957" s="30" t="n">
        <f aca="false">DATE(LEFT(Raw!I957,4),MID(Raw!I957,6,2),MID(Raw!I957,9,2))</f>
        <v>45698</v>
      </c>
      <c r="N957" s="31" t="n">
        <f aca="false">DATE(LEFT(Raw!J957,4),MID(Raw!J957,6,2),MID(Raw!J957,9,2))+TIME(MID(Raw!J957,12,2),MID(Raw!J957,15,2),MID(Raw!J957,18,2))</f>
        <v>45695.125</v>
      </c>
      <c r="O957" s="31" t="n">
        <f aca="false">DATE(LEFT(Raw!K957,4),MID(Raw!K957,6,2),MID(Raw!K957,9,2))+TIME(MID(Raw!K957,12,2),MID(Raw!K957,15,2),MID(Raw!K957,18,2))</f>
        <v>45706.7</v>
      </c>
      <c r="P957" s="32" t="n">
        <f aca="false">L957-K957</f>
        <v>3</v>
      </c>
      <c r="Q957" s="32" t="n">
        <f aca="false">M957-L957</f>
        <v>3</v>
      </c>
      <c r="R957" s="32" t="n">
        <f aca="false">O957-N957</f>
        <v>11.575</v>
      </c>
      <c r="S957" s="32" t="n">
        <f aca="false">Raw!L957</f>
        <v>8.7</v>
      </c>
      <c r="T957" s="32" t="n">
        <f aca="false">O957-M957</f>
        <v>8.7</v>
      </c>
      <c r="U957" s="0" t="str">
        <f aca="false">IF(ABS(T957-S957)&lt;0.01,"OK","MISMATCH")</f>
        <v>OK</v>
      </c>
      <c r="V957" s="33" t="n">
        <f aca="false">Raw!M957</f>
        <v>1</v>
      </c>
      <c r="W957" s="0" t="str">
        <f aca="false">IF((S957&gt;0)=(V957=1),"OK","MISMATCH")</f>
        <v>OK</v>
      </c>
      <c r="X957" s="0" t="str">
        <f aca="false">_xlfn.IFS(S957&lt;=0,"Early/On time",S957&lt;=2,"Minor (up to 2 days)",S957&lt;=5,"Moderate (2-5 days)",TRUE(),"Severe (over 5 days)")</f>
        <v>Severe (over 5 days)</v>
      </c>
      <c r="Y957" s="0" t="str">
        <f aca="false">YEAR(K957)&amp;"-"&amp;TEXT(MONTH(K957),"00")</f>
        <v>2025-02</v>
      </c>
      <c r="Z957" s="0" t="str">
        <f aca="false">C957&amp;" → "&amp;D957</f>
        <v>Rajasthan → Surat</v>
      </c>
      <c r="AA957" s="0" t="str">
        <f aca="false">Raw!Q957</f>
        <v>VRL Cargo</v>
      </c>
      <c r="AB957" s="0" t="str">
        <f aca="false">Raw!R957</f>
        <v>Yes</v>
      </c>
      <c r="AC957" s="0" t="str">
        <f aca="false">Raw!S957</f>
        <v>Expedited</v>
      </c>
      <c r="AD957" s="29" t="n">
        <f aca="false">Raw!N957</f>
        <v>6081.15</v>
      </c>
      <c r="AE957" s="29" t="n">
        <f aca="false">Raw!O957</f>
        <v>1000.21</v>
      </c>
      <c r="AF957" s="29" t="n">
        <f aca="false">Raw!P957</f>
        <v>1453.92</v>
      </c>
      <c r="AG957" s="29" t="n">
        <f aca="false">AD957/J957</f>
        <v>694.988571428571</v>
      </c>
    </row>
    <row r="958" customFormat="false" ht="15" hidden="false" customHeight="false" outlineLevel="0" collapsed="false">
      <c r="A958" s="0" t="str">
        <f aca="false">Raw!A958</f>
        <v>SHP0957</v>
      </c>
      <c r="B958" s="0" t="str">
        <f aca="false">Raw!B958</f>
        <v>Outbound</v>
      </c>
      <c r="C958" s="0" t="str">
        <f aca="false">Raw!C958</f>
        <v>Surat</v>
      </c>
      <c r="D958" s="0" t="str">
        <f aca="false">Raw!D958</f>
        <v>Mumbai</v>
      </c>
      <c r="E958" s="0" t="str">
        <f aca="false">IFERROR(INDEX(Location_Map!$B$2:$B$15,MATCH(C958,Location_Map!$A$2:$A$15,0)),"UNMAPPED")</f>
        <v>Gujarat</v>
      </c>
      <c r="F958" s="0" t="str">
        <f aca="false">IFERROR(INDEX(Location_Map!$C$2:$C$15,MATCH(C958,Location_Map!$A$2:$A$15,0)),"UNMAPPED")</f>
        <v>West</v>
      </c>
      <c r="G958" s="0" t="str">
        <f aca="false">IFERROR(INDEX(Location_Map!$B$2:$B$15,MATCH(D958,Location_Map!$A$2:$A$15,0)),"UNMAPPED")</f>
        <v>Maharashtra</v>
      </c>
      <c r="H958" s="0" t="str">
        <f aca="false">IFERROR(INDEX(Location_Map!$C$2:$C$15,MATCH(D958,Location_Map!$A$2:$A$15,0)),"UNMAPPED")</f>
        <v>West</v>
      </c>
      <c r="I958" s="0" t="str">
        <f aca="false">Raw!E958</f>
        <v>Finished Yarn</v>
      </c>
      <c r="J958" s="28" t="n">
        <f aca="false">Raw!F958</f>
        <v>16.47</v>
      </c>
      <c r="K958" s="30" t="n">
        <f aca="false">DATE(LEFT(Raw!G958,4),MID(Raw!G958,6,2),MID(Raw!G958,9,2))</f>
        <v>45929</v>
      </c>
      <c r="L958" s="30" t="n">
        <f aca="false">DATE(LEFT(Raw!H958,4),MID(Raw!H958,6,2),MID(Raw!H958,9,2))</f>
        <v>45930</v>
      </c>
      <c r="M958" s="30" t="n">
        <f aca="false">DATE(LEFT(Raw!I958,4),MID(Raw!I958,6,2),MID(Raw!I958,9,2))</f>
        <v>45935</v>
      </c>
      <c r="N958" s="31" t="n">
        <f aca="false">DATE(LEFT(Raw!J958,4),MID(Raw!J958,6,2),MID(Raw!J958,9,2))+TIME(MID(Raw!J958,12,2),MID(Raw!J958,15,2),MID(Raw!J958,18,2))</f>
        <v>45930</v>
      </c>
      <c r="O958" s="31" t="n">
        <f aca="false">DATE(LEFT(Raw!K958,4),MID(Raw!K958,6,2),MID(Raw!K958,9,2))+TIME(MID(Raw!K958,12,2),MID(Raw!K958,15,2),MID(Raw!K958,18,2))</f>
        <v>45936.8</v>
      </c>
      <c r="P958" s="32" t="n">
        <f aca="false">L958-K958</f>
        <v>1</v>
      </c>
      <c r="Q958" s="32" t="n">
        <f aca="false">M958-L958</f>
        <v>5</v>
      </c>
      <c r="R958" s="32" t="n">
        <f aca="false">O958-N958</f>
        <v>6.8</v>
      </c>
      <c r="S958" s="32" t="n">
        <f aca="false">Raw!L958</f>
        <v>1.8</v>
      </c>
      <c r="T958" s="32" t="n">
        <f aca="false">O958-M958</f>
        <v>1.8</v>
      </c>
      <c r="U958" s="0" t="str">
        <f aca="false">IF(ABS(T958-S958)&lt;0.01,"OK","MISMATCH")</f>
        <v>OK</v>
      </c>
      <c r="V958" s="33" t="n">
        <f aca="false">Raw!M958</f>
        <v>1</v>
      </c>
      <c r="W958" s="0" t="str">
        <f aca="false">IF((S958&gt;0)=(V958=1),"OK","MISMATCH")</f>
        <v>OK</v>
      </c>
      <c r="X958" s="0" t="str">
        <f aca="false">_xlfn.IFS(S958&lt;=0,"Early/On time",S958&lt;=2,"Minor (up to 2 days)",S958&lt;=5,"Moderate (2-5 days)",TRUE(),"Severe (over 5 days)")</f>
        <v>Minor (up to 2 days)</v>
      </c>
      <c r="Y958" s="0" t="str">
        <f aca="false">YEAR(K958)&amp;"-"&amp;TEXT(MONTH(K958),"00")</f>
        <v>2025-09</v>
      </c>
      <c r="Z958" s="0" t="str">
        <f aca="false">C958&amp;" → "&amp;D958</f>
        <v>Surat → Mumbai</v>
      </c>
      <c r="AA958" s="0" t="str">
        <f aca="false">Raw!Q958</f>
        <v>BlueDart</v>
      </c>
      <c r="AB958" s="0" t="str">
        <f aca="false">Raw!R958</f>
        <v>Yes</v>
      </c>
      <c r="AC958" s="0" t="str">
        <f aca="false">Raw!S958</f>
        <v>Damaged</v>
      </c>
      <c r="AD958" s="29" t="n">
        <f aca="false">Raw!N958</f>
        <v>6262.93</v>
      </c>
      <c r="AE958" s="29" t="n">
        <f aca="false">Raw!O958</f>
        <v>4839.67</v>
      </c>
      <c r="AF958" s="29" t="n">
        <f aca="false">Raw!P958</f>
        <v>1178.55</v>
      </c>
      <c r="AG958" s="29" t="n">
        <f aca="false">AD958/J958</f>
        <v>380.262902246509</v>
      </c>
    </row>
    <row r="959" customFormat="false" ht="15" hidden="false" customHeight="false" outlineLevel="0" collapsed="false">
      <c r="A959" s="0" t="str">
        <f aca="false">Raw!A959</f>
        <v>SHP0958</v>
      </c>
      <c r="B959" s="0" t="str">
        <f aca="false">Raw!B959</f>
        <v>Inbound</v>
      </c>
      <c r="C959" s="0" t="str">
        <f aca="false">Raw!C959</f>
        <v>Rajasthan</v>
      </c>
      <c r="D959" s="0" t="str">
        <f aca="false">Raw!D959</f>
        <v>Surat</v>
      </c>
      <c r="E959" s="0" t="str">
        <f aca="false">IFERROR(INDEX(Location_Map!$B$2:$B$15,MATCH(C959,Location_Map!$A$2:$A$15,0)),"UNMAPPED")</f>
        <v>Rajasthan</v>
      </c>
      <c r="F959" s="0" t="str">
        <f aca="false">IFERROR(INDEX(Location_Map!$C$2:$C$15,MATCH(C959,Location_Map!$A$2:$A$15,0)),"UNMAPPED")</f>
        <v>North</v>
      </c>
      <c r="G959" s="0" t="str">
        <f aca="false">IFERROR(INDEX(Location_Map!$B$2:$B$15,MATCH(D959,Location_Map!$A$2:$A$15,0)),"UNMAPPED")</f>
        <v>Gujarat</v>
      </c>
      <c r="H959" s="0" t="str">
        <f aca="false">IFERROR(INDEX(Location_Map!$C$2:$C$15,MATCH(D959,Location_Map!$A$2:$A$15,0)),"UNMAPPED")</f>
        <v>West</v>
      </c>
      <c r="I959" s="0" t="str">
        <f aca="false">Raw!E959</f>
        <v>Finished Yarn</v>
      </c>
      <c r="J959" s="28" t="n">
        <f aca="false">Raw!F959</f>
        <v>11.84</v>
      </c>
      <c r="K959" s="30" t="n">
        <f aca="false">DATE(LEFT(Raw!G959,4),MID(Raw!G959,6,2),MID(Raw!G959,9,2))</f>
        <v>45941</v>
      </c>
      <c r="L959" s="30" t="n">
        <f aca="false">DATE(LEFT(Raw!H959,4),MID(Raw!H959,6,2),MID(Raw!H959,9,2))</f>
        <v>45943</v>
      </c>
      <c r="M959" s="30" t="n">
        <f aca="false">DATE(LEFT(Raw!I959,4),MID(Raw!I959,6,2),MID(Raw!I959,9,2))</f>
        <v>45947</v>
      </c>
      <c r="N959" s="31" t="n">
        <f aca="false">DATE(LEFT(Raw!J959,4),MID(Raw!J959,6,2),MID(Raw!J959,9,2))+TIME(MID(Raw!J959,12,2),MID(Raw!J959,15,2),MID(Raw!J959,18,2))</f>
        <v>45942.7916666667</v>
      </c>
      <c r="O959" s="31" t="n">
        <f aca="false">DATE(LEFT(Raw!K959,4),MID(Raw!K959,6,2),MID(Raw!K959,9,2))+TIME(MID(Raw!K959,12,2),MID(Raw!K959,15,2),MID(Raw!K959,18,2))</f>
        <v>45952.7</v>
      </c>
      <c r="P959" s="32" t="n">
        <f aca="false">L959-K959</f>
        <v>2</v>
      </c>
      <c r="Q959" s="32" t="n">
        <f aca="false">M959-L959</f>
        <v>4</v>
      </c>
      <c r="R959" s="32" t="n">
        <f aca="false">O959-N959</f>
        <v>9.90833333333333</v>
      </c>
      <c r="S959" s="32" t="n">
        <f aca="false">Raw!L959</f>
        <v>5.7</v>
      </c>
      <c r="T959" s="32" t="n">
        <f aca="false">O959-M959</f>
        <v>5.7</v>
      </c>
      <c r="U959" s="0" t="str">
        <f aca="false">IF(ABS(T959-S959)&lt;0.01,"OK","MISMATCH")</f>
        <v>OK</v>
      </c>
      <c r="V959" s="33" t="n">
        <f aca="false">Raw!M959</f>
        <v>1</v>
      </c>
      <c r="W959" s="0" t="str">
        <f aca="false">IF((S959&gt;0)=(V959=1),"OK","MISMATCH")</f>
        <v>OK</v>
      </c>
      <c r="X959" s="0" t="str">
        <f aca="false">_xlfn.IFS(S959&lt;=0,"Early/On time",S959&lt;=2,"Minor (up to 2 days)",S959&lt;=5,"Moderate (2-5 days)",TRUE(),"Severe (over 5 days)")</f>
        <v>Severe (over 5 days)</v>
      </c>
      <c r="Y959" s="0" t="str">
        <f aca="false">YEAR(K959)&amp;"-"&amp;TEXT(MONTH(K959),"00")</f>
        <v>2025-10</v>
      </c>
      <c r="Z959" s="0" t="str">
        <f aca="false">C959&amp;" → "&amp;D959</f>
        <v>Rajasthan → Surat</v>
      </c>
      <c r="AA959" s="0" t="str">
        <f aca="false">Raw!Q959</f>
        <v>GATI Logistics</v>
      </c>
      <c r="AB959" s="0" t="str">
        <f aca="false">Raw!R959</f>
        <v>No</v>
      </c>
      <c r="AC959" s="0" t="str">
        <f aca="false">Raw!S959</f>
        <v>Expedited</v>
      </c>
      <c r="AD959" s="29" t="n">
        <f aca="false">Raw!N959</f>
        <v>4186.84</v>
      </c>
      <c r="AE959" s="29" t="n">
        <f aca="false">Raw!O959</f>
        <v>3747.81</v>
      </c>
      <c r="AF959" s="29" t="n">
        <f aca="false">Raw!P959</f>
        <v>1291.91</v>
      </c>
      <c r="AG959" s="29" t="n">
        <f aca="false">AD959/J959</f>
        <v>353.618243243243</v>
      </c>
    </row>
    <row r="960" customFormat="false" ht="15" hidden="false" customHeight="false" outlineLevel="0" collapsed="false">
      <c r="A960" s="0" t="str">
        <f aca="false">Raw!A960</f>
        <v>SHP0959</v>
      </c>
      <c r="B960" s="0" t="str">
        <f aca="false">Raw!B960</f>
        <v>Inbound</v>
      </c>
      <c r="C960" s="0" t="str">
        <f aca="false">Raw!C960</f>
        <v>Rajasthan</v>
      </c>
      <c r="D960" s="0" t="str">
        <f aca="false">Raw!D960</f>
        <v>Surat</v>
      </c>
      <c r="E960" s="0" t="str">
        <f aca="false">IFERROR(INDEX(Location_Map!$B$2:$B$15,MATCH(C960,Location_Map!$A$2:$A$15,0)),"UNMAPPED")</f>
        <v>Rajasthan</v>
      </c>
      <c r="F960" s="0" t="str">
        <f aca="false">IFERROR(INDEX(Location_Map!$C$2:$C$15,MATCH(C960,Location_Map!$A$2:$A$15,0)),"UNMAPPED")</f>
        <v>North</v>
      </c>
      <c r="G960" s="0" t="str">
        <f aca="false">IFERROR(INDEX(Location_Map!$B$2:$B$15,MATCH(D960,Location_Map!$A$2:$A$15,0)),"UNMAPPED")</f>
        <v>Gujarat</v>
      </c>
      <c r="H960" s="0" t="str">
        <f aca="false">IFERROR(INDEX(Location_Map!$C$2:$C$15,MATCH(D960,Location_Map!$A$2:$A$15,0)),"UNMAPPED")</f>
        <v>West</v>
      </c>
      <c r="I960" s="0" t="str">
        <f aca="false">Raw!E960</f>
        <v>Semi-Processed Yarn</v>
      </c>
      <c r="J960" s="28" t="n">
        <f aca="false">Raw!F960</f>
        <v>12.08</v>
      </c>
      <c r="K960" s="30" t="n">
        <f aca="false">DATE(LEFT(Raw!G960,4),MID(Raw!G960,6,2),MID(Raw!G960,9,2))</f>
        <v>45930</v>
      </c>
      <c r="L960" s="30" t="n">
        <f aca="false">DATE(LEFT(Raw!H960,4),MID(Raw!H960,6,2),MID(Raw!H960,9,2))</f>
        <v>45934</v>
      </c>
      <c r="M960" s="30" t="n">
        <f aca="false">DATE(LEFT(Raw!I960,4),MID(Raw!I960,6,2),MID(Raw!I960,9,2))</f>
        <v>45940</v>
      </c>
      <c r="N960" s="31" t="n">
        <f aca="false">DATE(LEFT(Raw!J960,4),MID(Raw!J960,6,2),MID(Raw!J960,9,2))+TIME(MID(Raw!J960,12,2),MID(Raw!J960,15,2),MID(Raw!J960,18,2))</f>
        <v>45933.875</v>
      </c>
      <c r="O960" s="31" t="n">
        <f aca="false">DATE(LEFT(Raw!K960,4),MID(Raw!K960,6,2),MID(Raw!K960,9,2))+TIME(MID(Raw!K960,12,2),MID(Raw!K960,15,2),MID(Raw!K960,18,2))</f>
        <v>45939</v>
      </c>
      <c r="P960" s="32" t="n">
        <f aca="false">L960-K960</f>
        <v>4</v>
      </c>
      <c r="Q960" s="32" t="n">
        <f aca="false">M960-L960</f>
        <v>6</v>
      </c>
      <c r="R960" s="32" t="n">
        <f aca="false">O960-N960</f>
        <v>5.125</v>
      </c>
      <c r="S960" s="32" t="n">
        <f aca="false">Raw!L960</f>
        <v>-1</v>
      </c>
      <c r="T960" s="32" t="n">
        <f aca="false">O960-M960</f>
        <v>-1</v>
      </c>
      <c r="U960" s="0" t="str">
        <f aca="false">IF(ABS(T960-S960)&lt;0.01,"OK","MISMATCH")</f>
        <v>OK</v>
      </c>
      <c r="V960" s="33" t="n">
        <f aca="false">Raw!M960</f>
        <v>0</v>
      </c>
      <c r="W960" s="0" t="str">
        <f aca="false">IF((S960&gt;0)=(V960=1),"OK","MISMATCH")</f>
        <v>OK</v>
      </c>
      <c r="X960" s="0" t="str">
        <f aca="false">_xlfn.IFS(S960&lt;=0,"Early/On time",S960&lt;=2,"Minor (up to 2 days)",S960&lt;=5,"Moderate (2-5 days)",TRUE(),"Severe (over 5 days)")</f>
        <v>Early/On time</v>
      </c>
      <c r="Y960" s="0" t="str">
        <f aca="false">YEAR(K960)&amp;"-"&amp;TEXT(MONTH(K960),"00")</f>
        <v>2025-09</v>
      </c>
      <c r="Z960" s="0" t="str">
        <f aca="false">C960&amp;" → "&amp;D960</f>
        <v>Rajasthan → Surat</v>
      </c>
      <c r="AA960" s="0" t="str">
        <f aca="false">Raw!Q960</f>
        <v>TCI Express</v>
      </c>
      <c r="AB960" s="0" t="str">
        <f aca="false">Raw!R960</f>
        <v>No</v>
      </c>
      <c r="AC960" s="0" t="str">
        <f aca="false">Raw!S960</f>
        <v>Normal</v>
      </c>
      <c r="AD960" s="29" t="n">
        <f aca="false">Raw!N960</f>
        <v>9353.62</v>
      </c>
      <c r="AE960" s="29" t="n">
        <f aca="false">Raw!O960</f>
        <v>1510</v>
      </c>
      <c r="AF960" s="29" t="n">
        <f aca="false">Raw!P960</f>
        <v>593.03</v>
      </c>
      <c r="AG960" s="29" t="n">
        <f aca="false">AD960/J960</f>
        <v>774.306291390729</v>
      </c>
    </row>
    <row r="961" customFormat="false" ht="15" hidden="false" customHeight="false" outlineLevel="0" collapsed="false">
      <c r="A961" s="0" t="str">
        <f aca="false">Raw!A961</f>
        <v>SHP0960</v>
      </c>
      <c r="B961" s="0" t="str">
        <f aca="false">Raw!B961</f>
        <v>Outbound</v>
      </c>
      <c r="C961" s="0" t="str">
        <f aca="false">Raw!C961</f>
        <v>Surat</v>
      </c>
      <c r="D961" s="0" t="str">
        <f aca="false">Raw!D961</f>
        <v>Mumbai</v>
      </c>
      <c r="E961" s="0" t="str">
        <f aca="false">IFERROR(INDEX(Location_Map!$B$2:$B$15,MATCH(C961,Location_Map!$A$2:$A$15,0)),"UNMAPPED")</f>
        <v>Gujarat</v>
      </c>
      <c r="F961" s="0" t="str">
        <f aca="false">IFERROR(INDEX(Location_Map!$C$2:$C$15,MATCH(C961,Location_Map!$A$2:$A$15,0)),"UNMAPPED")</f>
        <v>West</v>
      </c>
      <c r="G961" s="0" t="str">
        <f aca="false">IFERROR(INDEX(Location_Map!$B$2:$B$15,MATCH(D961,Location_Map!$A$2:$A$15,0)),"UNMAPPED")</f>
        <v>Maharashtra</v>
      </c>
      <c r="H961" s="0" t="str">
        <f aca="false">IFERROR(INDEX(Location_Map!$C$2:$C$15,MATCH(D961,Location_Map!$A$2:$A$15,0)),"UNMAPPED")</f>
        <v>West</v>
      </c>
      <c r="I961" s="0" t="str">
        <f aca="false">Raw!E961</f>
        <v>Raw Yarn</v>
      </c>
      <c r="J961" s="28" t="n">
        <f aca="false">Raw!F961</f>
        <v>12.2</v>
      </c>
      <c r="K961" s="30" t="n">
        <f aca="false">DATE(LEFT(Raw!G961,4),MID(Raw!G961,6,2),MID(Raw!G961,9,2))</f>
        <v>45817</v>
      </c>
      <c r="L961" s="30" t="n">
        <f aca="false">DATE(LEFT(Raw!H961,4),MID(Raw!H961,6,2),MID(Raw!H961,9,2))</f>
        <v>45819</v>
      </c>
      <c r="M961" s="30" t="n">
        <f aca="false">DATE(LEFT(Raw!I961,4),MID(Raw!I961,6,2),MID(Raw!I961,9,2))</f>
        <v>45823</v>
      </c>
      <c r="N961" s="31" t="n">
        <f aca="false">DATE(LEFT(Raw!J961,4),MID(Raw!J961,6,2),MID(Raw!J961,9,2))+TIME(MID(Raw!J961,12,2),MID(Raw!J961,15,2),MID(Raw!J961,18,2))</f>
        <v>45818.875</v>
      </c>
      <c r="O961" s="31" t="n">
        <f aca="false">DATE(LEFT(Raw!K961,4),MID(Raw!K961,6,2),MID(Raw!K961,9,2))+TIME(MID(Raw!K961,12,2),MID(Raw!K961,15,2),MID(Raw!K961,18,2))</f>
        <v>45827.6</v>
      </c>
      <c r="P961" s="32" t="n">
        <f aca="false">L961-K961</f>
        <v>2</v>
      </c>
      <c r="Q961" s="32" t="n">
        <f aca="false">M961-L961</f>
        <v>4</v>
      </c>
      <c r="R961" s="32" t="n">
        <f aca="false">O961-N961</f>
        <v>8.725</v>
      </c>
      <c r="S961" s="32" t="n">
        <f aca="false">Raw!L961</f>
        <v>4.6</v>
      </c>
      <c r="T961" s="32" t="n">
        <f aca="false">O961-M961</f>
        <v>4.6</v>
      </c>
      <c r="U961" s="0" t="str">
        <f aca="false">IF(ABS(T961-S961)&lt;0.01,"OK","MISMATCH")</f>
        <v>OK</v>
      </c>
      <c r="V961" s="33" t="n">
        <f aca="false">Raw!M961</f>
        <v>1</v>
      </c>
      <c r="W961" s="0" t="str">
        <f aca="false">IF((S961&gt;0)=(V961=1),"OK","MISMATCH")</f>
        <v>OK</v>
      </c>
      <c r="X961" s="0" t="str">
        <f aca="false">_xlfn.IFS(S961&lt;=0,"Early/On time",S961&lt;=2,"Minor (up to 2 days)",S961&lt;=5,"Moderate (2-5 days)",TRUE(),"Severe (over 5 days)")</f>
        <v>Moderate (2-5 days)</v>
      </c>
      <c r="Y961" s="0" t="str">
        <f aca="false">YEAR(K961)&amp;"-"&amp;TEXT(MONTH(K961),"00")</f>
        <v>2025-06</v>
      </c>
      <c r="Z961" s="0" t="str">
        <f aca="false">C961&amp;" → "&amp;D961</f>
        <v>Surat → Mumbai</v>
      </c>
      <c r="AA961" s="0" t="str">
        <f aca="false">Raw!Q961</f>
        <v>Delhivery</v>
      </c>
      <c r="AB961" s="0" t="str">
        <f aca="false">Raw!R961</f>
        <v>No</v>
      </c>
      <c r="AC961" s="0" t="str">
        <f aca="false">Raw!S961</f>
        <v>Returned</v>
      </c>
      <c r="AD961" s="29" t="n">
        <f aca="false">Raw!N961</f>
        <v>6143.51</v>
      </c>
      <c r="AE961" s="29" t="n">
        <f aca="false">Raw!O961</f>
        <v>2793.47</v>
      </c>
      <c r="AF961" s="29" t="n">
        <f aca="false">Raw!P961</f>
        <v>756.09</v>
      </c>
      <c r="AG961" s="29" t="n">
        <f aca="false">AD961/J961</f>
        <v>503.566393442623</v>
      </c>
    </row>
    <row r="962" customFormat="false" ht="15" hidden="false" customHeight="false" outlineLevel="0" collapsed="false">
      <c r="A962" s="0" t="str">
        <f aca="false">Raw!A962</f>
        <v>SHP0961</v>
      </c>
      <c r="B962" s="0" t="str">
        <f aca="false">Raw!B962</f>
        <v>Outbound</v>
      </c>
      <c r="C962" s="0" t="str">
        <f aca="false">Raw!C962</f>
        <v>Surat</v>
      </c>
      <c r="D962" s="0" t="str">
        <f aca="false">Raw!D962</f>
        <v>Gujarat</v>
      </c>
      <c r="E962" s="0" t="str">
        <f aca="false">IFERROR(INDEX(Location_Map!$B$2:$B$15,MATCH(C962,Location_Map!$A$2:$A$15,0)),"UNMAPPED")</f>
        <v>Gujarat</v>
      </c>
      <c r="F962" s="0" t="str">
        <f aca="false">IFERROR(INDEX(Location_Map!$C$2:$C$15,MATCH(C962,Location_Map!$A$2:$A$15,0)),"UNMAPPED")</f>
        <v>West</v>
      </c>
      <c r="G962" s="0" t="str">
        <f aca="false">IFERROR(INDEX(Location_Map!$B$2:$B$15,MATCH(D962,Location_Map!$A$2:$A$15,0)),"UNMAPPED")</f>
        <v>Gujarat</v>
      </c>
      <c r="H962" s="0" t="str">
        <f aca="false">IFERROR(INDEX(Location_Map!$C$2:$C$15,MATCH(D962,Location_Map!$A$2:$A$15,0)),"UNMAPPED")</f>
        <v>West</v>
      </c>
      <c r="I962" s="0" t="str">
        <f aca="false">Raw!E962</f>
        <v>Raw Yarn</v>
      </c>
      <c r="J962" s="28" t="n">
        <f aca="false">Raw!F962</f>
        <v>3.29</v>
      </c>
      <c r="K962" s="30" t="n">
        <f aca="false">DATE(LEFT(Raw!G962,4),MID(Raw!G962,6,2),MID(Raw!G962,9,2))</f>
        <v>45687</v>
      </c>
      <c r="L962" s="30" t="n">
        <f aca="false">DATE(LEFT(Raw!H962,4),MID(Raw!H962,6,2),MID(Raw!H962,9,2))</f>
        <v>45691</v>
      </c>
      <c r="M962" s="30" t="n">
        <f aca="false">DATE(LEFT(Raw!I962,4),MID(Raw!I962,6,2),MID(Raw!I962,9,2))</f>
        <v>45695</v>
      </c>
      <c r="N962" s="31" t="n">
        <f aca="false">DATE(LEFT(Raw!J962,4),MID(Raw!J962,6,2),MID(Raw!J962,9,2))+TIME(MID(Raw!J962,12,2),MID(Raw!J962,15,2),MID(Raw!J962,18,2))</f>
        <v>45691</v>
      </c>
      <c r="O962" s="31" t="n">
        <f aca="false">DATE(LEFT(Raw!K962,4),MID(Raw!K962,6,2),MID(Raw!K962,9,2))+TIME(MID(Raw!K962,12,2),MID(Raw!K962,15,2),MID(Raw!K962,18,2))</f>
        <v>45694.7</v>
      </c>
      <c r="P962" s="32" t="n">
        <f aca="false">L962-K962</f>
        <v>4</v>
      </c>
      <c r="Q962" s="32" t="n">
        <f aca="false">M962-L962</f>
        <v>4</v>
      </c>
      <c r="R962" s="32" t="n">
        <f aca="false">O962-N962</f>
        <v>3.7</v>
      </c>
      <c r="S962" s="32" t="n">
        <f aca="false">Raw!L962</f>
        <v>-0.3</v>
      </c>
      <c r="T962" s="32" t="n">
        <f aca="false">O962-M962</f>
        <v>-0.300000000005833</v>
      </c>
      <c r="U962" s="0" t="str">
        <f aca="false">IF(ABS(T962-S962)&lt;0.01,"OK","MISMATCH")</f>
        <v>OK</v>
      </c>
      <c r="V962" s="33" t="n">
        <f aca="false">Raw!M962</f>
        <v>0</v>
      </c>
      <c r="W962" s="0" t="str">
        <f aca="false">IF((S962&gt;0)=(V962=1),"OK","MISMATCH")</f>
        <v>OK</v>
      </c>
      <c r="X962" s="0" t="str">
        <f aca="false">_xlfn.IFS(S962&lt;=0,"Early/On time",S962&lt;=2,"Minor (up to 2 days)",S962&lt;=5,"Moderate (2-5 days)",TRUE(),"Severe (over 5 days)")</f>
        <v>Early/On time</v>
      </c>
      <c r="Y962" s="0" t="str">
        <f aca="false">YEAR(K962)&amp;"-"&amp;TEXT(MONTH(K962),"00")</f>
        <v>2025-01</v>
      </c>
      <c r="Z962" s="0" t="str">
        <f aca="false">C962&amp;" → "&amp;D962</f>
        <v>Surat → Gujarat</v>
      </c>
      <c r="AA962" s="0" t="str">
        <f aca="false">Raw!Q962</f>
        <v>VRL Cargo</v>
      </c>
      <c r="AB962" s="0" t="str">
        <f aca="false">Raw!R962</f>
        <v>Yes</v>
      </c>
      <c r="AC962" s="0" t="str">
        <f aca="false">Raw!S962</f>
        <v>Normal</v>
      </c>
      <c r="AD962" s="29" t="n">
        <f aca="false">Raw!N962</f>
        <v>2359.31</v>
      </c>
      <c r="AE962" s="29" t="n">
        <f aca="false">Raw!O962</f>
        <v>1505.92</v>
      </c>
      <c r="AF962" s="29" t="n">
        <f aca="false">Raw!P962</f>
        <v>914.48</v>
      </c>
      <c r="AG962" s="29" t="n">
        <f aca="false">AD962/J962</f>
        <v>717.115501519757</v>
      </c>
    </row>
    <row r="963" customFormat="false" ht="15" hidden="false" customHeight="false" outlineLevel="0" collapsed="false">
      <c r="A963" s="0" t="str">
        <f aca="false">Raw!A963</f>
        <v>SHP0962</v>
      </c>
      <c r="B963" s="0" t="str">
        <f aca="false">Raw!B963</f>
        <v>Outbound</v>
      </c>
      <c r="C963" s="0" t="str">
        <f aca="false">Raw!C963</f>
        <v>Surat</v>
      </c>
      <c r="D963" s="0" t="str">
        <f aca="false">Raw!D963</f>
        <v>Mumbai</v>
      </c>
      <c r="E963" s="0" t="str">
        <f aca="false">IFERROR(INDEX(Location_Map!$B$2:$B$15,MATCH(C963,Location_Map!$A$2:$A$15,0)),"UNMAPPED")</f>
        <v>Gujarat</v>
      </c>
      <c r="F963" s="0" t="str">
        <f aca="false">IFERROR(INDEX(Location_Map!$C$2:$C$15,MATCH(C963,Location_Map!$A$2:$A$15,0)),"UNMAPPED")</f>
        <v>West</v>
      </c>
      <c r="G963" s="0" t="str">
        <f aca="false">IFERROR(INDEX(Location_Map!$B$2:$B$15,MATCH(D963,Location_Map!$A$2:$A$15,0)),"UNMAPPED")</f>
        <v>Maharashtra</v>
      </c>
      <c r="H963" s="0" t="str">
        <f aca="false">IFERROR(INDEX(Location_Map!$C$2:$C$15,MATCH(D963,Location_Map!$A$2:$A$15,0)),"UNMAPPED")</f>
        <v>West</v>
      </c>
      <c r="I963" s="0" t="str">
        <f aca="false">Raw!E963</f>
        <v>Raw Yarn</v>
      </c>
      <c r="J963" s="28" t="n">
        <f aca="false">Raw!F963</f>
        <v>1.28</v>
      </c>
      <c r="K963" s="30" t="n">
        <f aca="false">DATE(LEFT(Raw!G963,4),MID(Raw!G963,6,2),MID(Raw!G963,9,2))</f>
        <v>45910</v>
      </c>
      <c r="L963" s="30" t="n">
        <f aca="false">DATE(LEFT(Raw!H963,4),MID(Raw!H963,6,2),MID(Raw!H963,9,2))</f>
        <v>45913</v>
      </c>
      <c r="M963" s="30" t="n">
        <f aca="false">DATE(LEFT(Raw!I963,4),MID(Raw!I963,6,2),MID(Raw!I963,9,2))</f>
        <v>45918</v>
      </c>
      <c r="N963" s="31" t="n">
        <f aca="false">DATE(LEFT(Raw!J963,4),MID(Raw!J963,6,2),MID(Raw!J963,9,2))+TIME(MID(Raw!J963,12,2),MID(Raw!J963,15,2),MID(Raw!J963,18,2))</f>
        <v>45912.9583333333</v>
      </c>
      <c r="O963" s="31" t="n">
        <f aca="false">DATE(LEFT(Raw!K963,4),MID(Raw!K963,6,2),MID(Raw!K963,9,2))+TIME(MID(Raw!K963,12,2),MID(Raw!K963,15,2),MID(Raw!K963,18,2))</f>
        <v>45924.1</v>
      </c>
      <c r="P963" s="32" t="n">
        <f aca="false">L963-K963</f>
        <v>3</v>
      </c>
      <c r="Q963" s="32" t="n">
        <f aca="false">M963-L963</f>
        <v>5</v>
      </c>
      <c r="R963" s="32" t="n">
        <f aca="false">O963-N963</f>
        <v>11.1416666666667</v>
      </c>
      <c r="S963" s="32" t="n">
        <f aca="false">Raw!L963</f>
        <v>6.1</v>
      </c>
      <c r="T963" s="32" t="n">
        <f aca="false">O963-M963</f>
        <v>6.1</v>
      </c>
      <c r="U963" s="0" t="str">
        <f aca="false">IF(ABS(T963-S963)&lt;0.01,"OK","MISMATCH")</f>
        <v>OK</v>
      </c>
      <c r="V963" s="33" t="n">
        <f aca="false">Raw!M963</f>
        <v>1</v>
      </c>
      <c r="W963" s="0" t="str">
        <f aca="false">IF((S963&gt;0)=(V963=1),"OK","MISMATCH")</f>
        <v>OK</v>
      </c>
      <c r="X963" s="0" t="str">
        <f aca="false">_xlfn.IFS(S963&lt;=0,"Early/On time",S963&lt;=2,"Minor (up to 2 days)",S963&lt;=5,"Moderate (2-5 days)",TRUE(),"Severe (over 5 days)")</f>
        <v>Severe (over 5 days)</v>
      </c>
      <c r="Y963" s="0" t="str">
        <f aca="false">YEAR(K963)&amp;"-"&amp;TEXT(MONTH(K963),"00")</f>
        <v>2025-09</v>
      </c>
      <c r="Z963" s="0" t="str">
        <f aca="false">C963&amp;" → "&amp;D963</f>
        <v>Surat → Mumbai</v>
      </c>
      <c r="AA963" s="0" t="str">
        <f aca="false">Raw!Q963</f>
        <v>GATI Logistics</v>
      </c>
      <c r="AB963" s="0" t="str">
        <f aca="false">Raw!R963</f>
        <v>No</v>
      </c>
      <c r="AC963" s="0" t="str">
        <f aca="false">Raw!S963</f>
        <v>Held at warehouse</v>
      </c>
      <c r="AD963" s="29" t="n">
        <f aca="false">Raw!N963</f>
        <v>1500</v>
      </c>
      <c r="AE963" s="29" t="n">
        <f aca="false">Raw!O963</f>
        <v>1755.48</v>
      </c>
      <c r="AF963" s="29" t="n">
        <f aca="false">Raw!P963</f>
        <v>768.6</v>
      </c>
      <c r="AG963" s="29" t="n">
        <f aca="false">AD963/J963</f>
        <v>1171.875</v>
      </c>
    </row>
    <row r="964" customFormat="false" ht="15" hidden="false" customHeight="false" outlineLevel="0" collapsed="false">
      <c r="A964" s="0" t="str">
        <f aca="false">Raw!A964</f>
        <v>SHP0963</v>
      </c>
      <c r="B964" s="0" t="str">
        <f aca="false">Raw!B964</f>
        <v>Outbound</v>
      </c>
      <c r="C964" s="0" t="str">
        <f aca="false">Raw!C964</f>
        <v>Surat</v>
      </c>
      <c r="D964" s="0" t="str">
        <f aca="false">Raw!D964</f>
        <v>Mumbai</v>
      </c>
      <c r="E964" s="0" t="str">
        <f aca="false">IFERROR(INDEX(Location_Map!$B$2:$B$15,MATCH(C964,Location_Map!$A$2:$A$15,0)),"UNMAPPED")</f>
        <v>Gujarat</v>
      </c>
      <c r="F964" s="0" t="str">
        <f aca="false">IFERROR(INDEX(Location_Map!$C$2:$C$15,MATCH(C964,Location_Map!$A$2:$A$15,0)),"UNMAPPED")</f>
        <v>West</v>
      </c>
      <c r="G964" s="0" t="str">
        <f aca="false">IFERROR(INDEX(Location_Map!$B$2:$B$15,MATCH(D964,Location_Map!$A$2:$A$15,0)),"UNMAPPED")</f>
        <v>Maharashtra</v>
      </c>
      <c r="H964" s="0" t="str">
        <f aca="false">IFERROR(INDEX(Location_Map!$C$2:$C$15,MATCH(D964,Location_Map!$A$2:$A$15,0)),"UNMAPPED")</f>
        <v>West</v>
      </c>
      <c r="I964" s="0" t="str">
        <f aca="false">Raw!E964</f>
        <v>Raw Yarn</v>
      </c>
      <c r="J964" s="28" t="n">
        <f aca="false">Raw!F964</f>
        <v>11.15</v>
      </c>
      <c r="K964" s="30" t="n">
        <f aca="false">DATE(LEFT(Raw!G964,4),MID(Raw!G964,6,2),MID(Raw!G964,9,2))</f>
        <v>45907</v>
      </c>
      <c r="L964" s="30" t="n">
        <f aca="false">DATE(LEFT(Raw!H964,4),MID(Raw!H964,6,2),MID(Raw!H964,9,2))</f>
        <v>45909</v>
      </c>
      <c r="M964" s="30" t="n">
        <f aca="false">DATE(LEFT(Raw!I964,4),MID(Raw!I964,6,2),MID(Raw!I964,9,2))</f>
        <v>45914</v>
      </c>
      <c r="N964" s="31" t="n">
        <f aca="false">DATE(LEFT(Raw!J964,4),MID(Raw!J964,6,2),MID(Raw!J964,9,2))+TIME(MID(Raw!J964,12,2),MID(Raw!J964,15,2),MID(Raw!J964,18,2))</f>
        <v>45909.1666666667</v>
      </c>
      <c r="O964" s="31" t="n">
        <f aca="false">DATE(LEFT(Raw!K964,4),MID(Raw!K964,6,2),MID(Raw!K964,9,2))+TIME(MID(Raw!K964,12,2),MID(Raw!K964,15,2),MID(Raw!K964,18,2))</f>
        <v>45917.9</v>
      </c>
      <c r="P964" s="32" t="n">
        <f aca="false">L964-K964</f>
        <v>2</v>
      </c>
      <c r="Q964" s="32" t="n">
        <f aca="false">M964-L964</f>
        <v>5</v>
      </c>
      <c r="R964" s="32" t="n">
        <f aca="false">O964-N964</f>
        <v>8.73333333333333</v>
      </c>
      <c r="S964" s="32" t="n">
        <f aca="false">Raw!L964</f>
        <v>3.9</v>
      </c>
      <c r="T964" s="32" t="n">
        <f aca="false">O964-M964</f>
        <v>3.9</v>
      </c>
      <c r="U964" s="0" t="str">
        <f aca="false">IF(ABS(T964-S964)&lt;0.01,"OK","MISMATCH")</f>
        <v>OK</v>
      </c>
      <c r="V964" s="33" t="n">
        <f aca="false">Raw!M964</f>
        <v>1</v>
      </c>
      <c r="W964" s="0" t="str">
        <f aca="false">IF((S964&gt;0)=(V964=1),"OK","MISMATCH")</f>
        <v>OK</v>
      </c>
      <c r="X964" s="0" t="str">
        <f aca="false">_xlfn.IFS(S964&lt;=0,"Early/On time",S964&lt;=2,"Minor (up to 2 days)",S964&lt;=5,"Moderate (2-5 days)",TRUE(),"Severe (over 5 days)")</f>
        <v>Moderate (2-5 days)</v>
      </c>
      <c r="Y964" s="0" t="str">
        <f aca="false">YEAR(K964)&amp;"-"&amp;TEXT(MONTH(K964),"00")</f>
        <v>2025-09</v>
      </c>
      <c r="Z964" s="0" t="str">
        <f aca="false">C964&amp;" → "&amp;D964</f>
        <v>Surat → Mumbai</v>
      </c>
      <c r="AA964" s="0" t="str">
        <f aca="false">Raw!Q964</f>
        <v>TCI Express</v>
      </c>
      <c r="AB964" s="0" t="str">
        <f aca="false">Raw!R964</f>
        <v>Yes</v>
      </c>
      <c r="AC964" s="0" t="str">
        <f aca="false">Raw!S964</f>
        <v>Expedited</v>
      </c>
      <c r="AD964" s="29" t="n">
        <f aca="false">Raw!N964</f>
        <v>3710.23</v>
      </c>
      <c r="AE964" s="29" t="n">
        <f aca="false">Raw!O964</f>
        <v>4099.43</v>
      </c>
      <c r="AF964" s="29" t="n">
        <f aca="false">Raw!P964</f>
        <v>629.71</v>
      </c>
      <c r="AG964" s="29" t="n">
        <f aca="false">AD964/J964</f>
        <v>332.756053811659</v>
      </c>
    </row>
    <row r="965" customFormat="false" ht="15" hidden="false" customHeight="false" outlineLevel="0" collapsed="false">
      <c r="A965" s="0" t="str">
        <f aca="false">Raw!A965</f>
        <v>SHP0964</v>
      </c>
      <c r="B965" s="0" t="str">
        <f aca="false">Raw!B965</f>
        <v>Outbound</v>
      </c>
      <c r="C965" s="0" t="str">
        <f aca="false">Raw!C965</f>
        <v>Surat</v>
      </c>
      <c r="D965" s="0" t="str">
        <f aca="false">Raw!D965</f>
        <v>Uttarakhand</v>
      </c>
      <c r="E965" s="0" t="str">
        <f aca="false">IFERROR(INDEX(Location_Map!$B$2:$B$15,MATCH(C965,Location_Map!$A$2:$A$15,0)),"UNMAPPED")</f>
        <v>Gujarat</v>
      </c>
      <c r="F965" s="0" t="str">
        <f aca="false">IFERROR(INDEX(Location_Map!$C$2:$C$15,MATCH(C965,Location_Map!$A$2:$A$15,0)),"UNMAPPED")</f>
        <v>West</v>
      </c>
      <c r="G965" s="0" t="str">
        <f aca="false">IFERROR(INDEX(Location_Map!$B$2:$B$15,MATCH(D965,Location_Map!$A$2:$A$15,0)),"UNMAPPED")</f>
        <v>Uttarakhand</v>
      </c>
      <c r="H965" s="0" t="str">
        <f aca="false">IFERROR(INDEX(Location_Map!$C$2:$C$15,MATCH(D965,Location_Map!$A$2:$A$15,0)),"UNMAPPED")</f>
        <v>North</v>
      </c>
      <c r="I965" s="0" t="str">
        <f aca="false">Raw!E965</f>
        <v>Raw Yarn</v>
      </c>
      <c r="J965" s="28" t="n">
        <f aca="false">Raw!F965</f>
        <v>9.62</v>
      </c>
      <c r="K965" s="30" t="n">
        <f aca="false">DATE(LEFT(Raw!G965,4),MID(Raw!G965,6,2),MID(Raw!G965,9,2))</f>
        <v>45810</v>
      </c>
      <c r="L965" s="30" t="n">
        <f aca="false">DATE(LEFT(Raw!H965,4),MID(Raw!H965,6,2),MID(Raw!H965,9,2))</f>
        <v>45813</v>
      </c>
      <c r="M965" s="30" t="n">
        <f aca="false">DATE(LEFT(Raw!I965,4),MID(Raw!I965,6,2),MID(Raw!I965,9,2))</f>
        <v>45815</v>
      </c>
      <c r="N965" s="31" t="n">
        <f aca="false">DATE(LEFT(Raw!J965,4),MID(Raw!J965,6,2),MID(Raw!J965,9,2))+TIME(MID(Raw!J965,12,2),MID(Raw!J965,15,2),MID(Raw!J965,18,2))</f>
        <v>45812.875</v>
      </c>
      <c r="O965" s="31" t="n">
        <f aca="false">DATE(LEFT(Raw!K965,4),MID(Raw!K965,6,2),MID(Raw!K965,9,2))+TIME(MID(Raw!K965,12,2),MID(Raw!K965,15,2),MID(Raw!K965,18,2))</f>
        <v>45815.3</v>
      </c>
      <c r="P965" s="32" t="n">
        <f aca="false">L965-K965</f>
        <v>3</v>
      </c>
      <c r="Q965" s="32" t="n">
        <f aca="false">M965-L965</f>
        <v>2</v>
      </c>
      <c r="R965" s="32" t="n">
        <f aca="false">O965-N965</f>
        <v>2.425</v>
      </c>
      <c r="S965" s="32" t="n">
        <f aca="false">Raw!L965</f>
        <v>0.3</v>
      </c>
      <c r="T965" s="32" t="n">
        <f aca="false">O965-M965</f>
        <v>0.3</v>
      </c>
      <c r="U965" s="0" t="str">
        <f aca="false">IF(ABS(T965-S965)&lt;0.01,"OK","MISMATCH")</f>
        <v>OK</v>
      </c>
      <c r="V965" s="33" t="n">
        <f aca="false">Raw!M965</f>
        <v>1</v>
      </c>
      <c r="W965" s="0" t="str">
        <f aca="false">IF((S965&gt;0)=(V965=1),"OK","MISMATCH")</f>
        <v>OK</v>
      </c>
      <c r="X965" s="0" t="str">
        <f aca="false">_xlfn.IFS(S965&lt;=0,"Early/On time",S965&lt;=2,"Minor (up to 2 days)",S965&lt;=5,"Moderate (2-5 days)",TRUE(),"Severe (over 5 days)")</f>
        <v>Minor (up to 2 days)</v>
      </c>
      <c r="Y965" s="0" t="str">
        <f aca="false">YEAR(K965)&amp;"-"&amp;TEXT(MONTH(K965),"00")</f>
        <v>2025-06</v>
      </c>
      <c r="Z965" s="0" t="str">
        <f aca="false">C965&amp;" → "&amp;D965</f>
        <v>Surat → Uttarakhand</v>
      </c>
      <c r="AA965" s="0" t="str">
        <f aca="false">Raw!Q965</f>
        <v>TCI Express</v>
      </c>
      <c r="AB965" s="0" t="str">
        <f aca="false">Raw!R965</f>
        <v>No</v>
      </c>
      <c r="AC965" s="0" t="str">
        <f aca="false">Raw!S965</f>
        <v>Normal</v>
      </c>
      <c r="AD965" s="29" t="n">
        <f aca="false">Raw!N965</f>
        <v>3764.76</v>
      </c>
      <c r="AE965" s="29" t="n">
        <f aca="false">Raw!O965</f>
        <v>1584.07</v>
      </c>
      <c r="AF965" s="29" t="n">
        <f aca="false">Raw!P965</f>
        <v>789.18</v>
      </c>
      <c r="AG965" s="29" t="n">
        <f aca="false">AD965/J965</f>
        <v>391.347193347193</v>
      </c>
    </row>
    <row r="966" customFormat="false" ht="15" hidden="false" customHeight="false" outlineLevel="0" collapsed="false">
      <c r="A966" s="0" t="str">
        <f aca="false">Raw!A966</f>
        <v>SHP0965</v>
      </c>
      <c r="B966" s="0" t="str">
        <f aca="false">Raw!B966</f>
        <v>Inbound</v>
      </c>
      <c r="C966" s="0" t="str">
        <f aca="false">Raw!C966</f>
        <v>Punjab</v>
      </c>
      <c r="D966" s="0" t="str">
        <f aca="false">Raw!D966</f>
        <v>Surat</v>
      </c>
      <c r="E966" s="0" t="str">
        <f aca="false">IFERROR(INDEX(Location_Map!$B$2:$B$15,MATCH(C966,Location_Map!$A$2:$A$15,0)),"UNMAPPED")</f>
        <v>Punjab</v>
      </c>
      <c r="F966" s="0" t="str">
        <f aca="false">IFERROR(INDEX(Location_Map!$C$2:$C$15,MATCH(C966,Location_Map!$A$2:$A$15,0)),"UNMAPPED")</f>
        <v>North</v>
      </c>
      <c r="G966" s="0" t="str">
        <f aca="false">IFERROR(INDEX(Location_Map!$B$2:$B$15,MATCH(D966,Location_Map!$A$2:$A$15,0)),"UNMAPPED")</f>
        <v>Gujarat</v>
      </c>
      <c r="H966" s="0" t="str">
        <f aca="false">IFERROR(INDEX(Location_Map!$C$2:$C$15,MATCH(D966,Location_Map!$A$2:$A$15,0)),"UNMAPPED")</f>
        <v>West</v>
      </c>
      <c r="I966" s="0" t="str">
        <f aca="false">Raw!E966</f>
        <v>Semi-Processed Yarn</v>
      </c>
      <c r="J966" s="28" t="n">
        <f aca="false">Raw!F966</f>
        <v>6.89</v>
      </c>
      <c r="K966" s="30" t="n">
        <f aca="false">DATE(LEFT(Raw!G966,4),MID(Raw!G966,6,2),MID(Raw!G966,9,2))</f>
        <v>45814</v>
      </c>
      <c r="L966" s="30" t="n">
        <f aca="false">DATE(LEFT(Raw!H966,4),MID(Raw!H966,6,2),MID(Raw!H966,9,2))</f>
        <v>45817</v>
      </c>
      <c r="M966" s="30" t="n">
        <f aca="false">DATE(LEFT(Raw!I966,4),MID(Raw!I966,6,2),MID(Raw!I966,9,2))</f>
        <v>45823</v>
      </c>
      <c r="N966" s="31" t="n">
        <f aca="false">DATE(LEFT(Raw!J966,4),MID(Raw!J966,6,2),MID(Raw!J966,9,2))+TIME(MID(Raw!J966,12,2),MID(Raw!J966,15,2),MID(Raw!J966,18,2))</f>
        <v>45816.9166666667</v>
      </c>
      <c r="O966" s="31" t="n">
        <f aca="false">DATE(LEFT(Raw!K966,4),MID(Raw!K966,6,2),MID(Raw!K966,9,2))+TIME(MID(Raw!K966,12,2),MID(Raw!K966,15,2),MID(Raw!K966,18,2))</f>
        <v>45822</v>
      </c>
      <c r="P966" s="32" t="n">
        <f aca="false">L966-K966</f>
        <v>3</v>
      </c>
      <c r="Q966" s="32" t="n">
        <f aca="false">M966-L966</f>
        <v>6</v>
      </c>
      <c r="R966" s="32" t="n">
        <f aca="false">O966-N966</f>
        <v>5.08333333333333</v>
      </c>
      <c r="S966" s="32" t="n">
        <f aca="false">Raw!L966</f>
        <v>-1</v>
      </c>
      <c r="T966" s="32" t="n">
        <f aca="false">O966-M966</f>
        <v>-1</v>
      </c>
      <c r="U966" s="0" t="str">
        <f aca="false">IF(ABS(T966-S966)&lt;0.01,"OK","MISMATCH")</f>
        <v>OK</v>
      </c>
      <c r="V966" s="33" t="n">
        <f aca="false">Raw!M966</f>
        <v>0</v>
      </c>
      <c r="W966" s="0" t="str">
        <f aca="false">IF((S966&gt;0)=(V966=1),"OK","MISMATCH")</f>
        <v>OK</v>
      </c>
      <c r="X966" s="0" t="str">
        <f aca="false">_xlfn.IFS(S966&lt;=0,"Early/On time",S966&lt;=2,"Minor (up to 2 days)",S966&lt;=5,"Moderate (2-5 days)",TRUE(),"Severe (over 5 days)")</f>
        <v>Early/On time</v>
      </c>
      <c r="Y966" s="0" t="str">
        <f aca="false">YEAR(K966)&amp;"-"&amp;TEXT(MONTH(K966),"00")</f>
        <v>2025-06</v>
      </c>
      <c r="Z966" s="0" t="str">
        <f aca="false">C966&amp;" → "&amp;D966</f>
        <v>Punjab → Surat</v>
      </c>
      <c r="AA966" s="0" t="str">
        <f aca="false">Raw!Q966</f>
        <v>BlueDart</v>
      </c>
      <c r="AB966" s="0" t="str">
        <f aca="false">Raw!R966</f>
        <v>No</v>
      </c>
      <c r="AC966" s="0" t="str">
        <f aca="false">Raw!S966</f>
        <v>Normal</v>
      </c>
      <c r="AD966" s="29" t="n">
        <f aca="false">Raw!N966</f>
        <v>2778.34</v>
      </c>
      <c r="AE966" s="29" t="n">
        <f aca="false">Raw!O966</f>
        <v>4771.65</v>
      </c>
      <c r="AF966" s="29" t="n">
        <f aca="false">Raw!P966</f>
        <v>1221.51</v>
      </c>
      <c r="AG966" s="29" t="n">
        <f aca="false">AD966/J966</f>
        <v>403.242380261248</v>
      </c>
    </row>
    <row r="967" customFormat="false" ht="15" hidden="false" customHeight="false" outlineLevel="0" collapsed="false">
      <c r="A967" s="0" t="str">
        <f aca="false">Raw!A967</f>
        <v>SHP0966</v>
      </c>
      <c r="B967" s="0" t="str">
        <f aca="false">Raw!B967</f>
        <v>Outbound</v>
      </c>
      <c r="C967" s="0" t="str">
        <f aca="false">Raw!C967</f>
        <v>Surat</v>
      </c>
      <c r="D967" s="0" t="str">
        <f aca="false">Raw!D967</f>
        <v>Uttarakhand</v>
      </c>
      <c r="E967" s="0" t="str">
        <f aca="false">IFERROR(INDEX(Location_Map!$B$2:$B$15,MATCH(C967,Location_Map!$A$2:$A$15,0)),"UNMAPPED")</f>
        <v>Gujarat</v>
      </c>
      <c r="F967" s="0" t="str">
        <f aca="false">IFERROR(INDEX(Location_Map!$C$2:$C$15,MATCH(C967,Location_Map!$A$2:$A$15,0)),"UNMAPPED")</f>
        <v>West</v>
      </c>
      <c r="G967" s="0" t="str">
        <f aca="false">IFERROR(INDEX(Location_Map!$B$2:$B$15,MATCH(D967,Location_Map!$A$2:$A$15,0)),"UNMAPPED")</f>
        <v>Uttarakhand</v>
      </c>
      <c r="H967" s="0" t="str">
        <f aca="false">IFERROR(INDEX(Location_Map!$C$2:$C$15,MATCH(D967,Location_Map!$A$2:$A$15,0)),"UNMAPPED")</f>
        <v>North</v>
      </c>
      <c r="I967" s="0" t="str">
        <f aca="false">Raw!E967</f>
        <v>Raw Yarn</v>
      </c>
      <c r="J967" s="28" t="n">
        <f aca="false">Raw!F967</f>
        <v>2.67</v>
      </c>
      <c r="K967" s="30" t="n">
        <f aca="false">DATE(LEFT(Raw!G967,4),MID(Raw!G967,6,2),MID(Raw!G967,9,2))</f>
        <v>45911</v>
      </c>
      <c r="L967" s="30" t="n">
        <f aca="false">DATE(LEFT(Raw!H967,4),MID(Raw!H967,6,2),MID(Raw!H967,9,2))</f>
        <v>45914</v>
      </c>
      <c r="M967" s="30" t="n">
        <f aca="false">DATE(LEFT(Raw!I967,4),MID(Raw!I967,6,2),MID(Raw!I967,9,2))</f>
        <v>45919</v>
      </c>
      <c r="N967" s="31" t="n">
        <f aca="false">DATE(LEFT(Raw!J967,4),MID(Raw!J967,6,2),MID(Raw!J967,9,2))+TIME(MID(Raw!J967,12,2),MID(Raw!J967,15,2),MID(Raw!J967,18,2))</f>
        <v>45914.25</v>
      </c>
      <c r="O967" s="31" t="n">
        <f aca="false">DATE(LEFT(Raw!K967,4),MID(Raw!K967,6,2),MID(Raw!K967,9,2))+TIME(MID(Raw!K967,12,2),MID(Raw!K967,15,2),MID(Raw!K967,18,2))</f>
        <v>45923.6</v>
      </c>
      <c r="P967" s="32" t="n">
        <f aca="false">L967-K967</f>
        <v>3</v>
      </c>
      <c r="Q967" s="32" t="n">
        <f aca="false">M967-L967</f>
        <v>5</v>
      </c>
      <c r="R967" s="32" t="n">
        <f aca="false">O967-N967</f>
        <v>9.35</v>
      </c>
      <c r="S967" s="32" t="n">
        <f aca="false">Raw!L967</f>
        <v>4.6</v>
      </c>
      <c r="T967" s="32" t="n">
        <f aca="false">O967-M967</f>
        <v>4.6</v>
      </c>
      <c r="U967" s="0" t="str">
        <f aca="false">IF(ABS(T967-S967)&lt;0.01,"OK","MISMATCH")</f>
        <v>OK</v>
      </c>
      <c r="V967" s="33" t="n">
        <f aca="false">Raw!M967</f>
        <v>1</v>
      </c>
      <c r="W967" s="0" t="str">
        <f aca="false">IF((S967&gt;0)=(V967=1),"OK","MISMATCH")</f>
        <v>OK</v>
      </c>
      <c r="X967" s="0" t="str">
        <f aca="false">_xlfn.IFS(S967&lt;=0,"Early/On time",S967&lt;=2,"Minor (up to 2 days)",S967&lt;=5,"Moderate (2-5 days)",TRUE(),"Severe (over 5 days)")</f>
        <v>Moderate (2-5 days)</v>
      </c>
      <c r="Y967" s="0" t="str">
        <f aca="false">YEAR(K967)&amp;"-"&amp;TEXT(MONTH(K967),"00")</f>
        <v>2025-09</v>
      </c>
      <c r="Z967" s="0" t="str">
        <f aca="false">C967&amp;" → "&amp;D967</f>
        <v>Surat → Uttarakhand</v>
      </c>
      <c r="AA967" s="0" t="str">
        <f aca="false">Raw!Q967</f>
        <v>BlueDart</v>
      </c>
      <c r="AB967" s="0" t="str">
        <f aca="false">Raw!R967</f>
        <v>No</v>
      </c>
      <c r="AC967" s="0" t="str">
        <f aca="false">Raw!S967</f>
        <v>Expedited</v>
      </c>
      <c r="AD967" s="29" t="n">
        <f aca="false">Raw!N967</f>
        <v>2363.57</v>
      </c>
      <c r="AE967" s="29" t="n">
        <f aca="false">Raw!O967</f>
        <v>4180.87</v>
      </c>
      <c r="AF967" s="29" t="n">
        <f aca="false">Raw!P967</f>
        <v>1469.04</v>
      </c>
      <c r="AG967" s="29" t="n">
        <f aca="false">AD967/J967</f>
        <v>885.232209737828</v>
      </c>
    </row>
    <row r="968" customFormat="false" ht="15" hidden="false" customHeight="false" outlineLevel="0" collapsed="false">
      <c r="A968" s="0" t="str">
        <f aca="false">Raw!A968</f>
        <v>SHP0967</v>
      </c>
      <c r="B968" s="0" t="str">
        <f aca="false">Raw!B968</f>
        <v>Inbound</v>
      </c>
      <c r="C968" s="0" t="str">
        <f aca="false">Raw!C968</f>
        <v>Punjab</v>
      </c>
      <c r="D968" s="0" t="str">
        <f aca="false">Raw!D968</f>
        <v>Surat</v>
      </c>
      <c r="E968" s="0" t="str">
        <f aca="false">IFERROR(INDEX(Location_Map!$B$2:$B$15,MATCH(C968,Location_Map!$A$2:$A$15,0)),"UNMAPPED")</f>
        <v>Punjab</v>
      </c>
      <c r="F968" s="0" t="str">
        <f aca="false">IFERROR(INDEX(Location_Map!$C$2:$C$15,MATCH(C968,Location_Map!$A$2:$A$15,0)),"UNMAPPED")</f>
        <v>North</v>
      </c>
      <c r="G968" s="0" t="str">
        <f aca="false">IFERROR(INDEX(Location_Map!$B$2:$B$15,MATCH(D968,Location_Map!$A$2:$A$15,0)),"UNMAPPED")</f>
        <v>Gujarat</v>
      </c>
      <c r="H968" s="0" t="str">
        <f aca="false">IFERROR(INDEX(Location_Map!$C$2:$C$15,MATCH(D968,Location_Map!$A$2:$A$15,0)),"UNMAPPED")</f>
        <v>West</v>
      </c>
      <c r="I968" s="0" t="str">
        <f aca="false">Raw!E968</f>
        <v>Semi-Processed Yarn</v>
      </c>
      <c r="J968" s="28" t="n">
        <f aca="false">Raw!F968</f>
        <v>9.88</v>
      </c>
      <c r="K968" s="30" t="n">
        <f aca="false">DATE(LEFT(Raw!G968,4),MID(Raw!G968,6,2),MID(Raw!G968,9,2))</f>
        <v>45830</v>
      </c>
      <c r="L968" s="30" t="n">
        <f aca="false">DATE(LEFT(Raw!H968,4),MID(Raw!H968,6,2),MID(Raw!H968,9,2))</f>
        <v>45832</v>
      </c>
      <c r="M968" s="30" t="n">
        <f aca="false">DATE(LEFT(Raw!I968,4),MID(Raw!I968,6,2),MID(Raw!I968,9,2))</f>
        <v>45834</v>
      </c>
      <c r="N968" s="31" t="n">
        <f aca="false">DATE(LEFT(Raw!J968,4),MID(Raw!J968,6,2),MID(Raw!J968,9,2))+TIME(MID(Raw!J968,12,2),MID(Raw!J968,15,2),MID(Raw!J968,18,2))</f>
        <v>45831.875</v>
      </c>
      <c r="O968" s="31" t="n">
        <f aca="false">DATE(LEFT(Raw!K968,4),MID(Raw!K968,6,2),MID(Raw!K968,9,2))+TIME(MID(Raw!K968,12,2),MID(Raw!K968,15,2),MID(Raw!K968,18,2))</f>
        <v>45835.8</v>
      </c>
      <c r="P968" s="32" t="n">
        <f aca="false">L968-K968</f>
        <v>2</v>
      </c>
      <c r="Q968" s="32" t="n">
        <f aca="false">M968-L968</f>
        <v>2</v>
      </c>
      <c r="R968" s="32" t="n">
        <f aca="false">O968-N968</f>
        <v>3.925</v>
      </c>
      <c r="S968" s="32" t="n">
        <f aca="false">Raw!L968</f>
        <v>1.8</v>
      </c>
      <c r="T968" s="32" t="n">
        <f aca="false">O968-M968</f>
        <v>1.8</v>
      </c>
      <c r="U968" s="0" t="str">
        <f aca="false">IF(ABS(T968-S968)&lt;0.01,"OK","MISMATCH")</f>
        <v>OK</v>
      </c>
      <c r="V968" s="33" t="n">
        <f aca="false">Raw!M968</f>
        <v>1</v>
      </c>
      <c r="W968" s="0" t="str">
        <f aca="false">IF((S968&gt;0)=(V968=1),"OK","MISMATCH")</f>
        <v>OK</v>
      </c>
      <c r="X968" s="0" t="str">
        <f aca="false">_xlfn.IFS(S968&lt;=0,"Early/On time",S968&lt;=2,"Minor (up to 2 days)",S968&lt;=5,"Moderate (2-5 days)",TRUE(),"Severe (over 5 days)")</f>
        <v>Minor (up to 2 days)</v>
      </c>
      <c r="Y968" s="0" t="str">
        <f aca="false">YEAR(K968)&amp;"-"&amp;TEXT(MONTH(K968),"00")</f>
        <v>2025-06</v>
      </c>
      <c r="Z968" s="0" t="str">
        <f aca="false">C968&amp;" → "&amp;D968</f>
        <v>Punjab → Surat</v>
      </c>
      <c r="AA968" s="0" t="str">
        <f aca="false">Raw!Q968</f>
        <v>Delhivery</v>
      </c>
      <c r="AB968" s="0" t="str">
        <f aca="false">Raw!R968</f>
        <v>No</v>
      </c>
      <c r="AC968" s="0" t="str">
        <f aca="false">Raw!S968</f>
        <v>Returned</v>
      </c>
      <c r="AD968" s="29" t="n">
        <f aca="false">Raw!N968</f>
        <v>5015.84</v>
      </c>
      <c r="AE968" s="29" t="n">
        <f aca="false">Raw!O968</f>
        <v>2060.49</v>
      </c>
      <c r="AF968" s="29" t="n">
        <f aca="false">Raw!P968</f>
        <v>995.06</v>
      </c>
      <c r="AG968" s="29" t="n">
        <f aca="false">AD968/J968</f>
        <v>507.676113360324</v>
      </c>
    </row>
    <row r="969" customFormat="false" ht="15" hidden="false" customHeight="false" outlineLevel="0" collapsed="false">
      <c r="A969" s="0" t="str">
        <f aca="false">Raw!A969</f>
        <v>SHP0968</v>
      </c>
      <c r="B969" s="0" t="str">
        <f aca="false">Raw!B969</f>
        <v>Inbound</v>
      </c>
      <c r="C969" s="0" t="str">
        <f aca="false">Raw!C969</f>
        <v>Chennai</v>
      </c>
      <c r="D969" s="0" t="str">
        <f aca="false">Raw!D969</f>
        <v>Surat</v>
      </c>
      <c r="E969" s="0" t="str">
        <f aca="false">IFERROR(INDEX(Location_Map!$B$2:$B$15,MATCH(C969,Location_Map!$A$2:$A$15,0)),"UNMAPPED")</f>
        <v>Tamil Nadu</v>
      </c>
      <c r="F969" s="0" t="str">
        <f aca="false">IFERROR(INDEX(Location_Map!$C$2:$C$15,MATCH(C969,Location_Map!$A$2:$A$15,0)),"UNMAPPED")</f>
        <v>South</v>
      </c>
      <c r="G969" s="0" t="str">
        <f aca="false">IFERROR(INDEX(Location_Map!$B$2:$B$15,MATCH(D969,Location_Map!$A$2:$A$15,0)),"UNMAPPED")</f>
        <v>Gujarat</v>
      </c>
      <c r="H969" s="0" t="str">
        <f aca="false">IFERROR(INDEX(Location_Map!$C$2:$C$15,MATCH(D969,Location_Map!$A$2:$A$15,0)),"UNMAPPED")</f>
        <v>West</v>
      </c>
      <c r="I969" s="0" t="str">
        <f aca="false">Raw!E969</f>
        <v>Finished Yarn</v>
      </c>
      <c r="J969" s="28" t="n">
        <f aca="false">Raw!F969</f>
        <v>17.08</v>
      </c>
      <c r="K969" s="30" t="n">
        <f aca="false">DATE(LEFT(Raw!G969,4),MID(Raw!G969,6,2),MID(Raw!G969,9,2))</f>
        <v>45809</v>
      </c>
      <c r="L969" s="30" t="n">
        <f aca="false">DATE(LEFT(Raw!H969,4),MID(Raw!H969,6,2),MID(Raw!H969,9,2))</f>
        <v>45812</v>
      </c>
      <c r="M969" s="30" t="n">
        <f aca="false">DATE(LEFT(Raw!I969,4),MID(Raw!I969,6,2),MID(Raw!I969,9,2))</f>
        <v>45815</v>
      </c>
      <c r="N969" s="31" t="n">
        <f aca="false">DATE(LEFT(Raw!J969,4),MID(Raw!J969,6,2),MID(Raw!J969,9,2))+TIME(MID(Raw!J969,12,2),MID(Raw!J969,15,2),MID(Raw!J969,18,2))</f>
        <v>45811.8333333333</v>
      </c>
      <c r="O969" s="31" t="n">
        <f aca="false">DATE(LEFT(Raw!K969,4),MID(Raw!K969,6,2),MID(Raw!K969,9,2))+TIME(MID(Raw!K969,12,2),MID(Raw!K969,15,2),MID(Raw!K969,18,2))</f>
        <v>45817.1</v>
      </c>
      <c r="P969" s="32" t="n">
        <f aca="false">L969-K969</f>
        <v>3</v>
      </c>
      <c r="Q969" s="32" t="n">
        <f aca="false">M969-L969</f>
        <v>3</v>
      </c>
      <c r="R969" s="32" t="n">
        <f aca="false">O969-N969</f>
        <v>5.26666666666667</v>
      </c>
      <c r="S969" s="32" t="n">
        <f aca="false">Raw!L969</f>
        <v>2.1</v>
      </c>
      <c r="T969" s="32" t="n">
        <f aca="false">O969-M969</f>
        <v>2.1</v>
      </c>
      <c r="U969" s="0" t="str">
        <f aca="false">IF(ABS(T969-S969)&lt;0.01,"OK","MISMATCH")</f>
        <v>OK</v>
      </c>
      <c r="V969" s="33" t="n">
        <f aca="false">Raw!M969</f>
        <v>1</v>
      </c>
      <c r="W969" s="0" t="str">
        <f aca="false">IF((S969&gt;0)=(V969=1),"OK","MISMATCH")</f>
        <v>OK</v>
      </c>
      <c r="X969" s="0" t="str">
        <f aca="false">_xlfn.IFS(S969&lt;=0,"Early/On time",S969&lt;=2,"Minor (up to 2 days)",S969&lt;=5,"Moderate (2-5 days)",TRUE(),"Severe (over 5 days)")</f>
        <v>Moderate (2-5 days)</v>
      </c>
      <c r="Y969" s="0" t="str">
        <f aca="false">YEAR(K969)&amp;"-"&amp;TEXT(MONTH(K969),"00")</f>
        <v>2025-06</v>
      </c>
      <c r="Z969" s="0" t="str">
        <f aca="false">C969&amp;" → "&amp;D969</f>
        <v>Chennai → Surat</v>
      </c>
      <c r="AA969" s="0" t="str">
        <f aca="false">Raw!Q969</f>
        <v>GATI Logistics</v>
      </c>
      <c r="AB969" s="0" t="str">
        <f aca="false">Raw!R969</f>
        <v>Yes</v>
      </c>
      <c r="AC969" s="0" t="str">
        <f aca="false">Raw!S969</f>
        <v>Returned</v>
      </c>
      <c r="AD969" s="29" t="n">
        <f aca="false">Raw!N969</f>
        <v>7474.11</v>
      </c>
      <c r="AE969" s="29" t="n">
        <f aca="false">Raw!O969</f>
        <v>2405.42</v>
      </c>
      <c r="AF969" s="29" t="n">
        <f aca="false">Raw!P969</f>
        <v>764.87</v>
      </c>
      <c r="AG969" s="29" t="n">
        <f aca="false">AD969/J969</f>
        <v>437.594262295082</v>
      </c>
    </row>
    <row r="970" customFormat="false" ht="15" hidden="false" customHeight="false" outlineLevel="0" collapsed="false">
      <c r="A970" s="0" t="str">
        <f aca="false">Raw!A970</f>
        <v>SHP0969</v>
      </c>
      <c r="B970" s="0" t="str">
        <f aca="false">Raw!B970</f>
        <v>Outbound</v>
      </c>
      <c r="C970" s="0" t="str">
        <f aca="false">Raw!C970</f>
        <v>Surat</v>
      </c>
      <c r="D970" s="0" t="str">
        <f aca="false">Raw!D970</f>
        <v>Uttarakhand</v>
      </c>
      <c r="E970" s="0" t="str">
        <f aca="false">IFERROR(INDEX(Location_Map!$B$2:$B$15,MATCH(C970,Location_Map!$A$2:$A$15,0)),"UNMAPPED")</f>
        <v>Gujarat</v>
      </c>
      <c r="F970" s="0" t="str">
        <f aca="false">IFERROR(INDEX(Location_Map!$C$2:$C$15,MATCH(C970,Location_Map!$A$2:$A$15,0)),"UNMAPPED")</f>
        <v>West</v>
      </c>
      <c r="G970" s="0" t="str">
        <f aca="false">IFERROR(INDEX(Location_Map!$B$2:$B$15,MATCH(D970,Location_Map!$A$2:$A$15,0)),"UNMAPPED")</f>
        <v>Uttarakhand</v>
      </c>
      <c r="H970" s="0" t="str">
        <f aca="false">IFERROR(INDEX(Location_Map!$C$2:$C$15,MATCH(D970,Location_Map!$A$2:$A$15,0)),"UNMAPPED")</f>
        <v>North</v>
      </c>
      <c r="I970" s="0" t="str">
        <f aca="false">Raw!E970</f>
        <v>Raw Yarn</v>
      </c>
      <c r="J970" s="28" t="n">
        <f aca="false">Raw!F970</f>
        <v>7.65</v>
      </c>
      <c r="K970" s="30" t="n">
        <f aca="false">DATE(LEFT(Raw!G970,4),MID(Raw!G970,6,2),MID(Raw!G970,9,2))</f>
        <v>45870</v>
      </c>
      <c r="L970" s="30" t="n">
        <f aca="false">DATE(LEFT(Raw!H970,4),MID(Raw!H970,6,2),MID(Raw!H970,9,2))</f>
        <v>45872</v>
      </c>
      <c r="M970" s="30" t="n">
        <f aca="false">DATE(LEFT(Raw!I970,4),MID(Raw!I970,6,2),MID(Raw!I970,9,2))</f>
        <v>45877</v>
      </c>
      <c r="N970" s="31" t="n">
        <f aca="false">DATE(LEFT(Raw!J970,4),MID(Raw!J970,6,2),MID(Raw!J970,9,2))+TIME(MID(Raw!J970,12,2),MID(Raw!J970,15,2),MID(Raw!J970,18,2))</f>
        <v>45872.375</v>
      </c>
      <c r="O970" s="31" t="n">
        <f aca="false">DATE(LEFT(Raw!K970,4),MID(Raw!K970,6,2),MID(Raw!K970,9,2))+TIME(MID(Raw!K970,12,2),MID(Raw!K970,15,2),MID(Raw!K970,18,2))</f>
        <v>45878.5</v>
      </c>
      <c r="P970" s="32" t="n">
        <f aca="false">L970-K970</f>
        <v>2</v>
      </c>
      <c r="Q970" s="32" t="n">
        <f aca="false">M970-L970</f>
        <v>5</v>
      </c>
      <c r="R970" s="32" t="n">
        <f aca="false">O970-N970</f>
        <v>6.125</v>
      </c>
      <c r="S970" s="32" t="n">
        <f aca="false">Raw!L970</f>
        <v>1.5</v>
      </c>
      <c r="T970" s="32" t="n">
        <f aca="false">O970-M970</f>
        <v>1.5</v>
      </c>
      <c r="U970" s="0" t="str">
        <f aca="false">IF(ABS(T970-S970)&lt;0.01,"OK","MISMATCH")</f>
        <v>OK</v>
      </c>
      <c r="V970" s="33" t="n">
        <f aca="false">Raw!M970</f>
        <v>1</v>
      </c>
      <c r="W970" s="0" t="str">
        <f aca="false">IF((S970&gt;0)=(V970=1),"OK","MISMATCH")</f>
        <v>OK</v>
      </c>
      <c r="X970" s="0" t="str">
        <f aca="false">_xlfn.IFS(S970&lt;=0,"Early/On time",S970&lt;=2,"Minor (up to 2 days)",S970&lt;=5,"Moderate (2-5 days)",TRUE(),"Severe (over 5 days)")</f>
        <v>Minor (up to 2 days)</v>
      </c>
      <c r="Y970" s="0" t="str">
        <f aca="false">YEAR(K970)&amp;"-"&amp;TEXT(MONTH(K970),"00")</f>
        <v>2025-08</v>
      </c>
      <c r="Z970" s="0" t="str">
        <f aca="false">C970&amp;" → "&amp;D970</f>
        <v>Surat → Uttarakhand</v>
      </c>
      <c r="AA970" s="0" t="str">
        <f aca="false">Raw!Q970</f>
        <v>TCI Express</v>
      </c>
      <c r="AB970" s="0" t="str">
        <f aca="false">Raw!R970</f>
        <v>No</v>
      </c>
      <c r="AC970" s="0" t="str">
        <f aca="false">Raw!S970</f>
        <v>Damaged</v>
      </c>
      <c r="AD970" s="29" t="n">
        <f aca="false">Raw!N970</f>
        <v>4237.05</v>
      </c>
      <c r="AE970" s="29" t="n">
        <f aca="false">Raw!O970</f>
        <v>3901.56</v>
      </c>
      <c r="AF970" s="29" t="n">
        <f aca="false">Raw!P970</f>
        <v>709.66</v>
      </c>
      <c r="AG970" s="29" t="n">
        <f aca="false">AD970/J970</f>
        <v>553.862745098039</v>
      </c>
    </row>
    <row r="971" customFormat="false" ht="15" hidden="false" customHeight="false" outlineLevel="0" collapsed="false">
      <c r="A971" s="0" t="str">
        <f aca="false">Raw!A971</f>
        <v>SHP0970</v>
      </c>
      <c r="B971" s="0" t="str">
        <f aca="false">Raw!B971</f>
        <v>Outbound</v>
      </c>
      <c r="C971" s="0" t="str">
        <f aca="false">Raw!C971</f>
        <v>Surat</v>
      </c>
      <c r="D971" s="0" t="str">
        <f aca="false">Raw!D971</f>
        <v>West Bengal</v>
      </c>
      <c r="E971" s="0" t="str">
        <f aca="false">IFERROR(INDEX(Location_Map!$B$2:$B$15,MATCH(C971,Location_Map!$A$2:$A$15,0)),"UNMAPPED")</f>
        <v>Gujarat</v>
      </c>
      <c r="F971" s="0" t="str">
        <f aca="false">IFERROR(INDEX(Location_Map!$C$2:$C$15,MATCH(C971,Location_Map!$A$2:$A$15,0)),"UNMAPPED")</f>
        <v>West</v>
      </c>
      <c r="G971" s="0" t="str">
        <f aca="false">IFERROR(INDEX(Location_Map!$B$2:$B$15,MATCH(D971,Location_Map!$A$2:$A$15,0)),"UNMAPPED")</f>
        <v>West Bengal</v>
      </c>
      <c r="H971" s="0" t="str">
        <f aca="false">IFERROR(INDEX(Location_Map!$C$2:$C$15,MATCH(D971,Location_Map!$A$2:$A$15,0)),"UNMAPPED")</f>
        <v>East</v>
      </c>
      <c r="I971" s="0" t="str">
        <f aca="false">Raw!E971</f>
        <v>Semi-Processed Yarn</v>
      </c>
      <c r="J971" s="28" t="n">
        <f aca="false">Raw!F971</f>
        <v>17.81</v>
      </c>
      <c r="K971" s="30" t="n">
        <f aca="false">DATE(LEFT(Raw!G971,4),MID(Raw!G971,6,2),MID(Raw!G971,9,2))</f>
        <v>45842</v>
      </c>
      <c r="L971" s="30" t="n">
        <f aca="false">DATE(LEFT(Raw!H971,4),MID(Raw!H971,6,2),MID(Raw!H971,9,2))</f>
        <v>45844</v>
      </c>
      <c r="M971" s="30" t="n">
        <f aca="false">DATE(LEFT(Raw!I971,4),MID(Raw!I971,6,2),MID(Raw!I971,9,2))</f>
        <v>45848</v>
      </c>
      <c r="N971" s="31" t="n">
        <f aca="false">DATE(LEFT(Raw!J971,4),MID(Raw!J971,6,2),MID(Raw!J971,9,2))+TIME(MID(Raw!J971,12,2),MID(Raw!J971,15,2),MID(Raw!J971,18,2))</f>
        <v>45844</v>
      </c>
      <c r="O971" s="31" t="n">
        <f aca="false">DATE(LEFT(Raw!K971,4),MID(Raw!K971,6,2),MID(Raw!K971,9,2))+TIME(MID(Raw!K971,12,2),MID(Raw!K971,15,2),MID(Raw!K971,18,2))</f>
        <v>45857.5</v>
      </c>
      <c r="P971" s="32" t="n">
        <f aca="false">L971-K971</f>
        <v>2</v>
      </c>
      <c r="Q971" s="32" t="n">
        <f aca="false">M971-L971</f>
        <v>4</v>
      </c>
      <c r="R971" s="32" t="n">
        <f aca="false">O971-N971</f>
        <v>13.5</v>
      </c>
      <c r="S971" s="32" t="n">
        <f aca="false">Raw!L971</f>
        <v>9.5</v>
      </c>
      <c r="T971" s="32" t="n">
        <f aca="false">O971-M971</f>
        <v>9.5</v>
      </c>
      <c r="U971" s="0" t="str">
        <f aca="false">IF(ABS(T971-S971)&lt;0.01,"OK","MISMATCH")</f>
        <v>OK</v>
      </c>
      <c r="V971" s="33" t="n">
        <f aca="false">Raw!M971</f>
        <v>1</v>
      </c>
      <c r="W971" s="0" t="str">
        <f aca="false">IF((S971&gt;0)=(V971=1),"OK","MISMATCH")</f>
        <v>OK</v>
      </c>
      <c r="X971" s="0" t="str">
        <f aca="false">_xlfn.IFS(S971&lt;=0,"Early/On time",S971&lt;=2,"Minor (up to 2 days)",S971&lt;=5,"Moderate (2-5 days)",TRUE(),"Severe (over 5 days)")</f>
        <v>Severe (over 5 days)</v>
      </c>
      <c r="Y971" s="0" t="str">
        <f aca="false">YEAR(K971)&amp;"-"&amp;TEXT(MONTH(K971),"00")</f>
        <v>2025-07</v>
      </c>
      <c r="Z971" s="0" t="str">
        <f aca="false">C971&amp;" → "&amp;D971</f>
        <v>Surat → West Bengal</v>
      </c>
      <c r="AA971" s="0" t="str">
        <f aca="false">Raw!Q971</f>
        <v>Delhivery</v>
      </c>
      <c r="AB971" s="0" t="str">
        <f aca="false">Raw!R971</f>
        <v>No</v>
      </c>
      <c r="AC971" s="0" t="str">
        <f aca="false">Raw!S971</f>
        <v>Expedited</v>
      </c>
      <c r="AD971" s="29" t="n">
        <f aca="false">Raw!N971</f>
        <v>12749.69</v>
      </c>
      <c r="AE971" s="29" t="n">
        <f aca="false">Raw!O971</f>
        <v>1832.1</v>
      </c>
      <c r="AF971" s="29" t="n">
        <f aca="false">Raw!P971</f>
        <v>837.71</v>
      </c>
      <c r="AG971" s="29" t="n">
        <f aca="false">AD971/J971</f>
        <v>715.872543514879</v>
      </c>
    </row>
    <row r="972" customFormat="false" ht="15" hidden="false" customHeight="false" outlineLevel="0" collapsed="false">
      <c r="A972" s="0" t="str">
        <f aca="false">Raw!A972</f>
        <v>SHP0971</v>
      </c>
      <c r="B972" s="0" t="str">
        <f aca="false">Raw!B972</f>
        <v>Outbound</v>
      </c>
      <c r="C972" s="0" t="str">
        <f aca="false">Raw!C972</f>
        <v>Surat</v>
      </c>
      <c r="D972" s="0" t="str">
        <f aca="false">Raw!D972</f>
        <v>Jaipur</v>
      </c>
      <c r="E972" s="0" t="str">
        <f aca="false">IFERROR(INDEX(Location_Map!$B$2:$B$15,MATCH(C972,Location_Map!$A$2:$A$15,0)),"UNMAPPED")</f>
        <v>Gujarat</v>
      </c>
      <c r="F972" s="0" t="str">
        <f aca="false">IFERROR(INDEX(Location_Map!$C$2:$C$15,MATCH(C972,Location_Map!$A$2:$A$15,0)),"UNMAPPED")</f>
        <v>West</v>
      </c>
      <c r="G972" s="0" t="str">
        <f aca="false">IFERROR(INDEX(Location_Map!$B$2:$B$15,MATCH(D972,Location_Map!$A$2:$A$15,0)),"UNMAPPED")</f>
        <v>Rajasthan</v>
      </c>
      <c r="H972" s="0" t="str">
        <f aca="false">IFERROR(INDEX(Location_Map!$C$2:$C$15,MATCH(D972,Location_Map!$A$2:$A$15,0)),"UNMAPPED")</f>
        <v>North</v>
      </c>
      <c r="I972" s="0" t="str">
        <f aca="false">Raw!E972</f>
        <v>Finished Yarn</v>
      </c>
      <c r="J972" s="28" t="n">
        <f aca="false">Raw!F972</f>
        <v>16.38</v>
      </c>
      <c r="K972" s="30" t="n">
        <f aca="false">DATE(LEFT(Raw!G972,4),MID(Raw!G972,6,2),MID(Raw!G972,9,2))</f>
        <v>45866</v>
      </c>
      <c r="L972" s="30" t="n">
        <f aca="false">DATE(LEFT(Raw!H972,4),MID(Raw!H972,6,2),MID(Raw!H972,9,2))</f>
        <v>45870</v>
      </c>
      <c r="M972" s="30" t="n">
        <f aca="false">DATE(LEFT(Raw!I972,4),MID(Raw!I972,6,2),MID(Raw!I972,9,2))</f>
        <v>45874</v>
      </c>
      <c r="N972" s="31" t="n">
        <f aca="false">DATE(LEFT(Raw!J972,4),MID(Raw!J972,6,2),MID(Raw!J972,9,2))+TIME(MID(Raw!J972,12,2),MID(Raw!J972,15,2),MID(Raw!J972,18,2))</f>
        <v>45869.9583333333</v>
      </c>
      <c r="O972" s="31" t="n">
        <f aca="false">DATE(LEFT(Raw!K972,4),MID(Raw!K972,6,2),MID(Raw!K972,9,2))+TIME(MID(Raw!K972,12,2),MID(Raw!K972,15,2),MID(Raw!K972,18,2))</f>
        <v>45873</v>
      </c>
      <c r="P972" s="32" t="n">
        <f aca="false">L972-K972</f>
        <v>4</v>
      </c>
      <c r="Q972" s="32" t="n">
        <f aca="false">M972-L972</f>
        <v>4</v>
      </c>
      <c r="R972" s="32" t="n">
        <f aca="false">O972-N972</f>
        <v>3.04166666666667</v>
      </c>
      <c r="S972" s="32" t="n">
        <f aca="false">Raw!L972</f>
        <v>-1</v>
      </c>
      <c r="T972" s="32" t="n">
        <f aca="false">O972-M972</f>
        <v>-1</v>
      </c>
      <c r="U972" s="0" t="str">
        <f aca="false">IF(ABS(T972-S972)&lt;0.01,"OK","MISMATCH")</f>
        <v>OK</v>
      </c>
      <c r="V972" s="33" t="n">
        <f aca="false">Raw!M972</f>
        <v>0</v>
      </c>
      <c r="W972" s="0" t="str">
        <f aca="false">IF((S972&gt;0)=(V972=1),"OK","MISMATCH")</f>
        <v>OK</v>
      </c>
      <c r="X972" s="0" t="str">
        <f aca="false">_xlfn.IFS(S972&lt;=0,"Early/On time",S972&lt;=2,"Minor (up to 2 days)",S972&lt;=5,"Moderate (2-5 days)",TRUE(),"Severe (over 5 days)")</f>
        <v>Early/On time</v>
      </c>
      <c r="Y972" s="0" t="str">
        <f aca="false">YEAR(K972)&amp;"-"&amp;TEXT(MONTH(K972),"00")</f>
        <v>2025-07</v>
      </c>
      <c r="Z972" s="0" t="str">
        <f aca="false">C972&amp;" → "&amp;D972</f>
        <v>Surat → Jaipur</v>
      </c>
      <c r="AA972" s="0" t="str">
        <f aca="false">Raw!Q972</f>
        <v>TCI Express</v>
      </c>
      <c r="AB972" s="0" t="str">
        <f aca="false">Raw!R972</f>
        <v>No</v>
      </c>
      <c r="AC972" s="0" t="str">
        <f aca="false">Raw!S972</f>
        <v>Expedited</v>
      </c>
      <c r="AD972" s="29" t="n">
        <f aca="false">Raw!N972</f>
        <v>6604.81</v>
      </c>
      <c r="AE972" s="29" t="n">
        <f aca="false">Raw!O972</f>
        <v>4904.06</v>
      </c>
      <c r="AF972" s="29" t="n">
        <f aca="false">Raw!P972</f>
        <v>810.6</v>
      </c>
      <c r="AG972" s="29" t="n">
        <f aca="false">AD972/J972</f>
        <v>403.224053724054</v>
      </c>
    </row>
    <row r="973" customFormat="false" ht="15" hidden="false" customHeight="false" outlineLevel="0" collapsed="false">
      <c r="A973" s="0" t="str">
        <f aca="false">Raw!A973</f>
        <v>SHP0972</v>
      </c>
      <c r="B973" s="0" t="str">
        <f aca="false">Raw!B973</f>
        <v>Outbound</v>
      </c>
      <c r="C973" s="0" t="str">
        <f aca="false">Raw!C973</f>
        <v>Surat</v>
      </c>
      <c r="D973" s="0" t="str">
        <f aca="false">Raw!D973</f>
        <v>Gujarat</v>
      </c>
      <c r="E973" s="0" t="str">
        <f aca="false">IFERROR(INDEX(Location_Map!$B$2:$B$15,MATCH(C973,Location_Map!$A$2:$A$15,0)),"UNMAPPED")</f>
        <v>Gujarat</v>
      </c>
      <c r="F973" s="0" t="str">
        <f aca="false">IFERROR(INDEX(Location_Map!$C$2:$C$15,MATCH(C973,Location_Map!$A$2:$A$15,0)),"UNMAPPED")</f>
        <v>West</v>
      </c>
      <c r="G973" s="0" t="str">
        <f aca="false">IFERROR(INDEX(Location_Map!$B$2:$B$15,MATCH(D973,Location_Map!$A$2:$A$15,0)),"UNMAPPED")</f>
        <v>Gujarat</v>
      </c>
      <c r="H973" s="0" t="str">
        <f aca="false">IFERROR(INDEX(Location_Map!$C$2:$C$15,MATCH(D973,Location_Map!$A$2:$A$15,0)),"UNMAPPED")</f>
        <v>West</v>
      </c>
      <c r="I973" s="0" t="str">
        <f aca="false">Raw!E973</f>
        <v>Finished Yarn</v>
      </c>
      <c r="J973" s="28" t="n">
        <f aca="false">Raw!F973</f>
        <v>9.76</v>
      </c>
      <c r="K973" s="30" t="n">
        <f aca="false">DATE(LEFT(Raw!G973,4),MID(Raw!G973,6,2),MID(Raw!G973,9,2))</f>
        <v>45860</v>
      </c>
      <c r="L973" s="30" t="n">
        <f aca="false">DATE(LEFT(Raw!H973,4),MID(Raw!H973,6,2),MID(Raw!H973,9,2))</f>
        <v>45863</v>
      </c>
      <c r="M973" s="30" t="n">
        <f aca="false">DATE(LEFT(Raw!I973,4),MID(Raw!I973,6,2),MID(Raw!I973,9,2))</f>
        <v>45865</v>
      </c>
      <c r="N973" s="31" t="n">
        <f aca="false">DATE(LEFT(Raw!J973,4),MID(Raw!J973,6,2),MID(Raw!J973,9,2))+TIME(MID(Raw!J973,12,2),MID(Raw!J973,15,2),MID(Raw!J973,18,2))</f>
        <v>45863.125</v>
      </c>
      <c r="O973" s="31" t="n">
        <f aca="false">DATE(LEFT(Raw!K973,4),MID(Raw!K973,6,2),MID(Raw!K973,9,2))+TIME(MID(Raw!K973,12,2),MID(Raw!K973,15,2),MID(Raw!K973,18,2))</f>
        <v>45867.3</v>
      </c>
      <c r="P973" s="32" t="n">
        <f aca="false">L973-K973</f>
        <v>3</v>
      </c>
      <c r="Q973" s="32" t="n">
        <f aca="false">M973-L973</f>
        <v>2</v>
      </c>
      <c r="R973" s="32" t="n">
        <f aca="false">O973-N973</f>
        <v>4.175</v>
      </c>
      <c r="S973" s="32" t="n">
        <f aca="false">Raw!L973</f>
        <v>2.3</v>
      </c>
      <c r="T973" s="32" t="n">
        <f aca="false">O973-M973</f>
        <v>2.3</v>
      </c>
      <c r="U973" s="0" t="str">
        <f aca="false">IF(ABS(T973-S973)&lt;0.01,"OK","MISMATCH")</f>
        <v>OK</v>
      </c>
      <c r="V973" s="33" t="n">
        <f aca="false">Raw!M973</f>
        <v>1</v>
      </c>
      <c r="W973" s="0" t="str">
        <f aca="false">IF((S973&gt;0)=(V973=1),"OK","MISMATCH")</f>
        <v>OK</v>
      </c>
      <c r="X973" s="0" t="str">
        <f aca="false">_xlfn.IFS(S973&lt;=0,"Early/On time",S973&lt;=2,"Minor (up to 2 days)",S973&lt;=5,"Moderate (2-5 days)",TRUE(),"Severe (over 5 days)")</f>
        <v>Moderate (2-5 days)</v>
      </c>
      <c r="Y973" s="0" t="str">
        <f aca="false">YEAR(K973)&amp;"-"&amp;TEXT(MONTH(K973),"00")</f>
        <v>2025-07</v>
      </c>
      <c r="Z973" s="0" t="str">
        <f aca="false">C973&amp;" → "&amp;D973</f>
        <v>Surat → Gujarat</v>
      </c>
      <c r="AA973" s="0" t="str">
        <f aca="false">Raw!Q973</f>
        <v>BlueDart</v>
      </c>
      <c r="AB973" s="0" t="str">
        <f aca="false">Raw!R973</f>
        <v>Yes</v>
      </c>
      <c r="AC973" s="0" t="str">
        <f aca="false">Raw!S973</f>
        <v>Normal</v>
      </c>
      <c r="AD973" s="29" t="n">
        <f aca="false">Raw!N973</f>
        <v>4357.39</v>
      </c>
      <c r="AE973" s="29" t="n">
        <f aca="false">Raw!O973</f>
        <v>4993.68</v>
      </c>
      <c r="AF973" s="29" t="n">
        <f aca="false">Raw!P973</f>
        <v>1252.4</v>
      </c>
      <c r="AG973" s="29" t="n">
        <f aca="false">AD973/J973</f>
        <v>446.453893442623</v>
      </c>
    </row>
    <row r="974" customFormat="false" ht="15" hidden="false" customHeight="false" outlineLevel="0" collapsed="false">
      <c r="A974" s="0" t="str">
        <f aca="false">Raw!A974</f>
        <v>SHP0973</v>
      </c>
      <c r="B974" s="0" t="str">
        <f aca="false">Raw!B974</f>
        <v>Inbound</v>
      </c>
      <c r="C974" s="0" t="str">
        <f aca="false">Raw!C974</f>
        <v>Rajasthan</v>
      </c>
      <c r="D974" s="0" t="str">
        <f aca="false">Raw!D974</f>
        <v>Surat</v>
      </c>
      <c r="E974" s="0" t="str">
        <f aca="false">IFERROR(INDEX(Location_Map!$B$2:$B$15,MATCH(C974,Location_Map!$A$2:$A$15,0)),"UNMAPPED")</f>
        <v>Rajasthan</v>
      </c>
      <c r="F974" s="0" t="str">
        <f aca="false">IFERROR(INDEX(Location_Map!$C$2:$C$15,MATCH(C974,Location_Map!$A$2:$A$15,0)),"UNMAPPED")</f>
        <v>North</v>
      </c>
      <c r="G974" s="0" t="str">
        <f aca="false">IFERROR(INDEX(Location_Map!$B$2:$B$15,MATCH(D974,Location_Map!$A$2:$A$15,0)),"UNMAPPED")</f>
        <v>Gujarat</v>
      </c>
      <c r="H974" s="0" t="str">
        <f aca="false">IFERROR(INDEX(Location_Map!$C$2:$C$15,MATCH(D974,Location_Map!$A$2:$A$15,0)),"UNMAPPED")</f>
        <v>West</v>
      </c>
      <c r="I974" s="0" t="str">
        <f aca="false">Raw!E974</f>
        <v>Finished Yarn</v>
      </c>
      <c r="J974" s="28" t="n">
        <f aca="false">Raw!F974</f>
        <v>17.41</v>
      </c>
      <c r="K974" s="30" t="n">
        <f aca="false">DATE(LEFT(Raw!G974,4),MID(Raw!G974,6,2),MID(Raw!G974,9,2))</f>
        <v>45853</v>
      </c>
      <c r="L974" s="30" t="n">
        <f aca="false">DATE(LEFT(Raw!H974,4),MID(Raw!H974,6,2),MID(Raw!H974,9,2))</f>
        <v>45857</v>
      </c>
      <c r="M974" s="30" t="n">
        <f aca="false">DATE(LEFT(Raw!I974,4),MID(Raw!I974,6,2),MID(Raw!I974,9,2))</f>
        <v>45861</v>
      </c>
      <c r="N974" s="31" t="n">
        <f aca="false">DATE(LEFT(Raw!J974,4),MID(Raw!J974,6,2),MID(Raw!J974,9,2))+TIME(MID(Raw!J974,12,2),MID(Raw!J974,15,2),MID(Raw!J974,18,2))</f>
        <v>45856.7916666667</v>
      </c>
      <c r="O974" s="31" t="n">
        <f aca="false">DATE(LEFT(Raw!K974,4),MID(Raw!K974,6,2),MID(Raw!K974,9,2))+TIME(MID(Raw!K974,12,2),MID(Raw!K974,15,2),MID(Raw!K974,18,2))</f>
        <v>45865.5</v>
      </c>
      <c r="P974" s="32" t="n">
        <f aca="false">L974-K974</f>
        <v>4</v>
      </c>
      <c r="Q974" s="32" t="n">
        <f aca="false">M974-L974</f>
        <v>4</v>
      </c>
      <c r="R974" s="32" t="n">
        <f aca="false">O974-N974</f>
        <v>8.70833333333333</v>
      </c>
      <c r="S974" s="32" t="n">
        <f aca="false">Raw!L974</f>
        <v>4.5</v>
      </c>
      <c r="T974" s="32" t="n">
        <f aca="false">O974-M974</f>
        <v>4.5</v>
      </c>
      <c r="U974" s="0" t="str">
        <f aca="false">IF(ABS(T974-S974)&lt;0.01,"OK","MISMATCH")</f>
        <v>OK</v>
      </c>
      <c r="V974" s="33" t="n">
        <f aca="false">Raw!M974</f>
        <v>1</v>
      </c>
      <c r="W974" s="0" t="str">
        <f aca="false">IF((S974&gt;0)=(V974=1),"OK","MISMATCH")</f>
        <v>OK</v>
      </c>
      <c r="X974" s="0" t="str">
        <f aca="false">_xlfn.IFS(S974&lt;=0,"Early/On time",S974&lt;=2,"Minor (up to 2 days)",S974&lt;=5,"Moderate (2-5 days)",TRUE(),"Severe (over 5 days)")</f>
        <v>Moderate (2-5 days)</v>
      </c>
      <c r="Y974" s="0" t="str">
        <f aca="false">YEAR(K974)&amp;"-"&amp;TEXT(MONTH(K974),"00")</f>
        <v>2025-07</v>
      </c>
      <c r="Z974" s="0" t="str">
        <f aca="false">C974&amp;" → "&amp;D974</f>
        <v>Rajasthan → Surat</v>
      </c>
      <c r="AA974" s="0" t="str">
        <f aca="false">Raw!Q974</f>
        <v>GATI Logistics</v>
      </c>
      <c r="AB974" s="0" t="str">
        <f aca="false">Raw!R974</f>
        <v>Yes</v>
      </c>
      <c r="AC974" s="0" t="str">
        <f aca="false">Raw!S974</f>
        <v>Returned</v>
      </c>
      <c r="AD974" s="29" t="n">
        <f aca="false">Raw!N974</f>
        <v>7796.07</v>
      </c>
      <c r="AE974" s="29" t="n">
        <f aca="false">Raw!O974</f>
        <v>3052.86</v>
      </c>
      <c r="AF974" s="29" t="n">
        <f aca="false">Raw!P974</f>
        <v>1085.9</v>
      </c>
      <c r="AG974" s="29" t="n">
        <f aca="false">AD974/J974</f>
        <v>447.792647903504</v>
      </c>
    </row>
    <row r="975" customFormat="false" ht="15" hidden="false" customHeight="false" outlineLevel="0" collapsed="false">
      <c r="A975" s="0" t="str">
        <f aca="false">Raw!A975</f>
        <v>SHP0974</v>
      </c>
      <c r="B975" s="0" t="str">
        <f aca="false">Raw!B975</f>
        <v>Outbound</v>
      </c>
      <c r="C975" s="0" t="str">
        <f aca="false">Raw!C975</f>
        <v>Surat</v>
      </c>
      <c r="D975" s="0" t="str">
        <f aca="false">Raw!D975</f>
        <v>Karnataka</v>
      </c>
      <c r="E975" s="0" t="str">
        <f aca="false">IFERROR(INDEX(Location_Map!$B$2:$B$15,MATCH(C975,Location_Map!$A$2:$A$15,0)),"UNMAPPED")</f>
        <v>Gujarat</v>
      </c>
      <c r="F975" s="0" t="str">
        <f aca="false">IFERROR(INDEX(Location_Map!$C$2:$C$15,MATCH(C975,Location_Map!$A$2:$A$15,0)),"UNMAPPED")</f>
        <v>West</v>
      </c>
      <c r="G975" s="0" t="str">
        <f aca="false">IFERROR(INDEX(Location_Map!$B$2:$B$15,MATCH(D975,Location_Map!$A$2:$A$15,0)),"UNMAPPED")</f>
        <v>Karnataka</v>
      </c>
      <c r="H975" s="0" t="str">
        <f aca="false">IFERROR(INDEX(Location_Map!$C$2:$C$15,MATCH(D975,Location_Map!$A$2:$A$15,0)),"UNMAPPED")</f>
        <v>South</v>
      </c>
      <c r="I975" s="0" t="str">
        <f aca="false">Raw!E975</f>
        <v>Raw Yarn</v>
      </c>
      <c r="J975" s="28" t="n">
        <f aca="false">Raw!F975</f>
        <v>4.41</v>
      </c>
      <c r="K975" s="30" t="n">
        <f aca="false">DATE(LEFT(Raw!G975,4),MID(Raw!G975,6,2),MID(Raw!G975,9,2))</f>
        <v>45878</v>
      </c>
      <c r="L975" s="30" t="n">
        <f aca="false">DATE(LEFT(Raw!H975,4),MID(Raw!H975,6,2),MID(Raw!H975,9,2))</f>
        <v>45879</v>
      </c>
      <c r="M975" s="30" t="n">
        <f aca="false">DATE(LEFT(Raw!I975,4),MID(Raw!I975,6,2),MID(Raw!I975,9,2))</f>
        <v>45883</v>
      </c>
      <c r="N975" s="31" t="n">
        <f aca="false">DATE(LEFT(Raw!J975,4),MID(Raw!J975,6,2),MID(Raw!J975,9,2))+TIME(MID(Raw!J975,12,2),MID(Raw!J975,15,2),MID(Raw!J975,18,2))</f>
        <v>45879.125</v>
      </c>
      <c r="O975" s="31" t="n">
        <f aca="false">DATE(LEFT(Raw!K975,4),MID(Raw!K975,6,2),MID(Raw!K975,9,2))+TIME(MID(Raw!K975,12,2),MID(Raw!K975,15,2),MID(Raw!K975,18,2))</f>
        <v>45884</v>
      </c>
      <c r="P975" s="32" t="n">
        <f aca="false">L975-K975</f>
        <v>1</v>
      </c>
      <c r="Q975" s="32" t="n">
        <f aca="false">M975-L975</f>
        <v>4</v>
      </c>
      <c r="R975" s="32" t="n">
        <f aca="false">O975-N975</f>
        <v>4.875</v>
      </c>
      <c r="S975" s="32" t="n">
        <f aca="false">Raw!L975</f>
        <v>1</v>
      </c>
      <c r="T975" s="32" t="n">
        <f aca="false">O975-M975</f>
        <v>1</v>
      </c>
      <c r="U975" s="0" t="str">
        <f aca="false">IF(ABS(T975-S975)&lt;0.01,"OK","MISMATCH")</f>
        <v>OK</v>
      </c>
      <c r="V975" s="33" t="n">
        <f aca="false">Raw!M975</f>
        <v>1</v>
      </c>
      <c r="W975" s="0" t="str">
        <f aca="false">IF((S975&gt;0)=(V975=1),"OK","MISMATCH")</f>
        <v>OK</v>
      </c>
      <c r="X975" s="0" t="str">
        <f aca="false">_xlfn.IFS(S975&lt;=0,"Early/On time",S975&lt;=2,"Minor (up to 2 days)",S975&lt;=5,"Moderate (2-5 days)",TRUE(),"Severe (over 5 days)")</f>
        <v>Minor (up to 2 days)</v>
      </c>
      <c r="Y975" s="0" t="str">
        <f aca="false">YEAR(K975)&amp;"-"&amp;TEXT(MONTH(K975),"00")</f>
        <v>2025-08</v>
      </c>
      <c r="Z975" s="0" t="str">
        <f aca="false">C975&amp;" → "&amp;D975</f>
        <v>Surat → Karnataka</v>
      </c>
      <c r="AA975" s="0" t="str">
        <f aca="false">Raw!Q975</f>
        <v>BlueDart</v>
      </c>
      <c r="AB975" s="0" t="str">
        <f aca="false">Raw!R975</f>
        <v>No</v>
      </c>
      <c r="AC975" s="0" t="str">
        <f aca="false">Raw!S975</f>
        <v>Returned</v>
      </c>
      <c r="AD975" s="29" t="n">
        <f aca="false">Raw!N975</f>
        <v>2280.22</v>
      </c>
      <c r="AE975" s="29" t="n">
        <f aca="false">Raw!O975</f>
        <v>2139.41</v>
      </c>
      <c r="AF975" s="29" t="n">
        <f aca="false">Raw!P975</f>
        <v>1005.16</v>
      </c>
      <c r="AG975" s="29" t="n">
        <f aca="false">AD975/J975</f>
        <v>517.056689342404</v>
      </c>
    </row>
    <row r="976" customFormat="false" ht="15" hidden="false" customHeight="false" outlineLevel="0" collapsed="false">
      <c r="A976" s="0" t="str">
        <f aca="false">Raw!A976</f>
        <v>SHP0975</v>
      </c>
      <c r="B976" s="0" t="str">
        <f aca="false">Raw!B976</f>
        <v>Outbound</v>
      </c>
      <c r="C976" s="0" t="str">
        <f aca="false">Raw!C976</f>
        <v>Surat</v>
      </c>
      <c r="D976" s="0" t="str">
        <f aca="false">Raw!D976</f>
        <v>Gujarat</v>
      </c>
      <c r="E976" s="0" t="str">
        <f aca="false">IFERROR(INDEX(Location_Map!$B$2:$B$15,MATCH(C976,Location_Map!$A$2:$A$15,0)),"UNMAPPED")</f>
        <v>Gujarat</v>
      </c>
      <c r="F976" s="0" t="str">
        <f aca="false">IFERROR(INDEX(Location_Map!$C$2:$C$15,MATCH(C976,Location_Map!$A$2:$A$15,0)),"UNMAPPED")</f>
        <v>West</v>
      </c>
      <c r="G976" s="0" t="str">
        <f aca="false">IFERROR(INDEX(Location_Map!$B$2:$B$15,MATCH(D976,Location_Map!$A$2:$A$15,0)),"UNMAPPED")</f>
        <v>Gujarat</v>
      </c>
      <c r="H976" s="0" t="str">
        <f aca="false">IFERROR(INDEX(Location_Map!$C$2:$C$15,MATCH(D976,Location_Map!$A$2:$A$15,0)),"UNMAPPED")</f>
        <v>West</v>
      </c>
      <c r="I976" s="0" t="str">
        <f aca="false">Raw!E976</f>
        <v>Raw Yarn</v>
      </c>
      <c r="J976" s="28" t="n">
        <f aca="false">Raw!F976</f>
        <v>11.1</v>
      </c>
      <c r="K976" s="30" t="n">
        <f aca="false">DATE(LEFT(Raw!G976,4),MID(Raw!G976,6,2),MID(Raw!G976,9,2))</f>
        <v>45899</v>
      </c>
      <c r="L976" s="30" t="n">
        <f aca="false">DATE(LEFT(Raw!H976,4),MID(Raw!H976,6,2),MID(Raw!H976,9,2))</f>
        <v>45903</v>
      </c>
      <c r="M976" s="30" t="n">
        <f aca="false">DATE(LEFT(Raw!I976,4),MID(Raw!I976,6,2),MID(Raw!I976,9,2))</f>
        <v>45908</v>
      </c>
      <c r="N976" s="31" t="n">
        <f aca="false">DATE(LEFT(Raw!J976,4),MID(Raw!J976,6,2),MID(Raw!J976,9,2))+TIME(MID(Raw!J976,12,2),MID(Raw!J976,15,2),MID(Raw!J976,18,2))</f>
        <v>45903.375</v>
      </c>
      <c r="O976" s="31" t="n">
        <f aca="false">DATE(LEFT(Raw!K976,4),MID(Raw!K976,6,2),MID(Raw!K976,9,2))+TIME(MID(Raw!K976,12,2),MID(Raw!K976,15,2),MID(Raw!K976,18,2))</f>
        <v>45908.1</v>
      </c>
      <c r="P976" s="32" t="n">
        <f aca="false">L976-K976</f>
        <v>4</v>
      </c>
      <c r="Q976" s="32" t="n">
        <f aca="false">M976-L976</f>
        <v>5</v>
      </c>
      <c r="R976" s="32" t="n">
        <f aca="false">O976-N976</f>
        <v>4.725</v>
      </c>
      <c r="S976" s="32" t="n">
        <f aca="false">Raw!L976</f>
        <v>0.1</v>
      </c>
      <c r="T976" s="32" t="n">
        <f aca="false">O976-M976</f>
        <v>0.1</v>
      </c>
      <c r="U976" s="0" t="str">
        <f aca="false">IF(ABS(T976-S976)&lt;0.01,"OK","MISMATCH")</f>
        <v>OK</v>
      </c>
      <c r="V976" s="33" t="n">
        <f aca="false">Raw!M976</f>
        <v>1</v>
      </c>
      <c r="W976" s="0" t="str">
        <f aca="false">IF((S976&gt;0)=(V976=1),"OK","MISMATCH")</f>
        <v>OK</v>
      </c>
      <c r="X976" s="0" t="str">
        <f aca="false">_xlfn.IFS(S976&lt;=0,"Early/On time",S976&lt;=2,"Minor (up to 2 days)",S976&lt;=5,"Moderate (2-5 days)",TRUE(),"Severe (over 5 days)")</f>
        <v>Minor (up to 2 days)</v>
      </c>
      <c r="Y976" s="0" t="str">
        <f aca="false">YEAR(K976)&amp;"-"&amp;TEXT(MONTH(K976),"00")</f>
        <v>2025-08</v>
      </c>
      <c r="Z976" s="0" t="str">
        <f aca="false">C976&amp;" → "&amp;D976</f>
        <v>Surat → Gujarat</v>
      </c>
      <c r="AA976" s="0" t="str">
        <f aca="false">Raw!Q976</f>
        <v>VRL Cargo</v>
      </c>
      <c r="AB976" s="0" t="str">
        <f aca="false">Raw!R976</f>
        <v>No</v>
      </c>
      <c r="AC976" s="0" t="str">
        <f aca="false">Raw!S976</f>
        <v>Held at warehouse</v>
      </c>
      <c r="AD976" s="29" t="n">
        <f aca="false">Raw!N976</f>
        <v>4687.13</v>
      </c>
      <c r="AE976" s="29" t="n">
        <f aca="false">Raw!O976</f>
        <v>2972.12</v>
      </c>
      <c r="AF976" s="29" t="n">
        <f aca="false">Raw!P976</f>
        <v>1064.13</v>
      </c>
      <c r="AG976" s="29" t="n">
        <f aca="false">AD976/J976</f>
        <v>422.263963963964</v>
      </c>
    </row>
    <row r="977" customFormat="false" ht="15" hidden="false" customHeight="false" outlineLevel="0" collapsed="false">
      <c r="A977" s="0" t="str">
        <f aca="false">Raw!A977</f>
        <v>SHP0976</v>
      </c>
      <c r="B977" s="0" t="str">
        <f aca="false">Raw!B977</f>
        <v>Outbound</v>
      </c>
      <c r="C977" s="0" t="str">
        <f aca="false">Raw!C977</f>
        <v>Surat</v>
      </c>
      <c r="D977" s="0" t="str">
        <f aca="false">Raw!D977</f>
        <v>Kerala</v>
      </c>
      <c r="E977" s="0" t="str">
        <f aca="false">IFERROR(INDEX(Location_Map!$B$2:$B$15,MATCH(C977,Location_Map!$A$2:$A$15,0)),"UNMAPPED")</f>
        <v>Gujarat</v>
      </c>
      <c r="F977" s="0" t="str">
        <f aca="false">IFERROR(INDEX(Location_Map!$C$2:$C$15,MATCH(C977,Location_Map!$A$2:$A$15,0)),"UNMAPPED")</f>
        <v>West</v>
      </c>
      <c r="G977" s="0" t="str">
        <f aca="false">IFERROR(INDEX(Location_Map!$B$2:$B$15,MATCH(D977,Location_Map!$A$2:$A$15,0)),"UNMAPPED")</f>
        <v>Kerala</v>
      </c>
      <c r="H977" s="0" t="str">
        <f aca="false">IFERROR(INDEX(Location_Map!$C$2:$C$15,MATCH(D977,Location_Map!$A$2:$A$15,0)),"UNMAPPED")</f>
        <v>South</v>
      </c>
      <c r="I977" s="0" t="str">
        <f aca="false">Raw!E977</f>
        <v>Semi-Processed Yarn</v>
      </c>
      <c r="J977" s="28" t="n">
        <f aca="false">Raw!F977</f>
        <v>13.42</v>
      </c>
      <c r="K977" s="30" t="n">
        <f aca="false">DATE(LEFT(Raw!G977,4),MID(Raw!G977,6,2),MID(Raw!G977,9,2))</f>
        <v>45934</v>
      </c>
      <c r="L977" s="30" t="n">
        <f aca="false">DATE(LEFT(Raw!H977,4),MID(Raw!H977,6,2),MID(Raw!H977,9,2))</f>
        <v>45935</v>
      </c>
      <c r="M977" s="30" t="n">
        <f aca="false">DATE(LEFT(Raw!I977,4),MID(Raw!I977,6,2),MID(Raw!I977,9,2))</f>
        <v>45937</v>
      </c>
      <c r="N977" s="31" t="n">
        <f aca="false">DATE(LEFT(Raw!J977,4),MID(Raw!J977,6,2),MID(Raw!J977,9,2))+TIME(MID(Raw!J977,12,2),MID(Raw!J977,15,2),MID(Raw!J977,18,2))</f>
        <v>45934.875</v>
      </c>
      <c r="O977" s="31" t="n">
        <f aca="false">DATE(LEFT(Raw!K977,4),MID(Raw!K977,6,2),MID(Raw!K977,9,2))+TIME(MID(Raw!K977,12,2),MID(Raw!K977,15,2),MID(Raw!K977,18,2))</f>
        <v>45940.7</v>
      </c>
      <c r="P977" s="32" t="n">
        <f aca="false">L977-K977</f>
        <v>1</v>
      </c>
      <c r="Q977" s="32" t="n">
        <f aca="false">M977-L977</f>
        <v>2</v>
      </c>
      <c r="R977" s="32" t="n">
        <f aca="false">O977-N977</f>
        <v>5.825</v>
      </c>
      <c r="S977" s="32" t="n">
        <f aca="false">Raw!L977</f>
        <v>3.7</v>
      </c>
      <c r="T977" s="32" t="n">
        <f aca="false">O977-M977</f>
        <v>3.7</v>
      </c>
      <c r="U977" s="0" t="str">
        <f aca="false">IF(ABS(T977-S977)&lt;0.01,"OK","MISMATCH")</f>
        <v>OK</v>
      </c>
      <c r="V977" s="33" t="n">
        <f aca="false">Raw!M977</f>
        <v>1</v>
      </c>
      <c r="W977" s="0" t="str">
        <f aca="false">IF((S977&gt;0)=(V977=1),"OK","MISMATCH")</f>
        <v>OK</v>
      </c>
      <c r="X977" s="0" t="str">
        <f aca="false">_xlfn.IFS(S977&lt;=0,"Early/On time",S977&lt;=2,"Minor (up to 2 days)",S977&lt;=5,"Moderate (2-5 days)",TRUE(),"Severe (over 5 days)")</f>
        <v>Moderate (2-5 days)</v>
      </c>
      <c r="Y977" s="0" t="str">
        <f aca="false">YEAR(K977)&amp;"-"&amp;TEXT(MONTH(K977),"00")</f>
        <v>2025-10</v>
      </c>
      <c r="Z977" s="0" t="str">
        <f aca="false">C977&amp;" → "&amp;D977</f>
        <v>Surat → Kerala</v>
      </c>
      <c r="AA977" s="0" t="str">
        <f aca="false">Raw!Q977</f>
        <v>Delhivery</v>
      </c>
      <c r="AB977" s="0" t="str">
        <f aca="false">Raw!R977</f>
        <v>No</v>
      </c>
      <c r="AC977" s="0" t="str">
        <f aca="false">Raw!S977</f>
        <v>Normal</v>
      </c>
      <c r="AD977" s="29" t="n">
        <f aca="false">Raw!N977</f>
        <v>5896.1</v>
      </c>
      <c r="AE977" s="29" t="n">
        <f aca="false">Raw!O977</f>
        <v>2503.75</v>
      </c>
      <c r="AF977" s="29" t="n">
        <f aca="false">Raw!P977</f>
        <v>1034.87</v>
      </c>
      <c r="AG977" s="29" t="n">
        <f aca="false">AD977/J977</f>
        <v>439.351713859911</v>
      </c>
    </row>
    <row r="978" customFormat="false" ht="15" hidden="false" customHeight="false" outlineLevel="0" collapsed="false">
      <c r="A978" s="0" t="str">
        <f aca="false">Raw!A978</f>
        <v>SHP0977</v>
      </c>
      <c r="B978" s="0" t="str">
        <f aca="false">Raw!B978</f>
        <v>Inbound</v>
      </c>
      <c r="C978" s="0" t="str">
        <f aca="false">Raw!C978</f>
        <v>Punjab</v>
      </c>
      <c r="D978" s="0" t="str">
        <f aca="false">Raw!D978</f>
        <v>Surat</v>
      </c>
      <c r="E978" s="0" t="str">
        <f aca="false">IFERROR(INDEX(Location_Map!$B$2:$B$15,MATCH(C978,Location_Map!$A$2:$A$15,0)),"UNMAPPED")</f>
        <v>Punjab</v>
      </c>
      <c r="F978" s="0" t="str">
        <f aca="false">IFERROR(INDEX(Location_Map!$C$2:$C$15,MATCH(C978,Location_Map!$A$2:$A$15,0)),"UNMAPPED")</f>
        <v>North</v>
      </c>
      <c r="G978" s="0" t="str">
        <f aca="false">IFERROR(INDEX(Location_Map!$B$2:$B$15,MATCH(D978,Location_Map!$A$2:$A$15,0)),"UNMAPPED")</f>
        <v>Gujarat</v>
      </c>
      <c r="H978" s="0" t="str">
        <f aca="false">IFERROR(INDEX(Location_Map!$C$2:$C$15,MATCH(D978,Location_Map!$A$2:$A$15,0)),"UNMAPPED")</f>
        <v>West</v>
      </c>
      <c r="I978" s="0" t="str">
        <f aca="false">Raw!E978</f>
        <v>Semi-Processed Yarn</v>
      </c>
      <c r="J978" s="28" t="n">
        <f aca="false">Raw!F978</f>
        <v>17.66</v>
      </c>
      <c r="K978" s="30" t="n">
        <f aca="false">DATE(LEFT(Raw!G978,4),MID(Raw!G978,6,2),MID(Raw!G978,9,2))</f>
        <v>45931</v>
      </c>
      <c r="L978" s="30" t="n">
        <f aca="false">DATE(LEFT(Raw!H978,4),MID(Raw!H978,6,2),MID(Raw!H978,9,2))</f>
        <v>45933</v>
      </c>
      <c r="M978" s="30" t="n">
        <f aca="false">DATE(LEFT(Raw!I978,4),MID(Raw!I978,6,2),MID(Raw!I978,9,2))</f>
        <v>45936</v>
      </c>
      <c r="N978" s="31" t="n">
        <f aca="false">DATE(LEFT(Raw!J978,4),MID(Raw!J978,6,2),MID(Raw!J978,9,2))+TIME(MID(Raw!J978,12,2),MID(Raw!J978,15,2),MID(Raw!J978,18,2))</f>
        <v>45933.3333333333</v>
      </c>
      <c r="O978" s="31" t="n">
        <f aca="false">DATE(LEFT(Raw!K978,4),MID(Raw!K978,6,2),MID(Raw!K978,9,2))+TIME(MID(Raw!K978,12,2),MID(Raw!K978,15,2),MID(Raw!K978,18,2))</f>
        <v>45936.3</v>
      </c>
      <c r="P978" s="32" t="n">
        <f aca="false">L978-K978</f>
        <v>2</v>
      </c>
      <c r="Q978" s="32" t="n">
        <f aca="false">M978-L978</f>
        <v>3</v>
      </c>
      <c r="R978" s="32" t="n">
        <f aca="false">O978-N978</f>
        <v>2.96666666666667</v>
      </c>
      <c r="S978" s="32" t="n">
        <f aca="false">Raw!L978</f>
        <v>0.3</v>
      </c>
      <c r="T978" s="32" t="n">
        <f aca="false">O978-M978</f>
        <v>0.3</v>
      </c>
      <c r="U978" s="0" t="str">
        <f aca="false">IF(ABS(T978-S978)&lt;0.01,"OK","MISMATCH")</f>
        <v>OK</v>
      </c>
      <c r="V978" s="33" t="n">
        <f aca="false">Raw!M978</f>
        <v>1</v>
      </c>
      <c r="W978" s="0" t="str">
        <f aca="false">IF((S978&gt;0)=(V978=1),"OK","MISMATCH")</f>
        <v>OK</v>
      </c>
      <c r="X978" s="0" t="str">
        <f aca="false">_xlfn.IFS(S978&lt;=0,"Early/On time",S978&lt;=2,"Minor (up to 2 days)",S978&lt;=5,"Moderate (2-5 days)",TRUE(),"Severe (over 5 days)")</f>
        <v>Minor (up to 2 days)</v>
      </c>
      <c r="Y978" s="0" t="str">
        <f aca="false">YEAR(K978)&amp;"-"&amp;TEXT(MONTH(K978),"00")</f>
        <v>2025-10</v>
      </c>
      <c r="Z978" s="0" t="str">
        <f aca="false">C978&amp;" → "&amp;D978</f>
        <v>Punjab → Surat</v>
      </c>
      <c r="AA978" s="0" t="str">
        <f aca="false">Raw!Q978</f>
        <v>TCI Express</v>
      </c>
      <c r="AB978" s="0" t="str">
        <f aca="false">Raw!R978</f>
        <v>Yes</v>
      </c>
      <c r="AC978" s="0" t="str">
        <f aca="false">Raw!S978</f>
        <v>Expedited</v>
      </c>
      <c r="AD978" s="29" t="n">
        <f aca="false">Raw!N978</f>
        <v>9476.77</v>
      </c>
      <c r="AE978" s="29" t="n">
        <f aca="false">Raw!O978</f>
        <v>3907.92</v>
      </c>
      <c r="AF978" s="29" t="n">
        <f aca="false">Raw!P978</f>
        <v>878.03</v>
      </c>
      <c r="AG978" s="29" t="n">
        <f aca="false">AD978/J978</f>
        <v>536.623442808607</v>
      </c>
    </row>
    <row r="979" customFormat="false" ht="15" hidden="false" customHeight="false" outlineLevel="0" collapsed="false">
      <c r="A979" s="0" t="str">
        <f aca="false">Raw!A979</f>
        <v>SHP0978</v>
      </c>
      <c r="B979" s="0" t="str">
        <f aca="false">Raw!B979</f>
        <v>Inbound</v>
      </c>
      <c r="C979" s="0" t="str">
        <f aca="false">Raw!C979</f>
        <v>Punjab</v>
      </c>
      <c r="D979" s="0" t="str">
        <f aca="false">Raw!D979</f>
        <v>Surat</v>
      </c>
      <c r="E979" s="0" t="str">
        <f aca="false">IFERROR(INDEX(Location_Map!$B$2:$B$15,MATCH(C979,Location_Map!$A$2:$A$15,0)),"UNMAPPED")</f>
        <v>Punjab</v>
      </c>
      <c r="F979" s="0" t="str">
        <f aca="false">IFERROR(INDEX(Location_Map!$C$2:$C$15,MATCH(C979,Location_Map!$A$2:$A$15,0)),"UNMAPPED")</f>
        <v>North</v>
      </c>
      <c r="G979" s="0" t="str">
        <f aca="false">IFERROR(INDEX(Location_Map!$B$2:$B$15,MATCH(D979,Location_Map!$A$2:$A$15,0)),"UNMAPPED")</f>
        <v>Gujarat</v>
      </c>
      <c r="H979" s="0" t="str">
        <f aca="false">IFERROR(INDEX(Location_Map!$C$2:$C$15,MATCH(D979,Location_Map!$A$2:$A$15,0)),"UNMAPPED")</f>
        <v>West</v>
      </c>
      <c r="I979" s="0" t="str">
        <f aca="false">Raw!E979</f>
        <v>Finished Yarn</v>
      </c>
      <c r="J979" s="28" t="n">
        <f aca="false">Raw!F979</f>
        <v>1.15</v>
      </c>
      <c r="K979" s="30" t="n">
        <f aca="false">DATE(LEFT(Raw!G979,4),MID(Raw!G979,6,2),MID(Raw!G979,9,2))</f>
        <v>45660</v>
      </c>
      <c r="L979" s="30" t="n">
        <f aca="false">DATE(LEFT(Raw!H979,4),MID(Raw!H979,6,2),MID(Raw!H979,9,2))</f>
        <v>45662</v>
      </c>
      <c r="M979" s="30" t="n">
        <f aca="false">DATE(LEFT(Raw!I979,4),MID(Raw!I979,6,2),MID(Raw!I979,9,2))</f>
        <v>45666</v>
      </c>
      <c r="N979" s="31" t="n">
        <f aca="false">DATE(LEFT(Raw!J979,4),MID(Raw!J979,6,2),MID(Raw!J979,9,2))+TIME(MID(Raw!J979,12,2),MID(Raw!J979,15,2),MID(Raw!J979,18,2))</f>
        <v>45662.1666666667</v>
      </c>
      <c r="O979" s="31" t="n">
        <f aca="false">DATE(LEFT(Raw!K979,4),MID(Raw!K979,6,2),MID(Raw!K979,9,2))+TIME(MID(Raw!K979,12,2),MID(Raw!K979,15,2),MID(Raw!K979,18,2))</f>
        <v>45667.4</v>
      </c>
      <c r="P979" s="32" t="n">
        <f aca="false">L979-K979</f>
        <v>2</v>
      </c>
      <c r="Q979" s="32" t="n">
        <f aca="false">M979-L979</f>
        <v>4</v>
      </c>
      <c r="R979" s="32" t="n">
        <f aca="false">O979-N979</f>
        <v>5.23333333333333</v>
      </c>
      <c r="S979" s="32" t="n">
        <f aca="false">Raw!L979</f>
        <v>1.4</v>
      </c>
      <c r="T979" s="32" t="n">
        <f aca="false">O979-M979</f>
        <v>1.4</v>
      </c>
      <c r="U979" s="0" t="str">
        <f aca="false">IF(ABS(T979-S979)&lt;0.01,"OK","MISMATCH")</f>
        <v>OK</v>
      </c>
      <c r="V979" s="33" t="n">
        <f aca="false">Raw!M979</f>
        <v>1</v>
      </c>
      <c r="W979" s="0" t="str">
        <f aca="false">IF((S979&gt;0)=(V979=1),"OK","MISMATCH")</f>
        <v>OK</v>
      </c>
      <c r="X979" s="0" t="str">
        <f aca="false">_xlfn.IFS(S979&lt;=0,"Early/On time",S979&lt;=2,"Minor (up to 2 days)",S979&lt;=5,"Moderate (2-5 days)",TRUE(),"Severe (over 5 days)")</f>
        <v>Minor (up to 2 days)</v>
      </c>
      <c r="Y979" s="0" t="str">
        <f aca="false">YEAR(K979)&amp;"-"&amp;TEXT(MONTH(K979),"00")</f>
        <v>2025-01</v>
      </c>
      <c r="Z979" s="0" t="str">
        <f aca="false">C979&amp;" → "&amp;D979</f>
        <v>Punjab → Surat</v>
      </c>
      <c r="AA979" s="0" t="str">
        <f aca="false">Raw!Q979</f>
        <v>TCI Express</v>
      </c>
      <c r="AB979" s="0" t="str">
        <f aca="false">Raw!R979</f>
        <v>No</v>
      </c>
      <c r="AC979" s="0" t="str">
        <f aca="false">Raw!S979</f>
        <v>Normal</v>
      </c>
      <c r="AD979" s="29" t="n">
        <f aca="false">Raw!N979</f>
        <v>1794.98</v>
      </c>
      <c r="AE979" s="29" t="n">
        <f aca="false">Raw!O979</f>
        <v>1044.11</v>
      </c>
      <c r="AF979" s="29" t="n">
        <f aca="false">Raw!P979</f>
        <v>812.13</v>
      </c>
      <c r="AG979" s="29" t="n">
        <f aca="false">AD979/J979</f>
        <v>1560.85217391304</v>
      </c>
    </row>
    <row r="980" customFormat="false" ht="15" hidden="false" customHeight="false" outlineLevel="0" collapsed="false">
      <c r="A980" s="0" t="str">
        <f aca="false">Raw!A980</f>
        <v>SHP0979</v>
      </c>
      <c r="B980" s="0" t="str">
        <f aca="false">Raw!B980</f>
        <v>Outbound</v>
      </c>
      <c r="C980" s="0" t="str">
        <f aca="false">Raw!C980</f>
        <v>Surat</v>
      </c>
      <c r="D980" s="0" t="str">
        <f aca="false">Raw!D980</f>
        <v>Jaipur</v>
      </c>
      <c r="E980" s="0" t="str">
        <f aca="false">IFERROR(INDEX(Location_Map!$B$2:$B$15,MATCH(C980,Location_Map!$A$2:$A$15,0)),"UNMAPPED")</f>
        <v>Gujarat</v>
      </c>
      <c r="F980" s="0" t="str">
        <f aca="false">IFERROR(INDEX(Location_Map!$C$2:$C$15,MATCH(C980,Location_Map!$A$2:$A$15,0)),"UNMAPPED")</f>
        <v>West</v>
      </c>
      <c r="G980" s="0" t="str">
        <f aca="false">IFERROR(INDEX(Location_Map!$B$2:$B$15,MATCH(D980,Location_Map!$A$2:$A$15,0)),"UNMAPPED")</f>
        <v>Rajasthan</v>
      </c>
      <c r="H980" s="0" t="str">
        <f aca="false">IFERROR(INDEX(Location_Map!$C$2:$C$15,MATCH(D980,Location_Map!$A$2:$A$15,0)),"UNMAPPED")</f>
        <v>North</v>
      </c>
      <c r="I980" s="0" t="str">
        <f aca="false">Raw!E980</f>
        <v>Raw Yarn</v>
      </c>
      <c r="J980" s="28" t="n">
        <f aca="false">Raw!F980</f>
        <v>1.24</v>
      </c>
      <c r="K980" s="30" t="n">
        <f aca="false">DATE(LEFT(Raw!G980,4),MID(Raw!G980,6,2),MID(Raw!G980,9,2))</f>
        <v>45686</v>
      </c>
      <c r="L980" s="30" t="n">
        <f aca="false">DATE(LEFT(Raw!H980,4),MID(Raw!H980,6,2),MID(Raw!H980,9,2))</f>
        <v>45688</v>
      </c>
      <c r="M980" s="30" t="n">
        <f aca="false">DATE(LEFT(Raw!I980,4),MID(Raw!I980,6,2),MID(Raw!I980,9,2))</f>
        <v>45693</v>
      </c>
      <c r="N980" s="31" t="n">
        <f aca="false">DATE(LEFT(Raw!J980,4),MID(Raw!J980,6,2),MID(Raw!J980,9,2))+TIME(MID(Raw!J980,12,2),MID(Raw!J980,15,2),MID(Raw!J980,18,2))</f>
        <v>45688.125</v>
      </c>
      <c r="O980" s="31" t="n">
        <f aca="false">DATE(LEFT(Raw!K980,4),MID(Raw!K980,6,2),MID(Raw!K980,9,2))+TIME(MID(Raw!K980,12,2),MID(Raw!K980,15,2),MID(Raw!K980,18,2))</f>
        <v>45695.1</v>
      </c>
      <c r="P980" s="32" t="n">
        <f aca="false">L980-K980</f>
        <v>2</v>
      </c>
      <c r="Q980" s="32" t="n">
        <f aca="false">M980-L980</f>
        <v>5</v>
      </c>
      <c r="R980" s="32" t="n">
        <f aca="false">O980-N980</f>
        <v>6.975</v>
      </c>
      <c r="S980" s="32" t="n">
        <f aca="false">Raw!L980</f>
        <v>2.1</v>
      </c>
      <c r="T980" s="32" t="n">
        <f aca="false">O980-M980</f>
        <v>2.1</v>
      </c>
      <c r="U980" s="0" t="str">
        <f aca="false">IF(ABS(T980-S980)&lt;0.01,"OK","MISMATCH")</f>
        <v>OK</v>
      </c>
      <c r="V980" s="33" t="n">
        <f aca="false">Raw!M980</f>
        <v>1</v>
      </c>
      <c r="W980" s="0" t="str">
        <f aca="false">IF((S980&gt;0)=(V980=1),"OK","MISMATCH")</f>
        <v>OK</v>
      </c>
      <c r="X980" s="0" t="str">
        <f aca="false">_xlfn.IFS(S980&lt;=0,"Early/On time",S980&lt;=2,"Minor (up to 2 days)",S980&lt;=5,"Moderate (2-5 days)",TRUE(),"Severe (over 5 days)")</f>
        <v>Moderate (2-5 days)</v>
      </c>
      <c r="Y980" s="0" t="str">
        <f aca="false">YEAR(K980)&amp;"-"&amp;TEXT(MONTH(K980),"00")</f>
        <v>2025-01</v>
      </c>
      <c r="Z980" s="0" t="str">
        <f aca="false">C980&amp;" → "&amp;D980</f>
        <v>Surat → Jaipur</v>
      </c>
      <c r="AA980" s="0" t="str">
        <f aca="false">Raw!Q980</f>
        <v>TCI Express</v>
      </c>
      <c r="AB980" s="0" t="str">
        <f aca="false">Raw!R980</f>
        <v>No</v>
      </c>
      <c r="AC980" s="0" t="str">
        <f aca="false">Raw!S980</f>
        <v>Damaged</v>
      </c>
      <c r="AD980" s="29" t="n">
        <f aca="false">Raw!N980</f>
        <v>1262.84</v>
      </c>
      <c r="AE980" s="29" t="n">
        <f aca="false">Raw!O980</f>
        <v>1237.24</v>
      </c>
      <c r="AF980" s="29" t="n">
        <f aca="false">Raw!P980</f>
        <v>805.33</v>
      </c>
      <c r="AG980" s="29" t="n">
        <f aca="false">AD980/J980</f>
        <v>1018.41935483871</v>
      </c>
    </row>
    <row r="981" customFormat="false" ht="15" hidden="false" customHeight="false" outlineLevel="0" collapsed="false">
      <c r="A981" s="0" t="str">
        <f aca="false">Raw!A981</f>
        <v>SHP0980</v>
      </c>
      <c r="B981" s="0" t="str">
        <f aca="false">Raw!B981</f>
        <v>Outbound</v>
      </c>
      <c r="C981" s="0" t="str">
        <f aca="false">Raw!C981</f>
        <v>Surat</v>
      </c>
      <c r="D981" s="0" t="str">
        <f aca="false">Raw!D981</f>
        <v>Karnataka</v>
      </c>
      <c r="E981" s="0" t="str">
        <f aca="false">IFERROR(INDEX(Location_Map!$B$2:$B$15,MATCH(C981,Location_Map!$A$2:$A$15,0)),"UNMAPPED")</f>
        <v>Gujarat</v>
      </c>
      <c r="F981" s="0" t="str">
        <f aca="false">IFERROR(INDEX(Location_Map!$C$2:$C$15,MATCH(C981,Location_Map!$A$2:$A$15,0)),"UNMAPPED")</f>
        <v>West</v>
      </c>
      <c r="G981" s="0" t="str">
        <f aca="false">IFERROR(INDEX(Location_Map!$B$2:$B$15,MATCH(D981,Location_Map!$A$2:$A$15,0)),"UNMAPPED")</f>
        <v>Karnataka</v>
      </c>
      <c r="H981" s="0" t="str">
        <f aca="false">IFERROR(INDEX(Location_Map!$C$2:$C$15,MATCH(D981,Location_Map!$A$2:$A$15,0)),"UNMAPPED")</f>
        <v>South</v>
      </c>
      <c r="I981" s="0" t="str">
        <f aca="false">Raw!E981</f>
        <v>Finished Yarn</v>
      </c>
      <c r="J981" s="28" t="n">
        <f aca="false">Raw!F981</f>
        <v>18.03</v>
      </c>
      <c r="K981" s="30" t="n">
        <f aca="false">DATE(LEFT(Raw!G981,4),MID(Raw!G981,6,2),MID(Raw!G981,9,2))</f>
        <v>45850</v>
      </c>
      <c r="L981" s="30" t="n">
        <f aca="false">DATE(LEFT(Raw!H981,4),MID(Raw!H981,6,2),MID(Raw!H981,9,2))</f>
        <v>45854</v>
      </c>
      <c r="M981" s="30" t="n">
        <f aca="false">DATE(LEFT(Raw!I981,4),MID(Raw!I981,6,2),MID(Raw!I981,9,2))</f>
        <v>45860</v>
      </c>
      <c r="N981" s="31" t="n">
        <f aca="false">DATE(LEFT(Raw!J981,4),MID(Raw!J981,6,2),MID(Raw!J981,9,2))+TIME(MID(Raw!J981,12,2),MID(Raw!J981,15,2),MID(Raw!J981,18,2))</f>
        <v>45854.0416666667</v>
      </c>
      <c r="O981" s="31" t="n">
        <f aca="false">DATE(LEFT(Raw!K981,4),MID(Raw!K981,6,2),MID(Raw!K981,9,2))+TIME(MID(Raw!K981,12,2),MID(Raw!K981,15,2),MID(Raw!K981,18,2))</f>
        <v>45859</v>
      </c>
      <c r="P981" s="32" t="n">
        <f aca="false">L981-K981</f>
        <v>4</v>
      </c>
      <c r="Q981" s="32" t="n">
        <f aca="false">M981-L981</f>
        <v>6</v>
      </c>
      <c r="R981" s="32" t="n">
        <f aca="false">O981-N981</f>
        <v>4.95833333333333</v>
      </c>
      <c r="S981" s="32" t="n">
        <f aca="false">Raw!L981</f>
        <v>-1</v>
      </c>
      <c r="T981" s="32" t="n">
        <f aca="false">O981-M981</f>
        <v>-1</v>
      </c>
      <c r="U981" s="0" t="str">
        <f aca="false">IF(ABS(T981-S981)&lt;0.01,"OK","MISMATCH")</f>
        <v>OK</v>
      </c>
      <c r="V981" s="33" t="n">
        <f aca="false">Raw!M981</f>
        <v>0</v>
      </c>
      <c r="W981" s="0" t="str">
        <f aca="false">IF((S981&gt;0)=(V981=1),"OK","MISMATCH")</f>
        <v>OK</v>
      </c>
      <c r="X981" s="0" t="str">
        <f aca="false">_xlfn.IFS(S981&lt;=0,"Early/On time",S981&lt;=2,"Minor (up to 2 days)",S981&lt;=5,"Moderate (2-5 days)",TRUE(),"Severe (over 5 days)")</f>
        <v>Early/On time</v>
      </c>
      <c r="Y981" s="0" t="str">
        <f aca="false">YEAR(K981)&amp;"-"&amp;TEXT(MONTH(K981),"00")</f>
        <v>2025-07</v>
      </c>
      <c r="Z981" s="0" t="str">
        <f aca="false">C981&amp;" → "&amp;D981</f>
        <v>Surat → Karnataka</v>
      </c>
      <c r="AA981" s="0" t="str">
        <f aca="false">Raw!Q981</f>
        <v>GATI Logistics</v>
      </c>
      <c r="AB981" s="0" t="str">
        <f aca="false">Raw!R981</f>
        <v>No</v>
      </c>
      <c r="AC981" s="0" t="str">
        <f aca="false">Raw!S981</f>
        <v>Returned</v>
      </c>
      <c r="AD981" s="29" t="n">
        <f aca="false">Raw!N981</f>
        <v>11376.75</v>
      </c>
      <c r="AE981" s="29" t="n">
        <f aca="false">Raw!O981</f>
        <v>3331.99</v>
      </c>
      <c r="AF981" s="29" t="n">
        <f aca="false">Raw!P981</f>
        <v>901.65</v>
      </c>
      <c r="AG981" s="29" t="n">
        <f aca="false">AD981/J981</f>
        <v>630.990016638935</v>
      </c>
    </row>
    <row r="982" customFormat="false" ht="15" hidden="false" customHeight="false" outlineLevel="0" collapsed="false">
      <c r="A982" s="0" t="str">
        <f aca="false">Raw!A982</f>
        <v>SHP0981</v>
      </c>
      <c r="B982" s="0" t="str">
        <f aca="false">Raw!B982</f>
        <v>Outbound</v>
      </c>
      <c r="C982" s="0" t="str">
        <f aca="false">Raw!C982</f>
        <v>Surat</v>
      </c>
      <c r="D982" s="0" t="str">
        <f aca="false">Raw!D982</f>
        <v>West Bengal</v>
      </c>
      <c r="E982" s="0" t="str">
        <f aca="false">IFERROR(INDEX(Location_Map!$B$2:$B$15,MATCH(C982,Location_Map!$A$2:$A$15,0)),"UNMAPPED")</f>
        <v>Gujarat</v>
      </c>
      <c r="F982" s="0" t="str">
        <f aca="false">IFERROR(INDEX(Location_Map!$C$2:$C$15,MATCH(C982,Location_Map!$A$2:$A$15,0)),"UNMAPPED")</f>
        <v>West</v>
      </c>
      <c r="G982" s="0" t="str">
        <f aca="false">IFERROR(INDEX(Location_Map!$B$2:$B$15,MATCH(D982,Location_Map!$A$2:$A$15,0)),"UNMAPPED")</f>
        <v>West Bengal</v>
      </c>
      <c r="H982" s="0" t="str">
        <f aca="false">IFERROR(INDEX(Location_Map!$C$2:$C$15,MATCH(D982,Location_Map!$A$2:$A$15,0)),"UNMAPPED")</f>
        <v>East</v>
      </c>
      <c r="I982" s="0" t="str">
        <f aca="false">Raw!E982</f>
        <v>Finished Yarn</v>
      </c>
      <c r="J982" s="28" t="n">
        <f aca="false">Raw!F982</f>
        <v>19.03</v>
      </c>
      <c r="K982" s="30" t="n">
        <f aca="false">DATE(LEFT(Raw!G982,4),MID(Raw!G982,6,2),MID(Raw!G982,9,2))</f>
        <v>45891</v>
      </c>
      <c r="L982" s="30" t="n">
        <f aca="false">DATE(LEFT(Raw!H982,4),MID(Raw!H982,6,2),MID(Raw!H982,9,2))</f>
        <v>45893</v>
      </c>
      <c r="M982" s="30" t="n">
        <f aca="false">DATE(LEFT(Raw!I982,4),MID(Raw!I982,6,2),MID(Raw!I982,9,2))</f>
        <v>45898</v>
      </c>
      <c r="N982" s="31" t="n">
        <f aca="false">DATE(LEFT(Raw!J982,4),MID(Raw!J982,6,2),MID(Raw!J982,9,2))+TIME(MID(Raw!J982,12,2),MID(Raw!J982,15,2),MID(Raw!J982,18,2))</f>
        <v>45892.9583333333</v>
      </c>
      <c r="O982" s="31" t="n">
        <f aca="false">DATE(LEFT(Raw!K982,4),MID(Raw!K982,6,2),MID(Raw!K982,9,2))+TIME(MID(Raw!K982,12,2),MID(Raw!K982,15,2),MID(Raw!K982,18,2))</f>
        <v>45898</v>
      </c>
      <c r="P982" s="32" t="n">
        <f aca="false">L982-K982</f>
        <v>2</v>
      </c>
      <c r="Q982" s="32" t="n">
        <f aca="false">M982-L982</f>
        <v>5</v>
      </c>
      <c r="R982" s="32" t="n">
        <f aca="false">O982-N982</f>
        <v>5.04166666666667</v>
      </c>
      <c r="S982" s="32" t="n">
        <f aca="false">Raw!L982</f>
        <v>-0</v>
      </c>
      <c r="T982" s="32" t="n">
        <f aca="false">O982-M982</f>
        <v>0</v>
      </c>
      <c r="U982" s="0" t="str">
        <f aca="false">IF(ABS(T982-S982)&lt;0.01,"OK","MISMATCH")</f>
        <v>OK</v>
      </c>
      <c r="V982" s="33" t="n">
        <f aca="false">Raw!M982</f>
        <v>0</v>
      </c>
      <c r="W982" s="0" t="str">
        <f aca="false">IF((S982&gt;0)=(V982=1),"OK","MISMATCH")</f>
        <v>OK</v>
      </c>
      <c r="X982" s="0" t="str">
        <f aca="false">_xlfn.IFS(S982&lt;=0,"Early/On time",S982&lt;=2,"Minor (up to 2 days)",S982&lt;=5,"Moderate (2-5 days)",TRUE(),"Severe (over 5 days)")</f>
        <v>Early/On time</v>
      </c>
      <c r="Y982" s="0" t="str">
        <f aca="false">YEAR(K982)&amp;"-"&amp;TEXT(MONTH(K982),"00")</f>
        <v>2025-08</v>
      </c>
      <c r="Z982" s="0" t="str">
        <f aca="false">C982&amp;" → "&amp;D982</f>
        <v>Surat → West Bengal</v>
      </c>
      <c r="AA982" s="0" t="str">
        <f aca="false">Raw!Q982</f>
        <v>Delhivery</v>
      </c>
      <c r="AB982" s="0" t="str">
        <f aca="false">Raw!R982</f>
        <v>Yes</v>
      </c>
      <c r="AC982" s="0" t="str">
        <f aca="false">Raw!S982</f>
        <v>Expedited</v>
      </c>
      <c r="AD982" s="29" t="n">
        <f aca="false">Raw!N982</f>
        <v>8859.59</v>
      </c>
      <c r="AE982" s="29" t="n">
        <f aca="false">Raw!O982</f>
        <v>3804.56</v>
      </c>
      <c r="AF982" s="29" t="n">
        <f aca="false">Raw!P982</f>
        <v>790.64</v>
      </c>
      <c r="AG982" s="29" t="n">
        <f aca="false">AD982/J982</f>
        <v>465.559117183395</v>
      </c>
    </row>
    <row r="983" customFormat="false" ht="15" hidden="false" customHeight="false" outlineLevel="0" collapsed="false">
      <c r="A983" s="0" t="str">
        <f aca="false">Raw!A983</f>
        <v>SHP0982</v>
      </c>
      <c r="B983" s="0" t="str">
        <f aca="false">Raw!B983</f>
        <v>Inbound</v>
      </c>
      <c r="C983" s="0" t="str">
        <f aca="false">Raw!C983</f>
        <v>Punjab</v>
      </c>
      <c r="D983" s="0" t="str">
        <f aca="false">Raw!D983</f>
        <v>Surat</v>
      </c>
      <c r="E983" s="0" t="str">
        <f aca="false">IFERROR(INDEX(Location_Map!$B$2:$B$15,MATCH(C983,Location_Map!$A$2:$A$15,0)),"UNMAPPED")</f>
        <v>Punjab</v>
      </c>
      <c r="F983" s="0" t="str">
        <f aca="false">IFERROR(INDEX(Location_Map!$C$2:$C$15,MATCH(C983,Location_Map!$A$2:$A$15,0)),"UNMAPPED")</f>
        <v>North</v>
      </c>
      <c r="G983" s="0" t="str">
        <f aca="false">IFERROR(INDEX(Location_Map!$B$2:$B$15,MATCH(D983,Location_Map!$A$2:$A$15,0)),"UNMAPPED")</f>
        <v>Gujarat</v>
      </c>
      <c r="H983" s="0" t="str">
        <f aca="false">IFERROR(INDEX(Location_Map!$C$2:$C$15,MATCH(D983,Location_Map!$A$2:$A$15,0)),"UNMAPPED")</f>
        <v>West</v>
      </c>
      <c r="I983" s="0" t="str">
        <f aca="false">Raw!E983</f>
        <v>Semi-Processed Yarn</v>
      </c>
      <c r="J983" s="28" t="n">
        <f aca="false">Raw!F983</f>
        <v>6.65</v>
      </c>
      <c r="K983" s="30" t="n">
        <f aca="false">DATE(LEFT(Raw!G983,4),MID(Raw!G983,6,2),MID(Raw!G983,9,2))</f>
        <v>45746</v>
      </c>
      <c r="L983" s="30" t="n">
        <f aca="false">DATE(LEFT(Raw!H983,4),MID(Raw!H983,6,2),MID(Raw!H983,9,2))</f>
        <v>45749</v>
      </c>
      <c r="M983" s="30" t="n">
        <f aca="false">DATE(LEFT(Raw!I983,4),MID(Raw!I983,6,2),MID(Raw!I983,9,2))</f>
        <v>45754</v>
      </c>
      <c r="N983" s="31" t="n">
        <f aca="false">DATE(LEFT(Raw!J983,4),MID(Raw!J983,6,2),MID(Raw!J983,9,2))+TIME(MID(Raw!J983,12,2),MID(Raw!J983,15,2),MID(Raw!J983,18,2))</f>
        <v>45749</v>
      </c>
      <c r="O983" s="31" t="n">
        <f aca="false">DATE(LEFT(Raw!K983,4),MID(Raw!K983,6,2),MID(Raw!K983,9,2))+TIME(MID(Raw!K983,12,2),MID(Raw!K983,15,2),MID(Raw!K983,18,2))</f>
        <v>45756.3</v>
      </c>
      <c r="P983" s="32" t="n">
        <f aca="false">L983-K983</f>
        <v>3</v>
      </c>
      <c r="Q983" s="32" t="n">
        <f aca="false">M983-L983</f>
        <v>5</v>
      </c>
      <c r="R983" s="32" t="n">
        <f aca="false">O983-N983</f>
        <v>7.3</v>
      </c>
      <c r="S983" s="32" t="n">
        <f aca="false">Raw!L983</f>
        <v>2.3</v>
      </c>
      <c r="T983" s="32" t="n">
        <f aca="false">O983-M983</f>
        <v>2.3</v>
      </c>
      <c r="U983" s="0" t="str">
        <f aca="false">IF(ABS(T983-S983)&lt;0.01,"OK","MISMATCH")</f>
        <v>OK</v>
      </c>
      <c r="V983" s="33" t="n">
        <f aca="false">Raw!M983</f>
        <v>1</v>
      </c>
      <c r="W983" s="0" t="str">
        <f aca="false">IF((S983&gt;0)=(V983=1),"OK","MISMATCH")</f>
        <v>OK</v>
      </c>
      <c r="X983" s="0" t="str">
        <f aca="false">_xlfn.IFS(S983&lt;=0,"Early/On time",S983&lt;=2,"Minor (up to 2 days)",S983&lt;=5,"Moderate (2-5 days)",TRUE(),"Severe (over 5 days)")</f>
        <v>Moderate (2-5 days)</v>
      </c>
      <c r="Y983" s="0" t="str">
        <f aca="false">YEAR(K983)&amp;"-"&amp;TEXT(MONTH(K983),"00")</f>
        <v>2025-03</v>
      </c>
      <c r="Z983" s="0" t="str">
        <f aca="false">C983&amp;" → "&amp;D983</f>
        <v>Punjab → Surat</v>
      </c>
      <c r="AA983" s="0" t="str">
        <f aca="false">Raw!Q983</f>
        <v>GATI Logistics</v>
      </c>
      <c r="AB983" s="0" t="str">
        <f aca="false">Raw!R983</f>
        <v>Yes</v>
      </c>
      <c r="AC983" s="0" t="str">
        <f aca="false">Raw!S983</f>
        <v>Held at warehouse</v>
      </c>
      <c r="AD983" s="29" t="n">
        <f aca="false">Raw!N983</f>
        <v>2940.26</v>
      </c>
      <c r="AE983" s="29" t="n">
        <f aca="false">Raw!O983</f>
        <v>2543.25</v>
      </c>
      <c r="AF983" s="29" t="n">
        <f aca="false">Raw!P983</f>
        <v>1214.22</v>
      </c>
      <c r="AG983" s="29" t="n">
        <f aca="false">AD983/J983</f>
        <v>442.144360902256</v>
      </c>
    </row>
    <row r="984" customFormat="false" ht="15" hidden="false" customHeight="false" outlineLevel="0" collapsed="false">
      <c r="A984" s="0" t="str">
        <f aca="false">Raw!A984</f>
        <v>SHP0983</v>
      </c>
      <c r="B984" s="0" t="str">
        <f aca="false">Raw!B984</f>
        <v>Outbound</v>
      </c>
      <c r="C984" s="0" t="str">
        <f aca="false">Raw!C984</f>
        <v>Surat</v>
      </c>
      <c r="D984" s="0" t="str">
        <f aca="false">Raw!D984</f>
        <v>West Bengal</v>
      </c>
      <c r="E984" s="0" t="str">
        <f aca="false">IFERROR(INDEX(Location_Map!$B$2:$B$15,MATCH(C984,Location_Map!$A$2:$A$15,0)),"UNMAPPED")</f>
        <v>Gujarat</v>
      </c>
      <c r="F984" s="0" t="str">
        <f aca="false">IFERROR(INDEX(Location_Map!$C$2:$C$15,MATCH(C984,Location_Map!$A$2:$A$15,0)),"UNMAPPED")</f>
        <v>West</v>
      </c>
      <c r="G984" s="0" t="str">
        <f aca="false">IFERROR(INDEX(Location_Map!$B$2:$B$15,MATCH(D984,Location_Map!$A$2:$A$15,0)),"UNMAPPED")</f>
        <v>West Bengal</v>
      </c>
      <c r="H984" s="0" t="str">
        <f aca="false">IFERROR(INDEX(Location_Map!$C$2:$C$15,MATCH(D984,Location_Map!$A$2:$A$15,0)),"UNMAPPED")</f>
        <v>East</v>
      </c>
      <c r="I984" s="0" t="str">
        <f aca="false">Raw!E984</f>
        <v>Semi-Processed Yarn</v>
      </c>
      <c r="J984" s="28" t="n">
        <f aca="false">Raw!F984</f>
        <v>2.32</v>
      </c>
      <c r="K984" s="30" t="n">
        <f aca="false">DATE(LEFT(Raw!G984,4),MID(Raw!G984,6,2),MID(Raw!G984,9,2))</f>
        <v>45949</v>
      </c>
      <c r="L984" s="30" t="n">
        <f aca="false">DATE(LEFT(Raw!H984,4),MID(Raw!H984,6,2),MID(Raw!H984,9,2))</f>
        <v>45950</v>
      </c>
      <c r="M984" s="30" t="n">
        <f aca="false">DATE(LEFT(Raw!I984,4),MID(Raw!I984,6,2),MID(Raw!I984,9,2))</f>
        <v>45955</v>
      </c>
      <c r="N984" s="31" t="n">
        <f aca="false">DATE(LEFT(Raw!J984,4),MID(Raw!J984,6,2),MID(Raw!J984,9,2))+TIME(MID(Raw!J984,12,2),MID(Raw!J984,15,2),MID(Raw!J984,18,2))</f>
        <v>45949.9166666667</v>
      </c>
      <c r="O984" s="31" t="n">
        <f aca="false">DATE(LEFT(Raw!K984,4),MID(Raw!K984,6,2),MID(Raw!K984,9,2))+TIME(MID(Raw!K984,12,2),MID(Raw!K984,15,2),MID(Raw!K984,18,2))</f>
        <v>45954</v>
      </c>
      <c r="P984" s="32" t="n">
        <f aca="false">L984-K984</f>
        <v>1</v>
      </c>
      <c r="Q984" s="32" t="n">
        <f aca="false">M984-L984</f>
        <v>5</v>
      </c>
      <c r="R984" s="32" t="n">
        <f aca="false">O984-N984</f>
        <v>4.08333333333333</v>
      </c>
      <c r="S984" s="32" t="n">
        <f aca="false">Raw!L984</f>
        <v>-1</v>
      </c>
      <c r="T984" s="32" t="n">
        <f aca="false">O984-M984</f>
        <v>-1</v>
      </c>
      <c r="U984" s="0" t="str">
        <f aca="false">IF(ABS(T984-S984)&lt;0.01,"OK","MISMATCH")</f>
        <v>OK</v>
      </c>
      <c r="V984" s="33" t="n">
        <f aca="false">Raw!M984</f>
        <v>0</v>
      </c>
      <c r="W984" s="0" t="str">
        <f aca="false">IF((S984&gt;0)=(V984=1),"OK","MISMATCH")</f>
        <v>OK</v>
      </c>
      <c r="X984" s="0" t="str">
        <f aca="false">_xlfn.IFS(S984&lt;=0,"Early/On time",S984&lt;=2,"Minor (up to 2 days)",S984&lt;=5,"Moderate (2-5 days)",TRUE(),"Severe (over 5 days)")</f>
        <v>Early/On time</v>
      </c>
      <c r="Y984" s="0" t="str">
        <f aca="false">YEAR(K984)&amp;"-"&amp;TEXT(MONTH(K984),"00")</f>
        <v>2025-10</v>
      </c>
      <c r="Z984" s="0" t="str">
        <f aca="false">C984&amp;" → "&amp;D984</f>
        <v>Surat → West Bengal</v>
      </c>
      <c r="AA984" s="0" t="str">
        <f aca="false">Raw!Q984</f>
        <v>Delhivery</v>
      </c>
      <c r="AB984" s="0" t="str">
        <f aca="false">Raw!R984</f>
        <v>Yes</v>
      </c>
      <c r="AC984" s="0" t="str">
        <f aca="false">Raw!S984</f>
        <v>Returned</v>
      </c>
      <c r="AD984" s="29" t="n">
        <f aca="false">Raw!N984</f>
        <v>2077.81</v>
      </c>
      <c r="AE984" s="29" t="n">
        <f aca="false">Raw!O984</f>
        <v>2751.86</v>
      </c>
      <c r="AF984" s="29" t="n">
        <f aca="false">Raw!P984</f>
        <v>855</v>
      </c>
      <c r="AG984" s="29" t="n">
        <f aca="false">AD984/J984</f>
        <v>895.60775862069</v>
      </c>
    </row>
    <row r="985" customFormat="false" ht="15" hidden="false" customHeight="false" outlineLevel="0" collapsed="false">
      <c r="A985" s="0" t="str">
        <f aca="false">Raw!A985</f>
        <v>SHP0984</v>
      </c>
      <c r="B985" s="0" t="str">
        <f aca="false">Raw!B985</f>
        <v>Outbound</v>
      </c>
      <c r="C985" s="0" t="str">
        <f aca="false">Raw!C985</f>
        <v>Surat</v>
      </c>
      <c r="D985" s="0" t="str">
        <f aca="false">Raw!D985</f>
        <v>Assam</v>
      </c>
      <c r="E985" s="0" t="str">
        <f aca="false">IFERROR(INDEX(Location_Map!$B$2:$B$15,MATCH(C985,Location_Map!$A$2:$A$15,0)),"UNMAPPED")</f>
        <v>Gujarat</v>
      </c>
      <c r="F985" s="0" t="str">
        <f aca="false">IFERROR(INDEX(Location_Map!$C$2:$C$15,MATCH(C985,Location_Map!$A$2:$A$15,0)),"UNMAPPED")</f>
        <v>West</v>
      </c>
      <c r="G985" s="0" t="str">
        <f aca="false">IFERROR(INDEX(Location_Map!$B$2:$B$15,MATCH(D985,Location_Map!$A$2:$A$15,0)),"UNMAPPED")</f>
        <v>Assam</v>
      </c>
      <c r="H985" s="0" t="str">
        <f aca="false">IFERROR(INDEX(Location_Map!$C$2:$C$15,MATCH(D985,Location_Map!$A$2:$A$15,0)),"UNMAPPED")</f>
        <v>North-East</v>
      </c>
      <c r="I985" s="0" t="str">
        <f aca="false">Raw!E985</f>
        <v>Finished Yarn</v>
      </c>
      <c r="J985" s="28" t="n">
        <f aca="false">Raw!F985</f>
        <v>2.38</v>
      </c>
      <c r="K985" s="30" t="n">
        <f aca="false">DATE(LEFT(Raw!G985,4),MID(Raw!G985,6,2),MID(Raw!G985,9,2))</f>
        <v>45859</v>
      </c>
      <c r="L985" s="30" t="n">
        <f aca="false">DATE(LEFT(Raw!H985,4),MID(Raw!H985,6,2),MID(Raw!H985,9,2))</f>
        <v>45863</v>
      </c>
      <c r="M985" s="30" t="n">
        <f aca="false">DATE(LEFT(Raw!I985,4),MID(Raw!I985,6,2),MID(Raw!I985,9,2))</f>
        <v>45867</v>
      </c>
      <c r="N985" s="31" t="n">
        <f aca="false">DATE(LEFT(Raw!J985,4),MID(Raw!J985,6,2),MID(Raw!J985,9,2))+TIME(MID(Raw!J985,12,2),MID(Raw!J985,15,2),MID(Raw!J985,18,2))</f>
        <v>45862.7916666667</v>
      </c>
      <c r="O985" s="31" t="n">
        <f aca="false">DATE(LEFT(Raw!K985,4),MID(Raw!K985,6,2),MID(Raw!K985,9,2))+TIME(MID(Raw!K985,12,2),MID(Raw!K985,15,2),MID(Raw!K985,18,2))</f>
        <v>45866</v>
      </c>
      <c r="P985" s="32" t="n">
        <f aca="false">L985-K985</f>
        <v>4</v>
      </c>
      <c r="Q985" s="32" t="n">
        <f aca="false">M985-L985</f>
        <v>4</v>
      </c>
      <c r="R985" s="32" t="n">
        <f aca="false">O985-N985</f>
        <v>3.20833333333333</v>
      </c>
      <c r="S985" s="32" t="n">
        <f aca="false">Raw!L985</f>
        <v>-1</v>
      </c>
      <c r="T985" s="32" t="n">
        <f aca="false">O985-M985</f>
        <v>-1</v>
      </c>
      <c r="U985" s="0" t="str">
        <f aca="false">IF(ABS(T985-S985)&lt;0.01,"OK","MISMATCH")</f>
        <v>OK</v>
      </c>
      <c r="V985" s="33" t="n">
        <f aca="false">Raw!M985</f>
        <v>0</v>
      </c>
      <c r="W985" s="0" t="str">
        <f aca="false">IF((S985&gt;0)=(V985=1),"OK","MISMATCH")</f>
        <v>OK</v>
      </c>
      <c r="X985" s="0" t="str">
        <f aca="false">_xlfn.IFS(S985&lt;=0,"Early/On time",S985&lt;=2,"Minor (up to 2 days)",S985&lt;=5,"Moderate (2-5 days)",TRUE(),"Severe (over 5 days)")</f>
        <v>Early/On time</v>
      </c>
      <c r="Y985" s="0" t="str">
        <f aca="false">YEAR(K985)&amp;"-"&amp;TEXT(MONTH(K985),"00")</f>
        <v>2025-07</v>
      </c>
      <c r="Z985" s="0" t="str">
        <f aca="false">C985&amp;" → "&amp;D985</f>
        <v>Surat → Assam</v>
      </c>
      <c r="AA985" s="0" t="str">
        <f aca="false">Raw!Q985</f>
        <v>GATI Logistics</v>
      </c>
      <c r="AB985" s="0" t="str">
        <f aca="false">Raw!R985</f>
        <v>No</v>
      </c>
      <c r="AC985" s="0" t="str">
        <f aca="false">Raw!S985</f>
        <v>Held at warehouse</v>
      </c>
      <c r="AD985" s="29" t="n">
        <f aca="false">Raw!N985</f>
        <v>1862.3</v>
      </c>
      <c r="AE985" s="29" t="n">
        <f aca="false">Raw!O985</f>
        <v>3647.16</v>
      </c>
      <c r="AF985" s="29" t="n">
        <f aca="false">Raw!P985</f>
        <v>948.23</v>
      </c>
      <c r="AG985" s="29" t="n">
        <f aca="false">AD985/J985</f>
        <v>782.478991596639</v>
      </c>
    </row>
    <row r="986" customFormat="false" ht="15" hidden="false" customHeight="false" outlineLevel="0" collapsed="false">
      <c r="A986" s="0" t="str">
        <f aca="false">Raw!A986</f>
        <v>SHP0985</v>
      </c>
      <c r="B986" s="0" t="str">
        <f aca="false">Raw!B986</f>
        <v>Outbound</v>
      </c>
      <c r="C986" s="0" t="str">
        <f aca="false">Raw!C986</f>
        <v>Surat</v>
      </c>
      <c r="D986" s="0" t="str">
        <f aca="false">Raw!D986</f>
        <v>Kerala</v>
      </c>
      <c r="E986" s="0" t="str">
        <f aca="false">IFERROR(INDEX(Location_Map!$B$2:$B$15,MATCH(C986,Location_Map!$A$2:$A$15,0)),"UNMAPPED")</f>
        <v>Gujarat</v>
      </c>
      <c r="F986" s="0" t="str">
        <f aca="false">IFERROR(INDEX(Location_Map!$C$2:$C$15,MATCH(C986,Location_Map!$A$2:$A$15,0)),"UNMAPPED")</f>
        <v>West</v>
      </c>
      <c r="G986" s="0" t="str">
        <f aca="false">IFERROR(INDEX(Location_Map!$B$2:$B$15,MATCH(D986,Location_Map!$A$2:$A$15,0)),"UNMAPPED")</f>
        <v>Kerala</v>
      </c>
      <c r="H986" s="0" t="str">
        <f aca="false">IFERROR(INDEX(Location_Map!$C$2:$C$15,MATCH(D986,Location_Map!$A$2:$A$15,0)),"UNMAPPED")</f>
        <v>South</v>
      </c>
      <c r="I986" s="0" t="str">
        <f aca="false">Raw!E986</f>
        <v>Semi-Processed Yarn</v>
      </c>
      <c r="J986" s="28" t="n">
        <f aca="false">Raw!F986</f>
        <v>9.49</v>
      </c>
      <c r="K986" s="30" t="n">
        <f aca="false">DATE(LEFT(Raw!G986,4),MID(Raw!G986,6,2),MID(Raw!G986,9,2))</f>
        <v>45795</v>
      </c>
      <c r="L986" s="30" t="n">
        <f aca="false">DATE(LEFT(Raw!H986,4),MID(Raw!H986,6,2),MID(Raw!H986,9,2))</f>
        <v>45797</v>
      </c>
      <c r="M986" s="30" t="n">
        <f aca="false">DATE(LEFT(Raw!I986,4),MID(Raw!I986,6,2),MID(Raw!I986,9,2))</f>
        <v>45801</v>
      </c>
      <c r="N986" s="31" t="n">
        <f aca="false">DATE(LEFT(Raw!J986,4),MID(Raw!J986,6,2),MID(Raw!J986,9,2))+TIME(MID(Raw!J986,12,2),MID(Raw!J986,15,2),MID(Raw!J986,18,2))</f>
        <v>45797.2916666667</v>
      </c>
      <c r="O986" s="31" t="n">
        <f aca="false">DATE(LEFT(Raw!K986,4),MID(Raw!K986,6,2),MID(Raw!K986,9,2))+TIME(MID(Raw!K986,12,2),MID(Raw!K986,15,2),MID(Raw!K986,18,2))</f>
        <v>45800.1</v>
      </c>
      <c r="P986" s="32" t="n">
        <f aca="false">L986-K986</f>
        <v>2</v>
      </c>
      <c r="Q986" s="32" t="n">
        <f aca="false">M986-L986</f>
        <v>4</v>
      </c>
      <c r="R986" s="32" t="n">
        <f aca="false">O986-N986</f>
        <v>2.80833333333333</v>
      </c>
      <c r="S986" s="32" t="n">
        <f aca="false">Raw!L986</f>
        <v>-0.9</v>
      </c>
      <c r="T986" s="32" t="n">
        <f aca="false">O986-M986</f>
        <v>-0.900000000002917</v>
      </c>
      <c r="U986" s="0" t="str">
        <f aca="false">IF(ABS(T986-S986)&lt;0.01,"OK","MISMATCH")</f>
        <v>OK</v>
      </c>
      <c r="V986" s="33" t="n">
        <f aca="false">Raw!M986</f>
        <v>0</v>
      </c>
      <c r="W986" s="0" t="str">
        <f aca="false">IF((S986&gt;0)=(V986=1),"OK","MISMATCH")</f>
        <v>OK</v>
      </c>
      <c r="X986" s="0" t="str">
        <f aca="false">_xlfn.IFS(S986&lt;=0,"Early/On time",S986&lt;=2,"Minor (up to 2 days)",S986&lt;=5,"Moderate (2-5 days)",TRUE(),"Severe (over 5 days)")</f>
        <v>Early/On time</v>
      </c>
      <c r="Y986" s="0" t="str">
        <f aca="false">YEAR(K986)&amp;"-"&amp;TEXT(MONTH(K986),"00")</f>
        <v>2025-05</v>
      </c>
      <c r="Z986" s="0" t="str">
        <f aca="false">C986&amp;" → "&amp;D986</f>
        <v>Surat → Kerala</v>
      </c>
      <c r="AA986" s="0" t="str">
        <f aca="false">Raw!Q986</f>
        <v>GATI Logistics</v>
      </c>
      <c r="AB986" s="0" t="str">
        <f aca="false">Raw!R986</f>
        <v>No</v>
      </c>
      <c r="AC986" s="0" t="str">
        <f aca="false">Raw!S986</f>
        <v>Expedited</v>
      </c>
      <c r="AD986" s="29" t="n">
        <f aca="false">Raw!N986</f>
        <v>4415.8</v>
      </c>
      <c r="AE986" s="29" t="n">
        <f aca="false">Raw!O986</f>
        <v>3759.58</v>
      </c>
      <c r="AF986" s="29" t="n">
        <f aca="false">Raw!P986</f>
        <v>1384</v>
      </c>
      <c r="AG986" s="29" t="n">
        <f aca="false">AD986/J986</f>
        <v>465.310853530032</v>
      </c>
    </row>
    <row r="987" customFormat="false" ht="15" hidden="false" customHeight="false" outlineLevel="0" collapsed="false">
      <c r="A987" s="0" t="str">
        <f aca="false">Raw!A987</f>
        <v>SHP0986</v>
      </c>
      <c r="B987" s="0" t="str">
        <f aca="false">Raw!B987</f>
        <v>Inbound</v>
      </c>
      <c r="C987" s="0" t="str">
        <f aca="false">Raw!C987</f>
        <v>Punjab</v>
      </c>
      <c r="D987" s="0" t="str">
        <f aca="false">Raw!D987</f>
        <v>Surat</v>
      </c>
      <c r="E987" s="0" t="str">
        <f aca="false">IFERROR(INDEX(Location_Map!$B$2:$B$15,MATCH(C987,Location_Map!$A$2:$A$15,0)),"UNMAPPED")</f>
        <v>Punjab</v>
      </c>
      <c r="F987" s="0" t="str">
        <f aca="false">IFERROR(INDEX(Location_Map!$C$2:$C$15,MATCH(C987,Location_Map!$A$2:$A$15,0)),"UNMAPPED")</f>
        <v>North</v>
      </c>
      <c r="G987" s="0" t="str">
        <f aca="false">IFERROR(INDEX(Location_Map!$B$2:$B$15,MATCH(D987,Location_Map!$A$2:$A$15,0)),"UNMAPPED")</f>
        <v>Gujarat</v>
      </c>
      <c r="H987" s="0" t="str">
        <f aca="false">IFERROR(INDEX(Location_Map!$C$2:$C$15,MATCH(D987,Location_Map!$A$2:$A$15,0)),"UNMAPPED")</f>
        <v>West</v>
      </c>
      <c r="I987" s="0" t="str">
        <f aca="false">Raw!E987</f>
        <v>Raw Yarn</v>
      </c>
      <c r="J987" s="28" t="n">
        <f aca="false">Raw!F987</f>
        <v>4.93</v>
      </c>
      <c r="K987" s="30" t="n">
        <f aca="false">DATE(LEFT(Raw!G987,4),MID(Raw!G987,6,2),MID(Raw!G987,9,2))</f>
        <v>45933</v>
      </c>
      <c r="L987" s="30" t="n">
        <f aca="false">DATE(LEFT(Raw!H987,4),MID(Raw!H987,6,2),MID(Raw!H987,9,2))</f>
        <v>45937</v>
      </c>
      <c r="M987" s="30" t="n">
        <f aca="false">DATE(LEFT(Raw!I987,4),MID(Raw!I987,6,2),MID(Raw!I987,9,2))</f>
        <v>45941</v>
      </c>
      <c r="N987" s="31" t="n">
        <f aca="false">DATE(LEFT(Raw!J987,4),MID(Raw!J987,6,2),MID(Raw!J987,9,2))+TIME(MID(Raw!J987,12,2),MID(Raw!J987,15,2),MID(Raw!J987,18,2))</f>
        <v>45936.7916666667</v>
      </c>
      <c r="O987" s="31" t="n">
        <f aca="false">DATE(LEFT(Raw!K987,4),MID(Raw!K987,6,2),MID(Raw!K987,9,2))+TIME(MID(Raw!K987,12,2),MID(Raw!K987,15,2),MID(Raw!K987,18,2))</f>
        <v>45946</v>
      </c>
      <c r="P987" s="32" t="n">
        <f aca="false">L987-K987</f>
        <v>4</v>
      </c>
      <c r="Q987" s="32" t="n">
        <f aca="false">M987-L987</f>
        <v>4</v>
      </c>
      <c r="R987" s="32" t="n">
        <f aca="false">O987-N987</f>
        <v>9.20833333333333</v>
      </c>
      <c r="S987" s="32" t="n">
        <f aca="false">Raw!L987</f>
        <v>5</v>
      </c>
      <c r="T987" s="32" t="n">
        <f aca="false">O987-M987</f>
        <v>5</v>
      </c>
      <c r="U987" s="0" t="str">
        <f aca="false">IF(ABS(T987-S987)&lt;0.01,"OK","MISMATCH")</f>
        <v>OK</v>
      </c>
      <c r="V987" s="33" t="n">
        <f aca="false">Raw!M987</f>
        <v>1</v>
      </c>
      <c r="W987" s="0" t="str">
        <f aca="false">IF((S987&gt;0)=(V987=1),"OK","MISMATCH")</f>
        <v>OK</v>
      </c>
      <c r="X987" s="0" t="str">
        <f aca="false">_xlfn.IFS(S987&lt;=0,"Early/On time",S987&lt;=2,"Minor (up to 2 days)",S987&lt;=5,"Moderate (2-5 days)",TRUE(),"Severe (over 5 days)")</f>
        <v>Moderate (2-5 days)</v>
      </c>
      <c r="Y987" s="0" t="str">
        <f aca="false">YEAR(K987)&amp;"-"&amp;TEXT(MONTH(K987),"00")</f>
        <v>2025-10</v>
      </c>
      <c r="Z987" s="0" t="str">
        <f aca="false">C987&amp;" → "&amp;D987</f>
        <v>Punjab → Surat</v>
      </c>
      <c r="AA987" s="0" t="str">
        <f aca="false">Raw!Q987</f>
        <v>Delhivery</v>
      </c>
      <c r="AB987" s="0" t="str">
        <f aca="false">Raw!R987</f>
        <v>No</v>
      </c>
      <c r="AC987" s="0" t="str">
        <f aca="false">Raw!S987</f>
        <v>Expedited</v>
      </c>
      <c r="AD987" s="29" t="n">
        <f aca="false">Raw!N987</f>
        <v>2098.03</v>
      </c>
      <c r="AE987" s="29" t="n">
        <f aca="false">Raw!O987</f>
        <v>1448.96</v>
      </c>
      <c r="AF987" s="29" t="n">
        <f aca="false">Raw!P987</f>
        <v>791.22</v>
      </c>
      <c r="AG987" s="29" t="n">
        <f aca="false">AD987/J987</f>
        <v>425.563894523327</v>
      </c>
    </row>
    <row r="988" customFormat="false" ht="15" hidden="false" customHeight="false" outlineLevel="0" collapsed="false">
      <c r="A988" s="0" t="str">
        <f aca="false">Raw!A988</f>
        <v>SHP0987</v>
      </c>
      <c r="B988" s="0" t="str">
        <f aca="false">Raw!B988</f>
        <v>Inbound</v>
      </c>
      <c r="C988" s="0" t="str">
        <f aca="false">Raw!C988</f>
        <v>Gujarat</v>
      </c>
      <c r="D988" s="0" t="str">
        <f aca="false">Raw!D988</f>
        <v>Surat</v>
      </c>
      <c r="E988" s="0" t="str">
        <f aca="false">IFERROR(INDEX(Location_Map!$B$2:$B$15,MATCH(C988,Location_Map!$A$2:$A$15,0)),"UNMAPPED")</f>
        <v>Gujarat</v>
      </c>
      <c r="F988" s="0" t="str">
        <f aca="false">IFERROR(INDEX(Location_Map!$C$2:$C$15,MATCH(C988,Location_Map!$A$2:$A$15,0)),"UNMAPPED")</f>
        <v>West</v>
      </c>
      <c r="G988" s="0" t="str">
        <f aca="false">IFERROR(INDEX(Location_Map!$B$2:$B$15,MATCH(D988,Location_Map!$A$2:$A$15,0)),"UNMAPPED")</f>
        <v>Gujarat</v>
      </c>
      <c r="H988" s="0" t="str">
        <f aca="false">IFERROR(INDEX(Location_Map!$C$2:$C$15,MATCH(D988,Location_Map!$A$2:$A$15,0)),"UNMAPPED")</f>
        <v>West</v>
      </c>
      <c r="I988" s="0" t="str">
        <f aca="false">Raw!E988</f>
        <v>Raw Yarn</v>
      </c>
      <c r="J988" s="28" t="n">
        <f aca="false">Raw!F988</f>
        <v>12.67</v>
      </c>
      <c r="K988" s="30" t="n">
        <f aca="false">DATE(LEFT(Raw!G988,4),MID(Raw!G988,6,2),MID(Raw!G988,9,2))</f>
        <v>45899</v>
      </c>
      <c r="L988" s="30" t="n">
        <f aca="false">DATE(LEFT(Raw!H988,4),MID(Raw!H988,6,2),MID(Raw!H988,9,2))</f>
        <v>45903</v>
      </c>
      <c r="M988" s="30" t="n">
        <f aca="false">DATE(LEFT(Raw!I988,4),MID(Raw!I988,6,2),MID(Raw!I988,9,2))</f>
        <v>45905</v>
      </c>
      <c r="N988" s="31" t="n">
        <f aca="false">DATE(LEFT(Raw!J988,4),MID(Raw!J988,6,2),MID(Raw!J988,9,2))+TIME(MID(Raw!J988,12,2),MID(Raw!J988,15,2),MID(Raw!J988,18,2))</f>
        <v>45902.9166666667</v>
      </c>
      <c r="O988" s="31" t="n">
        <f aca="false">DATE(LEFT(Raw!K988,4),MID(Raw!K988,6,2),MID(Raw!K988,9,2))+TIME(MID(Raw!K988,12,2),MID(Raw!K988,15,2),MID(Raw!K988,18,2))</f>
        <v>45913.8</v>
      </c>
      <c r="P988" s="32" t="n">
        <f aca="false">L988-K988</f>
        <v>4</v>
      </c>
      <c r="Q988" s="32" t="n">
        <f aca="false">M988-L988</f>
        <v>2</v>
      </c>
      <c r="R988" s="32" t="n">
        <f aca="false">O988-N988</f>
        <v>10.8833333333333</v>
      </c>
      <c r="S988" s="32" t="n">
        <f aca="false">Raw!L988</f>
        <v>8.8</v>
      </c>
      <c r="T988" s="32" t="n">
        <f aca="false">O988-M988</f>
        <v>8.8</v>
      </c>
      <c r="U988" s="0" t="str">
        <f aca="false">IF(ABS(T988-S988)&lt;0.01,"OK","MISMATCH")</f>
        <v>OK</v>
      </c>
      <c r="V988" s="33" t="n">
        <f aca="false">Raw!M988</f>
        <v>1</v>
      </c>
      <c r="W988" s="0" t="str">
        <f aca="false">IF((S988&gt;0)=(V988=1),"OK","MISMATCH")</f>
        <v>OK</v>
      </c>
      <c r="X988" s="0" t="str">
        <f aca="false">_xlfn.IFS(S988&lt;=0,"Early/On time",S988&lt;=2,"Minor (up to 2 days)",S988&lt;=5,"Moderate (2-5 days)",TRUE(),"Severe (over 5 days)")</f>
        <v>Severe (over 5 days)</v>
      </c>
      <c r="Y988" s="0" t="str">
        <f aca="false">YEAR(K988)&amp;"-"&amp;TEXT(MONTH(K988),"00")</f>
        <v>2025-08</v>
      </c>
      <c r="Z988" s="0" t="str">
        <f aca="false">C988&amp;" → "&amp;D988</f>
        <v>Gujarat → Surat</v>
      </c>
      <c r="AA988" s="0" t="str">
        <f aca="false">Raw!Q988</f>
        <v>GATI Logistics</v>
      </c>
      <c r="AB988" s="0" t="str">
        <f aca="false">Raw!R988</f>
        <v>No</v>
      </c>
      <c r="AC988" s="0" t="str">
        <f aca="false">Raw!S988</f>
        <v>Returned</v>
      </c>
      <c r="AD988" s="29" t="n">
        <f aca="false">Raw!N988</f>
        <v>3861.46</v>
      </c>
      <c r="AE988" s="29" t="n">
        <f aca="false">Raw!O988</f>
        <v>1716.72</v>
      </c>
      <c r="AF988" s="29" t="n">
        <f aca="false">Raw!P988</f>
        <v>1147.07</v>
      </c>
      <c r="AG988" s="29" t="n">
        <f aca="false">AD988/J988</f>
        <v>304.771902131018</v>
      </c>
    </row>
    <row r="989" customFormat="false" ht="15" hidden="false" customHeight="false" outlineLevel="0" collapsed="false">
      <c r="A989" s="0" t="str">
        <f aca="false">Raw!A989</f>
        <v>SHP0988</v>
      </c>
      <c r="B989" s="0" t="str">
        <f aca="false">Raw!B989</f>
        <v>Inbound</v>
      </c>
      <c r="C989" s="0" t="str">
        <f aca="false">Raw!C989</f>
        <v>Rajasthan</v>
      </c>
      <c r="D989" s="0" t="str">
        <f aca="false">Raw!D989</f>
        <v>Surat</v>
      </c>
      <c r="E989" s="0" t="str">
        <f aca="false">IFERROR(INDEX(Location_Map!$B$2:$B$15,MATCH(C989,Location_Map!$A$2:$A$15,0)),"UNMAPPED")</f>
        <v>Rajasthan</v>
      </c>
      <c r="F989" s="0" t="str">
        <f aca="false">IFERROR(INDEX(Location_Map!$C$2:$C$15,MATCH(C989,Location_Map!$A$2:$A$15,0)),"UNMAPPED")</f>
        <v>North</v>
      </c>
      <c r="G989" s="0" t="str">
        <f aca="false">IFERROR(INDEX(Location_Map!$B$2:$B$15,MATCH(D989,Location_Map!$A$2:$A$15,0)),"UNMAPPED")</f>
        <v>Gujarat</v>
      </c>
      <c r="H989" s="0" t="str">
        <f aca="false">IFERROR(INDEX(Location_Map!$C$2:$C$15,MATCH(D989,Location_Map!$A$2:$A$15,0)),"UNMAPPED")</f>
        <v>West</v>
      </c>
      <c r="I989" s="0" t="str">
        <f aca="false">Raw!E989</f>
        <v>Finished Yarn</v>
      </c>
      <c r="J989" s="28" t="n">
        <f aca="false">Raw!F989</f>
        <v>9.82</v>
      </c>
      <c r="K989" s="30" t="n">
        <f aca="false">DATE(LEFT(Raw!G989,4),MID(Raw!G989,6,2),MID(Raw!G989,9,2))</f>
        <v>45806</v>
      </c>
      <c r="L989" s="30" t="n">
        <f aca="false">DATE(LEFT(Raw!H989,4),MID(Raw!H989,6,2),MID(Raw!H989,9,2))</f>
        <v>45808</v>
      </c>
      <c r="M989" s="30" t="n">
        <f aca="false">DATE(LEFT(Raw!I989,4),MID(Raw!I989,6,2),MID(Raw!I989,9,2))</f>
        <v>45814</v>
      </c>
      <c r="N989" s="31" t="n">
        <f aca="false">DATE(LEFT(Raw!J989,4),MID(Raw!J989,6,2),MID(Raw!J989,9,2))+TIME(MID(Raw!J989,12,2),MID(Raw!J989,15,2),MID(Raw!J989,18,2))</f>
        <v>45808.0833333333</v>
      </c>
      <c r="O989" s="31" t="n">
        <f aca="false">DATE(LEFT(Raw!K989,4),MID(Raw!K989,6,2),MID(Raw!K989,9,2))+TIME(MID(Raw!K989,12,2),MID(Raw!K989,15,2),MID(Raw!K989,18,2))</f>
        <v>45816.2</v>
      </c>
      <c r="P989" s="32" t="n">
        <f aca="false">L989-K989</f>
        <v>2</v>
      </c>
      <c r="Q989" s="32" t="n">
        <f aca="false">M989-L989</f>
        <v>6</v>
      </c>
      <c r="R989" s="32" t="n">
        <f aca="false">O989-N989</f>
        <v>8.11666666666667</v>
      </c>
      <c r="S989" s="32" t="n">
        <f aca="false">Raw!L989</f>
        <v>2.2</v>
      </c>
      <c r="T989" s="32" t="n">
        <f aca="false">O989-M989</f>
        <v>2.2</v>
      </c>
      <c r="U989" s="0" t="str">
        <f aca="false">IF(ABS(T989-S989)&lt;0.01,"OK","MISMATCH")</f>
        <v>OK</v>
      </c>
      <c r="V989" s="33" t="n">
        <f aca="false">Raw!M989</f>
        <v>1</v>
      </c>
      <c r="W989" s="0" t="str">
        <f aca="false">IF((S989&gt;0)=(V989=1),"OK","MISMATCH")</f>
        <v>OK</v>
      </c>
      <c r="X989" s="0" t="str">
        <f aca="false">_xlfn.IFS(S989&lt;=0,"Early/On time",S989&lt;=2,"Minor (up to 2 days)",S989&lt;=5,"Moderate (2-5 days)",TRUE(),"Severe (over 5 days)")</f>
        <v>Moderate (2-5 days)</v>
      </c>
      <c r="Y989" s="0" t="str">
        <f aca="false">YEAR(K989)&amp;"-"&amp;TEXT(MONTH(K989),"00")</f>
        <v>2025-05</v>
      </c>
      <c r="Z989" s="0" t="str">
        <f aca="false">C989&amp;" → "&amp;D989</f>
        <v>Rajasthan → Surat</v>
      </c>
      <c r="AA989" s="0" t="str">
        <f aca="false">Raw!Q989</f>
        <v>VRL Cargo</v>
      </c>
      <c r="AB989" s="0" t="str">
        <f aca="false">Raw!R989</f>
        <v>Yes</v>
      </c>
      <c r="AC989" s="0" t="str">
        <f aca="false">Raw!S989</f>
        <v>Held at warehouse</v>
      </c>
      <c r="AD989" s="29" t="n">
        <f aca="false">Raw!N989</f>
        <v>5900.16</v>
      </c>
      <c r="AE989" s="29" t="n">
        <f aca="false">Raw!O989</f>
        <v>3227.38</v>
      </c>
      <c r="AF989" s="29" t="n">
        <f aca="false">Raw!P989</f>
        <v>1429.02</v>
      </c>
      <c r="AG989" s="29" t="n">
        <f aca="false">AD989/J989</f>
        <v>600.830957230143</v>
      </c>
    </row>
    <row r="990" customFormat="false" ht="15" hidden="false" customHeight="false" outlineLevel="0" collapsed="false">
      <c r="A990" s="0" t="str">
        <f aca="false">Raw!A990</f>
        <v>SHP0989</v>
      </c>
      <c r="B990" s="0" t="str">
        <f aca="false">Raw!B990</f>
        <v>Outbound</v>
      </c>
      <c r="C990" s="0" t="str">
        <f aca="false">Raw!C990</f>
        <v>Surat</v>
      </c>
      <c r="D990" s="0" t="str">
        <f aca="false">Raw!D990</f>
        <v>Uttarakhand</v>
      </c>
      <c r="E990" s="0" t="str">
        <f aca="false">IFERROR(INDEX(Location_Map!$B$2:$B$15,MATCH(C990,Location_Map!$A$2:$A$15,0)),"UNMAPPED")</f>
        <v>Gujarat</v>
      </c>
      <c r="F990" s="0" t="str">
        <f aca="false">IFERROR(INDEX(Location_Map!$C$2:$C$15,MATCH(C990,Location_Map!$A$2:$A$15,0)),"UNMAPPED")</f>
        <v>West</v>
      </c>
      <c r="G990" s="0" t="str">
        <f aca="false">IFERROR(INDEX(Location_Map!$B$2:$B$15,MATCH(D990,Location_Map!$A$2:$A$15,0)),"UNMAPPED")</f>
        <v>Uttarakhand</v>
      </c>
      <c r="H990" s="0" t="str">
        <f aca="false">IFERROR(INDEX(Location_Map!$C$2:$C$15,MATCH(D990,Location_Map!$A$2:$A$15,0)),"UNMAPPED")</f>
        <v>North</v>
      </c>
      <c r="I990" s="0" t="str">
        <f aca="false">Raw!E990</f>
        <v>Semi-Processed Yarn</v>
      </c>
      <c r="J990" s="28" t="n">
        <f aca="false">Raw!F990</f>
        <v>8.18</v>
      </c>
      <c r="K990" s="30" t="n">
        <f aca="false">DATE(LEFT(Raw!G990,4),MID(Raw!G990,6,2),MID(Raw!G990,9,2))</f>
        <v>45797</v>
      </c>
      <c r="L990" s="30" t="n">
        <f aca="false">DATE(LEFT(Raw!H990,4),MID(Raw!H990,6,2),MID(Raw!H990,9,2))</f>
        <v>45798</v>
      </c>
      <c r="M990" s="30" t="n">
        <f aca="false">DATE(LEFT(Raw!I990,4),MID(Raw!I990,6,2),MID(Raw!I990,9,2))</f>
        <v>45801</v>
      </c>
      <c r="N990" s="31" t="n">
        <f aca="false">DATE(LEFT(Raw!J990,4),MID(Raw!J990,6,2),MID(Raw!J990,9,2))+TIME(MID(Raw!J990,12,2),MID(Raw!J990,15,2),MID(Raw!J990,18,2))</f>
        <v>45798.25</v>
      </c>
      <c r="O990" s="31" t="n">
        <f aca="false">DATE(LEFT(Raw!K990,4),MID(Raw!K990,6,2),MID(Raw!K990,9,2))+TIME(MID(Raw!K990,12,2),MID(Raw!K990,15,2),MID(Raw!K990,18,2))</f>
        <v>45803.3</v>
      </c>
      <c r="P990" s="32" t="n">
        <f aca="false">L990-K990</f>
        <v>1</v>
      </c>
      <c r="Q990" s="32" t="n">
        <f aca="false">M990-L990</f>
        <v>3</v>
      </c>
      <c r="R990" s="32" t="n">
        <f aca="false">O990-N990</f>
        <v>5.05</v>
      </c>
      <c r="S990" s="32" t="n">
        <f aca="false">Raw!L990</f>
        <v>2.3</v>
      </c>
      <c r="T990" s="32" t="n">
        <f aca="false">O990-M990</f>
        <v>2.3</v>
      </c>
      <c r="U990" s="0" t="str">
        <f aca="false">IF(ABS(T990-S990)&lt;0.01,"OK","MISMATCH")</f>
        <v>OK</v>
      </c>
      <c r="V990" s="33" t="n">
        <f aca="false">Raw!M990</f>
        <v>1</v>
      </c>
      <c r="W990" s="0" t="str">
        <f aca="false">IF((S990&gt;0)=(V990=1),"OK","MISMATCH")</f>
        <v>OK</v>
      </c>
      <c r="X990" s="0" t="str">
        <f aca="false">_xlfn.IFS(S990&lt;=0,"Early/On time",S990&lt;=2,"Minor (up to 2 days)",S990&lt;=5,"Moderate (2-5 days)",TRUE(),"Severe (over 5 days)")</f>
        <v>Moderate (2-5 days)</v>
      </c>
      <c r="Y990" s="0" t="str">
        <f aca="false">YEAR(K990)&amp;"-"&amp;TEXT(MONTH(K990),"00")</f>
        <v>2025-05</v>
      </c>
      <c r="Z990" s="0" t="str">
        <f aca="false">C990&amp;" → "&amp;D990</f>
        <v>Surat → Uttarakhand</v>
      </c>
      <c r="AA990" s="0" t="str">
        <f aca="false">Raw!Q990</f>
        <v>BlueDart</v>
      </c>
      <c r="AB990" s="0" t="str">
        <f aca="false">Raw!R990</f>
        <v>Yes</v>
      </c>
      <c r="AC990" s="0" t="str">
        <f aca="false">Raw!S990</f>
        <v>Normal</v>
      </c>
      <c r="AD990" s="29" t="n">
        <f aca="false">Raw!N990</f>
        <v>4657.96</v>
      </c>
      <c r="AE990" s="29" t="n">
        <f aca="false">Raw!O990</f>
        <v>1303.49</v>
      </c>
      <c r="AF990" s="29" t="n">
        <f aca="false">Raw!P990</f>
        <v>1198.22</v>
      </c>
      <c r="AG990" s="29" t="n">
        <f aca="false">AD990/J990</f>
        <v>569.432762836186</v>
      </c>
    </row>
    <row r="991" customFormat="false" ht="15" hidden="false" customHeight="false" outlineLevel="0" collapsed="false">
      <c r="A991" s="0" t="str">
        <f aca="false">Raw!A991</f>
        <v>SHP0990</v>
      </c>
      <c r="B991" s="0" t="str">
        <f aca="false">Raw!B991</f>
        <v>Outbound</v>
      </c>
      <c r="C991" s="0" t="str">
        <f aca="false">Raw!C991</f>
        <v>Surat</v>
      </c>
      <c r="D991" s="0" t="str">
        <f aca="false">Raw!D991</f>
        <v>Uttarakhand</v>
      </c>
      <c r="E991" s="0" t="str">
        <f aca="false">IFERROR(INDEX(Location_Map!$B$2:$B$15,MATCH(C991,Location_Map!$A$2:$A$15,0)),"UNMAPPED")</f>
        <v>Gujarat</v>
      </c>
      <c r="F991" s="0" t="str">
        <f aca="false">IFERROR(INDEX(Location_Map!$C$2:$C$15,MATCH(C991,Location_Map!$A$2:$A$15,0)),"UNMAPPED")</f>
        <v>West</v>
      </c>
      <c r="G991" s="0" t="str">
        <f aca="false">IFERROR(INDEX(Location_Map!$B$2:$B$15,MATCH(D991,Location_Map!$A$2:$A$15,0)),"UNMAPPED")</f>
        <v>Uttarakhand</v>
      </c>
      <c r="H991" s="0" t="str">
        <f aca="false">IFERROR(INDEX(Location_Map!$C$2:$C$15,MATCH(D991,Location_Map!$A$2:$A$15,0)),"UNMAPPED")</f>
        <v>North</v>
      </c>
      <c r="I991" s="0" t="str">
        <f aca="false">Raw!E991</f>
        <v>Finished Yarn</v>
      </c>
      <c r="J991" s="28" t="n">
        <f aca="false">Raw!F991</f>
        <v>12.85</v>
      </c>
      <c r="K991" s="30" t="n">
        <f aca="false">DATE(LEFT(Raw!G991,4),MID(Raw!G991,6,2),MID(Raw!G991,9,2))</f>
        <v>45714</v>
      </c>
      <c r="L991" s="30" t="n">
        <f aca="false">DATE(LEFT(Raw!H991,4),MID(Raw!H991,6,2),MID(Raw!H991,9,2))</f>
        <v>45716</v>
      </c>
      <c r="M991" s="30" t="n">
        <f aca="false">DATE(LEFT(Raw!I991,4),MID(Raw!I991,6,2),MID(Raw!I991,9,2))</f>
        <v>45719</v>
      </c>
      <c r="N991" s="31" t="n">
        <f aca="false">DATE(LEFT(Raw!J991,4),MID(Raw!J991,6,2),MID(Raw!J991,9,2))+TIME(MID(Raw!J991,12,2),MID(Raw!J991,15,2),MID(Raw!J991,18,2))</f>
        <v>45715.7916666667</v>
      </c>
      <c r="O991" s="31" t="n">
        <f aca="false">DATE(LEFT(Raw!K991,4),MID(Raw!K991,6,2),MID(Raw!K991,9,2))+TIME(MID(Raw!K991,12,2),MID(Raw!K991,15,2),MID(Raw!K991,18,2))</f>
        <v>45719.5</v>
      </c>
      <c r="P991" s="32" t="n">
        <f aca="false">L991-K991</f>
        <v>2</v>
      </c>
      <c r="Q991" s="32" t="n">
        <f aca="false">M991-L991</f>
        <v>3</v>
      </c>
      <c r="R991" s="32" t="n">
        <f aca="false">O991-N991</f>
        <v>3.70833333333333</v>
      </c>
      <c r="S991" s="32" t="n">
        <f aca="false">Raw!L991</f>
        <v>0.5</v>
      </c>
      <c r="T991" s="32" t="n">
        <f aca="false">O991-M991</f>
        <v>0.5</v>
      </c>
      <c r="U991" s="0" t="str">
        <f aca="false">IF(ABS(T991-S991)&lt;0.01,"OK","MISMATCH")</f>
        <v>OK</v>
      </c>
      <c r="V991" s="33" t="n">
        <f aca="false">Raw!M991</f>
        <v>1</v>
      </c>
      <c r="W991" s="0" t="str">
        <f aca="false">IF((S991&gt;0)=(V991=1),"OK","MISMATCH")</f>
        <v>OK</v>
      </c>
      <c r="X991" s="0" t="str">
        <f aca="false">_xlfn.IFS(S991&lt;=0,"Early/On time",S991&lt;=2,"Minor (up to 2 days)",S991&lt;=5,"Moderate (2-5 days)",TRUE(),"Severe (over 5 days)")</f>
        <v>Minor (up to 2 days)</v>
      </c>
      <c r="Y991" s="0" t="str">
        <f aca="false">YEAR(K991)&amp;"-"&amp;TEXT(MONTH(K991),"00")</f>
        <v>2025-02</v>
      </c>
      <c r="Z991" s="0" t="str">
        <f aca="false">C991&amp;" → "&amp;D991</f>
        <v>Surat → Uttarakhand</v>
      </c>
      <c r="AA991" s="0" t="str">
        <f aca="false">Raw!Q991</f>
        <v>VRL Cargo</v>
      </c>
      <c r="AB991" s="0" t="str">
        <f aca="false">Raw!R991</f>
        <v>Yes</v>
      </c>
      <c r="AC991" s="0" t="str">
        <f aca="false">Raw!S991</f>
        <v>Normal</v>
      </c>
      <c r="AD991" s="29" t="n">
        <f aca="false">Raw!N991</f>
        <v>4310.95</v>
      </c>
      <c r="AE991" s="29" t="n">
        <f aca="false">Raw!O991</f>
        <v>2962.59</v>
      </c>
      <c r="AF991" s="29" t="n">
        <f aca="false">Raw!P991</f>
        <v>1466.1</v>
      </c>
      <c r="AG991" s="29" t="n">
        <f aca="false">AD991/J991</f>
        <v>335.482490272374</v>
      </c>
    </row>
    <row r="992" customFormat="false" ht="15" hidden="false" customHeight="false" outlineLevel="0" collapsed="false">
      <c r="A992" s="0" t="str">
        <f aca="false">Raw!A992</f>
        <v>SHP0991</v>
      </c>
      <c r="B992" s="0" t="str">
        <f aca="false">Raw!B992</f>
        <v>Inbound</v>
      </c>
      <c r="C992" s="0" t="str">
        <f aca="false">Raw!C992</f>
        <v>Uttar Pradesh</v>
      </c>
      <c r="D992" s="0" t="str">
        <f aca="false">Raw!D992</f>
        <v>Surat</v>
      </c>
      <c r="E992" s="0" t="str">
        <f aca="false">IFERROR(INDEX(Location_Map!$B$2:$B$15,MATCH(C992,Location_Map!$A$2:$A$15,0)),"UNMAPPED")</f>
        <v>Uttar Pradesh</v>
      </c>
      <c r="F992" s="0" t="str">
        <f aca="false">IFERROR(INDEX(Location_Map!$C$2:$C$15,MATCH(C992,Location_Map!$A$2:$A$15,0)),"UNMAPPED")</f>
        <v>North</v>
      </c>
      <c r="G992" s="0" t="str">
        <f aca="false">IFERROR(INDEX(Location_Map!$B$2:$B$15,MATCH(D992,Location_Map!$A$2:$A$15,0)),"UNMAPPED")</f>
        <v>Gujarat</v>
      </c>
      <c r="H992" s="0" t="str">
        <f aca="false">IFERROR(INDEX(Location_Map!$C$2:$C$15,MATCH(D992,Location_Map!$A$2:$A$15,0)),"UNMAPPED")</f>
        <v>West</v>
      </c>
      <c r="I992" s="0" t="str">
        <f aca="false">Raw!E992</f>
        <v>Raw Yarn</v>
      </c>
      <c r="J992" s="28" t="n">
        <f aca="false">Raw!F992</f>
        <v>16.81</v>
      </c>
      <c r="K992" s="30" t="n">
        <f aca="false">DATE(LEFT(Raw!G992,4),MID(Raw!G992,6,2),MID(Raw!G992,9,2))</f>
        <v>45743</v>
      </c>
      <c r="L992" s="30" t="n">
        <f aca="false">DATE(LEFT(Raw!H992,4),MID(Raw!H992,6,2),MID(Raw!H992,9,2))</f>
        <v>45745</v>
      </c>
      <c r="M992" s="30" t="n">
        <f aca="false">DATE(LEFT(Raw!I992,4),MID(Raw!I992,6,2),MID(Raw!I992,9,2))</f>
        <v>45751</v>
      </c>
      <c r="N992" s="31" t="n">
        <f aca="false">DATE(LEFT(Raw!J992,4),MID(Raw!J992,6,2),MID(Raw!J992,9,2))+TIME(MID(Raw!J992,12,2),MID(Raw!J992,15,2),MID(Raw!J992,18,2))</f>
        <v>45744.7916666667</v>
      </c>
      <c r="O992" s="31" t="n">
        <f aca="false">DATE(LEFT(Raw!K992,4),MID(Raw!K992,6,2),MID(Raw!K992,9,2))+TIME(MID(Raw!K992,12,2),MID(Raw!K992,15,2),MID(Raw!K992,18,2))</f>
        <v>45756</v>
      </c>
      <c r="P992" s="32" t="n">
        <f aca="false">L992-K992</f>
        <v>2</v>
      </c>
      <c r="Q992" s="32" t="n">
        <f aca="false">M992-L992</f>
        <v>6</v>
      </c>
      <c r="R992" s="32" t="n">
        <f aca="false">O992-N992</f>
        <v>11.2083333333333</v>
      </c>
      <c r="S992" s="32" t="n">
        <f aca="false">Raw!L992</f>
        <v>5</v>
      </c>
      <c r="T992" s="32" t="n">
        <f aca="false">O992-M992</f>
        <v>5</v>
      </c>
      <c r="U992" s="0" t="str">
        <f aca="false">IF(ABS(T992-S992)&lt;0.01,"OK","MISMATCH")</f>
        <v>OK</v>
      </c>
      <c r="V992" s="33" t="n">
        <f aca="false">Raw!M992</f>
        <v>1</v>
      </c>
      <c r="W992" s="0" t="str">
        <f aca="false">IF((S992&gt;0)=(V992=1),"OK","MISMATCH")</f>
        <v>OK</v>
      </c>
      <c r="X992" s="0" t="str">
        <f aca="false">_xlfn.IFS(S992&lt;=0,"Early/On time",S992&lt;=2,"Minor (up to 2 days)",S992&lt;=5,"Moderate (2-5 days)",TRUE(),"Severe (over 5 days)")</f>
        <v>Moderate (2-5 days)</v>
      </c>
      <c r="Y992" s="0" t="str">
        <f aca="false">YEAR(K992)&amp;"-"&amp;TEXT(MONTH(K992),"00")</f>
        <v>2025-03</v>
      </c>
      <c r="Z992" s="0" t="str">
        <f aca="false">C992&amp;" → "&amp;D992</f>
        <v>Uttar Pradesh → Surat</v>
      </c>
      <c r="AA992" s="0" t="str">
        <f aca="false">Raw!Q992</f>
        <v>GATI Logistics</v>
      </c>
      <c r="AB992" s="0" t="str">
        <f aca="false">Raw!R992</f>
        <v>No</v>
      </c>
      <c r="AC992" s="0" t="str">
        <f aca="false">Raw!S992</f>
        <v>Normal</v>
      </c>
      <c r="AD992" s="29" t="n">
        <f aca="false">Raw!N992</f>
        <v>8191.83</v>
      </c>
      <c r="AE992" s="29" t="n">
        <f aca="false">Raw!O992</f>
        <v>4097.91</v>
      </c>
      <c r="AF992" s="29" t="n">
        <f aca="false">Raw!P992</f>
        <v>533.79</v>
      </c>
      <c r="AG992" s="29" t="n">
        <f aca="false">AD992/J992</f>
        <v>487.318857822725</v>
      </c>
    </row>
    <row r="993" customFormat="false" ht="15" hidden="false" customHeight="false" outlineLevel="0" collapsed="false">
      <c r="A993" s="0" t="str">
        <f aca="false">Raw!A993</f>
        <v>SHP0992</v>
      </c>
      <c r="B993" s="0" t="str">
        <f aca="false">Raw!B993</f>
        <v>Outbound</v>
      </c>
      <c r="C993" s="0" t="str">
        <f aca="false">Raw!C993</f>
        <v>Surat</v>
      </c>
      <c r="D993" s="0" t="str">
        <f aca="false">Raw!D993</f>
        <v>Madhya Pradesh</v>
      </c>
      <c r="E993" s="0" t="str">
        <f aca="false">IFERROR(INDEX(Location_Map!$B$2:$B$15,MATCH(C993,Location_Map!$A$2:$A$15,0)),"UNMAPPED")</f>
        <v>Gujarat</v>
      </c>
      <c r="F993" s="0" t="str">
        <f aca="false">IFERROR(INDEX(Location_Map!$C$2:$C$15,MATCH(C993,Location_Map!$A$2:$A$15,0)),"UNMAPPED")</f>
        <v>West</v>
      </c>
      <c r="G993" s="0" t="str">
        <f aca="false">IFERROR(INDEX(Location_Map!$B$2:$B$15,MATCH(D993,Location_Map!$A$2:$A$15,0)),"UNMAPPED")</f>
        <v>Madhya Pradesh</v>
      </c>
      <c r="H993" s="0" t="str">
        <f aca="false">IFERROR(INDEX(Location_Map!$C$2:$C$15,MATCH(D993,Location_Map!$A$2:$A$15,0)),"UNMAPPED")</f>
        <v>Central</v>
      </c>
      <c r="I993" s="0" t="str">
        <f aca="false">Raw!E993</f>
        <v>Semi-Processed Yarn</v>
      </c>
      <c r="J993" s="28" t="n">
        <f aca="false">Raw!F993</f>
        <v>12.27</v>
      </c>
      <c r="K993" s="30" t="n">
        <f aca="false">DATE(LEFT(Raw!G993,4),MID(Raw!G993,6,2),MID(Raw!G993,9,2))</f>
        <v>45714</v>
      </c>
      <c r="L993" s="30" t="n">
        <f aca="false">DATE(LEFT(Raw!H993,4),MID(Raw!H993,6,2),MID(Raw!H993,9,2))</f>
        <v>45716</v>
      </c>
      <c r="M993" s="30" t="n">
        <f aca="false">DATE(LEFT(Raw!I993,4),MID(Raw!I993,6,2),MID(Raw!I993,9,2))</f>
        <v>45721</v>
      </c>
      <c r="N993" s="31" t="n">
        <f aca="false">DATE(LEFT(Raw!J993,4),MID(Raw!J993,6,2),MID(Raw!J993,9,2))+TIME(MID(Raw!J993,12,2),MID(Raw!J993,15,2),MID(Raw!J993,18,2))</f>
        <v>45716.25</v>
      </c>
      <c r="O993" s="31" t="n">
        <f aca="false">DATE(LEFT(Raw!K993,4),MID(Raw!K993,6,2),MID(Raw!K993,9,2))+TIME(MID(Raw!K993,12,2),MID(Raw!K993,15,2),MID(Raw!K993,18,2))</f>
        <v>45721.8</v>
      </c>
      <c r="P993" s="32" t="n">
        <f aca="false">L993-K993</f>
        <v>2</v>
      </c>
      <c r="Q993" s="32" t="n">
        <f aca="false">M993-L993</f>
        <v>5</v>
      </c>
      <c r="R993" s="32" t="n">
        <f aca="false">O993-N993</f>
        <v>5.55</v>
      </c>
      <c r="S993" s="32" t="n">
        <f aca="false">Raw!L993</f>
        <v>0.8</v>
      </c>
      <c r="T993" s="32" t="n">
        <f aca="false">O993-M993</f>
        <v>0.8</v>
      </c>
      <c r="U993" s="0" t="str">
        <f aca="false">IF(ABS(T993-S993)&lt;0.01,"OK","MISMATCH")</f>
        <v>OK</v>
      </c>
      <c r="V993" s="33" t="n">
        <f aca="false">Raw!M993</f>
        <v>1</v>
      </c>
      <c r="W993" s="0" t="str">
        <f aca="false">IF((S993&gt;0)=(V993=1),"OK","MISMATCH")</f>
        <v>OK</v>
      </c>
      <c r="X993" s="0" t="str">
        <f aca="false">_xlfn.IFS(S993&lt;=0,"Early/On time",S993&lt;=2,"Minor (up to 2 days)",S993&lt;=5,"Moderate (2-5 days)",TRUE(),"Severe (over 5 days)")</f>
        <v>Minor (up to 2 days)</v>
      </c>
      <c r="Y993" s="0" t="str">
        <f aca="false">YEAR(K993)&amp;"-"&amp;TEXT(MONTH(K993),"00")</f>
        <v>2025-02</v>
      </c>
      <c r="Z993" s="0" t="str">
        <f aca="false">C993&amp;" → "&amp;D993</f>
        <v>Surat → Madhya Pradesh</v>
      </c>
      <c r="AA993" s="0" t="str">
        <f aca="false">Raw!Q993</f>
        <v>TCI Express</v>
      </c>
      <c r="AB993" s="0" t="str">
        <f aca="false">Raw!R993</f>
        <v>Yes</v>
      </c>
      <c r="AC993" s="0" t="str">
        <f aca="false">Raw!S993</f>
        <v>Normal</v>
      </c>
      <c r="AD993" s="29" t="n">
        <f aca="false">Raw!N993</f>
        <v>3357.29</v>
      </c>
      <c r="AE993" s="29" t="n">
        <f aca="false">Raw!O993</f>
        <v>2575.95</v>
      </c>
      <c r="AF993" s="29" t="n">
        <f aca="false">Raw!P993</f>
        <v>916.39</v>
      </c>
      <c r="AG993" s="29" t="n">
        <f aca="false">AD993/J993</f>
        <v>273.617766911165</v>
      </c>
    </row>
    <row r="994" customFormat="false" ht="15" hidden="false" customHeight="false" outlineLevel="0" collapsed="false">
      <c r="A994" s="0" t="str">
        <f aca="false">Raw!A994</f>
        <v>SHP0993</v>
      </c>
      <c r="B994" s="0" t="str">
        <f aca="false">Raw!B994</f>
        <v>Inbound</v>
      </c>
      <c r="C994" s="0" t="str">
        <f aca="false">Raw!C994</f>
        <v>Punjab</v>
      </c>
      <c r="D994" s="0" t="str">
        <f aca="false">Raw!D994</f>
        <v>Surat</v>
      </c>
      <c r="E994" s="0" t="str">
        <f aca="false">IFERROR(INDEX(Location_Map!$B$2:$B$15,MATCH(C994,Location_Map!$A$2:$A$15,0)),"UNMAPPED")</f>
        <v>Punjab</v>
      </c>
      <c r="F994" s="0" t="str">
        <f aca="false">IFERROR(INDEX(Location_Map!$C$2:$C$15,MATCH(C994,Location_Map!$A$2:$A$15,0)),"UNMAPPED")</f>
        <v>North</v>
      </c>
      <c r="G994" s="0" t="str">
        <f aca="false">IFERROR(INDEX(Location_Map!$B$2:$B$15,MATCH(D994,Location_Map!$A$2:$A$15,0)),"UNMAPPED")</f>
        <v>Gujarat</v>
      </c>
      <c r="H994" s="0" t="str">
        <f aca="false">IFERROR(INDEX(Location_Map!$C$2:$C$15,MATCH(D994,Location_Map!$A$2:$A$15,0)),"UNMAPPED")</f>
        <v>West</v>
      </c>
      <c r="I994" s="0" t="str">
        <f aca="false">Raw!E994</f>
        <v>Raw Yarn</v>
      </c>
      <c r="J994" s="28" t="n">
        <f aca="false">Raw!F994</f>
        <v>9.57</v>
      </c>
      <c r="K994" s="30" t="n">
        <f aca="false">DATE(LEFT(Raw!G994,4),MID(Raw!G994,6,2),MID(Raw!G994,9,2))</f>
        <v>45906</v>
      </c>
      <c r="L994" s="30" t="n">
        <f aca="false">DATE(LEFT(Raw!H994,4),MID(Raw!H994,6,2),MID(Raw!H994,9,2))</f>
        <v>45907</v>
      </c>
      <c r="M994" s="30" t="n">
        <f aca="false">DATE(LEFT(Raw!I994,4),MID(Raw!I994,6,2),MID(Raw!I994,9,2))</f>
        <v>45909</v>
      </c>
      <c r="N994" s="31" t="n">
        <f aca="false">DATE(LEFT(Raw!J994,4),MID(Raw!J994,6,2),MID(Raw!J994,9,2))+TIME(MID(Raw!J994,12,2),MID(Raw!J994,15,2),MID(Raw!J994,18,2))</f>
        <v>45907.2916666667</v>
      </c>
      <c r="O994" s="31" t="n">
        <f aca="false">DATE(LEFT(Raw!K994,4),MID(Raw!K994,6,2),MID(Raw!K994,9,2))+TIME(MID(Raw!K994,12,2),MID(Raw!K994,15,2),MID(Raw!K994,18,2))</f>
        <v>45915.2</v>
      </c>
      <c r="P994" s="32" t="n">
        <f aca="false">L994-K994</f>
        <v>1</v>
      </c>
      <c r="Q994" s="32" t="n">
        <f aca="false">M994-L994</f>
        <v>2</v>
      </c>
      <c r="R994" s="32" t="n">
        <f aca="false">O994-N994</f>
        <v>7.90833333333333</v>
      </c>
      <c r="S994" s="32" t="n">
        <f aca="false">Raw!L994</f>
        <v>6.2</v>
      </c>
      <c r="T994" s="32" t="n">
        <f aca="false">O994-M994</f>
        <v>6.2</v>
      </c>
      <c r="U994" s="0" t="str">
        <f aca="false">IF(ABS(T994-S994)&lt;0.01,"OK","MISMATCH")</f>
        <v>OK</v>
      </c>
      <c r="V994" s="33" t="n">
        <f aca="false">Raw!M994</f>
        <v>1</v>
      </c>
      <c r="W994" s="0" t="str">
        <f aca="false">IF((S994&gt;0)=(V994=1),"OK","MISMATCH")</f>
        <v>OK</v>
      </c>
      <c r="X994" s="0" t="str">
        <f aca="false">_xlfn.IFS(S994&lt;=0,"Early/On time",S994&lt;=2,"Minor (up to 2 days)",S994&lt;=5,"Moderate (2-5 days)",TRUE(),"Severe (over 5 days)")</f>
        <v>Severe (over 5 days)</v>
      </c>
      <c r="Y994" s="0" t="str">
        <f aca="false">YEAR(K994)&amp;"-"&amp;TEXT(MONTH(K994),"00")</f>
        <v>2025-09</v>
      </c>
      <c r="Z994" s="0" t="str">
        <f aca="false">C994&amp;" → "&amp;D994</f>
        <v>Punjab → Surat</v>
      </c>
      <c r="AA994" s="0" t="str">
        <f aca="false">Raw!Q994</f>
        <v>Delhivery</v>
      </c>
      <c r="AB994" s="0" t="str">
        <f aca="false">Raw!R994</f>
        <v>No</v>
      </c>
      <c r="AC994" s="0" t="str">
        <f aca="false">Raw!S994</f>
        <v>Expedited</v>
      </c>
      <c r="AD994" s="29" t="n">
        <f aca="false">Raw!N994</f>
        <v>4723.44</v>
      </c>
      <c r="AE994" s="29" t="n">
        <f aca="false">Raw!O994</f>
        <v>3028.58</v>
      </c>
      <c r="AF994" s="29" t="n">
        <f aca="false">Raw!P994</f>
        <v>1286.29</v>
      </c>
      <c r="AG994" s="29" t="n">
        <f aca="false">AD994/J994</f>
        <v>493.567398119122</v>
      </c>
    </row>
    <row r="995" customFormat="false" ht="15" hidden="false" customHeight="false" outlineLevel="0" collapsed="false">
      <c r="A995" s="0" t="str">
        <f aca="false">Raw!A995</f>
        <v>SHP0994</v>
      </c>
      <c r="B995" s="0" t="str">
        <f aca="false">Raw!B995</f>
        <v>Inbound</v>
      </c>
      <c r="C995" s="0" t="str">
        <f aca="false">Raw!C995</f>
        <v>Chennai</v>
      </c>
      <c r="D995" s="0" t="str">
        <f aca="false">Raw!D995</f>
        <v>Surat</v>
      </c>
      <c r="E995" s="0" t="str">
        <f aca="false">IFERROR(INDEX(Location_Map!$B$2:$B$15,MATCH(C995,Location_Map!$A$2:$A$15,0)),"UNMAPPED")</f>
        <v>Tamil Nadu</v>
      </c>
      <c r="F995" s="0" t="str">
        <f aca="false">IFERROR(INDEX(Location_Map!$C$2:$C$15,MATCH(C995,Location_Map!$A$2:$A$15,0)),"UNMAPPED")</f>
        <v>South</v>
      </c>
      <c r="G995" s="0" t="str">
        <f aca="false">IFERROR(INDEX(Location_Map!$B$2:$B$15,MATCH(D995,Location_Map!$A$2:$A$15,0)),"UNMAPPED")</f>
        <v>Gujarat</v>
      </c>
      <c r="H995" s="0" t="str">
        <f aca="false">IFERROR(INDEX(Location_Map!$C$2:$C$15,MATCH(D995,Location_Map!$A$2:$A$15,0)),"UNMAPPED")</f>
        <v>West</v>
      </c>
      <c r="I995" s="0" t="str">
        <f aca="false">Raw!E995</f>
        <v>Semi-Processed Yarn</v>
      </c>
      <c r="J995" s="28" t="n">
        <f aca="false">Raw!F995</f>
        <v>17.75</v>
      </c>
      <c r="K995" s="30" t="n">
        <f aca="false">DATE(LEFT(Raw!G995,4),MID(Raw!G995,6,2),MID(Raw!G995,9,2))</f>
        <v>45909</v>
      </c>
      <c r="L995" s="30" t="n">
        <f aca="false">DATE(LEFT(Raw!H995,4),MID(Raw!H995,6,2),MID(Raw!H995,9,2))</f>
        <v>45912</v>
      </c>
      <c r="M995" s="30" t="n">
        <f aca="false">DATE(LEFT(Raw!I995,4),MID(Raw!I995,6,2),MID(Raw!I995,9,2))</f>
        <v>45917</v>
      </c>
      <c r="N995" s="31" t="n">
        <f aca="false">DATE(LEFT(Raw!J995,4),MID(Raw!J995,6,2),MID(Raw!J995,9,2))+TIME(MID(Raw!J995,12,2),MID(Raw!J995,15,2),MID(Raw!J995,18,2))</f>
        <v>45911.9583333333</v>
      </c>
      <c r="O995" s="31" t="n">
        <f aca="false">DATE(LEFT(Raw!K995,4),MID(Raw!K995,6,2),MID(Raw!K995,9,2))+TIME(MID(Raw!K995,12,2),MID(Raw!K995,15,2),MID(Raw!K995,18,2))</f>
        <v>45922.9</v>
      </c>
      <c r="P995" s="32" t="n">
        <f aca="false">L995-K995</f>
        <v>3</v>
      </c>
      <c r="Q995" s="32" t="n">
        <f aca="false">M995-L995</f>
        <v>5</v>
      </c>
      <c r="R995" s="32" t="n">
        <f aca="false">O995-N995</f>
        <v>10.9416666666667</v>
      </c>
      <c r="S995" s="32" t="n">
        <f aca="false">Raw!L995</f>
        <v>5.9</v>
      </c>
      <c r="T995" s="32" t="n">
        <f aca="false">O995-M995</f>
        <v>5.9</v>
      </c>
      <c r="U995" s="0" t="str">
        <f aca="false">IF(ABS(T995-S995)&lt;0.01,"OK","MISMATCH")</f>
        <v>OK</v>
      </c>
      <c r="V995" s="33" t="n">
        <f aca="false">Raw!M995</f>
        <v>1</v>
      </c>
      <c r="W995" s="0" t="str">
        <f aca="false">IF((S995&gt;0)=(V995=1),"OK","MISMATCH")</f>
        <v>OK</v>
      </c>
      <c r="X995" s="0" t="str">
        <f aca="false">_xlfn.IFS(S995&lt;=0,"Early/On time",S995&lt;=2,"Minor (up to 2 days)",S995&lt;=5,"Moderate (2-5 days)",TRUE(),"Severe (over 5 days)")</f>
        <v>Severe (over 5 days)</v>
      </c>
      <c r="Y995" s="0" t="str">
        <f aca="false">YEAR(K995)&amp;"-"&amp;TEXT(MONTH(K995),"00")</f>
        <v>2025-09</v>
      </c>
      <c r="Z995" s="0" t="str">
        <f aca="false">C995&amp;" → "&amp;D995</f>
        <v>Chennai → Surat</v>
      </c>
      <c r="AA995" s="0" t="str">
        <f aca="false">Raw!Q995</f>
        <v>BlueDart</v>
      </c>
      <c r="AB995" s="0" t="str">
        <f aca="false">Raw!R995</f>
        <v>No</v>
      </c>
      <c r="AC995" s="0" t="str">
        <f aca="false">Raw!S995</f>
        <v>Damaged</v>
      </c>
      <c r="AD995" s="29" t="n">
        <f aca="false">Raw!N995</f>
        <v>10467.64</v>
      </c>
      <c r="AE995" s="29" t="n">
        <f aca="false">Raw!O995</f>
        <v>1042.77</v>
      </c>
      <c r="AF995" s="29" t="n">
        <f aca="false">Raw!P995</f>
        <v>939.21</v>
      </c>
      <c r="AG995" s="29" t="n">
        <f aca="false">AD995/J995</f>
        <v>589.726197183099</v>
      </c>
    </row>
    <row r="996" customFormat="false" ht="15" hidden="false" customHeight="false" outlineLevel="0" collapsed="false">
      <c r="A996" s="0" t="str">
        <f aca="false">Raw!A996</f>
        <v>SHP0995</v>
      </c>
      <c r="B996" s="0" t="str">
        <f aca="false">Raw!B996</f>
        <v>Outbound</v>
      </c>
      <c r="C996" s="0" t="str">
        <f aca="false">Raw!C996</f>
        <v>Surat</v>
      </c>
      <c r="D996" s="0" t="str">
        <f aca="false">Raw!D996</f>
        <v>Kerala</v>
      </c>
      <c r="E996" s="0" t="str">
        <f aca="false">IFERROR(INDEX(Location_Map!$B$2:$B$15,MATCH(C996,Location_Map!$A$2:$A$15,0)),"UNMAPPED")</f>
        <v>Gujarat</v>
      </c>
      <c r="F996" s="0" t="str">
        <f aca="false">IFERROR(INDEX(Location_Map!$C$2:$C$15,MATCH(C996,Location_Map!$A$2:$A$15,0)),"UNMAPPED")</f>
        <v>West</v>
      </c>
      <c r="G996" s="0" t="str">
        <f aca="false">IFERROR(INDEX(Location_Map!$B$2:$B$15,MATCH(D996,Location_Map!$A$2:$A$15,0)),"UNMAPPED")</f>
        <v>Kerala</v>
      </c>
      <c r="H996" s="0" t="str">
        <f aca="false">IFERROR(INDEX(Location_Map!$C$2:$C$15,MATCH(D996,Location_Map!$A$2:$A$15,0)),"UNMAPPED")</f>
        <v>South</v>
      </c>
      <c r="I996" s="0" t="str">
        <f aca="false">Raw!E996</f>
        <v>Raw Yarn</v>
      </c>
      <c r="J996" s="28" t="n">
        <f aca="false">Raw!F996</f>
        <v>17.02</v>
      </c>
      <c r="K996" s="30" t="n">
        <f aca="false">DATE(LEFT(Raw!G996,4),MID(Raw!G996,6,2),MID(Raw!G996,9,2))</f>
        <v>45804</v>
      </c>
      <c r="L996" s="30" t="n">
        <f aca="false">DATE(LEFT(Raw!H996,4),MID(Raw!H996,6,2),MID(Raw!H996,9,2))</f>
        <v>45806</v>
      </c>
      <c r="M996" s="30" t="n">
        <f aca="false">DATE(LEFT(Raw!I996,4),MID(Raw!I996,6,2),MID(Raw!I996,9,2))</f>
        <v>45808</v>
      </c>
      <c r="N996" s="31" t="n">
        <f aca="false">DATE(LEFT(Raw!J996,4),MID(Raw!J996,6,2),MID(Raw!J996,9,2))+TIME(MID(Raw!J996,12,2),MID(Raw!J996,15,2),MID(Raw!J996,18,2))</f>
        <v>45806</v>
      </c>
      <c r="O996" s="31" t="n">
        <f aca="false">DATE(LEFT(Raw!K996,4),MID(Raw!K996,6,2),MID(Raw!K996,9,2))+TIME(MID(Raw!K996,12,2),MID(Raw!K996,15,2),MID(Raw!K996,18,2))</f>
        <v>45809.6</v>
      </c>
      <c r="P996" s="32" t="n">
        <f aca="false">L996-K996</f>
        <v>2</v>
      </c>
      <c r="Q996" s="32" t="n">
        <f aca="false">M996-L996</f>
        <v>2</v>
      </c>
      <c r="R996" s="32" t="n">
        <f aca="false">O996-N996</f>
        <v>3.6</v>
      </c>
      <c r="S996" s="32" t="n">
        <f aca="false">Raw!L996</f>
        <v>1.6</v>
      </c>
      <c r="T996" s="32" t="n">
        <f aca="false">O996-M996</f>
        <v>1.6</v>
      </c>
      <c r="U996" s="0" t="str">
        <f aca="false">IF(ABS(T996-S996)&lt;0.01,"OK","MISMATCH")</f>
        <v>OK</v>
      </c>
      <c r="V996" s="33" t="n">
        <f aca="false">Raw!M996</f>
        <v>1</v>
      </c>
      <c r="W996" s="0" t="str">
        <f aca="false">IF((S996&gt;0)=(V996=1),"OK","MISMATCH")</f>
        <v>OK</v>
      </c>
      <c r="X996" s="0" t="str">
        <f aca="false">_xlfn.IFS(S996&lt;=0,"Early/On time",S996&lt;=2,"Minor (up to 2 days)",S996&lt;=5,"Moderate (2-5 days)",TRUE(),"Severe (over 5 days)")</f>
        <v>Minor (up to 2 days)</v>
      </c>
      <c r="Y996" s="0" t="str">
        <f aca="false">YEAR(K996)&amp;"-"&amp;TEXT(MONTH(K996),"00")</f>
        <v>2025-05</v>
      </c>
      <c r="Z996" s="0" t="str">
        <f aca="false">C996&amp;" → "&amp;D996</f>
        <v>Surat → Kerala</v>
      </c>
      <c r="AA996" s="0" t="str">
        <f aca="false">Raw!Q996</f>
        <v>VRL Cargo</v>
      </c>
      <c r="AB996" s="0" t="str">
        <f aca="false">Raw!R996</f>
        <v>No</v>
      </c>
      <c r="AC996" s="0" t="str">
        <f aca="false">Raw!S996</f>
        <v>Normal</v>
      </c>
      <c r="AD996" s="29" t="n">
        <f aca="false">Raw!N996</f>
        <v>7323.8</v>
      </c>
      <c r="AE996" s="29" t="n">
        <f aca="false">Raw!O996</f>
        <v>2009.08</v>
      </c>
      <c r="AF996" s="29" t="n">
        <f aca="false">Raw!P996</f>
        <v>656.65</v>
      </c>
      <c r="AG996" s="29" t="n">
        <f aca="false">AD996/J996</f>
        <v>430.305522914219</v>
      </c>
    </row>
    <row r="997" customFormat="false" ht="15" hidden="false" customHeight="false" outlineLevel="0" collapsed="false">
      <c r="A997" s="0" t="str">
        <f aca="false">Raw!A997</f>
        <v>SHP0996</v>
      </c>
      <c r="B997" s="0" t="str">
        <f aca="false">Raw!B997</f>
        <v>Inbound</v>
      </c>
      <c r="C997" s="0" t="str">
        <f aca="false">Raw!C997</f>
        <v>Uttar Pradesh</v>
      </c>
      <c r="D997" s="0" t="str">
        <f aca="false">Raw!D997</f>
        <v>Surat</v>
      </c>
      <c r="E997" s="0" t="str">
        <f aca="false">IFERROR(INDEX(Location_Map!$B$2:$B$15,MATCH(C997,Location_Map!$A$2:$A$15,0)),"UNMAPPED")</f>
        <v>Uttar Pradesh</v>
      </c>
      <c r="F997" s="0" t="str">
        <f aca="false">IFERROR(INDEX(Location_Map!$C$2:$C$15,MATCH(C997,Location_Map!$A$2:$A$15,0)),"UNMAPPED")</f>
        <v>North</v>
      </c>
      <c r="G997" s="0" t="str">
        <f aca="false">IFERROR(INDEX(Location_Map!$B$2:$B$15,MATCH(D997,Location_Map!$A$2:$A$15,0)),"UNMAPPED")</f>
        <v>Gujarat</v>
      </c>
      <c r="H997" s="0" t="str">
        <f aca="false">IFERROR(INDEX(Location_Map!$C$2:$C$15,MATCH(D997,Location_Map!$A$2:$A$15,0)),"UNMAPPED")</f>
        <v>West</v>
      </c>
      <c r="I997" s="0" t="str">
        <f aca="false">Raw!E997</f>
        <v>Finished Yarn</v>
      </c>
      <c r="J997" s="28" t="n">
        <f aca="false">Raw!F997</f>
        <v>19.11</v>
      </c>
      <c r="K997" s="30" t="n">
        <f aca="false">DATE(LEFT(Raw!G997,4),MID(Raw!G997,6,2),MID(Raw!G997,9,2))</f>
        <v>45779</v>
      </c>
      <c r="L997" s="30" t="n">
        <f aca="false">DATE(LEFT(Raw!H997,4),MID(Raw!H997,6,2),MID(Raw!H997,9,2))</f>
        <v>45781</v>
      </c>
      <c r="M997" s="30" t="n">
        <f aca="false">DATE(LEFT(Raw!I997,4),MID(Raw!I997,6,2),MID(Raw!I997,9,2))</f>
        <v>45785</v>
      </c>
      <c r="N997" s="31" t="n">
        <f aca="false">DATE(LEFT(Raw!J997,4),MID(Raw!J997,6,2),MID(Raw!J997,9,2))+TIME(MID(Raw!J997,12,2),MID(Raw!J997,15,2),MID(Raw!J997,18,2))</f>
        <v>45780.9583333333</v>
      </c>
      <c r="O997" s="31" t="n">
        <f aca="false">DATE(LEFT(Raw!K997,4),MID(Raw!K997,6,2),MID(Raw!K997,9,2))+TIME(MID(Raw!K997,12,2),MID(Raw!K997,15,2),MID(Raw!K997,18,2))</f>
        <v>45785.4</v>
      </c>
      <c r="P997" s="32" t="n">
        <f aca="false">L997-K997</f>
        <v>2</v>
      </c>
      <c r="Q997" s="32" t="n">
        <f aca="false">M997-L997</f>
        <v>4</v>
      </c>
      <c r="R997" s="32" t="n">
        <f aca="false">O997-N997</f>
        <v>4.44166666666667</v>
      </c>
      <c r="S997" s="32" t="n">
        <f aca="false">Raw!L997</f>
        <v>0.4</v>
      </c>
      <c r="T997" s="32" t="n">
        <f aca="false">O997-M997</f>
        <v>0.4</v>
      </c>
      <c r="U997" s="0" t="str">
        <f aca="false">IF(ABS(T997-S997)&lt;0.01,"OK","MISMATCH")</f>
        <v>OK</v>
      </c>
      <c r="V997" s="33" t="n">
        <f aca="false">Raw!M997</f>
        <v>1</v>
      </c>
      <c r="W997" s="0" t="str">
        <f aca="false">IF((S997&gt;0)=(V997=1),"OK","MISMATCH")</f>
        <v>OK</v>
      </c>
      <c r="X997" s="0" t="str">
        <f aca="false">_xlfn.IFS(S997&lt;=0,"Early/On time",S997&lt;=2,"Minor (up to 2 days)",S997&lt;=5,"Moderate (2-5 days)",TRUE(),"Severe (over 5 days)")</f>
        <v>Minor (up to 2 days)</v>
      </c>
      <c r="Y997" s="0" t="str">
        <f aca="false">YEAR(K997)&amp;"-"&amp;TEXT(MONTH(K997),"00")</f>
        <v>2025-05</v>
      </c>
      <c r="Z997" s="0" t="str">
        <f aca="false">C997&amp;" → "&amp;D997</f>
        <v>Uttar Pradesh → Surat</v>
      </c>
      <c r="AA997" s="0" t="str">
        <f aca="false">Raw!Q997</f>
        <v>Delhivery</v>
      </c>
      <c r="AB997" s="0" t="str">
        <f aca="false">Raw!R997</f>
        <v>Yes</v>
      </c>
      <c r="AC997" s="0" t="str">
        <f aca="false">Raw!S997</f>
        <v>Expedited</v>
      </c>
      <c r="AD997" s="29" t="n">
        <f aca="false">Raw!N997</f>
        <v>6242.02</v>
      </c>
      <c r="AE997" s="29" t="n">
        <f aca="false">Raw!O997</f>
        <v>1274.01</v>
      </c>
      <c r="AF997" s="29" t="n">
        <f aca="false">Raw!P997</f>
        <v>1010.74</v>
      </c>
      <c r="AG997" s="29" t="n">
        <f aca="false">AD997/J997</f>
        <v>326.636316064888</v>
      </c>
    </row>
    <row r="998" customFormat="false" ht="15" hidden="false" customHeight="false" outlineLevel="0" collapsed="false">
      <c r="A998" s="0" t="str">
        <f aca="false">Raw!A998</f>
        <v>SHP0997</v>
      </c>
      <c r="B998" s="0" t="str">
        <f aca="false">Raw!B998</f>
        <v>Inbound</v>
      </c>
      <c r="C998" s="0" t="str">
        <f aca="false">Raw!C998</f>
        <v>Uttar Pradesh</v>
      </c>
      <c r="D998" s="0" t="str">
        <f aca="false">Raw!D998</f>
        <v>Surat</v>
      </c>
      <c r="E998" s="0" t="str">
        <f aca="false">IFERROR(INDEX(Location_Map!$B$2:$B$15,MATCH(C998,Location_Map!$A$2:$A$15,0)),"UNMAPPED")</f>
        <v>Uttar Pradesh</v>
      </c>
      <c r="F998" s="0" t="str">
        <f aca="false">IFERROR(INDEX(Location_Map!$C$2:$C$15,MATCH(C998,Location_Map!$A$2:$A$15,0)),"UNMAPPED")</f>
        <v>North</v>
      </c>
      <c r="G998" s="0" t="str">
        <f aca="false">IFERROR(INDEX(Location_Map!$B$2:$B$15,MATCH(D998,Location_Map!$A$2:$A$15,0)),"UNMAPPED")</f>
        <v>Gujarat</v>
      </c>
      <c r="H998" s="0" t="str">
        <f aca="false">IFERROR(INDEX(Location_Map!$C$2:$C$15,MATCH(D998,Location_Map!$A$2:$A$15,0)),"UNMAPPED")</f>
        <v>West</v>
      </c>
      <c r="I998" s="0" t="str">
        <f aca="false">Raw!E998</f>
        <v>Semi-Processed Yarn</v>
      </c>
      <c r="J998" s="28" t="n">
        <f aca="false">Raw!F998</f>
        <v>9.65</v>
      </c>
      <c r="K998" s="30" t="n">
        <f aca="false">DATE(LEFT(Raw!G998,4),MID(Raw!G998,6,2),MID(Raw!G998,9,2))</f>
        <v>45888</v>
      </c>
      <c r="L998" s="30" t="n">
        <f aca="false">DATE(LEFT(Raw!H998,4),MID(Raw!H998,6,2),MID(Raw!H998,9,2))</f>
        <v>45891</v>
      </c>
      <c r="M998" s="30" t="n">
        <f aca="false">DATE(LEFT(Raw!I998,4),MID(Raw!I998,6,2),MID(Raw!I998,9,2))</f>
        <v>45894</v>
      </c>
      <c r="N998" s="31" t="n">
        <f aca="false">DATE(LEFT(Raw!J998,4),MID(Raw!J998,6,2),MID(Raw!J998,9,2))+TIME(MID(Raw!J998,12,2),MID(Raw!J998,15,2),MID(Raw!J998,18,2))</f>
        <v>45890.7916666667</v>
      </c>
      <c r="O998" s="31" t="n">
        <f aca="false">DATE(LEFT(Raw!K998,4),MID(Raw!K998,6,2),MID(Raw!K998,9,2))+TIME(MID(Raw!K998,12,2),MID(Raw!K998,15,2),MID(Raw!K998,18,2))</f>
        <v>45897.1</v>
      </c>
      <c r="P998" s="32" t="n">
        <f aca="false">L998-K998</f>
        <v>3</v>
      </c>
      <c r="Q998" s="32" t="n">
        <f aca="false">M998-L998</f>
        <v>3</v>
      </c>
      <c r="R998" s="32" t="n">
        <f aca="false">O998-N998</f>
        <v>6.30833333333333</v>
      </c>
      <c r="S998" s="32" t="n">
        <f aca="false">Raw!L998</f>
        <v>3.1</v>
      </c>
      <c r="T998" s="32" t="n">
        <f aca="false">O998-M998</f>
        <v>3.1</v>
      </c>
      <c r="U998" s="0" t="str">
        <f aca="false">IF(ABS(T998-S998)&lt;0.01,"OK","MISMATCH")</f>
        <v>OK</v>
      </c>
      <c r="V998" s="33" t="n">
        <f aca="false">Raw!M998</f>
        <v>1</v>
      </c>
      <c r="W998" s="0" t="str">
        <f aca="false">IF((S998&gt;0)=(V998=1),"OK","MISMATCH")</f>
        <v>OK</v>
      </c>
      <c r="X998" s="0" t="str">
        <f aca="false">_xlfn.IFS(S998&lt;=0,"Early/On time",S998&lt;=2,"Minor (up to 2 days)",S998&lt;=5,"Moderate (2-5 days)",TRUE(),"Severe (over 5 days)")</f>
        <v>Moderate (2-5 days)</v>
      </c>
      <c r="Y998" s="0" t="str">
        <f aca="false">YEAR(K998)&amp;"-"&amp;TEXT(MONTH(K998),"00")</f>
        <v>2025-08</v>
      </c>
      <c r="Z998" s="0" t="str">
        <f aca="false">C998&amp;" → "&amp;D998</f>
        <v>Uttar Pradesh → Surat</v>
      </c>
      <c r="AA998" s="0" t="str">
        <f aca="false">Raw!Q998</f>
        <v>BlueDart</v>
      </c>
      <c r="AB998" s="0" t="str">
        <f aca="false">Raw!R998</f>
        <v>Yes</v>
      </c>
      <c r="AC998" s="0" t="str">
        <f aca="false">Raw!S998</f>
        <v>Held at warehouse</v>
      </c>
      <c r="AD998" s="29" t="n">
        <f aca="false">Raw!N998</f>
        <v>4517.72</v>
      </c>
      <c r="AE998" s="29" t="n">
        <f aca="false">Raw!O998</f>
        <v>4659.01</v>
      </c>
      <c r="AF998" s="29" t="n">
        <f aca="false">Raw!P998</f>
        <v>564.41</v>
      </c>
      <c r="AG998" s="29" t="n">
        <f aca="false">AD998/J998</f>
        <v>468.157512953368</v>
      </c>
    </row>
    <row r="999" customFormat="false" ht="15" hidden="false" customHeight="false" outlineLevel="0" collapsed="false">
      <c r="A999" s="0" t="str">
        <f aca="false">Raw!A999</f>
        <v>SHP0998</v>
      </c>
      <c r="B999" s="0" t="str">
        <f aca="false">Raw!B999</f>
        <v>Inbound</v>
      </c>
      <c r="C999" s="0" t="str">
        <f aca="false">Raw!C999</f>
        <v>Chennai</v>
      </c>
      <c r="D999" s="0" t="str">
        <f aca="false">Raw!D999</f>
        <v>Surat</v>
      </c>
      <c r="E999" s="0" t="str">
        <f aca="false">IFERROR(INDEX(Location_Map!$B$2:$B$15,MATCH(C999,Location_Map!$A$2:$A$15,0)),"UNMAPPED")</f>
        <v>Tamil Nadu</v>
      </c>
      <c r="F999" s="0" t="str">
        <f aca="false">IFERROR(INDEX(Location_Map!$C$2:$C$15,MATCH(C999,Location_Map!$A$2:$A$15,0)),"UNMAPPED")</f>
        <v>South</v>
      </c>
      <c r="G999" s="0" t="str">
        <f aca="false">IFERROR(INDEX(Location_Map!$B$2:$B$15,MATCH(D999,Location_Map!$A$2:$A$15,0)),"UNMAPPED")</f>
        <v>Gujarat</v>
      </c>
      <c r="H999" s="0" t="str">
        <f aca="false">IFERROR(INDEX(Location_Map!$C$2:$C$15,MATCH(D999,Location_Map!$A$2:$A$15,0)),"UNMAPPED")</f>
        <v>West</v>
      </c>
      <c r="I999" s="0" t="str">
        <f aca="false">Raw!E999</f>
        <v>Raw Yarn</v>
      </c>
      <c r="J999" s="28" t="n">
        <f aca="false">Raw!F999</f>
        <v>2.05</v>
      </c>
      <c r="K999" s="30" t="n">
        <f aca="false">DATE(LEFT(Raw!G999,4),MID(Raw!G999,6,2),MID(Raw!G999,9,2))</f>
        <v>45714</v>
      </c>
      <c r="L999" s="30" t="n">
        <f aca="false">DATE(LEFT(Raw!H999,4),MID(Raw!H999,6,2),MID(Raw!H999,9,2))</f>
        <v>45718</v>
      </c>
      <c r="M999" s="30" t="n">
        <f aca="false">DATE(LEFT(Raw!I999,4),MID(Raw!I999,6,2),MID(Raw!I999,9,2))</f>
        <v>45723</v>
      </c>
      <c r="N999" s="31" t="n">
        <f aca="false">DATE(LEFT(Raw!J999,4),MID(Raw!J999,6,2),MID(Raw!J999,9,2))+TIME(MID(Raw!J999,12,2),MID(Raw!J999,15,2),MID(Raw!J999,18,2))</f>
        <v>45718.0416666667</v>
      </c>
      <c r="O999" s="31" t="n">
        <f aca="false">DATE(LEFT(Raw!K999,4),MID(Raw!K999,6,2),MID(Raw!K999,9,2))+TIME(MID(Raw!K999,12,2),MID(Raw!K999,15,2),MID(Raw!K999,18,2))</f>
        <v>45723.2</v>
      </c>
      <c r="P999" s="32" t="n">
        <f aca="false">L999-K999</f>
        <v>4</v>
      </c>
      <c r="Q999" s="32" t="n">
        <f aca="false">M999-L999</f>
        <v>5</v>
      </c>
      <c r="R999" s="32" t="n">
        <f aca="false">O999-N999</f>
        <v>5.15833333333333</v>
      </c>
      <c r="S999" s="32" t="n">
        <f aca="false">Raw!L999</f>
        <v>0.2</v>
      </c>
      <c r="T999" s="32" t="n">
        <f aca="false">O999-M999</f>
        <v>0.2</v>
      </c>
      <c r="U999" s="0" t="str">
        <f aca="false">IF(ABS(T999-S999)&lt;0.01,"OK","MISMATCH")</f>
        <v>OK</v>
      </c>
      <c r="V999" s="33" t="n">
        <f aca="false">Raw!M999</f>
        <v>1</v>
      </c>
      <c r="W999" s="0" t="str">
        <f aca="false">IF((S999&gt;0)=(V999=1),"OK","MISMATCH")</f>
        <v>OK</v>
      </c>
      <c r="X999" s="0" t="str">
        <f aca="false">_xlfn.IFS(S999&lt;=0,"Early/On time",S999&lt;=2,"Minor (up to 2 days)",S999&lt;=5,"Moderate (2-5 days)",TRUE(),"Severe (over 5 days)")</f>
        <v>Minor (up to 2 days)</v>
      </c>
      <c r="Y999" s="0" t="str">
        <f aca="false">YEAR(K999)&amp;"-"&amp;TEXT(MONTH(K999),"00")</f>
        <v>2025-02</v>
      </c>
      <c r="Z999" s="0" t="str">
        <f aca="false">C999&amp;" → "&amp;D999</f>
        <v>Chennai → Surat</v>
      </c>
      <c r="AA999" s="0" t="str">
        <f aca="false">Raw!Q999</f>
        <v>BlueDart</v>
      </c>
      <c r="AB999" s="0" t="str">
        <f aca="false">Raw!R999</f>
        <v>No</v>
      </c>
      <c r="AC999" s="0" t="str">
        <f aca="false">Raw!S999</f>
        <v>Returned</v>
      </c>
      <c r="AD999" s="29" t="n">
        <f aca="false">Raw!N999</f>
        <v>1817.83</v>
      </c>
      <c r="AE999" s="29" t="n">
        <f aca="false">Raw!O999</f>
        <v>2960.89</v>
      </c>
      <c r="AF999" s="29" t="n">
        <f aca="false">Raw!P999</f>
        <v>858.29</v>
      </c>
      <c r="AG999" s="29" t="n">
        <f aca="false">AD999/J999</f>
        <v>886.746341463415</v>
      </c>
    </row>
    <row r="1000" customFormat="false" ht="15" hidden="false" customHeight="false" outlineLevel="0" collapsed="false">
      <c r="A1000" s="0" t="str">
        <f aca="false">Raw!A1000</f>
        <v>SHP0999</v>
      </c>
      <c r="B1000" s="0" t="str">
        <f aca="false">Raw!B1000</f>
        <v>Inbound</v>
      </c>
      <c r="C1000" s="0" t="str">
        <f aca="false">Raw!C1000</f>
        <v>Chennai</v>
      </c>
      <c r="D1000" s="0" t="str">
        <f aca="false">Raw!D1000</f>
        <v>Surat</v>
      </c>
      <c r="E1000" s="0" t="str">
        <f aca="false">IFERROR(INDEX(Location_Map!$B$2:$B$15,MATCH(C1000,Location_Map!$A$2:$A$15,0)),"UNMAPPED")</f>
        <v>Tamil Nadu</v>
      </c>
      <c r="F1000" s="0" t="str">
        <f aca="false">IFERROR(INDEX(Location_Map!$C$2:$C$15,MATCH(C1000,Location_Map!$A$2:$A$15,0)),"UNMAPPED")</f>
        <v>South</v>
      </c>
      <c r="G1000" s="0" t="str">
        <f aca="false">IFERROR(INDEX(Location_Map!$B$2:$B$15,MATCH(D1000,Location_Map!$A$2:$A$15,0)),"UNMAPPED")</f>
        <v>Gujarat</v>
      </c>
      <c r="H1000" s="0" t="str">
        <f aca="false">IFERROR(INDEX(Location_Map!$C$2:$C$15,MATCH(D1000,Location_Map!$A$2:$A$15,0)),"UNMAPPED")</f>
        <v>West</v>
      </c>
      <c r="I1000" s="0" t="str">
        <f aca="false">Raw!E1000</f>
        <v>Raw Yarn</v>
      </c>
      <c r="J1000" s="28" t="n">
        <f aca="false">Raw!F1000</f>
        <v>16.73</v>
      </c>
      <c r="K1000" s="30" t="n">
        <f aca="false">DATE(LEFT(Raw!G1000,4),MID(Raw!G1000,6,2),MID(Raw!G1000,9,2))</f>
        <v>45664</v>
      </c>
      <c r="L1000" s="30" t="n">
        <f aca="false">DATE(LEFT(Raw!H1000,4),MID(Raw!H1000,6,2),MID(Raw!H1000,9,2))</f>
        <v>45665</v>
      </c>
      <c r="M1000" s="30" t="n">
        <f aca="false">DATE(LEFT(Raw!I1000,4),MID(Raw!I1000,6,2),MID(Raw!I1000,9,2))</f>
        <v>45668</v>
      </c>
      <c r="N1000" s="31" t="n">
        <f aca="false">DATE(LEFT(Raw!J1000,4),MID(Raw!J1000,6,2),MID(Raw!J1000,9,2))+TIME(MID(Raw!J1000,12,2),MID(Raw!J1000,15,2),MID(Raw!J1000,18,2))</f>
        <v>45664.9583333333</v>
      </c>
      <c r="O1000" s="31" t="n">
        <f aca="false">DATE(LEFT(Raw!K1000,4),MID(Raw!K1000,6,2),MID(Raw!K1000,9,2))+TIME(MID(Raw!K1000,12,2),MID(Raw!K1000,15,2),MID(Raw!K1000,18,2))</f>
        <v>45669.7</v>
      </c>
      <c r="P1000" s="32" t="n">
        <f aca="false">L1000-K1000</f>
        <v>1</v>
      </c>
      <c r="Q1000" s="32" t="n">
        <f aca="false">M1000-L1000</f>
        <v>3</v>
      </c>
      <c r="R1000" s="32" t="n">
        <f aca="false">O1000-N1000</f>
        <v>4.74166666666667</v>
      </c>
      <c r="S1000" s="32" t="n">
        <f aca="false">Raw!L1000</f>
        <v>1.7</v>
      </c>
      <c r="T1000" s="32" t="n">
        <f aca="false">O1000-M1000</f>
        <v>1.7</v>
      </c>
      <c r="U1000" s="0" t="str">
        <f aca="false">IF(ABS(T1000-S1000)&lt;0.01,"OK","MISMATCH")</f>
        <v>OK</v>
      </c>
      <c r="V1000" s="33" t="n">
        <f aca="false">Raw!M1000</f>
        <v>1</v>
      </c>
      <c r="W1000" s="0" t="str">
        <f aca="false">IF((S1000&gt;0)=(V1000=1),"OK","MISMATCH")</f>
        <v>OK</v>
      </c>
      <c r="X1000" s="0" t="str">
        <f aca="false">_xlfn.IFS(S1000&lt;=0,"Early/On time",S1000&lt;=2,"Minor (up to 2 days)",S1000&lt;=5,"Moderate (2-5 days)",TRUE(),"Severe (over 5 days)")</f>
        <v>Minor (up to 2 days)</v>
      </c>
      <c r="Y1000" s="0" t="str">
        <f aca="false">YEAR(K1000)&amp;"-"&amp;TEXT(MONTH(K1000),"00")</f>
        <v>2025-01</v>
      </c>
      <c r="Z1000" s="0" t="str">
        <f aca="false">C1000&amp;" → "&amp;D1000</f>
        <v>Chennai → Surat</v>
      </c>
      <c r="AA1000" s="0" t="str">
        <f aca="false">Raw!Q1000</f>
        <v>TCI Express</v>
      </c>
      <c r="AB1000" s="0" t="str">
        <f aca="false">Raw!R1000</f>
        <v>Yes</v>
      </c>
      <c r="AC1000" s="0" t="str">
        <f aca="false">Raw!S1000</f>
        <v>Normal</v>
      </c>
      <c r="AD1000" s="29" t="n">
        <f aca="false">Raw!N1000</f>
        <v>7752.95</v>
      </c>
      <c r="AE1000" s="29" t="n">
        <f aca="false">Raw!O1000</f>
        <v>4930.75</v>
      </c>
      <c r="AF1000" s="29" t="n">
        <f aca="false">Raw!P1000</f>
        <v>1360.25</v>
      </c>
      <c r="AG1000" s="29" t="n">
        <f aca="false">AD1000/J1000</f>
        <v>463.416019127316</v>
      </c>
    </row>
    <row r="1001" customFormat="false" ht="15" hidden="false" customHeight="false" outlineLevel="0" collapsed="false">
      <c r="A1001" s="0" t="str">
        <f aca="false">Raw!A1001</f>
        <v>SHP1000</v>
      </c>
      <c r="B1001" s="0" t="str">
        <f aca="false">Raw!B1001</f>
        <v>Inbound</v>
      </c>
      <c r="C1001" s="0" t="str">
        <f aca="false">Raw!C1001</f>
        <v>Gujarat</v>
      </c>
      <c r="D1001" s="0" t="str">
        <f aca="false">Raw!D1001</f>
        <v>Surat</v>
      </c>
      <c r="E1001" s="0" t="str">
        <f aca="false">IFERROR(INDEX(Location_Map!$B$2:$B$15,MATCH(C1001,Location_Map!$A$2:$A$15,0)),"UNMAPPED")</f>
        <v>Gujarat</v>
      </c>
      <c r="F1001" s="0" t="str">
        <f aca="false">IFERROR(INDEX(Location_Map!$C$2:$C$15,MATCH(C1001,Location_Map!$A$2:$A$15,0)),"UNMAPPED")</f>
        <v>West</v>
      </c>
      <c r="G1001" s="0" t="str">
        <f aca="false">IFERROR(INDEX(Location_Map!$B$2:$B$15,MATCH(D1001,Location_Map!$A$2:$A$15,0)),"UNMAPPED")</f>
        <v>Gujarat</v>
      </c>
      <c r="H1001" s="0" t="str">
        <f aca="false">IFERROR(INDEX(Location_Map!$C$2:$C$15,MATCH(D1001,Location_Map!$A$2:$A$15,0)),"UNMAPPED")</f>
        <v>West</v>
      </c>
      <c r="I1001" s="0" t="str">
        <f aca="false">Raw!E1001</f>
        <v>Semi-Processed Yarn</v>
      </c>
      <c r="J1001" s="28" t="n">
        <f aca="false">Raw!F1001</f>
        <v>14.07</v>
      </c>
      <c r="K1001" s="30" t="n">
        <f aca="false">DATE(LEFT(Raw!G1001,4),MID(Raw!G1001,6,2),MID(Raw!G1001,9,2))</f>
        <v>45939</v>
      </c>
      <c r="L1001" s="30" t="n">
        <f aca="false">DATE(LEFT(Raw!H1001,4),MID(Raw!H1001,6,2),MID(Raw!H1001,9,2))</f>
        <v>45942</v>
      </c>
      <c r="M1001" s="30" t="n">
        <f aca="false">DATE(LEFT(Raw!I1001,4),MID(Raw!I1001,6,2),MID(Raw!I1001,9,2))</f>
        <v>45947</v>
      </c>
      <c r="N1001" s="31" t="n">
        <f aca="false">DATE(LEFT(Raw!J1001,4),MID(Raw!J1001,6,2),MID(Raw!J1001,9,2))+TIME(MID(Raw!J1001,12,2),MID(Raw!J1001,15,2),MID(Raw!J1001,18,2))</f>
        <v>45941.9583333333</v>
      </c>
      <c r="O1001" s="31" t="n">
        <f aca="false">DATE(LEFT(Raw!K1001,4),MID(Raw!K1001,6,2),MID(Raw!K1001,9,2))+TIME(MID(Raw!K1001,12,2),MID(Raw!K1001,15,2),MID(Raw!K1001,18,2))</f>
        <v>45952.4</v>
      </c>
      <c r="P1001" s="32" t="n">
        <f aca="false">L1001-K1001</f>
        <v>3</v>
      </c>
      <c r="Q1001" s="32" t="n">
        <f aca="false">M1001-L1001</f>
        <v>5</v>
      </c>
      <c r="R1001" s="32" t="n">
        <f aca="false">O1001-N1001</f>
        <v>10.4416666666667</v>
      </c>
      <c r="S1001" s="32" t="n">
        <f aca="false">Raw!L1001</f>
        <v>5.4</v>
      </c>
      <c r="T1001" s="32" t="n">
        <f aca="false">O1001-M1001</f>
        <v>5.4</v>
      </c>
      <c r="U1001" s="0" t="str">
        <f aca="false">IF(ABS(T1001-S1001)&lt;0.01,"OK","MISMATCH")</f>
        <v>OK</v>
      </c>
      <c r="V1001" s="33" t="n">
        <f aca="false">Raw!M1001</f>
        <v>1</v>
      </c>
      <c r="W1001" s="0" t="str">
        <f aca="false">IF((S1001&gt;0)=(V1001=1),"OK","MISMATCH")</f>
        <v>OK</v>
      </c>
      <c r="X1001" s="0" t="str">
        <f aca="false">_xlfn.IFS(S1001&lt;=0,"Early/On time",S1001&lt;=2,"Minor (up to 2 days)",S1001&lt;=5,"Moderate (2-5 days)",TRUE(),"Severe (over 5 days)")</f>
        <v>Severe (over 5 days)</v>
      </c>
      <c r="Y1001" s="0" t="str">
        <f aca="false">YEAR(K1001)&amp;"-"&amp;TEXT(MONTH(K1001),"00")</f>
        <v>2025-10</v>
      </c>
      <c r="Z1001" s="0" t="str">
        <f aca="false">C1001&amp;" → "&amp;D1001</f>
        <v>Gujarat → Surat</v>
      </c>
      <c r="AA1001" s="0" t="str">
        <f aca="false">Raw!Q1001</f>
        <v>TCI Express</v>
      </c>
      <c r="AB1001" s="0" t="str">
        <f aca="false">Raw!R1001</f>
        <v>Yes</v>
      </c>
      <c r="AC1001" s="0" t="str">
        <f aca="false">Raw!S1001</f>
        <v>Returned</v>
      </c>
      <c r="AD1001" s="29" t="n">
        <f aca="false">Raw!N1001</f>
        <v>5637.64</v>
      </c>
      <c r="AE1001" s="29" t="n">
        <f aca="false">Raw!O1001</f>
        <v>4671.39</v>
      </c>
      <c r="AF1001" s="29" t="n">
        <f aca="false">Raw!P1001</f>
        <v>887.07</v>
      </c>
      <c r="AG1001" s="29" t="n">
        <f aca="false">AD1001/J1001</f>
        <v>400.685145700071</v>
      </c>
    </row>
  </sheetData>
  <autoFilter ref="A1:AG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9" t="s">
        <v>194</v>
      </c>
      <c r="B1" s="9" t="s">
        <v>195</v>
      </c>
      <c r="C1" s="9" t="s">
        <v>196</v>
      </c>
      <c r="E1" s="8" t="s">
        <v>197</v>
      </c>
    </row>
    <row r="2" customFormat="false" ht="15" hidden="false" customHeight="true" outlineLevel="0" collapsed="false">
      <c r="A2" s="12" t="s">
        <v>198</v>
      </c>
      <c r="B2" s="12" t="s">
        <v>199</v>
      </c>
      <c r="C2" s="12" t="s">
        <v>57</v>
      </c>
      <c r="E2" s="34" t="s">
        <v>200</v>
      </c>
      <c r="F2" s="34"/>
      <c r="G2" s="34"/>
      <c r="H2" s="34"/>
      <c r="I2" s="34"/>
      <c r="J2" s="34"/>
    </row>
    <row r="3" customFormat="false" ht="15" hidden="false" customHeight="false" outlineLevel="0" collapsed="false">
      <c r="A3" s="12" t="s">
        <v>199</v>
      </c>
      <c r="B3" s="12" t="s">
        <v>199</v>
      </c>
      <c r="C3" s="12" t="s">
        <v>57</v>
      </c>
      <c r="E3" s="34"/>
      <c r="F3" s="34"/>
      <c r="G3" s="34"/>
      <c r="H3" s="34"/>
      <c r="I3" s="34"/>
      <c r="J3" s="34"/>
    </row>
    <row r="4" customFormat="false" ht="15" hidden="false" customHeight="false" outlineLevel="0" collapsed="false">
      <c r="A4" s="12" t="s">
        <v>201</v>
      </c>
      <c r="B4" s="12" t="s">
        <v>202</v>
      </c>
      <c r="C4" s="12" t="s">
        <v>57</v>
      </c>
      <c r="E4" s="34"/>
      <c r="F4" s="34"/>
      <c r="G4" s="34"/>
      <c r="H4" s="34"/>
      <c r="I4" s="34"/>
      <c r="J4" s="34"/>
    </row>
    <row r="5" customFormat="false" ht="15" hidden="false" customHeight="false" outlineLevel="0" collapsed="false">
      <c r="A5" s="12" t="s">
        <v>203</v>
      </c>
      <c r="B5" s="12" t="s">
        <v>203</v>
      </c>
      <c r="C5" s="12" t="s">
        <v>55</v>
      </c>
      <c r="E5" s="34"/>
      <c r="F5" s="34"/>
      <c r="G5" s="34"/>
      <c r="H5" s="34"/>
      <c r="I5" s="34"/>
      <c r="J5" s="34"/>
    </row>
    <row r="6" customFormat="false" ht="15" hidden="false" customHeight="false" outlineLevel="0" collapsed="false">
      <c r="A6" s="12" t="s">
        <v>204</v>
      </c>
      <c r="B6" s="12" t="s">
        <v>203</v>
      </c>
      <c r="C6" s="12" t="s">
        <v>55</v>
      </c>
      <c r="E6" s="34"/>
      <c r="F6" s="34"/>
      <c r="G6" s="34"/>
      <c r="H6" s="34"/>
      <c r="I6" s="34"/>
      <c r="J6" s="34"/>
    </row>
    <row r="7" customFormat="false" ht="15" hidden="false" customHeight="false" outlineLevel="0" collapsed="false">
      <c r="A7" s="12" t="s">
        <v>205</v>
      </c>
      <c r="B7" s="12" t="s">
        <v>205</v>
      </c>
      <c r="C7" s="12" t="s">
        <v>55</v>
      </c>
    </row>
    <row r="8" customFormat="false" ht="15" hidden="false" customHeight="false" outlineLevel="0" collapsed="false">
      <c r="A8" s="12" t="s">
        <v>206</v>
      </c>
      <c r="B8" s="12" t="s">
        <v>206</v>
      </c>
      <c r="C8" s="12" t="s">
        <v>55</v>
      </c>
    </row>
    <row r="9" customFormat="false" ht="15" hidden="false" customHeight="false" outlineLevel="0" collapsed="false">
      <c r="A9" s="12" t="s">
        <v>207</v>
      </c>
      <c r="B9" s="12" t="s">
        <v>207</v>
      </c>
      <c r="C9" s="12" t="s">
        <v>55</v>
      </c>
    </row>
    <row r="10" customFormat="false" ht="15" hidden="false" customHeight="false" outlineLevel="0" collapsed="false">
      <c r="A10" s="12" t="s">
        <v>208</v>
      </c>
      <c r="B10" s="12" t="s">
        <v>208</v>
      </c>
      <c r="C10" s="12" t="s">
        <v>60</v>
      </c>
    </row>
    <row r="11" customFormat="false" ht="15" hidden="false" customHeight="false" outlineLevel="0" collapsed="false">
      <c r="A11" s="12" t="s">
        <v>209</v>
      </c>
      <c r="B11" s="12" t="s">
        <v>210</v>
      </c>
      <c r="C11" s="12" t="s">
        <v>56</v>
      </c>
    </row>
    <row r="12" customFormat="false" ht="15" hidden="false" customHeight="false" outlineLevel="0" collapsed="false">
      <c r="A12" s="12" t="s">
        <v>211</v>
      </c>
      <c r="B12" s="12" t="s">
        <v>211</v>
      </c>
      <c r="C12" s="12" t="s">
        <v>56</v>
      </c>
    </row>
    <row r="13" customFormat="false" ht="15" hidden="false" customHeight="false" outlineLevel="0" collapsed="false">
      <c r="A13" s="12" t="s">
        <v>212</v>
      </c>
      <c r="B13" s="12" t="s">
        <v>212</v>
      </c>
      <c r="C13" s="12" t="s">
        <v>56</v>
      </c>
    </row>
    <row r="14" customFormat="false" ht="15" hidden="false" customHeight="false" outlineLevel="0" collapsed="false">
      <c r="A14" s="12" t="s">
        <v>213</v>
      </c>
      <c r="B14" s="12" t="s">
        <v>213</v>
      </c>
      <c r="C14" s="12" t="s">
        <v>61</v>
      </c>
    </row>
    <row r="15" customFormat="false" ht="15" hidden="false" customHeight="false" outlineLevel="0" collapsed="false">
      <c r="A15" s="12" t="s">
        <v>214</v>
      </c>
      <c r="B15" s="12" t="s">
        <v>214</v>
      </c>
      <c r="C15" s="12" t="s">
        <v>62</v>
      </c>
    </row>
  </sheetData>
  <mergeCells count="1">
    <mergeCell ref="E2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6"/>
    <col collapsed="false" customWidth="true" hidden="false" outlineLevel="0" max="11" min="10" style="0" width="20"/>
    <col collapsed="false" customWidth="true" hidden="false" outlineLevel="0" max="19" min="12" style="0" width="16"/>
  </cols>
  <sheetData>
    <row r="1" customFormat="false" ht="28.35" hidden="false" customHeight="false" outlineLevel="0" collapsed="false">
      <c r="A1" s="9" t="s">
        <v>125</v>
      </c>
      <c r="B1" s="9" t="s">
        <v>166</v>
      </c>
      <c r="C1" s="9" t="s">
        <v>215</v>
      </c>
      <c r="D1" s="9" t="s">
        <v>216</v>
      </c>
      <c r="E1" s="9" t="s">
        <v>173</v>
      </c>
      <c r="F1" s="9" t="s">
        <v>127</v>
      </c>
      <c r="G1" s="9" t="s">
        <v>174</v>
      </c>
      <c r="H1" s="9" t="s">
        <v>175</v>
      </c>
      <c r="I1" s="9" t="s">
        <v>176</v>
      </c>
      <c r="J1" s="9" t="s">
        <v>177</v>
      </c>
      <c r="K1" s="9" t="s">
        <v>178</v>
      </c>
      <c r="L1" s="9" t="s">
        <v>182</v>
      </c>
      <c r="M1" s="9" t="s">
        <v>185</v>
      </c>
      <c r="N1" s="9" t="s">
        <v>192</v>
      </c>
      <c r="O1" s="9" t="s">
        <v>129</v>
      </c>
      <c r="P1" s="9" t="s">
        <v>128</v>
      </c>
      <c r="Q1" s="9" t="s">
        <v>126</v>
      </c>
      <c r="R1" s="9" t="s">
        <v>190</v>
      </c>
      <c r="S1" s="9" t="s">
        <v>191</v>
      </c>
    </row>
    <row r="2" customFormat="false" ht="15" hidden="false" customHeight="false" outlineLevel="0" collapsed="false">
      <c r="A2" s="0" t="s">
        <v>114</v>
      </c>
      <c r="B2" s="0" t="s">
        <v>48</v>
      </c>
      <c r="C2" s="0" t="s">
        <v>198</v>
      </c>
      <c r="D2" s="0" t="s">
        <v>201</v>
      </c>
      <c r="E2" s="0" t="s">
        <v>42</v>
      </c>
      <c r="F2" s="0" t="n">
        <v>8.12</v>
      </c>
      <c r="G2" s="0" t="s">
        <v>217</v>
      </c>
      <c r="H2" s="0" t="s">
        <v>218</v>
      </c>
      <c r="I2" s="0" t="s">
        <v>219</v>
      </c>
      <c r="J2" s="0" t="s">
        <v>220</v>
      </c>
      <c r="K2" s="0" t="s">
        <v>221</v>
      </c>
      <c r="L2" s="0" t="n">
        <v>-1</v>
      </c>
      <c r="M2" s="0" t="n">
        <v>0</v>
      </c>
      <c r="N2" s="0" t="n">
        <v>3889.18</v>
      </c>
      <c r="O2" s="0" t="n">
        <v>3404.46</v>
      </c>
      <c r="P2" s="0" t="n">
        <v>1208.07</v>
      </c>
      <c r="Q2" s="0" t="s">
        <v>21</v>
      </c>
      <c r="R2" s="0" t="s">
        <v>51</v>
      </c>
      <c r="S2" s="0" t="s">
        <v>222</v>
      </c>
    </row>
    <row r="3" customFormat="false" ht="15" hidden="false" customHeight="false" outlineLevel="0" collapsed="false">
      <c r="A3" s="0" t="s">
        <v>223</v>
      </c>
      <c r="B3" s="0" t="s">
        <v>47</v>
      </c>
      <c r="C3" s="0" t="s">
        <v>199</v>
      </c>
      <c r="D3" s="0" t="s">
        <v>198</v>
      </c>
      <c r="E3" s="0" t="s">
        <v>42</v>
      </c>
      <c r="F3" s="0" t="n">
        <v>1.39</v>
      </c>
      <c r="G3" s="0" t="s">
        <v>224</v>
      </c>
      <c r="H3" s="0" t="s">
        <v>219</v>
      </c>
      <c r="I3" s="0" t="s">
        <v>225</v>
      </c>
      <c r="J3" s="0" t="s">
        <v>226</v>
      </c>
      <c r="K3" s="0" t="s">
        <v>227</v>
      </c>
      <c r="L3" s="0" t="n">
        <v>8.4</v>
      </c>
      <c r="M3" s="0" t="n">
        <v>1</v>
      </c>
      <c r="N3" s="0" t="n">
        <v>1372.05</v>
      </c>
      <c r="O3" s="0" t="n">
        <v>3099.03</v>
      </c>
      <c r="P3" s="0" t="n">
        <v>931.95</v>
      </c>
      <c r="Q3" s="0" t="s">
        <v>22</v>
      </c>
      <c r="R3" s="0" t="s">
        <v>51</v>
      </c>
      <c r="S3" s="0" t="s">
        <v>228</v>
      </c>
    </row>
    <row r="4" customFormat="false" ht="15" hidden="false" customHeight="false" outlineLevel="0" collapsed="false">
      <c r="A4" s="0" t="s">
        <v>229</v>
      </c>
      <c r="B4" s="0" t="s">
        <v>47</v>
      </c>
      <c r="C4" s="0" t="s">
        <v>199</v>
      </c>
      <c r="D4" s="0" t="s">
        <v>198</v>
      </c>
      <c r="E4" s="0" t="s">
        <v>43</v>
      </c>
      <c r="F4" s="0" t="n">
        <v>6.53</v>
      </c>
      <c r="G4" s="0" t="s">
        <v>230</v>
      </c>
      <c r="H4" s="0" t="s">
        <v>231</v>
      </c>
      <c r="I4" s="0" t="s">
        <v>232</v>
      </c>
      <c r="J4" s="0" t="s">
        <v>233</v>
      </c>
      <c r="K4" s="0" t="s">
        <v>234</v>
      </c>
      <c r="L4" s="0" t="n">
        <v>2.7</v>
      </c>
      <c r="M4" s="0" t="n">
        <v>1</v>
      </c>
      <c r="N4" s="0" t="n">
        <v>4024.74</v>
      </c>
      <c r="O4" s="0" t="n">
        <v>1185.8</v>
      </c>
      <c r="P4" s="0" t="n">
        <v>1107.54</v>
      </c>
      <c r="Q4" s="0" t="s">
        <v>25</v>
      </c>
      <c r="R4" s="0" t="s">
        <v>51</v>
      </c>
      <c r="S4" s="0" t="s">
        <v>228</v>
      </c>
    </row>
    <row r="5" customFormat="false" ht="15" hidden="false" customHeight="false" outlineLevel="0" collapsed="false">
      <c r="A5" s="0" t="s">
        <v>235</v>
      </c>
      <c r="B5" s="0" t="s">
        <v>48</v>
      </c>
      <c r="C5" s="0" t="s">
        <v>198</v>
      </c>
      <c r="D5" s="0" t="s">
        <v>207</v>
      </c>
      <c r="E5" s="0" t="s">
        <v>43</v>
      </c>
      <c r="F5" s="0" t="n">
        <v>4.24</v>
      </c>
      <c r="G5" s="0" t="s">
        <v>236</v>
      </c>
      <c r="H5" s="0" t="s">
        <v>237</v>
      </c>
      <c r="I5" s="0" t="s">
        <v>238</v>
      </c>
      <c r="J5" s="0" t="s">
        <v>239</v>
      </c>
      <c r="K5" s="0" t="s">
        <v>240</v>
      </c>
      <c r="L5" s="0" t="n">
        <v>-0.3</v>
      </c>
      <c r="M5" s="0" t="n">
        <v>0</v>
      </c>
      <c r="N5" s="0" t="n">
        <v>2914.33</v>
      </c>
      <c r="O5" s="0" t="n">
        <v>1390.69</v>
      </c>
      <c r="P5" s="0" t="n">
        <v>1184.23</v>
      </c>
      <c r="Q5" s="0" t="s">
        <v>22</v>
      </c>
      <c r="R5" s="0" t="s">
        <v>52</v>
      </c>
      <c r="S5" s="0" t="s">
        <v>222</v>
      </c>
    </row>
    <row r="6" customFormat="false" ht="15" hidden="false" customHeight="false" outlineLevel="0" collapsed="false">
      <c r="A6" s="0" t="s">
        <v>241</v>
      </c>
      <c r="B6" s="0" t="s">
        <v>47</v>
      </c>
      <c r="C6" s="0" t="s">
        <v>205</v>
      </c>
      <c r="D6" s="0" t="s">
        <v>198</v>
      </c>
      <c r="E6" s="0" t="s">
        <v>43</v>
      </c>
      <c r="F6" s="0" t="n">
        <v>9.36</v>
      </c>
      <c r="G6" s="0" t="s">
        <v>242</v>
      </c>
      <c r="H6" s="0" t="s">
        <v>243</v>
      </c>
      <c r="I6" s="0" t="s">
        <v>244</v>
      </c>
      <c r="J6" s="0" t="s">
        <v>245</v>
      </c>
      <c r="K6" s="0" t="s">
        <v>246</v>
      </c>
      <c r="L6" s="0" t="n">
        <v>1.3</v>
      </c>
      <c r="M6" s="0" t="n">
        <v>1</v>
      </c>
      <c r="N6" s="0" t="n">
        <v>5480.42</v>
      </c>
      <c r="O6" s="0" t="n">
        <v>1831.77</v>
      </c>
      <c r="P6" s="0" t="n">
        <v>1067.7</v>
      </c>
      <c r="Q6" s="0" t="s">
        <v>25</v>
      </c>
      <c r="R6" s="0" t="s">
        <v>52</v>
      </c>
      <c r="S6" s="0" t="s">
        <v>247</v>
      </c>
    </row>
    <row r="7" customFormat="false" ht="15" hidden="false" customHeight="false" outlineLevel="0" collapsed="false">
      <c r="A7" s="0" t="s">
        <v>248</v>
      </c>
      <c r="B7" s="0" t="s">
        <v>47</v>
      </c>
      <c r="C7" s="0" t="s">
        <v>209</v>
      </c>
      <c r="D7" s="0" t="s">
        <v>198</v>
      </c>
      <c r="E7" s="0" t="s">
        <v>44</v>
      </c>
      <c r="F7" s="0" t="n">
        <v>1.59</v>
      </c>
      <c r="G7" s="0" t="s">
        <v>249</v>
      </c>
      <c r="H7" s="0" t="s">
        <v>250</v>
      </c>
      <c r="I7" s="0" t="s">
        <v>251</v>
      </c>
      <c r="J7" s="0" t="s">
        <v>252</v>
      </c>
      <c r="K7" s="0" t="s">
        <v>253</v>
      </c>
      <c r="L7" s="0" t="n">
        <v>3.2</v>
      </c>
      <c r="M7" s="0" t="n">
        <v>1</v>
      </c>
      <c r="N7" s="0" t="n">
        <v>2304.02</v>
      </c>
      <c r="O7" s="0" t="n">
        <v>2306.16</v>
      </c>
      <c r="P7" s="0" t="n">
        <v>1070.44</v>
      </c>
      <c r="Q7" s="0" t="s">
        <v>23</v>
      </c>
      <c r="R7" s="0" t="s">
        <v>51</v>
      </c>
      <c r="S7" s="0" t="s">
        <v>254</v>
      </c>
    </row>
    <row r="8" customFormat="false" ht="15" hidden="false" customHeight="false" outlineLevel="0" collapsed="false">
      <c r="A8" s="0" t="s">
        <v>255</v>
      </c>
      <c r="B8" s="0" t="s">
        <v>47</v>
      </c>
      <c r="C8" s="0" t="s">
        <v>205</v>
      </c>
      <c r="D8" s="0" t="s">
        <v>198</v>
      </c>
      <c r="E8" s="0" t="s">
        <v>42</v>
      </c>
      <c r="F8" s="0" t="n">
        <v>10.9</v>
      </c>
      <c r="G8" s="0" t="s">
        <v>218</v>
      </c>
      <c r="H8" s="0" t="s">
        <v>256</v>
      </c>
      <c r="I8" s="0" t="s">
        <v>257</v>
      </c>
      <c r="J8" s="0" t="s">
        <v>258</v>
      </c>
      <c r="K8" s="0" t="s">
        <v>259</v>
      </c>
      <c r="L8" s="0" t="n">
        <v>4.3</v>
      </c>
      <c r="M8" s="0" t="n">
        <v>1</v>
      </c>
      <c r="N8" s="0" t="n">
        <v>7761.59</v>
      </c>
      <c r="O8" s="0" t="n">
        <v>2104</v>
      </c>
      <c r="P8" s="0" t="n">
        <v>796.27</v>
      </c>
      <c r="Q8" s="0" t="s">
        <v>21</v>
      </c>
      <c r="R8" s="0" t="s">
        <v>51</v>
      </c>
      <c r="S8" s="0" t="s">
        <v>254</v>
      </c>
    </row>
    <row r="9" customFormat="false" ht="15" hidden="false" customHeight="false" outlineLevel="0" collapsed="false">
      <c r="A9" s="0" t="s">
        <v>260</v>
      </c>
      <c r="B9" s="0" t="s">
        <v>47</v>
      </c>
      <c r="C9" s="0" t="s">
        <v>203</v>
      </c>
      <c r="D9" s="0" t="s">
        <v>198</v>
      </c>
      <c r="E9" s="0" t="s">
        <v>43</v>
      </c>
      <c r="F9" s="0" t="n">
        <v>4.14</v>
      </c>
      <c r="G9" s="0" t="s">
        <v>261</v>
      </c>
      <c r="H9" s="0" t="s">
        <v>262</v>
      </c>
      <c r="I9" s="0" t="s">
        <v>263</v>
      </c>
      <c r="J9" s="0" t="s">
        <v>264</v>
      </c>
      <c r="K9" s="0" t="s">
        <v>265</v>
      </c>
      <c r="L9" s="0" t="n">
        <v>0.4</v>
      </c>
      <c r="M9" s="0" t="n">
        <v>1</v>
      </c>
      <c r="N9" s="0" t="n">
        <v>1775.62</v>
      </c>
      <c r="O9" s="0" t="n">
        <v>1795.37</v>
      </c>
      <c r="P9" s="0" t="n">
        <v>1211.34</v>
      </c>
      <c r="Q9" s="0" t="s">
        <v>22</v>
      </c>
      <c r="R9" s="0" t="s">
        <v>52</v>
      </c>
      <c r="S9" s="0" t="s">
        <v>228</v>
      </c>
    </row>
    <row r="10" customFormat="false" ht="15" hidden="false" customHeight="false" outlineLevel="0" collapsed="false">
      <c r="A10" s="0" t="s">
        <v>266</v>
      </c>
      <c r="B10" s="0" t="s">
        <v>48</v>
      </c>
      <c r="C10" s="0" t="s">
        <v>198</v>
      </c>
      <c r="D10" s="0" t="s">
        <v>213</v>
      </c>
      <c r="E10" s="0" t="s">
        <v>42</v>
      </c>
      <c r="F10" s="0" t="n">
        <v>16.01</v>
      </c>
      <c r="G10" s="0" t="s">
        <v>267</v>
      </c>
      <c r="H10" s="0" t="s">
        <v>268</v>
      </c>
      <c r="I10" s="0" t="s">
        <v>269</v>
      </c>
      <c r="J10" s="0" t="s">
        <v>270</v>
      </c>
      <c r="K10" s="0" t="s">
        <v>271</v>
      </c>
      <c r="L10" s="0" t="n">
        <v>-1</v>
      </c>
      <c r="M10" s="0" t="n">
        <v>0</v>
      </c>
      <c r="N10" s="0" t="n">
        <v>5853.01</v>
      </c>
      <c r="O10" s="0" t="n">
        <v>3918.42</v>
      </c>
      <c r="P10" s="0" t="n">
        <v>1137.56</v>
      </c>
      <c r="Q10" s="0" t="s">
        <v>25</v>
      </c>
      <c r="R10" s="0" t="s">
        <v>51</v>
      </c>
      <c r="S10" s="0" t="s">
        <v>272</v>
      </c>
    </row>
    <row r="11" customFormat="false" ht="15" hidden="false" customHeight="false" outlineLevel="0" collapsed="false">
      <c r="A11" s="0" t="s">
        <v>273</v>
      </c>
      <c r="B11" s="0" t="s">
        <v>48</v>
      </c>
      <c r="C11" s="0" t="s">
        <v>198</v>
      </c>
      <c r="D11" s="0" t="s">
        <v>211</v>
      </c>
      <c r="E11" s="0" t="s">
        <v>43</v>
      </c>
      <c r="F11" s="0" t="n">
        <v>17.86</v>
      </c>
      <c r="G11" s="0" t="s">
        <v>274</v>
      </c>
      <c r="H11" s="0" t="s">
        <v>275</v>
      </c>
      <c r="I11" s="0" t="s">
        <v>276</v>
      </c>
      <c r="J11" s="0" t="s">
        <v>277</v>
      </c>
      <c r="K11" s="0" t="s">
        <v>278</v>
      </c>
      <c r="L11" s="0" t="n">
        <v>5.3</v>
      </c>
      <c r="M11" s="0" t="n">
        <v>1</v>
      </c>
      <c r="N11" s="0" t="n">
        <v>8145.26</v>
      </c>
      <c r="O11" s="0" t="n">
        <v>2024.27</v>
      </c>
      <c r="P11" s="0" t="n">
        <v>540.43</v>
      </c>
      <c r="Q11" s="0" t="s">
        <v>25</v>
      </c>
      <c r="R11" s="0" t="s">
        <v>51</v>
      </c>
      <c r="S11" s="0" t="s">
        <v>254</v>
      </c>
    </row>
    <row r="12" customFormat="false" ht="15" hidden="false" customHeight="false" outlineLevel="0" collapsed="false">
      <c r="A12" s="0" t="s">
        <v>279</v>
      </c>
      <c r="B12" s="0" t="s">
        <v>47</v>
      </c>
      <c r="C12" s="0" t="s">
        <v>205</v>
      </c>
      <c r="D12" s="0" t="s">
        <v>198</v>
      </c>
      <c r="E12" s="0" t="s">
        <v>43</v>
      </c>
      <c r="F12" s="0" t="n">
        <v>14.5</v>
      </c>
      <c r="G12" s="0" t="s">
        <v>280</v>
      </c>
      <c r="H12" s="0" t="s">
        <v>281</v>
      </c>
      <c r="I12" s="0" t="s">
        <v>282</v>
      </c>
      <c r="J12" s="0" t="s">
        <v>283</v>
      </c>
      <c r="K12" s="0" t="s">
        <v>284</v>
      </c>
      <c r="L12" s="0" t="n">
        <v>2.3</v>
      </c>
      <c r="M12" s="0" t="n">
        <v>1</v>
      </c>
      <c r="N12" s="0" t="n">
        <v>8171.89</v>
      </c>
      <c r="O12" s="0" t="n">
        <v>1557.33</v>
      </c>
      <c r="P12" s="0" t="n">
        <v>1104.42</v>
      </c>
      <c r="Q12" s="0" t="s">
        <v>21</v>
      </c>
      <c r="R12" s="0" t="s">
        <v>52</v>
      </c>
      <c r="S12" s="0" t="s">
        <v>222</v>
      </c>
    </row>
    <row r="13" customFormat="false" ht="15" hidden="false" customHeight="false" outlineLevel="0" collapsed="false">
      <c r="A13" s="0" t="s">
        <v>285</v>
      </c>
      <c r="B13" s="0" t="s">
        <v>48</v>
      </c>
      <c r="C13" s="0" t="s">
        <v>198</v>
      </c>
      <c r="D13" s="0" t="s">
        <v>208</v>
      </c>
      <c r="E13" s="0" t="s">
        <v>42</v>
      </c>
      <c r="F13" s="0" t="n">
        <v>11.26</v>
      </c>
      <c r="G13" s="0" t="s">
        <v>286</v>
      </c>
      <c r="H13" s="0" t="s">
        <v>287</v>
      </c>
      <c r="I13" s="0" t="s">
        <v>288</v>
      </c>
      <c r="J13" s="0" t="s">
        <v>289</v>
      </c>
      <c r="K13" s="0" t="s">
        <v>290</v>
      </c>
      <c r="L13" s="0" t="n">
        <v>1.1</v>
      </c>
      <c r="M13" s="0" t="n">
        <v>1</v>
      </c>
      <c r="N13" s="0" t="n">
        <v>5508.07</v>
      </c>
      <c r="O13" s="0" t="n">
        <v>4232.48</v>
      </c>
      <c r="P13" s="0" t="n">
        <v>1133.4</v>
      </c>
      <c r="Q13" s="0" t="s">
        <v>25</v>
      </c>
      <c r="R13" s="0" t="s">
        <v>51</v>
      </c>
      <c r="S13" s="0" t="s">
        <v>222</v>
      </c>
    </row>
    <row r="14" customFormat="false" ht="15" hidden="false" customHeight="false" outlineLevel="0" collapsed="false">
      <c r="A14" s="0" t="s">
        <v>291</v>
      </c>
      <c r="B14" s="0" t="s">
        <v>47</v>
      </c>
      <c r="C14" s="0" t="s">
        <v>205</v>
      </c>
      <c r="D14" s="0" t="s">
        <v>198</v>
      </c>
      <c r="E14" s="0" t="s">
        <v>42</v>
      </c>
      <c r="F14" s="0" t="n">
        <v>17.56</v>
      </c>
      <c r="G14" s="0" t="s">
        <v>292</v>
      </c>
      <c r="H14" s="0" t="s">
        <v>293</v>
      </c>
      <c r="I14" s="0" t="s">
        <v>294</v>
      </c>
      <c r="J14" s="0" t="s">
        <v>295</v>
      </c>
      <c r="K14" s="0" t="s">
        <v>296</v>
      </c>
      <c r="L14" s="0" t="n">
        <v>-0.3</v>
      </c>
      <c r="M14" s="0" t="n">
        <v>0</v>
      </c>
      <c r="N14" s="0" t="n">
        <v>5426.44</v>
      </c>
      <c r="O14" s="0" t="n">
        <v>1911.74</v>
      </c>
      <c r="P14" s="0" t="n">
        <v>927.11</v>
      </c>
      <c r="Q14" s="0" t="s">
        <v>22</v>
      </c>
      <c r="R14" s="0" t="s">
        <v>51</v>
      </c>
      <c r="S14" s="0" t="s">
        <v>247</v>
      </c>
    </row>
    <row r="15" customFormat="false" ht="15" hidden="false" customHeight="false" outlineLevel="0" collapsed="false">
      <c r="A15" s="0" t="s">
        <v>297</v>
      </c>
      <c r="B15" s="0" t="s">
        <v>48</v>
      </c>
      <c r="C15" s="0" t="s">
        <v>198</v>
      </c>
      <c r="D15" s="0" t="s">
        <v>201</v>
      </c>
      <c r="E15" s="0" t="s">
        <v>43</v>
      </c>
      <c r="F15" s="0" t="n">
        <v>16.54</v>
      </c>
      <c r="G15" s="0" t="s">
        <v>298</v>
      </c>
      <c r="H15" s="0" t="s">
        <v>299</v>
      </c>
      <c r="I15" s="0" t="s">
        <v>300</v>
      </c>
      <c r="J15" s="0" t="s">
        <v>301</v>
      </c>
      <c r="K15" s="0" t="s">
        <v>302</v>
      </c>
      <c r="L15" s="0" t="n">
        <v>0.9</v>
      </c>
      <c r="M15" s="0" t="n">
        <v>1</v>
      </c>
      <c r="N15" s="0" t="n">
        <v>8625.16</v>
      </c>
      <c r="O15" s="0" t="n">
        <v>2077.65</v>
      </c>
      <c r="P15" s="0" t="n">
        <v>744.13</v>
      </c>
      <c r="Q15" s="0" t="s">
        <v>23</v>
      </c>
      <c r="R15" s="0" t="s">
        <v>52</v>
      </c>
      <c r="S15" s="0" t="s">
        <v>254</v>
      </c>
    </row>
    <row r="16" customFormat="false" ht="15" hidden="false" customHeight="false" outlineLevel="0" collapsed="false">
      <c r="A16" s="0" t="s">
        <v>303</v>
      </c>
      <c r="B16" s="0" t="s">
        <v>47</v>
      </c>
      <c r="C16" s="0" t="s">
        <v>209</v>
      </c>
      <c r="D16" s="0" t="s">
        <v>198</v>
      </c>
      <c r="E16" s="0" t="s">
        <v>42</v>
      </c>
      <c r="F16" s="0" t="n">
        <v>4.2</v>
      </c>
      <c r="G16" s="0" t="s">
        <v>304</v>
      </c>
      <c r="H16" s="0" t="s">
        <v>288</v>
      </c>
      <c r="I16" s="0" t="s">
        <v>305</v>
      </c>
      <c r="J16" s="0" t="s">
        <v>306</v>
      </c>
      <c r="K16" s="0" t="s">
        <v>307</v>
      </c>
      <c r="L16" s="0" t="n">
        <v>2.8</v>
      </c>
      <c r="M16" s="0" t="n">
        <v>1</v>
      </c>
      <c r="N16" s="0" t="n">
        <v>2769.31</v>
      </c>
      <c r="O16" s="0" t="n">
        <v>3849.08</v>
      </c>
      <c r="P16" s="0" t="n">
        <v>648.09</v>
      </c>
      <c r="Q16" s="0" t="s">
        <v>21</v>
      </c>
      <c r="R16" s="0" t="s">
        <v>51</v>
      </c>
      <c r="S16" s="0" t="s">
        <v>254</v>
      </c>
    </row>
    <row r="17" customFormat="false" ht="15" hidden="false" customHeight="false" outlineLevel="0" collapsed="false">
      <c r="A17" s="0" t="s">
        <v>308</v>
      </c>
      <c r="B17" s="0" t="s">
        <v>47</v>
      </c>
      <c r="C17" s="0" t="s">
        <v>203</v>
      </c>
      <c r="D17" s="0" t="s">
        <v>198</v>
      </c>
      <c r="E17" s="0" t="s">
        <v>43</v>
      </c>
      <c r="F17" s="0" t="n">
        <v>19.96</v>
      </c>
      <c r="G17" s="0" t="s">
        <v>309</v>
      </c>
      <c r="H17" s="0" t="s">
        <v>310</v>
      </c>
      <c r="I17" s="0" t="s">
        <v>311</v>
      </c>
      <c r="J17" s="0" t="s">
        <v>312</v>
      </c>
      <c r="K17" s="0" t="s">
        <v>313</v>
      </c>
      <c r="L17" s="0" t="n">
        <v>1.8</v>
      </c>
      <c r="M17" s="0" t="n">
        <v>1</v>
      </c>
      <c r="N17" s="0" t="n">
        <v>5405.55</v>
      </c>
      <c r="O17" s="0" t="n">
        <v>3537.41</v>
      </c>
      <c r="P17" s="0" t="n">
        <v>1180.71</v>
      </c>
      <c r="Q17" s="0" t="s">
        <v>21</v>
      </c>
      <c r="R17" s="0" t="s">
        <v>51</v>
      </c>
      <c r="S17" s="0" t="s">
        <v>222</v>
      </c>
    </row>
    <row r="18" customFormat="false" ht="15" hidden="false" customHeight="false" outlineLevel="0" collapsed="false">
      <c r="A18" s="0" t="s">
        <v>314</v>
      </c>
      <c r="B18" s="0" t="s">
        <v>48</v>
      </c>
      <c r="C18" s="0" t="s">
        <v>198</v>
      </c>
      <c r="D18" s="0" t="s">
        <v>207</v>
      </c>
      <c r="E18" s="0" t="s">
        <v>44</v>
      </c>
      <c r="F18" s="0" t="n">
        <v>11.09</v>
      </c>
      <c r="G18" s="0" t="s">
        <v>315</v>
      </c>
      <c r="H18" s="0" t="s">
        <v>316</v>
      </c>
      <c r="I18" s="0" t="s">
        <v>275</v>
      </c>
      <c r="J18" s="0" t="s">
        <v>317</v>
      </c>
      <c r="K18" s="0" t="s">
        <v>318</v>
      </c>
      <c r="L18" s="0" t="n">
        <v>1.4</v>
      </c>
      <c r="M18" s="0" t="n">
        <v>1</v>
      </c>
      <c r="N18" s="0" t="n">
        <v>5964.83</v>
      </c>
      <c r="O18" s="0" t="n">
        <v>3529.22</v>
      </c>
      <c r="P18" s="0" t="n">
        <v>1133.53</v>
      </c>
      <c r="Q18" s="0" t="s">
        <v>22</v>
      </c>
      <c r="R18" s="0" t="s">
        <v>52</v>
      </c>
      <c r="S18" s="0" t="s">
        <v>228</v>
      </c>
    </row>
    <row r="19" customFormat="false" ht="15" hidden="false" customHeight="false" outlineLevel="0" collapsed="false">
      <c r="A19" s="0" t="s">
        <v>319</v>
      </c>
      <c r="B19" s="0" t="s">
        <v>47</v>
      </c>
      <c r="C19" s="0" t="s">
        <v>209</v>
      </c>
      <c r="D19" s="0" t="s">
        <v>198</v>
      </c>
      <c r="E19" s="0" t="s">
        <v>43</v>
      </c>
      <c r="F19" s="0" t="n">
        <v>11.18</v>
      </c>
      <c r="G19" s="0" t="s">
        <v>320</v>
      </c>
      <c r="H19" s="0" t="s">
        <v>321</v>
      </c>
      <c r="I19" s="0" t="s">
        <v>242</v>
      </c>
      <c r="J19" s="0" t="s">
        <v>322</v>
      </c>
      <c r="K19" s="0" t="s">
        <v>323</v>
      </c>
      <c r="L19" s="0" t="n">
        <v>-0.1</v>
      </c>
      <c r="M19" s="0" t="n">
        <v>0</v>
      </c>
      <c r="N19" s="0" t="n">
        <v>3199.49</v>
      </c>
      <c r="O19" s="0" t="n">
        <v>3363.57</v>
      </c>
      <c r="P19" s="0" t="n">
        <v>1177.56</v>
      </c>
      <c r="Q19" s="0" t="s">
        <v>22</v>
      </c>
      <c r="R19" s="0" t="s">
        <v>52</v>
      </c>
      <c r="S19" s="0" t="s">
        <v>272</v>
      </c>
    </row>
    <row r="20" customFormat="false" ht="15" hidden="false" customHeight="false" outlineLevel="0" collapsed="false">
      <c r="A20" s="0" t="s">
        <v>324</v>
      </c>
      <c r="B20" s="0" t="s">
        <v>48</v>
      </c>
      <c r="C20" s="0" t="s">
        <v>198</v>
      </c>
      <c r="D20" s="0" t="s">
        <v>208</v>
      </c>
      <c r="E20" s="0" t="s">
        <v>43</v>
      </c>
      <c r="F20" s="0" t="n">
        <v>1.32</v>
      </c>
      <c r="G20" s="0" t="s">
        <v>325</v>
      </c>
      <c r="H20" s="0" t="s">
        <v>326</v>
      </c>
      <c r="I20" s="0" t="s">
        <v>327</v>
      </c>
      <c r="J20" s="0" t="s">
        <v>328</v>
      </c>
      <c r="K20" s="0" t="s">
        <v>329</v>
      </c>
      <c r="L20" s="0" t="n">
        <v>1.6</v>
      </c>
      <c r="M20" s="0" t="n">
        <v>1</v>
      </c>
      <c r="N20" s="0" t="n">
        <v>1465.34</v>
      </c>
      <c r="O20" s="0" t="n">
        <v>2364.27</v>
      </c>
      <c r="P20" s="0" t="n">
        <v>613.47</v>
      </c>
      <c r="Q20" s="0" t="s">
        <v>25</v>
      </c>
      <c r="R20" s="0" t="s">
        <v>52</v>
      </c>
      <c r="S20" s="0" t="s">
        <v>228</v>
      </c>
    </row>
    <row r="21" customFormat="false" ht="15" hidden="false" customHeight="false" outlineLevel="0" collapsed="false">
      <c r="A21" s="0" t="s">
        <v>330</v>
      </c>
      <c r="B21" s="0" t="s">
        <v>47</v>
      </c>
      <c r="C21" s="0" t="s">
        <v>203</v>
      </c>
      <c r="D21" s="0" t="s">
        <v>198</v>
      </c>
      <c r="E21" s="0" t="s">
        <v>42</v>
      </c>
      <c r="F21" s="0" t="n">
        <v>18.57</v>
      </c>
      <c r="G21" s="0" t="s">
        <v>300</v>
      </c>
      <c r="H21" s="0" t="s">
        <v>331</v>
      </c>
      <c r="I21" s="0" t="s">
        <v>332</v>
      </c>
      <c r="J21" s="0" t="s">
        <v>333</v>
      </c>
      <c r="K21" s="0" t="s">
        <v>334</v>
      </c>
      <c r="L21" s="0" t="n">
        <v>3.9</v>
      </c>
      <c r="M21" s="0" t="n">
        <v>1</v>
      </c>
      <c r="N21" s="0" t="n">
        <v>11832.12</v>
      </c>
      <c r="O21" s="0" t="n">
        <v>2043.32</v>
      </c>
      <c r="P21" s="0" t="n">
        <v>1496.25</v>
      </c>
      <c r="Q21" s="0" t="s">
        <v>24</v>
      </c>
      <c r="R21" s="0" t="s">
        <v>52</v>
      </c>
      <c r="S21" s="0" t="s">
        <v>228</v>
      </c>
    </row>
    <row r="22" customFormat="false" ht="15" hidden="false" customHeight="false" outlineLevel="0" collapsed="false">
      <c r="A22" s="0" t="s">
        <v>335</v>
      </c>
      <c r="B22" s="0" t="s">
        <v>48</v>
      </c>
      <c r="C22" s="0" t="s">
        <v>198</v>
      </c>
      <c r="D22" s="0" t="s">
        <v>201</v>
      </c>
      <c r="E22" s="0" t="s">
        <v>42</v>
      </c>
      <c r="F22" s="0" t="n">
        <v>19.34</v>
      </c>
      <c r="G22" s="0" t="s">
        <v>336</v>
      </c>
      <c r="H22" s="0" t="s">
        <v>337</v>
      </c>
      <c r="I22" s="0" t="s">
        <v>338</v>
      </c>
      <c r="J22" s="0" t="s">
        <v>339</v>
      </c>
      <c r="K22" s="0" t="s">
        <v>340</v>
      </c>
      <c r="L22" s="0" t="n">
        <v>4.9</v>
      </c>
      <c r="M22" s="0" t="n">
        <v>1</v>
      </c>
      <c r="N22" s="0" t="n">
        <v>10654.35</v>
      </c>
      <c r="O22" s="0" t="n">
        <v>4551.08</v>
      </c>
      <c r="P22" s="0" t="n">
        <v>1350.93</v>
      </c>
      <c r="Q22" s="0" t="s">
        <v>23</v>
      </c>
      <c r="R22" s="0" t="s">
        <v>52</v>
      </c>
      <c r="S22" s="0" t="s">
        <v>247</v>
      </c>
    </row>
    <row r="23" customFormat="false" ht="15" hidden="false" customHeight="false" outlineLevel="0" collapsed="false">
      <c r="A23" s="0" t="s">
        <v>341</v>
      </c>
      <c r="B23" s="0" t="s">
        <v>47</v>
      </c>
      <c r="C23" s="0" t="s">
        <v>203</v>
      </c>
      <c r="D23" s="0" t="s">
        <v>198</v>
      </c>
      <c r="E23" s="0" t="s">
        <v>43</v>
      </c>
      <c r="F23" s="0" t="n">
        <v>18.78</v>
      </c>
      <c r="G23" s="0" t="s">
        <v>342</v>
      </c>
      <c r="H23" s="0" t="s">
        <v>343</v>
      </c>
      <c r="I23" s="0" t="s">
        <v>293</v>
      </c>
      <c r="J23" s="0" t="s">
        <v>344</v>
      </c>
      <c r="K23" s="0" t="s">
        <v>345</v>
      </c>
      <c r="L23" s="0" t="n">
        <v>-1</v>
      </c>
      <c r="M23" s="0" t="n">
        <v>0</v>
      </c>
      <c r="N23" s="0" t="n">
        <v>14893.74</v>
      </c>
      <c r="O23" s="0" t="n">
        <v>2135.68</v>
      </c>
      <c r="P23" s="0" t="n">
        <v>805.36</v>
      </c>
      <c r="Q23" s="0" t="s">
        <v>24</v>
      </c>
      <c r="R23" s="0" t="s">
        <v>51</v>
      </c>
      <c r="S23" s="0" t="s">
        <v>247</v>
      </c>
    </row>
    <row r="24" customFormat="false" ht="15" hidden="false" customHeight="false" outlineLevel="0" collapsed="false">
      <c r="A24" s="0" t="s">
        <v>346</v>
      </c>
      <c r="B24" s="0" t="s">
        <v>48</v>
      </c>
      <c r="C24" s="0" t="s">
        <v>198</v>
      </c>
      <c r="D24" s="0" t="s">
        <v>214</v>
      </c>
      <c r="E24" s="0" t="s">
        <v>42</v>
      </c>
      <c r="F24" s="0" t="n">
        <v>10.23</v>
      </c>
      <c r="G24" s="0" t="s">
        <v>315</v>
      </c>
      <c r="H24" s="0" t="s">
        <v>347</v>
      </c>
      <c r="I24" s="0" t="s">
        <v>348</v>
      </c>
      <c r="J24" s="0" t="s">
        <v>349</v>
      </c>
      <c r="K24" s="0" t="s">
        <v>350</v>
      </c>
      <c r="L24" s="0" t="n">
        <v>-0.9</v>
      </c>
      <c r="M24" s="0" t="n">
        <v>0</v>
      </c>
      <c r="N24" s="0" t="n">
        <v>3798.01</v>
      </c>
      <c r="O24" s="0" t="n">
        <v>3976.68</v>
      </c>
      <c r="P24" s="0" t="n">
        <v>1220.94</v>
      </c>
      <c r="Q24" s="0" t="s">
        <v>23</v>
      </c>
      <c r="R24" s="0" t="s">
        <v>52</v>
      </c>
      <c r="S24" s="0" t="s">
        <v>228</v>
      </c>
    </row>
    <row r="25" customFormat="false" ht="15" hidden="false" customHeight="false" outlineLevel="0" collapsed="false">
      <c r="A25" s="0" t="s">
        <v>351</v>
      </c>
      <c r="B25" s="0" t="s">
        <v>48</v>
      </c>
      <c r="C25" s="0" t="s">
        <v>198</v>
      </c>
      <c r="D25" s="0" t="s">
        <v>214</v>
      </c>
      <c r="E25" s="0" t="s">
        <v>44</v>
      </c>
      <c r="F25" s="0" t="n">
        <v>6.85</v>
      </c>
      <c r="G25" s="0" t="s">
        <v>352</v>
      </c>
      <c r="H25" s="0" t="s">
        <v>353</v>
      </c>
      <c r="I25" s="0" t="s">
        <v>337</v>
      </c>
      <c r="J25" s="0" t="s">
        <v>354</v>
      </c>
      <c r="K25" s="0" t="s">
        <v>355</v>
      </c>
      <c r="L25" s="0" t="n">
        <v>4.4</v>
      </c>
      <c r="M25" s="0" t="n">
        <v>1</v>
      </c>
      <c r="N25" s="0" t="n">
        <v>5219.47</v>
      </c>
      <c r="O25" s="0" t="n">
        <v>4179.25</v>
      </c>
      <c r="P25" s="0" t="n">
        <v>1002.64</v>
      </c>
      <c r="Q25" s="0" t="s">
        <v>25</v>
      </c>
      <c r="R25" s="0" t="s">
        <v>51</v>
      </c>
      <c r="S25" s="0" t="s">
        <v>228</v>
      </c>
    </row>
    <row r="26" customFormat="false" ht="15" hidden="false" customHeight="false" outlineLevel="0" collapsed="false">
      <c r="A26" s="0" t="s">
        <v>356</v>
      </c>
      <c r="B26" s="0" t="s">
        <v>47</v>
      </c>
      <c r="C26" s="0" t="s">
        <v>199</v>
      </c>
      <c r="D26" s="0" t="s">
        <v>198</v>
      </c>
      <c r="E26" s="0" t="s">
        <v>43</v>
      </c>
      <c r="F26" s="0" t="n">
        <v>11.96</v>
      </c>
      <c r="G26" s="0" t="s">
        <v>357</v>
      </c>
      <c r="H26" s="0" t="s">
        <v>358</v>
      </c>
      <c r="I26" s="0" t="s">
        <v>326</v>
      </c>
      <c r="J26" s="0" t="s">
        <v>359</v>
      </c>
      <c r="K26" s="0" t="s">
        <v>360</v>
      </c>
      <c r="L26" s="0" t="n">
        <v>10.4</v>
      </c>
      <c r="M26" s="0" t="n">
        <v>1</v>
      </c>
      <c r="N26" s="0" t="n">
        <v>5309.14</v>
      </c>
      <c r="O26" s="0" t="n">
        <v>2879.78</v>
      </c>
      <c r="P26" s="0" t="n">
        <v>779.56</v>
      </c>
      <c r="Q26" s="0" t="s">
        <v>21</v>
      </c>
      <c r="R26" s="0" t="s">
        <v>52</v>
      </c>
      <c r="S26" s="0" t="s">
        <v>222</v>
      </c>
    </row>
    <row r="27" customFormat="false" ht="15" hidden="false" customHeight="false" outlineLevel="0" collapsed="false">
      <c r="A27" s="0" t="s">
        <v>361</v>
      </c>
      <c r="B27" s="0" t="s">
        <v>47</v>
      </c>
      <c r="C27" s="0" t="s">
        <v>206</v>
      </c>
      <c r="D27" s="0" t="s">
        <v>198</v>
      </c>
      <c r="E27" s="0" t="s">
        <v>43</v>
      </c>
      <c r="F27" s="0" t="n">
        <v>17.79</v>
      </c>
      <c r="G27" s="0" t="s">
        <v>362</v>
      </c>
      <c r="H27" s="0" t="s">
        <v>363</v>
      </c>
      <c r="I27" s="0" t="s">
        <v>364</v>
      </c>
      <c r="J27" s="0" t="s">
        <v>365</v>
      </c>
      <c r="K27" s="0" t="s">
        <v>366</v>
      </c>
      <c r="L27" s="0" t="n">
        <v>1.9</v>
      </c>
      <c r="M27" s="0" t="n">
        <v>1</v>
      </c>
      <c r="N27" s="0" t="n">
        <v>9014.27</v>
      </c>
      <c r="O27" s="0" t="n">
        <v>4921.33</v>
      </c>
      <c r="P27" s="0" t="n">
        <v>575.35</v>
      </c>
      <c r="Q27" s="0" t="s">
        <v>23</v>
      </c>
      <c r="R27" s="0" t="s">
        <v>52</v>
      </c>
      <c r="S27" s="0" t="s">
        <v>272</v>
      </c>
    </row>
    <row r="28" customFormat="false" ht="15" hidden="false" customHeight="false" outlineLevel="0" collapsed="false">
      <c r="A28" s="0" t="s">
        <v>367</v>
      </c>
      <c r="B28" s="0" t="s">
        <v>48</v>
      </c>
      <c r="C28" s="0" t="s">
        <v>198</v>
      </c>
      <c r="D28" s="0" t="s">
        <v>207</v>
      </c>
      <c r="E28" s="0" t="s">
        <v>43</v>
      </c>
      <c r="F28" s="0" t="n">
        <v>6.81</v>
      </c>
      <c r="G28" s="0" t="s">
        <v>368</v>
      </c>
      <c r="H28" s="0" t="s">
        <v>369</v>
      </c>
      <c r="I28" s="0" t="s">
        <v>370</v>
      </c>
      <c r="J28" s="0" t="s">
        <v>371</v>
      </c>
      <c r="K28" s="0" t="s">
        <v>372</v>
      </c>
      <c r="L28" s="0" t="n">
        <v>2.6</v>
      </c>
      <c r="M28" s="0" t="n">
        <v>1</v>
      </c>
      <c r="N28" s="0" t="n">
        <v>5929.89</v>
      </c>
      <c r="O28" s="0" t="n">
        <v>1281.66</v>
      </c>
      <c r="P28" s="0" t="n">
        <v>708.92</v>
      </c>
      <c r="Q28" s="0" t="s">
        <v>25</v>
      </c>
      <c r="R28" s="0" t="s">
        <v>52</v>
      </c>
      <c r="S28" s="0" t="s">
        <v>228</v>
      </c>
    </row>
    <row r="29" customFormat="false" ht="15" hidden="false" customHeight="false" outlineLevel="0" collapsed="false">
      <c r="A29" s="0" t="s">
        <v>373</v>
      </c>
      <c r="B29" s="0" t="s">
        <v>47</v>
      </c>
      <c r="C29" s="0" t="s">
        <v>206</v>
      </c>
      <c r="D29" s="0" t="s">
        <v>198</v>
      </c>
      <c r="E29" s="0" t="s">
        <v>42</v>
      </c>
      <c r="F29" s="0" t="n">
        <v>13.75</v>
      </c>
      <c r="G29" s="0" t="s">
        <v>374</v>
      </c>
      <c r="H29" s="0" t="s">
        <v>375</v>
      </c>
      <c r="I29" s="0" t="s">
        <v>376</v>
      </c>
      <c r="J29" s="0" t="s">
        <v>377</v>
      </c>
      <c r="K29" s="0" t="s">
        <v>378</v>
      </c>
      <c r="L29" s="0" t="n">
        <v>-1</v>
      </c>
      <c r="M29" s="0" t="n">
        <v>0</v>
      </c>
      <c r="N29" s="0" t="n">
        <v>7082.6</v>
      </c>
      <c r="O29" s="0" t="n">
        <v>1546.49</v>
      </c>
      <c r="P29" s="0" t="n">
        <v>1208.91</v>
      </c>
      <c r="Q29" s="0" t="s">
        <v>24</v>
      </c>
      <c r="R29" s="0" t="s">
        <v>51</v>
      </c>
      <c r="S29" s="0" t="s">
        <v>228</v>
      </c>
    </row>
    <row r="30" customFormat="false" ht="15" hidden="false" customHeight="false" outlineLevel="0" collapsed="false">
      <c r="A30" s="0" t="s">
        <v>379</v>
      </c>
      <c r="B30" s="0" t="s">
        <v>48</v>
      </c>
      <c r="C30" s="0" t="s">
        <v>198</v>
      </c>
      <c r="D30" s="0" t="s">
        <v>199</v>
      </c>
      <c r="E30" s="0" t="s">
        <v>42</v>
      </c>
      <c r="F30" s="0" t="n">
        <v>11.5</v>
      </c>
      <c r="G30" s="0" t="s">
        <v>380</v>
      </c>
      <c r="H30" s="0" t="s">
        <v>381</v>
      </c>
      <c r="I30" s="0" t="s">
        <v>382</v>
      </c>
      <c r="J30" s="0" t="s">
        <v>383</v>
      </c>
      <c r="K30" s="0" t="s">
        <v>384</v>
      </c>
      <c r="L30" s="0" t="n">
        <v>3.5</v>
      </c>
      <c r="M30" s="0" t="n">
        <v>1</v>
      </c>
      <c r="N30" s="0" t="n">
        <v>3373.35</v>
      </c>
      <c r="O30" s="0" t="n">
        <v>2587.14</v>
      </c>
      <c r="P30" s="0" t="n">
        <v>550.77</v>
      </c>
      <c r="Q30" s="0" t="s">
        <v>21</v>
      </c>
      <c r="R30" s="0" t="s">
        <v>52</v>
      </c>
      <c r="S30" s="0" t="s">
        <v>247</v>
      </c>
    </row>
    <row r="31" customFormat="false" ht="15" hidden="false" customHeight="false" outlineLevel="0" collapsed="false">
      <c r="A31" s="0" t="s">
        <v>385</v>
      </c>
      <c r="B31" s="0" t="s">
        <v>47</v>
      </c>
      <c r="C31" s="0" t="s">
        <v>206</v>
      </c>
      <c r="D31" s="0" t="s">
        <v>198</v>
      </c>
      <c r="E31" s="0" t="s">
        <v>44</v>
      </c>
      <c r="F31" s="0" t="n">
        <v>17.85</v>
      </c>
      <c r="G31" s="0" t="s">
        <v>263</v>
      </c>
      <c r="H31" s="0" t="s">
        <v>386</v>
      </c>
      <c r="I31" s="0" t="s">
        <v>387</v>
      </c>
      <c r="J31" s="0" t="s">
        <v>388</v>
      </c>
      <c r="K31" s="0" t="s">
        <v>389</v>
      </c>
      <c r="L31" s="0" t="n">
        <v>13.6</v>
      </c>
      <c r="M31" s="0" t="n">
        <v>1</v>
      </c>
      <c r="N31" s="0" t="n">
        <v>8031.73</v>
      </c>
      <c r="O31" s="0" t="n">
        <v>4355.73</v>
      </c>
      <c r="P31" s="0" t="n">
        <v>1360.4</v>
      </c>
      <c r="Q31" s="0" t="s">
        <v>23</v>
      </c>
      <c r="R31" s="0" t="s">
        <v>51</v>
      </c>
      <c r="S31" s="0" t="s">
        <v>222</v>
      </c>
    </row>
    <row r="32" customFormat="false" ht="15" hidden="false" customHeight="false" outlineLevel="0" collapsed="false">
      <c r="A32" s="0" t="s">
        <v>390</v>
      </c>
      <c r="B32" s="0" t="s">
        <v>47</v>
      </c>
      <c r="C32" s="0" t="s">
        <v>199</v>
      </c>
      <c r="D32" s="0" t="s">
        <v>198</v>
      </c>
      <c r="E32" s="0" t="s">
        <v>42</v>
      </c>
      <c r="F32" s="0" t="n">
        <v>5.75</v>
      </c>
      <c r="G32" s="0" t="s">
        <v>386</v>
      </c>
      <c r="H32" s="0" t="s">
        <v>391</v>
      </c>
      <c r="I32" s="0" t="s">
        <v>392</v>
      </c>
      <c r="J32" s="0" t="s">
        <v>393</v>
      </c>
      <c r="K32" s="0" t="s">
        <v>394</v>
      </c>
      <c r="L32" s="0" t="n">
        <v>2.2</v>
      </c>
      <c r="M32" s="0" t="n">
        <v>1</v>
      </c>
      <c r="N32" s="0" t="n">
        <v>3863.93</v>
      </c>
      <c r="O32" s="0" t="n">
        <v>2829.06</v>
      </c>
      <c r="P32" s="0" t="n">
        <v>1342.02</v>
      </c>
      <c r="Q32" s="0" t="s">
        <v>22</v>
      </c>
      <c r="R32" s="0" t="s">
        <v>51</v>
      </c>
      <c r="S32" s="0" t="s">
        <v>228</v>
      </c>
    </row>
    <row r="33" customFormat="false" ht="15" hidden="false" customHeight="false" outlineLevel="0" collapsed="false">
      <c r="A33" s="0" t="s">
        <v>395</v>
      </c>
      <c r="B33" s="0" t="s">
        <v>47</v>
      </c>
      <c r="C33" s="0" t="s">
        <v>199</v>
      </c>
      <c r="D33" s="0" t="s">
        <v>198</v>
      </c>
      <c r="E33" s="0" t="s">
        <v>42</v>
      </c>
      <c r="F33" s="0" t="n">
        <v>4.69</v>
      </c>
      <c r="G33" s="0" t="s">
        <v>396</v>
      </c>
      <c r="H33" s="0" t="s">
        <v>397</v>
      </c>
      <c r="I33" s="0" t="s">
        <v>398</v>
      </c>
      <c r="J33" s="0" t="s">
        <v>399</v>
      </c>
      <c r="K33" s="0" t="s">
        <v>400</v>
      </c>
      <c r="L33" s="0" t="n">
        <v>-1</v>
      </c>
      <c r="M33" s="0" t="n">
        <v>0</v>
      </c>
      <c r="N33" s="0" t="n">
        <v>4293.5</v>
      </c>
      <c r="O33" s="0" t="n">
        <v>1164.27</v>
      </c>
      <c r="P33" s="0" t="n">
        <v>898.82</v>
      </c>
      <c r="Q33" s="0" t="s">
        <v>23</v>
      </c>
      <c r="R33" s="0" t="s">
        <v>51</v>
      </c>
      <c r="S33" s="0" t="s">
        <v>272</v>
      </c>
    </row>
    <row r="34" customFormat="false" ht="15" hidden="false" customHeight="false" outlineLevel="0" collapsed="false">
      <c r="A34" s="0" t="s">
        <v>401</v>
      </c>
      <c r="B34" s="0" t="s">
        <v>48</v>
      </c>
      <c r="C34" s="0" t="s">
        <v>198</v>
      </c>
      <c r="D34" s="0" t="s">
        <v>213</v>
      </c>
      <c r="E34" s="0" t="s">
        <v>43</v>
      </c>
      <c r="F34" s="0" t="n">
        <v>9.24</v>
      </c>
      <c r="G34" s="0" t="s">
        <v>402</v>
      </c>
      <c r="H34" s="0" t="s">
        <v>403</v>
      </c>
      <c r="I34" s="0" t="s">
        <v>363</v>
      </c>
      <c r="J34" s="0" t="s">
        <v>404</v>
      </c>
      <c r="K34" s="0" t="s">
        <v>405</v>
      </c>
      <c r="L34" s="0" t="n">
        <v>-0.3</v>
      </c>
      <c r="M34" s="0" t="n">
        <v>0</v>
      </c>
      <c r="N34" s="0" t="n">
        <v>5975.42</v>
      </c>
      <c r="O34" s="0" t="n">
        <v>1959.15</v>
      </c>
      <c r="P34" s="0" t="n">
        <v>593.87</v>
      </c>
      <c r="Q34" s="0" t="s">
        <v>22</v>
      </c>
      <c r="R34" s="0" t="s">
        <v>51</v>
      </c>
      <c r="S34" s="0" t="s">
        <v>247</v>
      </c>
    </row>
    <row r="35" customFormat="false" ht="15" hidden="false" customHeight="false" outlineLevel="0" collapsed="false">
      <c r="A35" s="0" t="s">
        <v>406</v>
      </c>
      <c r="B35" s="0" t="s">
        <v>48</v>
      </c>
      <c r="C35" s="0" t="s">
        <v>198</v>
      </c>
      <c r="D35" s="0" t="s">
        <v>199</v>
      </c>
      <c r="E35" s="0" t="s">
        <v>42</v>
      </c>
      <c r="F35" s="0" t="n">
        <v>4.47</v>
      </c>
      <c r="G35" s="0" t="s">
        <v>407</v>
      </c>
      <c r="H35" s="0" t="s">
        <v>408</v>
      </c>
      <c r="I35" s="0" t="s">
        <v>409</v>
      </c>
      <c r="J35" s="0" t="s">
        <v>410</v>
      </c>
      <c r="K35" s="0" t="s">
        <v>411</v>
      </c>
      <c r="L35" s="0" t="n">
        <v>7</v>
      </c>
      <c r="M35" s="0" t="n">
        <v>1</v>
      </c>
      <c r="N35" s="0" t="n">
        <v>3066.5</v>
      </c>
      <c r="O35" s="0" t="n">
        <v>3920.16</v>
      </c>
      <c r="P35" s="0" t="n">
        <v>547.72</v>
      </c>
      <c r="Q35" s="0" t="s">
        <v>25</v>
      </c>
      <c r="R35" s="0" t="s">
        <v>52</v>
      </c>
      <c r="S35" s="0" t="s">
        <v>222</v>
      </c>
    </row>
    <row r="36" customFormat="false" ht="15" hidden="false" customHeight="false" outlineLevel="0" collapsed="false">
      <c r="A36" s="0" t="s">
        <v>412</v>
      </c>
      <c r="B36" s="0" t="s">
        <v>48</v>
      </c>
      <c r="C36" s="0" t="s">
        <v>198</v>
      </c>
      <c r="D36" s="0" t="s">
        <v>212</v>
      </c>
      <c r="E36" s="0" t="s">
        <v>43</v>
      </c>
      <c r="F36" s="0" t="n">
        <v>11.75</v>
      </c>
      <c r="G36" s="0" t="s">
        <v>413</v>
      </c>
      <c r="H36" s="0" t="s">
        <v>414</v>
      </c>
      <c r="I36" s="0" t="s">
        <v>415</v>
      </c>
      <c r="J36" s="0" t="s">
        <v>416</v>
      </c>
      <c r="K36" s="0" t="s">
        <v>417</v>
      </c>
      <c r="L36" s="0" t="n">
        <v>1.3</v>
      </c>
      <c r="M36" s="0" t="n">
        <v>1</v>
      </c>
      <c r="N36" s="0" t="n">
        <v>8244.8</v>
      </c>
      <c r="O36" s="0" t="n">
        <v>2385.22</v>
      </c>
      <c r="P36" s="0" t="n">
        <v>964.67</v>
      </c>
      <c r="Q36" s="0" t="s">
        <v>23</v>
      </c>
      <c r="R36" s="0" t="s">
        <v>51</v>
      </c>
      <c r="S36" s="0" t="s">
        <v>254</v>
      </c>
    </row>
    <row r="37" customFormat="false" ht="15" hidden="false" customHeight="false" outlineLevel="0" collapsed="false">
      <c r="A37" s="0" t="s">
        <v>418</v>
      </c>
      <c r="B37" s="0" t="s">
        <v>47</v>
      </c>
      <c r="C37" s="0" t="s">
        <v>203</v>
      </c>
      <c r="D37" s="0" t="s">
        <v>198</v>
      </c>
      <c r="E37" s="0" t="s">
        <v>44</v>
      </c>
      <c r="F37" s="0" t="n">
        <v>13.35</v>
      </c>
      <c r="G37" s="0" t="s">
        <v>419</v>
      </c>
      <c r="H37" s="0" t="s">
        <v>420</v>
      </c>
      <c r="I37" s="0" t="s">
        <v>237</v>
      </c>
      <c r="J37" s="0" t="s">
        <v>421</v>
      </c>
      <c r="K37" s="0" t="s">
        <v>422</v>
      </c>
      <c r="L37" s="0" t="n">
        <v>7.6</v>
      </c>
      <c r="M37" s="0" t="n">
        <v>1</v>
      </c>
      <c r="N37" s="0" t="n">
        <v>3822.41</v>
      </c>
      <c r="O37" s="0" t="n">
        <v>4733.75</v>
      </c>
      <c r="P37" s="0" t="n">
        <v>1001.04</v>
      </c>
      <c r="Q37" s="0" t="s">
        <v>23</v>
      </c>
      <c r="R37" s="0" t="s">
        <v>51</v>
      </c>
      <c r="S37" s="0" t="s">
        <v>272</v>
      </c>
    </row>
    <row r="38" customFormat="false" ht="15" hidden="false" customHeight="false" outlineLevel="0" collapsed="false">
      <c r="A38" s="0" t="s">
        <v>423</v>
      </c>
      <c r="B38" s="0" t="s">
        <v>47</v>
      </c>
      <c r="C38" s="0" t="s">
        <v>205</v>
      </c>
      <c r="D38" s="0" t="s">
        <v>198</v>
      </c>
      <c r="E38" s="0" t="s">
        <v>43</v>
      </c>
      <c r="F38" s="0" t="n">
        <v>11.25</v>
      </c>
      <c r="G38" s="0" t="s">
        <v>424</v>
      </c>
      <c r="H38" s="0" t="s">
        <v>425</v>
      </c>
      <c r="I38" s="0" t="s">
        <v>426</v>
      </c>
      <c r="J38" s="0" t="s">
        <v>427</v>
      </c>
      <c r="K38" s="0" t="s">
        <v>428</v>
      </c>
      <c r="L38" s="0" t="n">
        <v>2.2</v>
      </c>
      <c r="M38" s="0" t="n">
        <v>1</v>
      </c>
      <c r="N38" s="0" t="n">
        <v>7584.49</v>
      </c>
      <c r="O38" s="0" t="n">
        <v>3293.47</v>
      </c>
      <c r="P38" s="0" t="n">
        <v>628.5</v>
      </c>
      <c r="Q38" s="0" t="s">
        <v>25</v>
      </c>
      <c r="R38" s="0" t="s">
        <v>51</v>
      </c>
      <c r="S38" s="0" t="s">
        <v>222</v>
      </c>
    </row>
    <row r="39" customFormat="false" ht="15" hidden="false" customHeight="false" outlineLevel="0" collapsed="false">
      <c r="A39" s="0" t="s">
        <v>429</v>
      </c>
      <c r="B39" s="0" t="s">
        <v>47</v>
      </c>
      <c r="C39" s="0" t="s">
        <v>209</v>
      </c>
      <c r="D39" s="0" t="s">
        <v>198</v>
      </c>
      <c r="E39" s="0" t="s">
        <v>44</v>
      </c>
      <c r="F39" s="0" t="n">
        <v>16.41</v>
      </c>
      <c r="G39" s="0" t="s">
        <v>294</v>
      </c>
      <c r="H39" s="0" t="s">
        <v>430</v>
      </c>
      <c r="I39" s="0" t="s">
        <v>431</v>
      </c>
      <c r="J39" s="0" t="s">
        <v>432</v>
      </c>
      <c r="K39" s="0" t="s">
        <v>433</v>
      </c>
      <c r="L39" s="0" t="n">
        <v>0.8</v>
      </c>
      <c r="M39" s="0" t="n">
        <v>1</v>
      </c>
      <c r="N39" s="0" t="n">
        <v>7074.95</v>
      </c>
      <c r="O39" s="0" t="n">
        <v>2095.84</v>
      </c>
      <c r="P39" s="0" t="n">
        <v>714.59</v>
      </c>
      <c r="Q39" s="0" t="s">
        <v>25</v>
      </c>
      <c r="R39" s="0" t="s">
        <v>52</v>
      </c>
      <c r="S39" s="0" t="s">
        <v>254</v>
      </c>
    </row>
    <row r="40" customFormat="false" ht="15" hidden="false" customHeight="false" outlineLevel="0" collapsed="false">
      <c r="A40" s="0" t="s">
        <v>434</v>
      </c>
      <c r="B40" s="0" t="s">
        <v>47</v>
      </c>
      <c r="C40" s="0" t="s">
        <v>199</v>
      </c>
      <c r="D40" s="0" t="s">
        <v>198</v>
      </c>
      <c r="E40" s="0" t="s">
        <v>44</v>
      </c>
      <c r="F40" s="0" t="n">
        <v>8.17</v>
      </c>
      <c r="G40" s="0" t="s">
        <v>386</v>
      </c>
      <c r="H40" s="0" t="s">
        <v>419</v>
      </c>
      <c r="I40" s="0" t="s">
        <v>435</v>
      </c>
      <c r="J40" s="0" t="s">
        <v>436</v>
      </c>
      <c r="K40" s="0" t="s">
        <v>437</v>
      </c>
      <c r="L40" s="0" t="n">
        <v>-1</v>
      </c>
      <c r="M40" s="0" t="n">
        <v>0</v>
      </c>
      <c r="N40" s="0" t="n">
        <v>3687.07</v>
      </c>
      <c r="O40" s="0" t="n">
        <v>2127.42</v>
      </c>
      <c r="P40" s="0" t="n">
        <v>618.16</v>
      </c>
      <c r="Q40" s="0" t="s">
        <v>22</v>
      </c>
      <c r="R40" s="0" t="s">
        <v>51</v>
      </c>
      <c r="S40" s="0" t="s">
        <v>272</v>
      </c>
    </row>
    <row r="41" customFormat="false" ht="15" hidden="false" customHeight="false" outlineLevel="0" collapsed="false">
      <c r="A41" s="0" t="s">
        <v>438</v>
      </c>
      <c r="B41" s="0" t="s">
        <v>48</v>
      </c>
      <c r="C41" s="0" t="s">
        <v>198</v>
      </c>
      <c r="D41" s="0" t="s">
        <v>207</v>
      </c>
      <c r="E41" s="0" t="s">
        <v>43</v>
      </c>
      <c r="F41" s="0" t="n">
        <v>14.24</v>
      </c>
      <c r="G41" s="0" t="s">
        <v>269</v>
      </c>
      <c r="H41" s="0" t="s">
        <v>439</v>
      </c>
      <c r="I41" s="0" t="s">
        <v>440</v>
      </c>
      <c r="J41" s="0" t="s">
        <v>441</v>
      </c>
      <c r="K41" s="0" t="s">
        <v>442</v>
      </c>
      <c r="L41" s="0" t="n">
        <v>6.7</v>
      </c>
      <c r="M41" s="0" t="n">
        <v>1</v>
      </c>
      <c r="N41" s="0" t="n">
        <v>7261.72</v>
      </c>
      <c r="O41" s="0" t="n">
        <v>1709.76</v>
      </c>
      <c r="P41" s="0" t="n">
        <v>1250.61</v>
      </c>
      <c r="Q41" s="0" t="s">
        <v>23</v>
      </c>
      <c r="R41" s="0" t="s">
        <v>51</v>
      </c>
      <c r="S41" s="0" t="s">
        <v>222</v>
      </c>
    </row>
    <row r="42" customFormat="false" ht="15" hidden="false" customHeight="false" outlineLevel="0" collapsed="false">
      <c r="A42" s="0" t="s">
        <v>443</v>
      </c>
      <c r="B42" s="0" t="s">
        <v>47</v>
      </c>
      <c r="C42" s="0" t="s">
        <v>203</v>
      </c>
      <c r="D42" s="0" t="s">
        <v>198</v>
      </c>
      <c r="E42" s="0" t="s">
        <v>43</v>
      </c>
      <c r="F42" s="0" t="n">
        <v>16.33</v>
      </c>
      <c r="G42" s="0" t="s">
        <v>225</v>
      </c>
      <c r="H42" s="0" t="s">
        <v>444</v>
      </c>
      <c r="I42" s="0" t="s">
        <v>445</v>
      </c>
      <c r="J42" s="0" t="s">
        <v>446</v>
      </c>
      <c r="K42" s="0" t="s">
        <v>447</v>
      </c>
      <c r="L42" s="0" t="n">
        <v>3.5</v>
      </c>
      <c r="M42" s="0" t="n">
        <v>1</v>
      </c>
      <c r="N42" s="0" t="n">
        <v>12363.94</v>
      </c>
      <c r="O42" s="0" t="n">
        <v>2715.98</v>
      </c>
      <c r="P42" s="0" t="n">
        <v>1250.87</v>
      </c>
      <c r="Q42" s="0" t="s">
        <v>24</v>
      </c>
      <c r="R42" s="0" t="s">
        <v>51</v>
      </c>
      <c r="S42" s="0" t="s">
        <v>222</v>
      </c>
    </row>
    <row r="43" customFormat="false" ht="15" hidden="false" customHeight="false" outlineLevel="0" collapsed="false">
      <c r="A43" s="0" t="s">
        <v>448</v>
      </c>
      <c r="B43" s="0" t="s">
        <v>47</v>
      </c>
      <c r="C43" s="0" t="s">
        <v>203</v>
      </c>
      <c r="D43" s="0" t="s">
        <v>198</v>
      </c>
      <c r="E43" s="0" t="s">
        <v>44</v>
      </c>
      <c r="F43" s="0" t="n">
        <v>15.34</v>
      </c>
      <c r="G43" s="0" t="s">
        <v>449</v>
      </c>
      <c r="H43" s="0" t="s">
        <v>450</v>
      </c>
      <c r="I43" s="0" t="s">
        <v>282</v>
      </c>
      <c r="J43" s="0" t="s">
        <v>451</v>
      </c>
      <c r="K43" s="0" t="s">
        <v>452</v>
      </c>
      <c r="L43" s="0" t="n">
        <v>-1</v>
      </c>
      <c r="M43" s="0" t="n">
        <v>0</v>
      </c>
      <c r="N43" s="0" t="n">
        <v>7906.08</v>
      </c>
      <c r="O43" s="0" t="n">
        <v>2556.81</v>
      </c>
      <c r="P43" s="0" t="n">
        <v>510.84</v>
      </c>
      <c r="Q43" s="0" t="s">
        <v>24</v>
      </c>
      <c r="R43" s="0" t="s">
        <v>52</v>
      </c>
      <c r="S43" s="0" t="s">
        <v>254</v>
      </c>
    </row>
    <row r="44" customFormat="false" ht="15" hidden="false" customHeight="false" outlineLevel="0" collapsed="false">
      <c r="A44" s="0" t="s">
        <v>453</v>
      </c>
      <c r="B44" s="0" t="s">
        <v>48</v>
      </c>
      <c r="C44" s="0" t="s">
        <v>198</v>
      </c>
      <c r="D44" s="0" t="s">
        <v>207</v>
      </c>
      <c r="E44" s="0" t="s">
        <v>42</v>
      </c>
      <c r="F44" s="0" t="n">
        <v>18.2</v>
      </c>
      <c r="G44" s="0" t="s">
        <v>320</v>
      </c>
      <c r="H44" s="0" t="s">
        <v>454</v>
      </c>
      <c r="I44" s="0" t="s">
        <v>450</v>
      </c>
      <c r="J44" s="0" t="s">
        <v>455</v>
      </c>
      <c r="K44" s="0" t="s">
        <v>456</v>
      </c>
      <c r="L44" s="0" t="n">
        <v>7.7</v>
      </c>
      <c r="M44" s="0" t="n">
        <v>1</v>
      </c>
      <c r="N44" s="0" t="n">
        <v>6280.44</v>
      </c>
      <c r="O44" s="0" t="n">
        <v>3214.81</v>
      </c>
      <c r="P44" s="0" t="n">
        <v>712.73</v>
      </c>
      <c r="Q44" s="0" t="s">
        <v>24</v>
      </c>
      <c r="R44" s="0" t="s">
        <v>51</v>
      </c>
      <c r="S44" s="0" t="s">
        <v>222</v>
      </c>
    </row>
    <row r="45" customFormat="false" ht="15" hidden="false" customHeight="false" outlineLevel="0" collapsed="false">
      <c r="A45" s="0" t="s">
        <v>457</v>
      </c>
      <c r="B45" s="0" t="s">
        <v>47</v>
      </c>
      <c r="C45" s="0" t="s">
        <v>199</v>
      </c>
      <c r="D45" s="0" t="s">
        <v>198</v>
      </c>
      <c r="E45" s="0" t="s">
        <v>42</v>
      </c>
      <c r="F45" s="0" t="n">
        <v>18.98</v>
      </c>
      <c r="G45" s="0" t="s">
        <v>364</v>
      </c>
      <c r="H45" s="0" t="s">
        <v>342</v>
      </c>
      <c r="I45" s="0" t="s">
        <v>292</v>
      </c>
      <c r="J45" s="0" t="s">
        <v>458</v>
      </c>
      <c r="K45" s="0" t="s">
        <v>459</v>
      </c>
      <c r="L45" s="0" t="n">
        <v>5.2</v>
      </c>
      <c r="M45" s="0" t="n">
        <v>1</v>
      </c>
      <c r="N45" s="0" t="n">
        <v>15485.59</v>
      </c>
      <c r="O45" s="0" t="n">
        <v>1223.48</v>
      </c>
      <c r="P45" s="0" t="n">
        <v>1237.04</v>
      </c>
      <c r="Q45" s="0" t="s">
        <v>22</v>
      </c>
      <c r="R45" s="0" t="s">
        <v>51</v>
      </c>
      <c r="S45" s="0" t="s">
        <v>247</v>
      </c>
    </row>
    <row r="46" customFormat="false" ht="15" hidden="false" customHeight="false" outlineLevel="0" collapsed="false">
      <c r="A46" s="0" t="s">
        <v>460</v>
      </c>
      <c r="B46" s="0" t="s">
        <v>47</v>
      </c>
      <c r="C46" s="0" t="s">
        <v>206</v>
      </c>
      <c r="D46" s="0" t="s">
        <v>198</v>
      </c>
      <c r="E46" s="0" t="s">
        <v>44</v>
      </c>
      <c r="F46" s="0" t="n">
        <v>11.37</v>
      </c>
      <c r="G46" s="0" t="s">
        <v>426</v>
      </c>
      <c r="H46" s="0" t="s">
        <v>461</v>
      </c>
      <c r="I46" s="0" t="s">
        <v>462</v>
      </c>
      <c r="J46" s="0" t="s">
        <v>463</v>
      </c>
      <c r="K46" s="0" t="s">
        <v>464</v>
      </c>
      <c r="L46" s="0" t="n">
        <v>3.8</v>
      </c>
      <c r="M46" s="0" t="n">
        <v>1</v>
      </c>
      <c r="N46" s="0" t="n">
        <v>6736.82</v>
      </c>
      <c r="O46" s="0" t="n">
        <v>1890.31</v>
      </c>
      <c r="P46" s="0" t="n">
        <v>896.65</v>
      </c>
      <c r="Q46" s="0" t="s">
        <v>22</v>
      </c>
      <c r="R46" s="0" t="s">
        <v>51</v>
      </c>
      <c r="S46" s="0" t="s">
        <v>272</v>
      </c>
    </row>
    <row r="47" customFormat="false" ht="15" hidden="false" customHeight="false" outlineLevel="0" collapsed="false">
      <c r="A47" s="0" t="s">
        <v>465</v>
      </c>
      <c r="B47" s="0" t="s">
        <v>48</v>
      </c>
      <c r="C47" s="0" t="s">
        <v>198</v>
      </c>
      <c r="D47" s="0" t="s">
        <v>208</v>
      </c>
      <c r="E47" s="0" t="s">
        <v>43</v>
      </c>
      <c r="F47" s="0" t="n">
        <v>17.95</v>
      </c>
      <c r="G47" s="0" t="s">
        <v>466</v>
      </c>
      <c r="H47" s="0" t="s">
        <v>467</v>
      </c>
      <c r="I47" s="0" t="s">
        <v>468</v>
      </c>
      <c r="J47" s="0" t="s">
        <v>469</v>
      </c>
      <c r="K47" s="0" t="s">
        <v>470</v>
      </c>
      <c r="L47" s="0" t="n">
        <v>6.1</v>
      </c>
      <c r="M47" s="0" t="n">
        <v>1</v>
      </c>
      <c r="N47" s="0" t="n">
        <v>6998.14</v>
      </c>
      <c r="O47" s="0" t="n">
        <v>4251.2</v>
      </c>
      <c r="P47" s="0" t="n">
        <v>1447.25</v>
      </c>
      <c r="Q47" s="0" t="s">
        <v>23</v>
      </c>
      <c r="R47" s="0" t="s">
        <v>51</v>
      </c>
      <c r="S47" s="0" t="s">
        <v>222</v>
      </c>
    </row>
    <row r="48" customFormat="false" ht="15" hidden="false" customHeight="false" outlineLevel="0" collapsed="false">
      <c r="A48" s="0" t="s">
        <v>471</v>
      </c>
      <c r="B48" s="0" t="s">
        <v>47</v>
      </c>
      <c r="C48" s="0" t="s">
        <v>206</v>
      </c>
      <c r="D48" s="0" t="s">
        <v>198</v>
      </c>
      <c r="E48" s="0" t="s">
        <v>43</v>
      </c>
      <c r="F48" s="0" t="n">
        <v>19.73</v>
      </c>
      <c r="G48" s="0" t="s">
        <v>472</v>
      </c>
      <c r="H48" s="0" t="s">
        <v>363</v>
      </c>
      <c r="I48" s="0" t="s">
        <v>473</v>
      </c>
      <c r="J48" s="0" t="s">
        <v>474</v>
      </c>
      <c r="K48" s="0" t="s">
        <v>475</v>
      </c>
      <c r="L48" s="0" t="n">
        <v>2.9</v>
      </c>
      <c r="M48" s="0" t="n">
        <v>1</v>
      </c>
      <c r="N48" s="0" t="n">
        <v>6618.3</v>
      </c>
      <c r="O48" s="0" t="n">
        <v>2737.81</v>
      </c>
      <c r="P48" s="0" t="n">
        <v>753.68</v>
      </c>
      <c r="Q48" s="0" t="s">
        <v>22</v>
      </c>
      <c r="R48" s="0" t="s">
        <v>51</v>
      </c>
      <c r="S48" s="0" t="s">
        <v>228</v>
      </c>
    </row>
    <row r="49" customFormat="false" ht="15" hidden="false" customHeight="false" outlineLevel="0" collapsed="false">
      <c r="A49" s="0" t="s">
        <v>476</v>
      </c>
      <c r="B49" s="0" t="s">
        <v>47</v>
      </c>
      <c r="C49" s="0" t="s">
        <v>206</v>
      </c>
      <c r="D49" s="0" t="s">
        <v>198</v>
      </c>
      <c r="E49" s="0" t="s">
        <v>42</v>
      </c>
      <c r="F49" s="0" t="n">
        <v>8.7</v>
      </c>
      <c r="G49" s="0" t="s">
        <v>337</v>
      </c>
      <c r="H49" s="0" t="s">
        <v>477</v>
      </c>
      <c r="I49" s="0" t="s">
        <v>478</v>
      </c>
      <c r="J49" s="0" t="s">
        <v>479</v>
      </c>
      <c r="K49" s="0" t="s">
        <v>480</v>
      </c>
      <c r="L49" s="0" t="n">
        <v>6.4</v>
      </c>
      <c r="M49" s="0" t="n">
        <v>1</v>
      </c>
      <c r="N49" s="0" t="n">
        <v>5863.35</v>
      </c>
      <c r="O49" s="0" t="n">
        <v>3333.48</v>
      </c>
      <c r="P49" s="0" t="n">
        <v>1462.17</v>
      </c>
      <c r="Q49" s="0" t="s">
        <v>22</v>
      </c>
      <c r="R49" s="0" t="s">
        <v>52</v>
      </c>
      <c r="S49" s="0" t="s">
        <v>247</v>
      </c>
    </row>
    <row r="50" customFormat="false" ht="15" hidden="false" customHeight="false" outlineLevel="0" collapsed="false">
      <c r="A50" s="0" t="s">
        <v>481</v>
      </c>
      <c r="B50" s="0" t="s">
        <v>47</v>
      </c>
      <c r="C50" s="0" t="s">
        <v>205</v>
      </c>
      <c r="D50" s="0" t="s">
        <v>198</v>
      </c>
      <c r="E50" s="0" t="s">
        <v>43</v>
      </c>
      <c r="F50" s="0" t="n">
        <v>8.12</v>
      </c>
      <c r="G50" s="0" t="s">
        <v>482</v>
      </c>
      <c r="H50" s="0" t="s">
        <v>311</v>
      </c>
      <c r="I50" s="0" t="s">
        <v>483</v>
      </c>
      <c r="J50" s="0" t="s">
        <v>484</v>
      </c>
      <c r="K50" s="0" t="s">
        <v>485</v>
      </c>
      <c r="L50" s="0" t="n">
        <v>2.2</v>
      </c>
      <c r="M50" s="0" t="n">
        <v>1</v>
      </c>
      <c r="N50" s="0" t="n">
        <v>4751.57</v>
      </c>
      <c r="O50" s="0" t="n">
        <v>3781.64</v>
      </c>
      <c r="P50" s="0" t="n">
        <v>575.43</v>
      </c>
      <c r="Q50" s="0" t="s">
        <v>21</v>
      </c>
      <c r="R50" s="0" t="s">
        <v>52</v>
      </c>
      <c r="S50" s="0" t="s">
        <v>222</v>
      </c>
    </row>
    <row r="51" customFormat="false" ht="15" hidden="false" customHeight="false" outlineLevel="0" collapsed="false">
      <c r="A51" s="0" t="s">
        <v>486</v>
      </c>
      <c r="B51" s="0" t="s">
        <v>48</v>
      </c>
      <c r="C51" s="0" t="s">
        <v>198</v>
      </c>
      <c r="D51" s="0" t="s">
        <v>211</v>
      </c>
      <c r="E51" s="0" t="s">
        <v>44</v>
      </c>
      <c r="F51" s="0" t="n">
        <v>4.16</v>
      </c>
      <c r="G51" s="0" t="s">
        <v>304</v>
      </c>
      <c r="H51" s="0" t="s">
        <v>487</v>
      </c>
      <c r="I51" s="0" t="s">
        <v>488</v>
      </c>
      <c r="J51" s="0" t="s">
        <v>489</v>
      </c>
      <c r="K51" s="0" t="s">
        <v>490</v>
      </c>
      <c r="L51" s="0" t="n">
        <v>5</v>
      </c>
      <c r="M51" s="0" t="n">
        <v>1</v>
      </c>
      <c r="N51" s="0" t="n">
        <v>2888.03</v>
      </c>
      <c r="O51" s="0" t="n">
        <v>3948.4</v>
      </c>
      <c r="P51" s="0" t="n">
        <v>1415.25</v>
      </c>
      <c r="Q51" s="0" t="s">
        <v>21</v>
      </c>
      <c r="R51" s="0" t="s">
        <v>51</v>
      </c>
      <c r="S51" s="0" t="s">
        <v>272</v>
      </c>
    </row>
    <row r="52" customFormat="false" ht="15" hidden="false" customHeight="false" outlineLevel="0" collapsed="false">
      <c r="A52" s="0" t="s">
        <v>491</v>
      </c>
      <c r="B52" s="0" t="s">
        <v>47</v>
      </c>
      <c r="C52" s="0" t="s">
        <v>206</v>
      </c>
      <c r="D52" s="0" t="s">
        <v>198</v>
      </c>
      <c r="E52" s="0" t="s">
        <v>43</v>
      </c>
      <c r="F52" s="0" t="n">
        <v>19.22</v>
      </c>
      <c r="G52" s="0" t="s">
        <v>392</v>
      </c>
      <c r="H52" s="0" t="s">
        <v>236</v>
      </c>
      <c r="I52" s="0" t="s">
        <v>492</v>
      </c>
      <c r="J52" s="0" t="s">
        <v>493</v>
      </c>
      <c r="K52" s="0" t="s">
        <v>494</v>
      </c>
      <c r="L52" s="0" t="n">
        <v>-1</v>
      </c>
      <c r="M52" s="0" t="n">
        <v>0</v>
      </c>
      <c r="N52" s="0" t="n">
        <v>7873.62</v>
      </c>
      <c r="O52" s="0" t="n">
        <v>3334.62</v>
      </c>
      <c r="P52" s="0" t="n">
        <v>577.73</v>
      </c>
      <c r="Q52" s="0" t="s">
        <v>23</v>
      </c>
      <c r="R52" s="0" t="s">
        <v>51</v>
      </c>
      <c r="S52" s="0" t="s">
        <v>228</v>
      </c>
    </row>
    <row r="53" customFormat="false" ht="15" hidden="false" customHeight="false" outlineLevel="0" collapsed="false">
      <c r="A53" s="0" t="s">
        <v>495</v>
      </c>
      <c r="B53" s="0" t="s">
        <v>47</v>
      </c>
      <c r="C53" s="0" t="s">
        <v>205</v>
      </c>
      <c r="D53" s="0" t="s">
        <v>198</v>
      </c>
      <c r="E53" s="0" t="s">
        <v>43</v>
      </c>
      <c r="F53" s="0" t="n">
        <v>19.51</v>
      </c>
      <c r="G53" s="0" t="s">
        <v>496</v>
      </c>
      <c r="H53" s="0" t="s">
        <v>257</v>
      </c>
      <c r="I53" s="0" t="s">
        <v>497</v>
      </c>
      <c r="J53" s="0" t="s">
        <v>498</v>
      </c>
      <c r="K53" s="0" t="s">
        <v>499</v>
      </c>
      <c r="L53" s="0" t="n">
        <v>0.5</v>
      </c>
      <c r="M53" s="0" t="n">
        <v>1</v>
      </c>
      <c r="N53" s="0" t="n">
        <v>9195.42</v>
      </c>
      <c r="O53" s="0" t="n">
        <v>3738.92</v>
      </c>
      <c r="P53" s="0" t="n">
        <v>662.62</v>
      </c>
      <c r="Q53" s="0" t="s">
        <v>25</v>
      </c>
      <c r="R53" s="0" t="s">
        <v>52</v>
      </c>
      <c r="S53" s="0" t="s">
        <v>247</v>
      </c>
    </row>
    <row r="54" customFormat="false" ht="15" hidden="false" customHeight="false" outlineLevel="0" collapsed="false">
      <c r="A54" s="0" t="s">
        <v>500</v>
      </c>
      <c r="B54" s="0" t="s">
        <v>47</v>
      </c>
      <c r="C54" s="0" t="s">
        <v>206</v>
      </c>
      <c r="D54" s="0" t="s">
        <v>198</v>
      </c>
      <c r="E54" s="0" t="s">
        <v>42</v>
      </c>
      <c r="F54" s="0" t="n">
        <v>18.31</v>
      </c>
      <c r="G54" s="0" t="s">
        <v>294</v>
      </c>
      <c r="H54" s="0" t="s">
        <v>501</v>
      </c>
      <c r="I54" s="0" t="s">
        <v>502</v>
      </c>
      <c r="J54" s="0" t="s">
        <v>503</v>
      </c>
      <c r="K54" s="0" t="s">
        <v>504</v>
      </c>
      <c r="L54" s="0" t="n">
        <v>-1</v>
      </c>
      <c r="M54" s="0" t="n">
        <v>0</v>
      </c>
      <c r="N54" s="0" t="n">
        <v>11241.37</v>
      </c>
      <c r="O54" s="0" t="n">
        <v>1659.34</v>
      </c>
      <c r="P54" s="0" t="n">
        <v>911.26</v>
      </c>
      <c r="Q54" s="0" t="s">
        <v>21</v>
      </c>
      <c r="R54" s="0" t="s">
        <v>51</v>
      </c>
      <c r="S54" s="0" t="s">
        <v>228</v>
      </c>
    </row>
    <row r="55" customFormat="false" ht="15" hidden="false" customHeight="false" outlineLevel="0" collapsed="false">
      <c r="A55" s="0" t="s">
        <v>505</v>
      </c>
      <c r="B55" s="0" t="s">
        <v>47</v>
      </c>
      <c r="C55" s="0" t="s">
        <v>199</v>
      </c>
      <c r="D55" s="0" t="s">
        <v>198</v>
      </c>
      <c r="E55" s="0" t="s">
        <v>43</v>
      </c>
      <c r="F55" s="0" t="n">
        <v>15.77</v>
      </c>
      <c r="G55" s="0" t="s">
        <v>506</v>
      </c>
      <c r="H55" s="0" t="s">
        <v>358</v>
      </c>
      <c r="I55" s="0" t="s">
        <v>507</v>
      </c>
      <c r="J55" s="0" t="s">
        <v>508</v>
      </c>
      <c r="K55" s="0" t="s">
        <v>509</v>
      </c>
      <c r="L55" s="0" t="n">
        <v>7.5</v>
      </c>
      <c r="M55" s="0" t="n">
        <v>1</v>
      </c>
      <c r="N55" s="0" t="n">
        <v>8278.49</v>
      </c>
      <c r="O55" s="0" t="n">
        <v>4316.66</v>
      </c>
      <c r="P55" s="0" t="n">
        <v>1069.08</v>
      </c>
      <c r="Q55" s="0" t="s">
        <v>21</v>
      </c>
      <c r="R55" s="0" t="s">
        <v>51</v>
      </c>
      <c r="S55" s="0" t="s">
        <v>272</v>
      </c>
    </row>
    <row r="56" customFormat="false" ht="15" hidden="false" customHeight="false" outlineLevel="0" collapsed="false">
      <c r="A56" s="0" t="s">
        <v>510</v>
      </c>
      <c r="B56" s="0" t="s">
        <v>48</v>
      </c>
      <c r="C56" s="0" t="s">
        <v>198</v>
      </c>
      <c r="D56" s="0" t="s">
        <v>214</v>
      </c>
      <c r="E56" s="0" t="s">
        <v>44</v>
      </c>
      <c r="F56" s="0" t="n">
        <v>2.21</v>
      </c>
      <c r="G56" s="0" t="s">
        <v>386</v>
      </c>
      <c r="H56" s="0" t="s">
        <v>511</v>
      </c>
      <c r="I56" s="0" t="s">
        <v>420</v>
      </c>
      <c r="J56" s="0" t="s">
        <v>512</v>
      </c>
      <c r="K56" s="0" t="s">
        <v>513</v>
      </c>
      <c r="L56" s="0" t="n">
        <v>2</v>
      </c>
      <c r="M56" s="0" t="n">
        <v>1</v>
      </c>
      <c r="N56" s="0" t="n">
        <v>2558.06</v>
      </c>
      <c r="O56" s="0" t="n">
        <v>2511.4</v>
      </c>
      <c r="P56" s="0" t="n">
        <v>741.08</v>
      </c>
      <c r="Q56" s="0" t="s">
        <v>21</v>
      </c>
      <c r="R56" s="0" t="s">
        <v>51</v>
      </c>
      <c r="S56" s="0" t="s">
        <v>247</v>
      </c>
    </row>
    <row r="57" customFormat="false" ht="15" hidden="false" customHeight="false" outlineLevel="0" collapsed="false">
      <c r="A57" s="0" t="s">
        <v>514</v>
      </c>
      <c r="B57" s="0" t="s">
        <v>47</v>
      </c>
      <c r="C57" s="0" t="s">
        <v>205</v>
      </c>
      <c r="D57" s="0" t="s">
        <v>198</v>
      </c>
      <c r="E57" s="0" t="s">
        <v>42</v>
      </c>
      <c r="F57" s="0" t="n">
        <v>4.9</v>
      </c>
      <c r="G57" s="0" t="s">
        <v>515</v>
      </c>
      <c r="H57" s="0" t="s">
        <v>516</v>
      </c>
      <c r="I57" s="0" t="s">
        <v>517</v>
      </c>
      <c r="J57" s="0" t="s">
        <v>518</v>
      </c>
      <c r="K57" s="0" t="s">
        <v>519</v>
      </c>
      <c r="L57" s="0" t="n">
        <v>2.1</v>
      </c>
      <c r="M57" s="0" t="n">
        <v>1</v>
      </c>
      <c r="N57" s="0" t="n">
        <v>4350.08</v>
      </c>
      <c r="O57" s="0" t="n">
        <v>1187.59</v>
      </c>
      <c r="P57" s="0" t="n">
        <v>768.67</v>
      </c>
      <c r="Q57" s="0" t="s">
        <v>24</v>
      </c>
      <c r="R57" s="0" t="s">
        <v>52</v>
      </c>
      <c r="S57" s="0" t="s">
        <v>272</v>
      </c>
    </row>
    <row r="58" customFormat="false" ht="15" hidden="false" customHeight="false" outlineLevel="0" collapsed="false">
      <c r="A58" s="0" t="s">
        <v>520</v>
      </c>
      <c r="B58" s="0" t="s">
        <v>47</v>
      </c>
      <c r="C58" s="0" t="s">
        <v>203</v>
      </c>
      <c r="D58" s="0" t="s">
        <v>198</v>
      </c>
      <c r="E58" s="0" t="s">
        <v>44</v>
      </c>
      <c r="F58" s="0" t="n">
        <v>1.42</v>
      </c>
      <c r="G58" s="0" t="s">
        <v>521</v>
      </c>
      <c r="H58" s="0" t="s">
        <v>522</v>
      </c>
      <c r="I58" s="0" t="s">
        <v>523</v>
      </c>
      <c r="J58" s="0" t="s">
        <v>524</v>
      </c>
      <c r="K58" s="0" t="s">
        <v>525</v>
      </c>
      <c r="L58" s="0" t="n">
        <v>5.5</v>
      </c>
      <c r="M58" s="0" t="n">
        <v>1</v>
      </c>
      <c r="N58" s="0" t="n">
        <v>1462.07</v>
      </c>
      <c r="O58" s="0" t="n">
        <v>4167.27</v>
      </c>
      <c r="P58" s="0" t="n">
        <v>1089.96</v>
      </c>
      <c r="Q58" s="0" t="s">
        <v>23</v>
      </c>
      <c r="R58" s="0" t="s">
        <v>51</v>
      </c>
      <c r="S58" s="0" t="s">
        <v>247</v>
      </c>
    </row>
    <row r="59" customFormat="false" ht="15" hidden="false" customHeight="false" outlineLevel="0" collapsed="false">
      <c r="A59" s="0" t="s">
        <v>526</v>
      </c>
      <c r="B59" s="0" t="s">
        <v>48</v>
      </c>
      <c r="C59" s="0" t="s">
        <v>198</v>
      </c>
      <c r="D59" s="0" t="s">
        <v>211</v>
      </c>
      <c r="E59" s="0" t="s">
        <v>43</v>
      </c>
      <c r="F59" s="0" t="n">
        <v>10.12</v>
      </c>
      <c r="G59" s="0" t="s">
        <v>397</v>
      </c>
      <c r="H59" s="0" t="s">
        <v>527</v>
      </c>
      <c r="I59" s="0" t="s">
        <v>528</v>
      </c>
      <c r="J59" s="0" t="s">
        <v>529</v>
      </c>
      <c r="K59" s="0" t="s">
        <v>530</v>
      </c>
      <c r="L59" s="0" t="n">
        <v>2.2</v>
      </c>
      <c r="M59" s="0" t="n">
        <v>1</v>
      </c>
      <c r="N59" s="0" t="n">
        <v>3286.84</v>
      </c>
      <c r="O59" s="0" t="n">
        <v>1058.18</v>
      </c>
      <c r="P59" s="0" t="n">
        <v>850.59</v>
      </c>
      <c r="Q59" s="0" t="s">
        <v>24</v>
      </c>
      <c r="R59" s="0" t="s">
        <v>52</v>
      </c>
      <c r="S59" s="0" t="s">
        <v>228</v>
      </c>
    </row>
    <row r="60" customFormat="false" ht="15" hidden="false" customHeight="false" outlineLevel="0" collapsed="false">
      <c r="A60" s="0" t="s">
        <v>531</v>
      </c>
      <c r="B60" s="0" t="s">
        <v>47</v>
      </c>
      <c r="C60" s="0" t="s">
        <v>199</v>
      </c>
      <c r="D60" s="0" t="s">
        <v>198</v>
      </c>
      <c r="E60" s="0" t="s">
        <v>42</v>
      </c>
      <c r="F60" s="0" t="n">
        <v>12.21</v>
      </c>
      <c r="G60" s="0" t="s">
        <v>532</v>
      </c>
      <c r="H60" s="0" t="s">
        <v>533</v>
      </c>
      <c r="I60" s="0" t="s">
        <v>534</v>
      </c>
      <c r="J60" s="0" t="s">
        <v>535</v>
      </c>
      <c r="K60" s="0" t="s">
        <v>536</v>
      </c>
      <c r="L60" s="0" t="n">
        <v>2.6</v>
      </c>
      <c r="M60" s="0" t="n">
        <v>1</v>
      </c>
      <c r="N60" s="0" t="n">
        <v>6835.15</v>
      </c>
      <c r="O60" s="0" t="n">
        <v>3094.41</v>
      </c>
      <c r="P60" s="0" t="n">
        <v>1197.64</v>
      </c>
      <c r="Q60" s="0" t="s">
        <v>25</v>
      </c>
      <c r="R60" s="0" t="s">
        <v>51</v>
      </c>
      <c r="S60" s="0" t="s">
        <v>247</v>
      </c>
    </row>
    <row r="61" customFormat="false" ht="15" hidden="false" customHeight="false" outlineLevel="0" collapsed="false">
      <c r="A61" s="0" t="s">
        <v>537</v>
      </c>
      <c r="B61" s="0" t="s">
        <v>47</v>
      </c>
      <c r="C61" s="0" t="s">
        <v>209</v>
      </c>
      <c r="D61" s="0" t="s">
        <v>198</v>
      </c>
      <c r="E61" s="0" t="s">
        <v>44</v>
      </c>
      <c r="F61" s="0" t="n">
        <v>16.13</v>
      </c>
      <c r="G61" s="0" t="s">
        <v>316</v>
      </c>
      <c r="H61" s="0" t="s">
        <v>274</v>
      </c>
      <c r="I61" s="0" t="s">
        <v>348</v>
      </c>
      <c r="J61" s="0" t="s">
        <v>538</v>
      </c>
      <c r="K61" s="0" t="s">
        <v>539</v>
      </c>
      <c r="L61" s="0" t="n">
        <v>-1</v>
      </c>
      <c r="M61" s="0" t="n">
        <v>0</v>
      </c>
      <c r="N61" s="0" t="n">
        <v>3783.17</v>
      </c>
      <c r="O61" s="0" t="n">
        <v>3483.22</v>
      </c>
      <c r="P61" s="0" t="n">
        <v>847.41</v>
      </c>
      <c r="Q61" s="0" t="s">
        <v>25</v>
      </c>
      <c r="R61" s="0" t="s">
        <v>51</v>
      </c>
      <c r="S61" s="0" t="s">
        <v>247</v>
      </c>
    </row>
    <row r="62" customFormat="false" ht="15" hidden="false" customHeight="false" outlineLevel="0" collapsed="false">
      <c r="A62" s="0" t="s">
        <v>540</v>
      </c>
      <c r="B62" s="0" t="s">
        <v>47</v>
      </c>
      <c r="C62" s="0" t="s">
        <v>199</v>
      </c>
      <c r="D62" s="0" t="s">
        <v>198</v>
      </c>
      <c r="E62" s="0" t="s">
        <v>44</v>
      </c>
      <c r="F62" s="0" t="n">
        <v>4.97</v>
      </c>
      <c r="G62" s="0" t="s">
        <v>338</v>
      </c>
      <c r="H62" s="0" t="s">
        <v>541</v>
      </c>
      <c r="I62" s="0" t="s">
        <v>542</v>
      </c>
      <c r="J62" s="0" t="s">
        <v>543</v>
      </c>
      <c r="K62" s="0" t="s">
        <v>544</v>
      </c>
      <c r="L62" s="0" t="n">
        <v>9</v>
      </c>
      <c r="M62" s="0" t="n">
        <v>1</v>
      </c>
      <c r="N62" s="0" t="n">
        <v>2748.18</v>
      </c>
      <c r="O62" s="0" t="n">
        <v>1727.52</v>
      </c>
      <c r="P62" s="0" t="n">
        <v>845.67</v>
      </c>
      <c r="Q62" s="0" t="s">
        <v>25</v>
      </c>
      <c r="R62" s="0" t="s">
        <v>51</v>
      </c>
      <c r="S62" s="0" t="s">
        <v>272</v>
      </c>
    </row>
    <row r="63" customFormat="false" ht="15" hidden="false" customHeight="false" outlineLevel="0" collapsed="false">
      <c r="A63" s="0" t="s">
        <v>545</v>
      </c>
      <c r="B63" s="0" t="s">
        <v>47</v>
      </c>
      <c r="C63" s="0" t="s">
        <v>206</v>
      </c>
      <c r="D63" s="0" t="s">
        <v>198</v>
      </c>
      <c r="E63" s="0" t="s">
        <v>44</v>
      </c>
      <c r="F63" s="0" t="n">
        <v>18.04</v>
      </c>
      <c r="G63" s="0" t="s">
        <v>275</v>
      </c>
      <c r="H63" s="0" t="s">
        <v>546</v>
      </c>
      <c r="I63" s="0" t="s">
        <v>358</v>
      </c>
      <c r="J63" s="0" t="s">
        <v>547</v>
      </c>
      <c r="K63" s="0" t="s">
        <v>548</v>
      </c>
      <c r="L63" s="0" t="n">
        <v>-1</v>
      </c>
      <c r="M63" s="0" t="n">
        <v>0</v>
      </c>
      <c r="N63" s="0" t="n">
        <v>4680.53</v>
      </c>
      <c r="O63" s="0" t="n">
        <v>1675.74</v>
      </c>
      <c r="P63" s="0" t="n">
        <v>778.59</v>
      </c>
      <c r="Q63" s="0" t="s">
        <v>22</v>
      </c>
      <c r="R63" s="0" t="s">
        <v>51</v>
      </c>
      <c r="S63" s="0" t="s">
        <v>222</v>
      </c>
    </row>
    <row r="64" customFormat="false" ht="15" hidden="false" customHeight="false" outlineLevel="0" collapsed="false">
      <c r="A64" s="0" t="s">
        <v>549</v>
      </c>
      <c r="B64" s="0" t="s">
        <v>48</v>
      </c>
      <c r="C64" s="0" t="s">
        <v>198</v>
      </c>
      <c r="D64" s="0" t="s">
        <v>214</v>
      </c>
      <c r="E64" s="0" t="s">
        <v>44</v>
      </c>
      <c r="F64" s="0" t="n">
        <v>4.36</v>
      </c>
      <c r="G64" s="0" t="s">
        <v>550</v>
      </c>
      <c r="H64" s="0" t="s">
        <v>320</v>
      </c>
      <c r="I64" s="0" t="s">
        <v>454</v>
      </c>
      <c r="J64" s="0" t="s">
        <v>551</v>
      </c>
      <c r="K64" s="0" t="s">
        <v>552</v>
      </c>
      <c r="L64" s="0" t="n">
        <v>4.4</v>
      </c>
      <c r="M64" s="0" t="n">
        <v>1</v>
      </c>
      <c r="N64" s="0" t="n">
        <v>3247.29</v>
      </c>
      <c r="O64" s="0" t="n">
        <v>1157.25</v>
      </c>
      <c r="P64" s="0" t="n">
        <v>1299.41</v>
      </c>
      <c r="Q64" s="0" t="s">
        <v>23</v>
      </c>
      <c r="R64" s="0" t="s">
        <v>51</v>
      </c>
      <c r="S64" s="0" t="s">
        <v>247</v>
      </c>
    </row>
    <row r="65" customFormat="false" ht="15" hidden="false" customHeight="false" outlineLevel="0" collapsed="false">
      <c r="A65" s="0" t="s">
        <v>553</v>
      </c>
      <c r="B65" s="0" t="s">
        <v>48</v>
      </c>
      <c r="C65" s="0" t="s">
        <v>198</v>
      </c>
      <c r="D65" s="0" t="s">
        <v>212</v>
      </c>
      <c r="E65" s="0" t="s">
        <v>42</v>
      </c>
      <c r="F65" s="0" t="n">
        <v>12.93</v>
      </c>
      <c r="G65" s="0" t="s">
        <v>492</v>
      </c>
      <c r="H65" s="0" t="s">
        <v>238</v>
      </c>
      <c r="I65" s="0" t="s">
        <v>450</v>
      </c>
      <c r="J65" s="0" t="s">
        <v>554</v>
      </c>
      <c r="K65" s="0" t="s">
        <v>555</v>
      </c>
      <c r="L65" s="0" t="n">
        <v>1.1</v>
      </c>
      <c r="M65" s="0" t="n">
        <v>1</v>
      </c>
      <c r="N65" s="0" t="n">
        <v>6357.84</v>
      </c>
      <c r="O65" s="0" t="n">
        <v>3993.04</v>
      </c>
      <c r="P65" s="0" t="n">
        <v>684.52</v>
      </c>
      <c r="Q65" s="0" t="s">
        <v>25</v>
      </c>
      <c r="R65" s="0" t="s">
        <v>52</v>
      </c>
      <c r="S65" s="0" t="s">
        <v>222</v>
      </c>
    </row>
    <row r="66" customFormat="false" ht="15" hidden="false" customHeight="false" outlineLevel="0" collapsed="false">
      <c r="A66" s="0" t="s">
        <v>556</v>
      </c>
      <c r="B66" s="0" t="s">
        <v>48</v>
      </c>
      <c r="C66" s="0" t="s">
        <v>198</v>
      </c>
      <c r="D66" s="0" t="s">
        <v>208</v>
      </c>
      <c r="E66" s="0" t="s">
        <v>44</v>
      </c>
      <c r="F66" s="0" t="n">
        <v>4.98</v>
      </c>
      <c r="G66" s="0" t="s">
        <v>557</v>
      </c>
      <c r="H66" s="0" t="s">
        <v>558</v>
      </c>
      <c r="I66" s="0" t="s">
        <v>559</v>
      </c>
      <c r="J66" s="0" t="s">
        <v>560</v>
      </c>
      <c r="K66" s="0" t="s">
        <v>561</v>
      </c>
      <c r="L66" s="0" t="n">
        <v>2.6</v>
      </c>
      <c r="M66" s="0" t="n">
        <v>1</v>
      </c>
      <c r="N66" s="0" t="n">
        <v>2570.11</v>
      </c>
      <c r="O66" s="0" t="n">
        <v>2009.75</v>
      </c>
      <c r="P66" s="0" t="n">
        <v>1213.35</v>
      </c>
      <c r="Q66" s="0" t="s">
        <v>23</v>
      </c>
      <c r="R66" s="0" t="s">
        <v>52</v>
      </c>
      <c r="S66" s="0" t="s">
        <v>222</v>
      </c>
    </row>
    <row r="67" customFormat="false" ht="15" hidden="false" customHeight="false" outlineLevel="0" collapsed="false">
      <c r="A67" s="0" t="s">
        <v>562</v>
      </c>
      <c r="B67" s="0" t="s">
        <v>47</v>
      </c>
      <c r="C67" s="0" t="s">
        <v>203</v>
      </c>
      <c r="D67" s="0" t="s">
        <v>198</v>
      </c>
      <c r="E67" s="0" t="s">
        <v>44</v>
      </c>
      <c r="F67" s="0" t="n">
        <v>18.01</v>
      </c>
      <c r="G67" s="0" t="s">
        <v>325</v>
      </c>
      <c r="H67" s="0" t="s">
        <v>563</v>
      </c>
      <c r="I67" s="0" t="s">
        <v>352</v>
      </c>
      <c r="J67" s="0" t="s">
        <v>564</v>
      </c>
      <c r="K67" s="0" t="s">
        <v>565</v>
      </c>
      <c r="L67" s="0" t="n">
        <v>6.8</v>
      </c>
      <c r="M67" s="0" t="n">
        <v>1</v>
      </c>
      <c r="N67" s="0" t="n">
        <v>8232.54</v>
      </c>
      <c r="O67" s="0" t="n">
        <v>1969.88</v>
      </c>
      <c r="P67" s="0" t="n">
        <v>769.24</v>
      </c>
      <c r="Q67" s="0" t="s">
        <v>21</v>
      </c>
      <c r="R67" s="0" t="s">
        <v>51</v>
      </c>
      <c r="S67" s="0" t="s">
        <v>222</v>
      </c>
    </row>
    <row r="68" customFormat="false" ht="15" hidden="false" customHeight="false" outlineLevel="0" collapsed="false">
      <c r="A68" s="0" t="s">
        <v>566</v>
      </c>
      <c r="B68" s="0" t="s">
        <v>47</v>
      </c>
      <c r="C68" s="0" t="s">
        <v>209</v>
      </c>
      <c r="D68" s="0" t="s">
        <v>198</v>
      </c>
      <c r="E68" s="0" t="s">
        <v>44</v>
      </c>
      <c r="F68" s="0" t="n">
        <v>8.17</v>
      </c>
      <c r="G68" s="0" t="s">
        <v>262</v>
      </c>
      <c r="H68" s="0" t="s">
        <v>263</v>
      </c>
      <c r="I68" s="0" t="s">
        <v>386</v>
      </c>
      <c r="J68" s="0" t="s">
        <v>567</v>
      </c>
      <c r="K68" s="0" t="s">
        <v>568</v>
      </c>
      <c r="L68" s="0" t="n">
        <v>-1</v>
      </c>
      <c r="M68" s="0" t="n">
        <v>0</v>
      </c>
      <c r="N68" s="0" t="n">
        <v>5214.86</v>
      </c>
      <c r="O68" s="0" t="n">
        <v>4156.68</v>
      </c>
      <c r="P68" s="0" t="n">
        <v>998.44</v>
      </c>
      <c r="Q68" s="0" t="s">
        <v>21</v>
      </c>
      <c r="R68" s="0" t="s">
        <v>52</v>
      </c>
      <c r="S68" s="0" t="s">
        <v>272</v>
      </c>
    </row>
    <row r="69" customFormat="false" ht="15" hidden="false" customHeight="false" outlineLevel="0" collapsed="false">
      <c r="A69" s="0" t="s">
        <v>569</v>
      </c>
      <c r="B69" s="0" t="s">
        <v>48</v>
      </c>
      <c r="C69" s="0" t="s">
        <v>198</v>
      </c>
      <c r="D69" s="0" t="s">
        <v>211</v>
      </c>
      <c r="E69" s="0" t="s">
        <v>44</v>
      </c>
      <c r="F69" s="0" t="n">
        <v>2.65</v>
      </c>
      <c r="G69" s="0" t="s">
        <v>570</v>
      </c>
      <c r="H69" s="0" t="s">
        <v>571</v>
      </c>
      <c r="I69" s="0" t="s">
        <v>572</v>
      </c>
      <c r="J69" s="0" t="s">
        <v>573</v>
      </c>
      <c r="K69" s="0" t="s">
        <v>574</v>
      </c>
      <c r="L69" s="0" t="n">
        <v>2.6</v>
      </c>
      <c r="M69" s="0" t="n">
        <v>1</v>
      </c>
      <c r="N69" s="0" t="n">
        <v>1629.21</v>
      </c>
      <c r="O69" s="0" t="n">
        <v>2452.33</v>
      </c>
      <c r="P69" s="0" t="n">
        <v>1145.92</v>
      </c>
      <c r="Q69" s="0" t="s">
        <v>22</v>
      </c>
      <c r="R69" s="0" t="s">
        <v>52</v>
      </c>
      <c r="S69" s="0" t="s">
        <v>228</v>
      </c>
    </row>
    <row r="70" customFormat="false" ht="15" hidden="false" customHeight="false" outlineLevel="0" collapsed="false">
      <c r="A70" s="0" t="s">
        <v>575</v>
      </c>
      <c r="B70" s="0" t="s">
        <v>47</v>
      </c>
      <c r="C70" s="0" t="s">
        <v>199</v>
      </c>
      <c r="D70" s="0" t="s">
        <v>198</v>
      </c>
      <c r="E70" s="0" t="s">
        <v>43</v>
      </c>
      <c r="F70" s="0" t="n">
        <v>11.84</v>
      </c>
      <c r="G70" s="0" t="s">
        <v>576</v>
      </c>
      <c r="H70" s="0" t="s">
        <v>577</v>
      </c>
      <c r="I70" s="0" t="s">
        <v>559</v>
      </c>
      <c r="J70" s="0" t="s">
        <v>578</v>
      </c>
      <c r="K70" s="0" t="s">
        <v>579</v>
      </c>
      <c r="L70" s="0" t="n">
        <v>0.1</v>
      </c>
      <c r="M70" s="0" t="n">
        <v>1</v>
      </c>
      <c r="N70" s="0" t="n">
        <v>5505.21</v>
      </c>
      <c r="O70" s="0" t="n">
        <v>4223.46</v>
      </c>
      <c r="P70" s="0" t="n">
        <v>555.65</v>
      </c>
      <c r="Q70" s="0" t="s">
        <v>21</v>
      </c>
      <c r="R70" s="0" t="s">
        <v>51</v>
      </c>
      <c r="S70" s="0" t="s">
        <v>228</v>
      </c>
    </row>
    <row r="71" customFormat="false" ht="15" hidden="false" customHeight="false" outlineLevel="0" collapsed="false">
      <c r="A71" s="0" t="s">
        <v>580</v>
      </c>
      <c r="B71" s="0" t="s">
        <v>48</v>
      </c>
      <c r="C71" s="0" t="s">
        <v>198</v>
      </c>
      <c r="D71" s="0" t="s">
        <v>211</v>
      </c>
      <c r="E71" s="0" t="s">
        <v>43</v>
      </c>
      <c r="F71" s="0" t="n">
        <v>17</v>
      </c>
      <c r="G71" s="0" t="s">
        <v>387</v>
      </c>
      <c r="H71" s="0" t="s">
        <v>435</v>
      </c>
      <c r="I71" s="0" t="s">
        <v>581</v>
      </c>
      <c r="J71" s="0" t="s">
        <v>582</v>
      </c>
      <c r="K71" s="0" t="s">
        <v>583</v>
      </c>
      <c r="L71" s="0" t="n">
        <v>-1</v>
      </c>
      <c r="M71" s="0" t="n">
        <v>0</v>
      </c>
      <c r="N71" s="0" t="n">
        <v>13542.48</v>
      </c>
      <c r="O71" s="0" t="n">
        <v>3303.99</v>
      </c>
      <c r="P71" s="0" t="n">
        <v>1417.4</v>
      </c>
      <c r="Q71" s="0" t="s">
        <v>23</v>
      </c>
      <c r="R71" s="0" t="s">
        <v>52</v>
      </c>
      <c r="S71" s="0" t="s">
        <v>247</v>
      </c>
    </row>
    <row r="72" customFormat="false" ht="15" hidden="false" customHeight="false" outlineLevel="0" collapsed="false">
      <c r="A72" s="0" t="s">
        <v>584</v>
      </c>
      <c r="B72" s="0" t="s">
        <v>48</v>
      </c>
      <c r="C72" s="0" t="s">
        <v>198</v>
      </c>
      <c r="D72" s="0" t="s">
        <v>213</v>
      </c>
      <c r="E72" s="0" t="s">
        <v>44</v>
      </c>
      <c r="F72" s="0" t="n">
        <v>1.1</v>
      </c>
      <c r="G72" s="0" t="s">
        <v>256</v>
      </c>
      <c r="H72" s="0" t="s">
        <v>219</v>
      </c>
      <c r="I72" s="0" t="s">
        <v>257</v>
      </c>
      <c r="J72" s="0" t="s">
        <v>585</v>
      </c>
      <c r="K72" s="0" t="s">
        <v>586</v>
      </c>
      <c r="L72" s="0" t="n">
        <v>3.7</v>
      </c>
      <c r="M72" s="0" t="n">
        <v>1</v>
      </c>
      <c r="N72" s="0" t="n">
        <v>1402.98</v>
      </c>
      <c r="O72" s="0" t="n">
        <v>4077.97</v>
      </c>
      <c r="P72" s="0" t="n">
        <v>687.04</v>
      </c>
      <c r="Q72" s="0" t="s">
        <v>22</v>
      </c>
      <c r="R72" s="0" t="s">
        <v>51</v>
      </c>
      <c r="S72" s="0" t="s">
        <v>254</v>
      </c>
    </row>
    <row r="73" customFormat="false" ht="15" hidden="false" customHeight="false" outlineLevel="0" collapsed="false">
      <c r="A73" s="0" t="s">
        <v>587</v>
      </c>
      <c r="B73" s="0" t="s">
        <v>48</v>
      </c>
      <c r="C73" s="0" t="s">
        <v>198</v>
      </c>
      <c r="D73" s="0" t="s">
        <v>199</v>
      </c>
      <c r="E73" s="0" t="s">
        <v>44</v>
      </c>
      <c r="F73" s="0" t="n">
        <v>7.15</v>
      </c>
      <c r="G73" s="0" t="s">
        <v>588</v>
      </c>
      <c r="H73" s="0" t="s">
        <v>527</v>
      </c>
      <c r="I73" s="0" t="s">
        <v>589</v>
      </c>
      <c r="J73" s="0" t="s">
        <v>590</v>
      </c>
      <c r="K73" s="0" t="s">
        <v>591</v>
      </c>
      <c r="L73" s="0" t="n">
        <v>4.5</v>
      </c>
      <c r="M73" s="0" t="n">
        <v>1</v>
      </c>
      <c r="N73" s="0" t="n">
        <v>3285.01</v>
      </c>
      <c r="O73" s="0" t="n">
        <v>2154.52</v>
      </c>
      <c r="P73" s="0" t="n">
        <v>1081.24</v>
      </c>
      <c r="Q73" s="0" t="s">
        <v>23</v>
      </c>
      <c r="R73" s="0" t="s">
        <v>52</v>
      </c>
      <c r="S73" s="0" t="s">
        <v>272</v>
      </c>
    </row>
    <row r="74" customFormat="false" ht="15" hidden="false" customHeight="false" outlineLevel="0" collapsed="false">
      <c r="A74" s="0" t="s">
        <v>592</v>
      </c>
      <c r="B74" s="0" t="s">
        <v>47</v>
      </c>
      <c r="C74" s="0" t="s">
        <v>206</v>
      </c>
      <c r="D74" s="0" t="s">
        <v>198</v>
      </c>
      <c r="E74" s="0" t="s">
        <v>42</v>
      </c>
      <c r="F74" s="0" t="n">
        <v>3.93</v>
      </c>
      <c r="G74" s="0" t="s">
        <v>506</v>
      </c>
      <c r="H74" s="0" t="s">
        <v>357</v>
      </c>
      <c r="I74" s="0" t="s">
        <v>521</v>
      </c>
      <c r="J74" s="0" t="s">
        <v>593</v>
      </c>
      <c r="K74" s="0" t="s">
        <v>594</v>
      </c>
      <c r="L74" s="0" t="n">
        <v>-0.2</v>
      </c>
      <c r="M74" s="0" t="n">
        <v>0</v>
      </c>
      <c r="N74" s="0" t="n">
        <v>2778</v>
      </c>
      <c r="O74" s="0" t="n">
        <v>2289.42</v>
      </c>
      <c r="P74" s="0" t="n">
        <v>1309.87</v>
      </c>
      <c r="Q74" s="0" t="s">
        <v>25</v>
      </c>
      <c r="R74" s="0" t="s">
        <v>52</v>
      </c>
      <c r="S74" s="0" t="s">
        <v>254</v>
      </c>
    </row>
    <row r="75" customFormat="false" ht="15" hidden="false" customHeight="false" outlineLevel="0" collapsed="false">
      <c r="A75" s="0" t="s">
        <v>595</v>
      </c>
      <c r="B75" s="0" t="s">
        <v>47</v>
      </c>
      <c r="C75" s="0" t="s">
        <v>205</v>
      </c>
      <c r="D75" s="0" t="s">
        <v>198</v>
      </c>
      <c r="E75" s="0" t="s">
        <v>42</v>
      </c>
      <c r="F75" s="0" t="n">
        <v>5.84</v>
      </c>
      <c r="G75" s="0" t="s">
        <v>596</v>
      </c>
      <c r="H75" s="0" t="s">
        <v>425</v>
      </c>
      <c r="I75" s="0" t="s">
        <v>597</v>
      </c>
      <c r="J75" s="0" t="s">
        <v>598</v>
      </c>
      <c r="K75" s="0" t="s">
        <v>599</v>
      </c>
      <c r="L75" s="0" t="n">
        <v>-1</v>
      </c>
      <c r="M75" s="0" t="n">
        <v>0</v>
      </c>
      <c r="N75" s="0" t="n">
        <v>3258.56</v>
      </c>
      <c r="O75" s="0" t="n">
        <v>2395.47</v>
      </c>
      <c r="P75" s="0" t="n">
        <v>1429.53</v>
      </c>
      <c r="Q75" s="0" t="s">
        <v>21</v>
      </c>
      <c r="R75" s="0" t="s">
        <v>51</v>
      </c>
      <c r="S75" s="0" t="s">
        <v>247</v>
      </c>
    </row>
    <row r="76" customFormat="false" ht="15" hidden="false" customHeight="false" outlineLevel="0" collapsed="false">
      <c r="A76" s="0" t="s">
        <v>600</v>
      </c>
      <c r="B76" s="0" t="s">
        <v>47</v>
      </c>
      <c r="C76" s="0" t="s">
        <v>203</v>
      </c>
      <c r="D76" s="0" t="s">
        <v>198</v>
      </c>
      <c r="E76" s="0" t="s">
        <v>44</v>
      </c>
      <c r="F76" s="0" t="n">
        <v>16.78</v>
      </c>
      <c r="G76" s="0" t="s">
        <v>409</v>
      </c>
      <c r="H76" s="0" t="s">
        <v>224</v>
      </c>
      <c r="I76" s="0" t="s">
        <v>219</v>
      </c>
      <c r="J76" s="0" t="s">
        <v>601</v>
      </c>
      <c r="K76" s="0" t="s">
        <v>602</v>
      </c>
      <c r="L76" s="0" t="n">
        <v>2.3</v>
      </c>
      <c r="M76" s="0" t="n">
        <v>1</v>
      </c>
      <c r="N76" s="0" t="n">
        <v>6193.93</v>
      </c>
      <c r="O76" s="0" t="n">
        <v>4311.76</v>
      </c>
      <c r="P76" s="0" t="n">
        <v>1250.5</v>
      </c>
      <c r="Q76" s="0" t="s">
        <v>24</v>
      </c>
      <c r="R76" s="0" t="s">
        <v>52</v>
      </c>
      <c r="S76" s="0" t="s">
        <v>228</v>
      </c>
    </row>
    <row r="77" customFormat="false" ht="15" hidden="false" customHeight="false" outlineLevel="0" collapsed="false">
      <c r="A77" s="0" t="s">
        <v>603</v>
      </c>
      <c r="B77" s="0" t="s">
        <v>47</v>
      </c>
      <c r="C77" s="0" t="s">
        <v>203</v>
      </c>
      <c r="D77" s="0" t="s">
        <v>198</v>
      </c>
      <c r="E77" s="0" t="s">
        <v>42</v>
      </c>
      <c r="F77" s="0" t="n">
        <v>16.19</v>
      </c>
      <c r="G77" s="0" t="s">
        <v>604</v>
      </c>
      <c r="H77" s="0" t="s">
        <v>605</v>
      </c>
      <c r="I77" s="0" t="s">
        <v>249</v>
      </c>
      <c r="J77" s="0" t="s">
        <v>606</v>
      </c>
      <c r="K77" s="0" t="s">
        <v>607</v>
      </c>
      <c r="L77" s="0" t="n">
        <v>1.5</v>
      </c>
      <c r="M77" s="0" t="n">
        <v>1</v>
      </c>
      <c r="N77" s="0" t="n">
        <v>10502.4</v>
      </c>
      <c r="O77" s="0" t="n">
        <v>2264.79</v>
      </c>
      <c r="P77" s="0" t="n">
        <v>1088.31</v>
      </c>
      <c r="Q77" s="0" t="s">
        <v>24</v>
      </c>
      <c r="R77" s="0" t="s">
        <v>51</v>
      </c>
      <c r="S77" s="0" t="s">
        <v>228</v>
      </c>
    </row>
    <row r="78" customFormat="false" ht="15" hidden="false" customHeight="false" outlineLevel="0" collapsed="false">
      <c r="A78" s="0" t="s">
        <v>608</v>
      </c>
      <c r="B78" s="0" t="s">
        <v>47</v>
      </c>
      <c r="C78" s="0" t="s">
        <v>203</v>
      </c>
      <c r="D78" s="0" t="s">
        <v>198</v>
      </c>
      <c r="E78" s="0" t="s">
        <v>42</v>
      </c>
      <c r="F78" s="0" t="n">
        <v>13.98</v>
      </c>
      <c r="G78" s="0" t="s">
        <v>609</v>
      </c>
      <c r="H78" s="0" t="s">
        <v>347</v>
      </c>
      <c r="I78" s="0" t="s">
        <v>275</v>
      </c>
      <c r="J78" s="0" t="s">
        <v>610</v>
      </c>
      <c r="K78" s="0" t="s">
        <v>611</v>
      </c>
      <c r="L78" s="0" t="n">
        <v>4.1</v>
      </c>
      <c r="M78" s="0" t="n">
        <v>1</v>
      </c>
      <c r="N78" s="0" t="n">
        <v>5683.28</v>
      </c>
      <c r="O78" s="0" t="n">
        <v>4598.3</v>
      </c>
      <c r="P78" s="0" t="n">
        <v>883.89</v>
      </c>
      <c r="Q78" s="0" t="s">
        <v>23</v>
      </c>
      <c r="R78" s="0" t="s">
        <v>52</v>
      </c>
      <c r="S78" s="0" t="s">
        <v>247</v>
      </c>
    </row>
    <row r="79" customFormat="false" ht="15" hidden="false" customHeight="false" outlineLevel="0" collapsed="false">
      <c r="A79" s="0" t="s">
        <v>612</v>
      </c>
      <c r="B79" s="0" t="s">
        <v>47</v>
      </c>
      <c r="C79" s="0" t="s">
        <v>206</v>
      </c>
      <c r="D79" s="0" t="s">
        <v>198</v>
      </c>
      <c r="E79" s="0" t="s">
        <v>42</v>
      </c>
      <c r="F79" s="0" t="n">
        <v>11.33</v>
      </c>
      <c r="G79" s="0" t="s">
        <v>613</v>
      </c>
      <c r="H79" s="0" t="s">
        <v>614</v>
      </c>
      <c r="I79" s="0" t="s">
        <v>615</v>
      </c>
      <c r="J79" s="0" t="s">
        <v>616</v>
      </c>
      <c r="K79" s="0" t="s">
        <v>617</v>
      </c>
      <c r="L79" s="0" t="n">
        <v>8.6</v>
      </c>
      <c r="M79" s="0" t="n">
        <v>1</v>
      </c>
      <c r="N79" s="0" t="n">
        <v>8007.1</v>
      </c>
      <c r="O79" s="0" t="n">
        <v>2339.62</v>
      </c>
      <c r="P79" s="0" t="n">
        <v>639.27</v>
      </c>
      <c r="Q79" s="0" t="s">
        <v>21</v>
      </c>
      <c r="R79" s="0" t="s">
        <v>52</v>
      </c>
      <c r="S79" s="0" t="s">
        <v>254</v>
      </c>
    </row>
    <row r="80" customFormat="false" ht="15" hidden="false" customHeight="false" outlineLevel="0" collapsed="false">
      <c r="A80" s="0" t="s">
        <v>618</v>
      </c>
      <c r="B80" s="0" t="s">
        <v>47</v>
      </c>
      <c r="C80" s="0" t="s">
        <v>209</v>
      </c>
      <c r="D80" s="0" t="s">
        <v>198</v>
      </c>
      <c r="E80" s="0" t="s">
        <v>42</v>
      </c>
      <c r="F80" s="0" t="n">
        <v>16.09</v>
      </c>
      <c r="G80" s="0" t="s">
        <v>619</v>
      </c>
      <c r="H80" s="0" t="s">
        <v>232</v>
      </c>
      <c r="I80" s="0" t="s">
        <v>620</v>
      </c>
      <c r="J80" s="0" t="s">
        <v>621</v>
      </c>
      <c r="K80" s="0" t="s">
        <v>622</v>
      </c>
      <c r="L80" s="0" t="n">
        <v>0.5</v>
      </c>
      <c r="M80" s="0" t="n">
        <v>1</v>
      </c>
      <c r="N80" s="0" t="n">
        <v>10263.15</v>
      </c>
      <c r="O80" s="0" t="n">
        <v>1572.51</v>
      </c>
      <c r="P80" s="0" t="n">
        <v>704.54</v>
      </c>
      <c r="Q80" s="0" t="s">
        <v>24</v>
      </c>
      <c r="R80" s="0" t="s">
        <v>51</v>
      </c>
      <c r="S80" s="0" t="s">
        <v>272</v>
      </c>
    </row>
    <row r="81" customFormat="false" ht="15" hidden="false" customHeight="false" outlineLevel="0" collapsed="false">
      <c r="A81" s="0" t="s">
        <v>623</v>
      </c>
      <c r="B81" s="0" t="s">
        <v>47</v>
      </c>
      <c r="C81" s="0" t="s">
        <v>206</v>
      </c>
      <c r="D81" s="0" t="s">
        <v>198</v>
      </c>
      <c r="E81" s="0" t="s">
        <v>44</v>
      </c>
      <c r="F81" s="0" t="n">
        <v>14.57</v>
      </c>
      <c r="G81" s="0" t="s">
        <v>358</v>
      </c>
      <c r="H81" s="0" t="s">
        <v>507</v>
      </c>
      <c r="I81" s="0" t="s">
        <v>624</v>
      </c>
      <c r="J81" s="0" t="s">
        <v>625</v>
      </c>
      <c r="K81" s="0" t="s">
        <v>626</v>
      </c>
      <c r="L81" s="0" t="n">
        <v>3.2</v>
      </c>
      <c r="M81" s="0" t="n">
        <v>1</v>
      </c>
      <c r="N81" s="0" t="n">
        <v>6237.65</v>
      </c>
      <c r="O81" s="0" t="n">
        <v>3415.83</v>
      </c>
      <c r="P81" s="0" t="n">
        <v>1002.29</v>
      </c>
      <c r="Q81" s="0" t="s">
        <v>23</v>
      </c>
      <c r="R81" s="0" t="s">
        <v>51</v>
      </c>
      <c r="S81" s="0" t="s">
        <v>247</v>
      </c>
    </row>
    <row r="82" customFormat="false" ht="15" hidden="false" customHeight="false" outlineLevel="0" collapsed="false">
      <c r="A82" s="0" t="s">
        <v>627</v>
      </c>
      <c r="B82" s="0" t="s">
        <v>47</v>
      </c>
      <c r="C82" s="0" t="s">
        <v>209</v>
      </c>
      <c r="D82" s="0" t="s">
        <v>198</v>
      </c>
      <c r="E82" s="0" t="s">
        <v>43</v>
      </c>
      <c r="F82" s="0" t="n">
        <v>11.26</v>
      </c>
      <c r="G82" s="0" t="s">
        <v>546</v>
      </c>
      <c r="H82" s="0" t="s">
        <v>357</v>
      </c>
      <c r="I82" s="0" t="s">
        <v>325</v>
      </c>
      <c r="J82" s="0" t="s">
        <v>628</v>
      </c>
      <c r="K82" s="0" t="s">
        <v>629</v>
      </c>
      <c r="L82" s="0" t="n">
        <v>4.6</v>
      </c>
      <c r="M82" s="0" t="n">
        <v>1</v>
      </c>
      <c r="N82" s="0" t="n">
        <v>6717.82</v>
      </c>
      <c r="O82" s="0" t="n">
        <v>3396.12</v>
      </c>
      <c r="P82" s="0" t="n">
        <v>1326.8</v>
      </c>
      <c r="Q82" s="0" t="s">
        <v>23</v>
      </c>
      <c r="R82" s="0" t="s">
        <v>51</v>
      </c>
      <c r="S82" s="0" t="s">
        <v>222</v>
      </c>
    </row>
    <row r="83" customFormat="false" ht="15" hidden="false" customHeight="false" outlineLevel="0" collapsed="false">
      <c r="A83" s="0" t="s">
        <v>630</v>
      </c>
      <c r="B83" s="0" t="s">
        <v>48</v>
      </c>
      <c r="C83" s="0" t="s">
        <v>198</v>
      </c>
      <c r="D83" s="0" t="s">
        <v>208</v>
      </c>
      <c r="E83" s="0" t="s">
        <v>44</v>
      </c>
      <c r="F83" s="0" t="n">
        <v>19.22</v>
      </c>
      <c r="G83" s="0" t="s">
        <v>631</v>
      </c>
      <c r="H83" s="0" t="s">
        <v>632</v>
      </c>
      <c r="I83" s="0" t="s">
        <v>576</v>
      </c>
      <c r="J83" s="0" t="s">
        <v>633</v>
      </c>
      <c r="K83" s="0" t="s">
        <v>634</v>
      </c>
      <c r="L83" s="0" t="n">
        <v>6.1</v>
      </c>
      <c r="M83" s="0" t="n">
        <v>1</v>
      </c>
      <c r="N83" s="0" t="n">
        <v>12067.03</v>
      </c>
      <c r="O83" s="0" t="n">
        <v>1556.46</v>
      </c>
      <c r="P83" s="0" t="n">
        <v>600.79</v>
      </c>
      <c r="Q83" s="0" t="s">
        <v>24</v>
      </c>
      <c r="R83" s="0" t="s">
        <v>51</v>
      </c>
      <c r="S83" s="0" t="s">
        <v>254</v>
      </c>
    </row>
    <row r="84" customFormat="false" ht="15" hidden="false" customHeight="false" outlineLevel="0" collapsed="false">
      <c r="A84" s="0" t="s">
        <v>635</v>
      </c>
      <c r="B84" s="0" t="s">
        <v>47</v>
      </c>
      <c r="C84" s="0" t="s">
        <v>209</v>
      </c>
      <c r="D84" s="0" t="s">
        <v>198</v>
      </c>
      <c r="E84" s="0" t="s">
        <v>43</v>
      </c>
      <c r="F84" s="0" t="n">
        <v>5.86</v>
      </c>
      <c r="G84" s="0" t="s">
        <v>462</v>
      </c>
      <c r="H84" s="0" t="s">
        <v>636</v>
      </c>
      <c r="I84" s="0" t="s">
        <v>403</v>
      </c>
      <c r="J84" s="0" t="s">
        <v>637</v>
      </c>
      <c r="K84" s="0" t="s">
        <v>638</v>
      </c>
      <c r="L84" s="0" t="n">
        <v>7.3</v>
      </c>
      <c r="M84" s="0" t="n">
        <v>1</v>
      </c>
      <c r="N84" s="0" t="n">
        <v>2778.77</v>
      </c>
      <c r="O84" s="0" t="n">
        <v>4084.99</v>
      </c>
      <c r="P84" s="0" t="n">
        <v>874.44</v>
      </c>
      <c r="Q84" s="0" t="s">
        <v>23</v>
      </c>
      <c r="R84" s="0" t="s">
        <v>51</v>
      </c>
      <c r="S84" s="0" t="s">
        <v>254</v>
      </c>
    </row>
    <row r="85" customFormat="false" ht="15" hidden="false" customHeight="false" outlineLevel="0" collapsed="false">
      <c r="A85" s="0" t="s">
        <v>639</v>
      </c>
      <c r="B85" s="0" t="s">
        <v>47</v>
      </c>
      <c r="C85" s="0" t="s">
        <v>206</v>
      </c>
      <c r="D85" s="0" t="s">
        <v>198</v>
      </c>
      <c r="E85" s="0" t="s">
        <v>44</v>
      </c>
      <c r="F85" s="0" t="n">
        <v>2.31</v>
      </c>
      <c r="G85" s="0" t="s">
        <v>237</v>
      </c>
      <c r="H85" s="0" t="s">
        <v>492</v>
      </c>
      <c r="I85" s="0" t="s">
        <v>550</v>
      </c>
      <c r="J85" s="0" t="s">
        <v>640</v>
      </c>
      <c r="K85" s="0" t="s">
        <v>641</v>
      </c>
      <c r="L85" s="0" t="n">
        <v>3.8</v>
      </c>
      <c r="M85" s="0" t="n">
        <v>1</v>
      </c>
      <c r="N85" s="0" t="n">
        <v>1854.42</v>
      </c>
      <c r="O85" s="0" t="n">
        <v>1943.62</v>
      </c>
      <c r="P85" s="0" t="n">
        <v>665.52</v>
      </c>
      <c r="Q85" s="0" t="s">
        <v>23</v>
      </c>
      <c r="R85" s="0" t="s">
        <v>51</v>
      </c>
      <c r="S85" s="0" t="s">
        <v>272</v>
      </c>
    </row>
    <row r="86" customFormat="false" ht="15" hidden="false" customHeight="false" outlineLevel="0" collapsed="false">
      <c r="A86" s="0" t="s">
        <v>642</v>
      </c>
      <c r="B86" s="0" t="s">
        <v>47</v>
      </c>
      <c r="C86" s="0" t="s">
        <v>203</v>
      </c>
      <c r="D86" s="0" t="s">
        <v>198</v>
      </c>
      <c r="E86" s="0" t="s">
        <v>42</v>
      </c>
      <c r="F86" s="0" t="n">
        <v>4.54</v>
      </c>
      <c r="G86" s="0" t="s">
        <v>431</v>
      </c>
      <c r="H86" s="0" t="s">
        <v>643</v>
      </c>
      <c r="I86" s="0" t="s">
        <v>251</v>
      </c>
      <c r="J86" s="0" t="s">
        <v>644</v>
      </c>
      <c r="K86" s="0" t="s">
        <v>645</v>
      </c>
      <c r="L86" s="0" t="n">
        <v>-1</v>
      </c>
      <c r="M86" s="0" t="n">
        <v>0</v>
      </c>
      <c r="N86" s="0" t="n">
        <v>2757.78</v>
      </c>
      <c r="O86" s="0" t="n">
        <v>4151.16</v>
      </c>
      <c r="P86" s="0" t="n">
        <v>1103.72</v>
      </c>
      <c r="Q86" s="0" t="s">
        <v>22</v>
      </c>
      <c r="R86" s="0" t="s">
        <v>52</v>
      </c>
      <c r="S86" s="0" t="s">
        <v>254</v>
      </c>
    </row>
    <row r="87" customFormat="false" ht="15" hidden="false" customHeight="false" outlineLevel="0" collapsed="false">
      <c r="A87" s="0" t="s">
        <v>646</v>
      </c>
      <c r="B87" s="0" t="s">
        <v>48</v>
      </c>
      <c r="C87" s="0" t="s">
        <v>198</v>
      </c>
      <c r="D87" s="0" t="s">
        <v>207</v>
      </c>
      <c r="E87" s="0" t="s">
        <v>44</v>
      </c>
      <c r="F87" s="0" t="n">
        <v>3.17</v>
      </c>
      <c r="G87" s="0" t="s">
        <v>647</v>
      </c>
      <c r="H87" s="0" t="s">
        <v>648</v>
      </c>
      <c r="I87" s="0" t="s">
        <v>398</v>
      </c>
      <c r="J87" s="0" t="s">
        <v>649</v>
      </c>
      <c r="K87" s="0" t="s">
        <v>650</v>
      </c>
      <c r="L87" s="0" t="n">
        <v>6.6</v>
      </c>
      <c r="M87" s="0" t="n">
        <v>1</v>
      </c>
      <c r="N87" s="0" t="n">
        <v>2585.05</v>
      </c>
      <c r="O87" s="0" t="n">
        <v>2808.87</v>
      </c>
      <c r="P87" s="0" t="n">
        <v>724.6</v>
      </c>
      <c r="Q87" s="0" t="s">
        <v>22</v>
      </c>
      <c r="R87" s="0" t="s">
        <v>52</v>
      </c>
      <c r="S87" s="0" t="s">
        <v>222</v>
      </c>
    </row>
    <row r="88" customFormat="false" ht="15" hidden="false" customHeight="false" outlineLevel="0" collapsed="false">
      <c r="A88" s="0" t="s">
        <v>651</v>
      </c>
      <c r="B88" s="0" t="s">
        <v>48</v>
      </c>
      <c r="C88" s="0" t="s">
        <v>198</v>
      </c>
      <c r="D88" s="0" t="s">
        <v>204</v>
      </c>
      <c r="E88" s="0" t="s">
        <v>44</v>
      </c>
      <c r="F88" s="0" t="n">
        <v>9.6</v>
      </c>
      <c r="G88" s="0" t="s">
        <v>244</v>
      </c>
      <c r="H88" s="0" t="s">
        <v>466</v>
      </c>
      <c r="I88" s="0" t="s">
        <v>414</v>
      </c>
      <c r="J88" s="0" t="s">
        <v>652</v>
      </c>
      <c r="K88" s="0" t="s">
        <v>653</v>
      </c>
      <c r="L88" s="0" t="n">
        <v>4.4</v>
      </c>
      <c r="M88" s="0" t="n">
        <v>1</v>
      </c>
      <c r="N88" s="0" t="n">
        <v>5138.43</v>
      </c>
      <c r="O88" s="0" t="n">
        <v>1880.39</v>
      </c>
      <c r="P88" s="0" t="n">
        <v>712.68</v>
      </c>
      <c r="Q88" s="0" t="s">
        <v>21</v>
      </c>
      <c r="R88" s="0" t="s">
        <v>51</v>
      </c>
      <c r="S88" s="0" t="s">
        <v>247</v>
      </c>
    </row>
    <row r="89" customFormat="false" ht="15" hidden="false" customHeight="false" outlineLevel="0" collapsed="false">
      <c r="A89" s="0" t="s">
        <v>654</v>
      </c>
      <c r="B89" s="0" t="s">
        <v>48</v>
      </c>
      <c r="C89" s="0" t="s">
        <v>198</v>
      </c>
      <c r="D89" s="0" t="s">
        <v>207</v>
      </c>
      <c r="E89" s="0" t="s">
        <v>44</v>
      </c>
      <c r="F89" s="0" t="n">
        <v>10.79</v>
      </c>
      <c r="G89" s="0" t="s">
        <v>256</v>
      </c>
      <c r="H89" s="0" t="s">
        <v>219</v>
      </c>
      <c r="I89" s="0" t="s">
        <v>444</v>
      </c>
      <c r="J89" s="0" t="s">
        <v>655</v>
      </c>
      <c r="K89" s="0" t="s">
        <v>499</v>
      </c>
      <c r="L89" s="0" t="n">
        <v>1.5</v>
      </c>
      <c r="M89" s="0" t="n">
        <v>1</v>
      </c>
      <c r="N89" s="0" t="n">
        <v>6981.36</v>
      </c>
      <c r="O89" s="0" t="n">
        <v>1737.85</v>
      </c>
      <c r="P89" s="0" t="n">
        <v>799.6</v>
      </c>
      <c r="Q89" s="0" t="s">
        <v>25</v>
      </c>
      <c r="R89" s="0" t="s">
        <v>52</v>
      </c>
      <c r="S89" s="0" t="s">
        <v>254</v>
      </c>
    </row>
    <row r="90" customFormat="false" ht="15" hidden="false" customHeight="false" outlineLevel="0" collapsed="false">
      <c r="A90" s="0" t="s">
        <v>656</v>
      </c>
      <c r="B90" s="0" t="s">
        <v>47</v>
      </c>
      <c r="C90" s="0" t="s">
        <v>205</v>
      </c>
      <c r="D90" s="0" t="s">
        <v>198</v>
      </c>
      <c r="E90" s="0" t="s">
        <v>43</v>
      </c>
      <c r="F90" s="0" t="n">
        <v>6.89</v>
      </c>
      <c r="G90" s="0" t="s">
        <v>533</v>
      </c>
      <c r="H90" s="0" t="s">
        <v>657</v>
      </c>
      <c r="I90" s="0" t="s">
        <v>658</v>
      </c>
      <c r="J90" s="0" t="s">
        <v>659</v>
      </c>
      <c r="K90" s="0" t="s">
        <v>660</v>
      </c>
      <c r="L90" s="0" t="n">
        <v>0.7</v>
      </c>
      <c r="M90" s="0" t="n">
        <v>1</v>
      </c>
      <c r="N90" s="0" t="n">
        <v>2773.61</v>
      </c>
      <c r="O90" s="0" t="n">
        <v>3259.36</v>
      </c>
      <c r="P90" s="0" t="n">
        <v>565.71</v>
      </c>
      <c r="Q90" s="0" t="s">
        <v>21</v>
      </c>
      <c r="R90" s="0" t="s">
        <v>52</v>
      </c>
      <c r="S90" s="0" t="s">
        <v>247</v>
      </c>
    </row>
    <row r="91" customFormat="false" ht="15" hidden="false" customHeight="false" outlineLevel="0" collapsed="false">
      <c r="A91" s="0" t="s">
        <v>661</v>
      </c>
      <c r="B91" s="0" t="s">
        <v>48</v>
      </c>
      <c r="C91" s="0" t="s">
        <v>198</v>
      </c>
      <c r="D91" s="0" t="s">
        <v>208</v>
      </c>
      <c r="E91" s="0" t="s">
        <v>43</v>
      </c>
      <c r="F91" s="0" t="n">
        <v>15.74</v>
      </c>
      <c r="G91" s="0" t="s">
        <v>609</v>
      </c>
      <c r="H91" s="0" t="s">
        <v>347</v>
      </c>
      <c r="I91" s="0" t="s">
        <v>348</v>
      </c>
      <c r="J91" s="0" t="s">
        <v>662</v>
      </c>
      <c r="K91" s="0" t="s">
        <v>539</v>
      </c>
      <c r="L91" s="0" t="n">
        <v>-1</v>
      </c>
      <c r="M91" s="0" t="n">
        <v>0</v>
      </c>
      <c r="N91" s="0" t="n">
        <v>7198.64</v>
      </c>
      <c r="O91" s="0" t="n">
        <v>1620.96</v>
      </c>
      <c r="P91" s="0" t="n">
        <v>681.93</v>
      </c>
      <c r="Q91" s="0" t="s">
        <v>25</v>
      </c>
      <c r="R91" s="0" t="s">
        <v>51</v>
      </c>
      <c r="S91" s="0" t="s">
        <v>254</v>
      </c>
    </row>
    <row r="92" customFormat="false" ht="15" hidden="false" customHeight="false" outlineLevel="0" collapsed="false">
      <c r="A92" s="0" t="s">
        <v>663</v>
      </c>
      <c r="B92" s="0" t="s">
        <v>48</v>
      </c>
      <c r="C92" s="0" t="s">
        <v>198</v>
      </c>
      <c r="D92" s="0" t="s">
        <v>199</v>
      </c>
      <c r="E92" s="0" t="s">
        <v>43</v>
      </c>
      <c r="F92" s="0" t="n">
        <v>17.37</v>
      </c>
      <c r="G92" s="0" t="s">
        <v>408</v>
      </c>
      <c r="H92" s="0" t="s">
        <v>217</v>
      </c>
      <c r="I92" s="0" t="s">
        <v>218</v>
      </c>
      <c r="J92" s="0" t="s">
        <v>664</v>
      </c>
      <c r="K92" s="0" t="s">
        <v>665</v>
      </c>
      <c r="L92" s="0" t="n">
        <v>2.2</v>
      </c>
      <c r="M92" s="0" t="n">
        <v>1</v>
      </c>
      <c r="N92" s="0" t="n">
        <v>4188.53</v>
      </c>
      <c r="O92" s="0" t="n">
        <v>3863.89</v>
      </c>
      <c r="P92" s="0" t="n">
        <v>1158.92</v>
      </c>
      <c r="Q92" s="0" t="s">
        <v>24</v>
      </c>
      <c r="R92" s="0" t="s">
        <v>52</v>
      </c>
      <c r="S92" s="0" t="s">
        <v>247</v>
      </c>
    </row>
    <row r="93" customFormat="false" ht="15" hidden="false" customHeight="false" outlineLevel="0" collapsed="false">
      <c r="A93" s="0" t="s">
        <v>666</v>
      </c>
      <c r="B93" s="0" t="s">
        <v>47</v>
      </c>
      <c r="C93" s="0" t="s">
        <v>203</v>
      </c>
      <c r="D93" s="0" t="s">
        <v>198</v>
      </c>
      <c r="E93" s="0" t="s">
        <v>43</v>
      </c>
      <c r="F93" s="0" t="n">
        <v>1.51</v>
      </c>
      <c r="G93" s="0" t="s">
        <v>667</v>
      </c>
      <c r="H93" s="0" t="s">
        <v>487</v>
      </c>
      <c r="I93" s="0" t="s">
        <v>668</v>
      </c>
      <c r="J93" s="0" t="s">
        <v>669</v>
      </c>
      <c r="K93" s="0" t="s">
        <v>670</v>
      </c>
      <c r="L93" s="0" t="n">
        <v>4.9</v>
      </c>
      <c r="M93" s="0" t="n">
        <v>1</v>
      </c>
      <c r="N93" s="0" t="n">
        <v>1144.28</v>
      </c>
      <c r="O93" s="0" t="n">
        <v>4199.66</v>
      </c>
      <c r="P93" s="0" t="n">
        <v>678.54</v>
      </c>
      <c r="Q93" s="0" t="s">
        <v>25</v>
      </c>
      <c r="R93" s="0" t="s">
        <v>52</v>
      </c>
      <c r="S93" s="0" t="s">
        <v>254</v>
      </c>
    </row>
    <row r="94" customFormat="false" ht="15" hidden="false" customHeight="false" outlineLevel="0" collapsed="false">
      <c r="A94" s="0" t="s">
        <v>671</v>
      </c>
      <c r="B94" s="0" t="s">
        <v>48</v>
      </c>
      <c r="C94" s="0" t="s">
        <v>198</v>
      </c>
      <c r="D94" s="0" t="s">
        <v>201</v>
      </c>
      <c r="E94" s="0" t="s">
        <v>42</v>
      </c>
      <c r="F94" s="0" t="n">
        <v>13.4</v>
      </c>
      <c r="G94" s="0" t="s">
        <v>668</v>
      </c>
      <c r="H94" s="0" t="s">
        <v>672</v>
      </c>
      <c r="I94" s="0" t="s">
        <v>673</v>
      </c>
      <c r="J94" s="0" t="s">
        <v>674</v>
      </c>
      <c r="K94" s="0" t="s">
        <v>675</v>
      </c>
      <c r="L94" s="0" t="n">
        <v>1.2</v>
      </c>
      <c r="M94" s="0" t="n">
        <v>1</v>
      </c>
      <c r="N94" s="0" t="n">
        <v>5892.9</v>
      </c>
      <c r="O94" s="0" t="n">
        <v>1342.03</v>
      </c>
      <c r="P94" s="0" t="n">
        <v>707.89</v>
      </c>
      <c r="Q94" s="0" t="s">
        <v>24</v>
      </c>
      <c r="R94" s="0" t="s">
        <v>52</v>
      </c>
      <c r="S94" s="0" t="s">
        <v>272</v>
      </c>
    </row>
    <row r="95" customFormat="false" ht="15" hidden="false" customHeight="false" outlineLevel="0" collapsed="false">
      <c r="A95" s="0" t="s">
        <v>676</v>
      </c>
      <c r="B95" s="0" t="s">
        <v>48</v>
      </c>
      <c r="C95" s="0" t="s">
        <v>198</v>
      </c>
      <c r="D95" s="0" t="s">
        <v>211</v>
      </c>
      <c r="E95" s="0" t="s">
        <v>44</v>
      </c>
      <c r="F95" s="0" t="n">
        <v>1.5</v>
      </c>
      <c r="G95" s="0" t="s">
        <v>415</v>
      </c>
      <c r="H95" s="0" t="s">
        <v>368</v>
      </c>
      <c r="I95" s="0" t="s">
        <v>677</v>
      </c>
      <c r="J95" s="0" t="s">
        <v>678</v>
      </c>
      <c r="K95" s="0" t="s">
        <v>679</v>
      </c>
      <c r="L95" s="0" t="n">
        <v>-1</v>
      </c>
      <c r="M95" s="0" t="n">
        <v>0</v>
      </c>
      <c r="N95" s="0" t="n">
        <v>2335.09</v>
      </c>
      <c r="O95" s="0" t="n">
        <v>2367.27</v>
      </c>
      <c r="P95" s="0" t="n">
        <v>759.42</v>
      </c>
      <c r="Q95" s="0" t="s">
        <v>24</v>
      </c>
      <c r="R95" s="0" t="s">
        <v>51</v>
      </c>
      <c r="S95" s="0" t="s">
        <v>254</v>
      </c>
    </row>
    <row r="96" customFormat="false" ht="15" hidden="false" customHeight="false" outlineLevel="0" collapsed="false">
      <c r="A96" s="0" t="s">
        <v>680</v>
      </c>
      <c r="B96" s="0" t="s">
        <v>47</v>
      </c>
      <c r="C96" s="0" t="s">
        <v>203</v>
      </c>
      <c r="D96" s="0" t="s">
        <v>198</v>
      </c>
      <c r="E96" s="0" t="s">
        <v>44</v>
      </c>
      <c r="F96" s="0" t="n">
        <v>8.21</v>
      </c>
      <c r="G96" s="0" t="s">
        <v>542</v>
      </c>
      <c r="H96" s="0" t="s">
        <v>681</v>
      </c>
      <c r="I96" s="0" t="s">
        <v>268</v>
      </c>
      <c r="J96" s="0" t="s">
        <v>682</v>
      </c>
      <c r="K96" s="0" t="s">
        <v>683</v>
      </c>
      <c r="L96" s="0" t="n">
        <v>5.6</v>
      </c>
      <c r="M96" s="0" t="n">
        <v>1</v>
      </c>
      <c r="N96" s="0" t="n">
        <v>3738.95</v>
      </c>
      <c r="O96" s="0" t="n">
        <v>4793.81</v>
      </c>
      <c r="P96" s="0" t="n">
        <v>1263.61</v>
      </c>
      <c r="Q96" s="0" t="s">
        <v>23</v>
      </c>
      <c r="R96" s="0" t="s">
        <v>52</v>
      </c>
      <c r="S96" s="0" t="s">
        <v>247</v>
      </c>
    </row>
    <row r="97" customFormat="false" ht="15" hidden="false" customHeight="false" outlineLevel="0" collapsed="false">
      <c r="A97" s="0" t="s">
        <v>684</v>
      </c>
      <c r="B97" s="0" t="s">
        <v>48</v>
      </c>
      <c r="C97" s="0" t="s">
        <v>198</v>
      </c>
      <c r="D97" s="0" t="s">
        <v>212</v>
      </c>
      <c r="E97" s="0" t="s">
        <v>42</v>
      </c>
      <c r="F97" s="0" t="n">
        <v>3.66</v>
      </c>
      <c r="G97" s="0" t="s">
        <v>685</v>
      </c>
      <c r="H97" s="0" t="s">
        <v>686</v>
      </c>
      <c r="I97" s="0" t="s">
        <v>687</v>
      </c>
      <c r="J97" s="0" t="s">
        <v>688</v>
      </c>
      <c r="K97" s="0" t="s">
        <v>689</v>
      </c>
      <c r="L97" s="0" t="n">
        <v>0</v>
      </c>
      <c r="M97" s="0" t="n">
        <v>0</v>
      </c>
      <c r="N97" s="0" t="n">
        <v>1735.72</v>
      </c>
      <c r="O97" s="0" t="n">
        <v>3166.54</v>
      </c>
      <c r="P97" s="0" t="n">
        <v>1133.48</v>
      </c>
      <c r="Q97" s="0" t="s">
        <v>25</v>
      </c>
      <c r="R97" s="0" t="s">
        <v>52</v>
      </c>
      <c r="S97" s="0" t="s">
        <v>222</v>
      </c>
    </row>
    <row r="98" customFormat="false" ht="15" hidden="false" customHeight="false" outlineLevel="0" collapsed="false">
      <c r="A98" s="0" t="s">
        <v>690</v>
      </c>
      <c r="B98" s="0" t="s">
        <v>48</v>
      </c>
      <c r="C98" s="0" t="s">
        <v>198</v>
      </c>
      <c r="D98" s="0" t="s">
        <v>207</v>
      </c>
      <c r="E98" s="0" t="s">
        <v>43</v>
      </c>
      <c r="F98" s="0" t="n">
        <v>5.9</v>
      </c>
      <c r="G98" s="0" t="s">
        <v>691</v>
      </c>
      <c r="H98" s="0" t="s">
        <v>692</v>
      </c>
      <c r="I98" s="0" t="s">
        <v>468</v>
      </c>
      <c r="J98" s="0" t="s">
        <v>693</v>
      </c>
      <c r="K98" s="0" t="s">
        <v>417</v>
      </c>
      <c r="L98" s="0" t="n">
        <v>5.3</v>
      </c>
      <c r="M98" s="0" t="n">
        <v>1</v>
      </c>
      <c r="N98" s="0" t="n">
        <v>3351.73</v>
      </c>
      <c r="O98" s="0" t="n">
        <v>3306.07</v>
      </c>
      <c r="P98" s="0" t="n">
        <v>774.06</v>
      </c>
      <c r="Q98" s="0" t="s">
        <v>24</v>
      </c>
      <c r="R98" s="0" t="s">
        <v>51</v>
      </c>
      <c r="S98" s="0" t="s">
        <v>272</v>
      </c>
    </row>
    <row r="99" customFormat="false" ht="15" hidden="false" customHeight="false" outlineLevel="0" collapsed="false">
      <c r="A99" s="0" t="s">
        <v>694</v>
      </c>
      <c r="B99" s="0" t="s">
        <v>48</v>
      </c>
      <c r="C99" s="0" t="s">
        <v>198</v>
      </c>
      <c r="D99" s="0" t="s">
        <v>214</v>
      </c>
      <c r="E99" s="0" t="s">
        <v>44</v>
      </c>
      <c r="F99" s="0" t="n">
        <v>11.53</v>
      </c>
      <c r="G99" s="0" t="s">
        <v>695</v>
      </c>
      <c r="H99" s="0" t="s">
        <v>696</v>
      </c>
      <c r="I99" s="0" t="s">
        <v>424</v>
      </c>
      <c r="J99" s="0" t="s">
        <v>697</v>
      </c>
      <c r="K99" s="0" t="s">
        <v>698</v>
      </c>
      <c r="L99" s="0" t="n">
        <v>5.5</v>
      </c>
      <c r="M99" s="0" t="n">
        <v>1</v>
      </c>
      <c r="N99" s="0" t="n">
        <v>3731.87</v>
      </c>
      <c r="O99" s="0" t="n">
        <v>2065.99</v>
      </c>
      <c r="P99" s="0" t="n">
        <v>1232.18</v>
      </c>
      <c r="Q99" s="0" t="s">
        <v>25</v>
      </c>
      <c r="R99" s="0" t="s">
        <v>51</v>
      </c>
      <c r="S99" s="0" t="s">
        <v>247</v>
      </c>
    </row>
    <row r="100" customFormat="false" ht="15" hidden="false" customHeight="false" outlineLevel="0" collapsed="false">
      <c r="A100" s="0" t="s">
        <v>699</v>
      </c>
      <c r="B100" s="0" t="s">
        <v>47</v>
      </c>
      <c r="C100" s="0" t="s">
        <v>209</v>
      </c>
      <c r="D100" s="0" t="s">
        <v>198</v>
      </c>
      <c r="E100" s="0" t="s">
        <v>44</v>
      </c>
      <c r="F100" s="0" t="n">
        <v>5.76</v>
      </c>
      <c r="G100" s="0" t="s">
        <v>232</v>
      </c>
      <c r="H100" s="0" t="s">
        <v>700</v>
      </c>
      <c r="I100" s="0" t="s">
        <v>701</v>
      </c>
      <c r="J100" s="0" t="s">
        <v>702</v>
      </c>
      <c r="K100" s="0" t="s">
        <v>703</v>
      </c>
      <c r="L100" s="0" t="n">
        <v>1.5</v>
      </c>
      <c r="M100" s="0" t="n">
        <v>1</v>
      </c>
      <c r="N100" s="0" t="n">
        <v>3816.61</v>
      </c>
      <c r="O100" s="0" t="n">
        <v>2415.49</v>
      </c>
      <c r="P100" s="0" t="n">
        <v>1458.63</v>
      </c>
      <c r="Q100" s="0" t="s">
        <v>21</v>
      </c>
      <c r="R100" s="0" t="s">
        <v>52</v>
      </c>
      <c r="S100" s="0" t="s">
        <v>254</v>
      </c>
    </row>
    <row r="101" customFormat="false" ht="15" hidden="false" customHeight="false" outlineLevel="0" collapsed="false">
      <c r="A101" s="0" t="s">
        <v>704</v>
      </c>
      <c r="B101" s="0" t="s">
        <v>47</v>
      </c>
      <c r="C101" s="0" t="s">
        <v>203</v>
      </c>
      <c r="D101" s="0" t="s">
        <v>198</v>
      </c>
      <c r="E101" s="0" t="s">
        <v>44</v>
      </c>
      <c r="F101" s="0" t="n">
        <v>4.5</v>
      </c>
      <c r="G101" s="0" t="s">
        <v>320</v>
      </c>
      <c r="H101" s="0" t="s">
        <v>321</v>
      </c>
      <c r="I101" s="0" t="s">
        <v>705</v>
      </c>
      <c r="J101" s="0" t="s">
        <v>706</v>
      </c>
      <c r="K101" s="0" t="s">
        <v>707</v>
      </c>
      <c r="L101" s="0" t="n">
        <v>4.4</v>
      </c>
      <c r="M101" s="0" t="n">
        <v>1</v>
      </c>
      <c r="N101" s="0" t="n">
        <v>3351.35</v>
      </c>
      <c r="O101" s="0" t="n">
        <v>4662.05</v>
      </c>
      <c r="P101" s="0" t="n">
        <v>1221.53</v>
      </c>
      <c r="Q101" s="0" t="s">
        <v>23</v>
      </c>
      <c r="R101" s="0" t="s">
        <v>52</v>
      </c>
      <c r="S101" s="0" t="s">
        <v>272</v>
      </c>
    </row>
    <row r="102" customFormat="false" ht="15" hidden="false" customHeight="false" outlineLevel="0" collapsed="false">
      <c r="A102" s="0" t="s">
        <v>708</v>
      </c>
      <c r="B102" s="0" t="s">
        <v>48</v>
      </c>
      <c r="C102" s="0" t="s">
        <v>198</v>
      </c>
      <c r="D102" s="0" t="s">
        <v>201</v>
      </c>
      <c r="E102" s="0" t="s">
        <v>44</v>
      </c>
      <c r="F102" s="0" t="n">
        <v>12.6</v>
      </c>
      <c r="G102" s="0" t="s">
        <v>709</v>
      </c>
      <c r="H102" s="0" t="s">
        <v>710</v>
      </c>
      <c r="I102" s="0" t="s">
        <v>256</v>
      </c>
      <c r="J102" s="0" t="s">
        <v>711</v>
      </c>
      <c r="K102" s="0" t="s">
        <v>712</v>
      </c>
      <c r="L102" s="0" t="n">
        <v>-1</v>
      </c>
      <c r="M102" s="0" t="n">
        <v>0</v>
      </c>
      <c r="N102" s="0" t="n">
        <v>5488.31</v>
      </c>
      <c r="O102" s="0" t="n">
        <v>1205.7</v>
      </c>
      <c r="P102" s="0" t="n">
        <v>996.37</v>
      </c>
      <c r="Q102" s="0" t="s">
        <v>25</v>
      </c>
      <c r="R102" s="0" t="s">
        <v>51</v>
      </c>
      <c r="S102" s="0" t="s">
        <v>272</v>
      </c>
    </row>
    <row r="103" customFormat="false" ht="15" hidden="false" customHeight="false" outlineLevel="0" collapsed="false">
      <c r="A103" s="0" t="s">
        <v>713</v>
      </c>
      <c r="B103" s="0" t="s">
        <v>48</v>
      </c>
      <c r="C103" s="0" t="s">
        <v>198</v>
      </c>
      <c r="D103" s="0" t="s">
        <v>199</v>
      </c>
      <c r="E103" s="0" t="s">
        <v>43</v>
      </c>
      <c r="F103" s="0" t="n">
        <v>12.34</v>
      </c>
      <c r="G103" s="0" t="s">
        <v>714</v>
      </c>
      <c r="H103" s="0" t="s">
        <v>715</v>
      </c>
      <c r="I103" s="0" t="s">
        <v>577</v>
      </c>
      <c r="J103" s="0" t="s">
        <v>716</v>
      </c>
      <c r="K103" s="0" t="s">
        <v>717</v>
      </c>
      <c r="L103" s="0" t="n">
        <v>1.6</v>
      </c>
      <c r="M103" s="0" t="n">
        <v>1</v>
      </c>
      <c r="N103" s="0" t="n">
        <v>4906.47</v>
      </c>
      <c r="O103" s="0" t="n">
        <v>2981.97</v>
      </c>
      <c r="P103" s="0" t="n">
        <v>1188.4</v>
      </c>
      <c r="Q103" s="0" t="s">
        <v>23</v>
      </c>
      <c r="R103" s="0" t="s">
        <v>51</v>
      </c>
      <c r="S103" s="0" t="s">
        <v>222</v>
      </c>
    </row>
    <row r="104" customFormat="false" ht="15" hidden="false" customHeight="false" outlineLevel="0" collapsed="false">
      <c r="A104" s="0" t="s">
        <v>718</v>
      </c>
      <c r="B104" s="0" t="s">
        <v>47</v>
      </c>
      <c r="C104" s="0" t="s">
        <v>199</v>
      </c>
      <c r="D104" s="0" t="s">
        <v>198</v>
      </c>
      <c r="E104" s="0" t="s">
        <v>42</v>
      </c>
      <c r="F104" s="0" t="n">
        <v>9.26</v>
      </c>
      <c r="G104" s="0" t="s">
        <v>305</v>
      </c>
      <c r="H104" s="0" t="s">
        <v>516</v>
      </c>
      <c r="I104" s="0" t="s">
        <v>719</v>
      </c>
      <c r="J104" s="0" t="s">
        <v>720</v>
      </c>
      <c r="K104" s="0" t="s">
        <v>721</v>
      </c>
      <c r="L104" s="0" t="n">
        <v>5</v>
      </c>
      <c r="M104" s="0" t="n">
        <v>1</v>
      </c>
      <c r="N104" s="0" t="n">
        <v>4735.54</v>
      </c>
      <c r="O104" s="0" t="n">
        <v>2784.02</v>
      </c>
      <c r="P104" s="0" t="n">
        <v>685.13</v>
      </c>
      <c r="Q104" s="0" t="s">
        <v>25</v>
      </c>
      <c r="R104" s="0" t="s">
        <v>52</v>
      </c>
      <c r="S104" s="0" t="s">
        <v>247</v>
      </c>
    </row>
    <row r="105" customFormat="false" ht="15" hidden="false" customHeight="false" outlineLevel="0" collapsed="false">
      <c r="A105" s="0" t="s">
        <v>722</v>
      </c>
      <c r="B105" s="0" t="s">
        <v>48</v>
      </c>
      <c r="C105" s="0" t="s">
        <v>198</v>
      </c>
      <c r="D105" s="0" t="s">
        <v>214</v>
      </c>
      <c r="E105" s="0" t="s">
        <v>42</v>
      </c>
      <c r="F105" s="0" t="n">
        <v>11.3</v>
      </c>
      <c r="G105" s="0" t="s">
        <v>723</v>
      </c>
      <c r="H105" s="0" t="s">
        <v>687</v>
      </c>
      <c r="I105" s="0" t="s">
        <v>332</v>
      </c>
      <c r="J105" s="0" t="s">
        <v>724</v>
      </c>
      <c r="K105" s="0" t="s">
        <v>725</v>
      </c>
      <c r="L105" s="0" t="n">
        <v>0.2</v>
      </c>
      <c r="M105" s="0" t="n">
        <v>1</v>
      </c>
      <c r="N105" s="0" t="n">
        <v>7056.63</v>
      </c>
      <c r="O105" s="0" t="n">
        <v>4396.78</v>
      </c>
      <c r="P105" s="0" t="n">
        <v>749.67</v>
      </c>
      <c r="Q105" s="0" t="s">
        <v>22</v>
      </c>
      <c r="R105" s="0" t="s">
        <v>51</v>
      </c>
      <c r="S105" s="0" t="s">
        <v>222</v>
      </c>
    </row>
    <row r="106" customFormat="false" ht="15" hidden="false" customHeight="false" outlineLevel="0" collapsed="false">
      <c r="A106" s="0" t="s">
        <v>726</v>
      </c>
      <c r="B106" s="0" t="s">
        <v>48</v>
      </c>
      <c r="C106" s="0" t="s">
        <v>198</v>
      </c>
      <c r="D106" s="0" t="s">
        <v>208</v>
      </c>
      <c r="E106" s="0" t="s">
        <v>42</v>
      </c>
      <c r="F106" s="0" t="n">
        <v>10.3</v>
      </c>
      <c r="G106" s="0" t="s">
        <v>667</v>
      </c>
      <c r="H106" s="0" t="s">
        <v>727</v>
      </c>
      <c r="I106" s="0" t="s">
        <v>673</v>
      </c>
      <c r="J106" s="0" t="s">
        <v>728</v>
      </c>
      <c r="K106" s="0" t="s">
        <v>729</v>
      </c>
      <c r="L106" s="0" t="n">
        <v>1.1</v>
      </c>
      <c r="M106" s="0" t="n">
        <v>1</v>
      </c>
      <c r="N106" s="0" t="n">
        <v>7310.37</v>
      </c>
      <c r="O106" s="0" t="n">
        <v>2892.84</v>
      </c>
      <c r="P106" s="0" t="n">
        <v>812.85</v>
      </c>
      <c r="Q106" s="0" t="s">
        <v>23</v>
      </c>
      <c r="R106" s="0" t="s">
        <v>52</v>
      </c>
      <c r="S106" s="0" t="s">
        <v>228</v>
      </c>
    </row>
    <row r="107" customFormat="false" ht="15" hidden="false" customHeight="false" outlineLevel="0" collapsed="false">
      <c r="A107" s="0" t="s">
        <v>730</v>
      </c>
      <c r="B107" s="0" t="s">
        <v>48</v>
      </c>
      <c r="C107" s="0" t="s">
        <v>198</v>
      </c>
      <c r="D107" s="0" t="s">
        <v>212</v>
      </c>
      <c r="E107" s="0" t="s">
        <v>44</v>
      </c>
      <c r="F107" s="0" t="n">
        <v>3.29</v>
      </c>
      <c r="G107" s="0" t="s">
        <v>731</v>
      </c>
      <c r="H107" s="0" t="s">
        <v>636</v>
      </c>
      <c r="I107" s="0" t="s">
        <v>402</v>
      </c>
      <c r="J107" s="0" t="s">
        <v>732</v>
      </c>
      <c r="K107" s="0" t="s">
        <v>733</v>
      </c>
      <c r="L107" s="0" t="n">
        <v>2.3</v>
      </c>
      <c r="M107" s="0" t="n">
        <v>1</v>
      </c>
      <c r="N107" s="0" t="n">
        <v>2931.74</v>
      </c>
      <c r="O107" s="0" t="n">
        <v>4448.17</v>
      </c>
      <c r="P107" s="0" t="n">
        <v>1344.55</v>
      </c>
      <c r="Q107" s="0" t="s">
        <v>25</v>
      </c>
      <c r="R107" s="0" t="s">
        <v>51</v>
      </c>
      <c r="S107" s="0" t="s">
        <v>228</v>
      </c>
    </row>
    <row r="108" customFormat="false" ht="15" hidden="false" customHeight="false" outlineLevel="0" collapsed="false">
      <c r="A108" s="0" t="s">
        <v>734</v>
      </c>
      <c r="B108" s="0" t="s">
        <v>48</v>
      </c>
      <c r="C108" s="0" t="s">
        <v>198</v>
      </c>
      <c r="D108" s="0" t="s">
        <v>199</v>
      </c>
      <c r="E108" s="0" t="s">
        <v>43</v>
      </c>
      <c r="F108" s="0" t="n">
        <v>7.06</v>
      </c>
      <c r="G108" s="0" t="s">
        <v>605</v>
      </c>
      <c r="H108" s="0" t="s">
        <v>430</v>
      </c>
      <c r="I108" s="0" t="s">
        <v>643</v>
      </c>
      <c r="J108" s="0" t="s">
        <v>735</v>
      </c>
      <c r="K108" s="0" t="s">
        <v>736</v>
      </c>
      <c r="L108" s="0" t="n">
        <v>-0.6</v>
      </c>
      <c r="M108" s="0" t="n">
        <v>0</v>
      </c>
      <c r="N108" s="0" t="n">
        <v>4034.1</v>
      </c>
      <c r="O108" s="0" t="n">
        <v>3899.07</v>
      </c>
      <c r="P108" s="0" t="n">
        <v>565.36</v>
      </c>
      <c r="Q108" s="0" t="s">
        <v>21</v>
      </c>
      <c r="R108" s="0" t="s">
        <v>51</v>
      </c>
      <c r="S108" s="0" t="s">
        <v>228</v>
      </c>
    </row>
    <row r="109" customFormat="false" ht="15" hidden="false" customHeight="false" outlineLevel="0" collapsed="false">
      <c r="A109" s="0" t="s">
        <v>737</v>
      </c>
      <c r="B109" s="0" t="s">
        <v>48</v>
      </c>
      <c r="C109" s="0" t="s">
        <v>198</v>
      </c>
      <c r="D109" s="0" t="s">
        <v>213</v>
      </c>
      <c r="E109" s="0" t="s">
        <v>42</v>
      </c>
      <c r="F109" s="0" t="n">
        <v>6.99</v>
      </c>
      <c r="G109" s="0" t="s">
        <v>570</v>
      </c>
      <c r="H109" s="0" t="s">
        <v>353</v>
      </c>
      <c r="I109" s="0" t="s">
        <v>336</v>
      </c>
      <c r="J109" s="0" t="s">
        <v>738</v>
      </c>
      <c r="K109" s="0" t="s">
        <v>739</v>
      </c>
      <c r="L109" s="0" t="n">
        <v>10.2</v>
      </c>
      <c r="M109" s="0" t="n">
        <v>1</v>
      </c>
      <c r="N109" s="0" t="n">
        <v>5269.59</v>
      </c>
      <c r="O109" s="0" t="n">
        <v>3463.45</v>
      </c>
      <c r="P109" s="0" t="n">
        <v>732.96</v>
      </c>
      <c r="Q109" s="0" t="s">
        <v>24</v>
      </c>
      <c r="R109" s="0" t="s">
        <v>52</v>
      </c>
      <c r="S109" s="0" t="s">
        <v>272</v>
      </c>
    </row>
    <row r="110" customFormat="false" ht="15" hidden="false" customHeight="false" outlineLevel="0" collapsed="false">
      <c r="A110" s="0" t="s">
        <v>740</v>
      </c>
      <c r="B110" s="0" t="s">
        <v>47</v>
      </c>
      <c r="C110" s="0" t="s">
        <v>205</v>
      </c>
      <c r="D110" s="0" t="s">
        <v>198</v>
      </c>
      <c r="E110" s="0" t="s">
        <v>43</v>
      </c>
      <c r="F110" s="0" t="n">
        <v>1.46</v>
      </c>
      <c r="G110" s="0" t="s">
        <v>723</v>
      </c>
      <c r="H110" s="0" t="s">
        <v>686</v>
      </c>
      <c r="I110" s="0" t="s">
        <v>741</v>
      </c>
      <c r="J110" s="0" t="s">
        <v>742</v>
      </c>
      <c r="K110" s="0" t="s">
        <v>743</v>
      </c>
      <c r="L110" s="0" t="n">
        <v>4.1</v>
      </c>
      <c r="M110" s="0" t="n">
        <v>1</v>
      </c>
      <c r="N110" s="0" t="n">
        <v>1066.92</v>
      </c>
      <c r="O110" s="0" t="n">
        <v>1210.74</v>
      </c>
      <c r="P110" s="0" t="n">
        <v>588.54</v>
      </c>
      <c r="Q110" s="0" t="s">
        <v>24</v>
      </c>
      <c r="R110" s="0" t="s">
        <v>52</v>
      </c>
      <c r="S110" s="0" t="s">
        <v>272</v>
      </c>
    </row>
    <row r="111" customFormat="false" ht="15" hidden="false" customHeight="false" outlineLevel="0" collapsed="false">
      <c r="A111" s="0" t="s">
        <v>744</v>
      </c>
      <c r="B111" s="0" t="s">
        <v>47</v>
      </c>
      <c r="C111" s="0" t="s">
        <v>205</v>
      </c>
      <c r="D111" s="0" t="s">
        <v>198</v>
      </c>
      <c r="E111" s="0" t="s">
        <v>42</v>
      </c>
      <c r="F111" s="0" t="n">
        <v>1.71</v>
      </c>
      <c r="G111" s="0" t="s">
        <v>348</v>
      </c>
      <c r="H111" s="0" t="s">
        <v>276</v>
      </c>
      <c r="I111" s="0" t="s">
        <v>522</v>
      </c>
      <c r="J111" s="0" t="s">
        <v>745</v>
      </c>
      <c r="K111" s="0" t="s">
        <v>746</v>
      </c>
      <c r="L111" s="0" t="n">
        <v>2.1</v>
      </c>
      <c r="M111" s="0" t="n">
        <v>1</v>
      </c>
      <c r="N111" s="0" t="n">
        <v>1336.31</v>
      </c>
      <c r="O111" s="0" t="n">
        <v>2345.48</v>
      </c>
      <c r="P111" s="0" t="n">
        <v>1022.52</v>
      </c>
      <c r="Q111" s="0" t="s">
        <v>24</v>
      </c>
      <c r="R111" s="0" t="s">
        <v>51</v>
      </c>
      <c r="S111" s="0" t="s">
        <v>254</v>
      </c>
    </row>
    <row r="112" customFormat="false" ht="15" hidden="false" customHeight="false" outlineLevel="0" collapsed="false">
      <c r="A112" s="0" t="s">
        <v>747</v>
      </c>
      <c r="B112" s="0" t="s">
        <v>47</v>
      </c>
      <c r="C112" s="0" t="s">
        <v>206</v>
      </c>
      <c r="D112" s="0" t="s">
        <v>198</v>
      </c>
      <c r="E112" s="0" t="s">
        <v>42</v>
      </c>
      <c r="F112" s="0" t="n">
        <v>14.91</v>
      </c>
      <c r="G112" s="0" t="s">
        <v>748</v>
      </c>
      <c r="H112" s="0" t="s">
        <v>749</v>
      </c>
      <c r="I112" s="0" t="s">
        <v>262</v>
      </c>
      <c r="J112" s="0" t="s">
        <v>750</v>
      </c>
      <c r="K112" s="0" t="s">
        <v>751</v>
      </c>
      <c r="L112" s="0" t="n">
        <v>-1</v>
      </c>
      <c r="M112" s="0" t="n">
        <v>0</v>
      </c>
      <c r="N112" s="0" t="n">
        <v>7505.55</v>
      </c>
      <c r="O112" s="0" t="n">
        <v>1180.4</v>
      </c>
      <c r="P112" s="0" t="n">
        <v>609.47</v>
      </c>
      <c r="Q112" s="0" t="s">
        <v>21</v>
      </c>
      <c r="R112" s="0" t="s">
        <v>52</v>
      </c>
      <c r="S112" s="0" t="s">
        <v>254</v>
      </c>
    </row>
    <row r="113" customFormat="false" ht="15" hidden="false" customHeight="false" outlineLevel="0" collapsed="false">
      <c r="A113" s="0" t="s">
        <v>752</v>
      </c>
      <c r="B113" s="0" t="s">
        <v>47</v>
      </c>
      <c r="C113" s="0" t="s">
        <v>206</v>
      </c>
      <c r="D113" s="0" t="s">
        <v>198</v>
      </c>
      <c r="E113" s="0" t="s">
        <v>44</v>
      </c>
      <c r="F113" s="0" t="n">
        <v>8.44</v>
      </c>
      <c r="G113" s="0" t="s">
        <v>705</v>
      </c>
      <c r="H113" s="0" t="s">
        <v>691</v>
      </c>
      <c r="I113" s="0" t="s">
        <v>413</v>
      </c>
      <c r="J113" s="0" t="s">
        <v>753</v>
      </c>
      <c r="K113" s="0" t="s">
        <v>754</v>
      </c>
      <c r="L113" s="0" t="n">
        <v>-0.3</v>
      </c>
      <c r="M113" s="0" t="n">
        <v>0</v>
      </c>
      <c r="N113" s="0" t="n">
        <v>4052.58</v>
      </c>
      <c r="O113" s="0" t="n">
        <v>4929.32</v>
      </c>
      <c r="P113" s="0" t="n">
        <v>1384.2</v>
      </c>
      <c r="Q113" s="0" t="s">
        <v>21</v>
      </c>
      <c r="R113" s="0" t="s">
        <v>51</v>
      </c>
      <c r="S113" s="0" t="s">
        <v>272</v>
      </c>
    </row>
    <row r="114" customFormat="false" ht="15" hidden="false" customHeight="false" outlineLevel="0" collapsed="false">
      <c r="A114" s="0" t="s">
        <v>755</v>
      </c>
      <c r="B114" s="0" t="s">
        <v>47</v>
      </c>
      <c r="C114" s="0" t="s">
        <v>203</v>
      </c>
      <c r="D114" s="0" t="s">
        <v>198</v>
      </c>
      <c r="E114" s="0" t="s">
        <v>43</v>
      </c>
      <c r="F114" s="0" t="n">
        <v>12.42</v>
      </c>
      <c r="G114" s="0" t="s">
        <v>613</v>
      </c>
      <c r="H114" s="0" t="s">
        <v>756</v>
      </c>
      <c r="I114" s="0" t="s">
        <v>407</v>
      </c>
      <c r="J114" s="0" t="s">
        <v>757</v>
      </c>
      <c r="K114" s="0" t="s">
        <v>758</v>
      </c>
      <c r="L114" s="0" t="n">
        <v>1.6</v>
      </c>
      <c r="M114" s="0" t="n">
        <v>1</v>
      </c>
      <c r="N114" s="0" t="n">
        <v>7235.57</v>
      </c>
      <c r="O114" s="0" t="n">
        <v>3050.75</v>
      </c>
      <c r="P114" s="0" t="n">
        <v>730.67</v>
      </c>
      <c r="Q114" s="0" t="s">
        <v>24</v>
      </c>
      <c r="R114" s="0" t="s">
        <v>52</v>
      </c>
      <c r="S114" s="0" t="s">
        <v>247</v>
      </c>
    </row>
    <row r="115" customFormat="false" ht="15" hidden="false" customHeight="false" outlineLevel="0" collapsed="false">
      <c r="A115" s="0" t="s">
        <v>759</v>
      </c>
      <c r="B115" s="0" t="s">
        <v>47</v>
      </c>
      <c r="C115" s="0" t="s">
        <v>205</v>
      </c>
      <c r="D115" s="0" t="s">
        <v>198</v>
      </c>
      <c r="E115" s="0" t="s">
        <v>43</v>
      </c>
      <c r="F115" s="0" t="n">
        <v>4.35</v>
      </c>
      <c r="G115" s="0" t="s">
        <v>667</v>
      </c>
      <c r="H115" s="0" t="s">
        <v>487</v>
      </c>
      <c r="I115" s="0" t="s">
        <v>668</v>
      </c>
      <c r="J115" s="0" t="s">
        <v>760</v>
      </c>
      <c r="K115" s="0" t="s">
        <v>761</v>
      </c>
      <c r="L115" s="0" t="n">
        <v>0</v>
      </c>
      <c r="M115" s="0" t="n">
        <v>0</v>
      </c>
      <c r="N115" s="0" t="n">
        <v>1955.75</v>
      </c>
      <c r="O115" s="0" t="n">
        <v>4876.41</v>
      </c>
      <c r="P115" s="0" t="n">
        <v>1383.79</v>
      </c>
      <c r="Q115" s="0" t="s">
        <v>24</v>
      </c>
      <c r="R115" s="0" t="s">
        <v>51</v>
      </c>
      <c r="S115" s="0" t="s">
        <v>247</v>
      </c>
    </row>
    <row r="116" customFormat="false" ht="15" hidden="false" customHeight="false" outlineLevel="0" collapsed="false">
      <c r="A116" s="0" t="s">
        <v>762</v>
      </c>
      <c r="B116" s="0" t="s">
        <v>48</v>
      </c>
      <c r="C116" s="0" t="s">
        <v>198</v>
      </c>
      <c r="D116" s="0" t="s">
        <v>213</v>
      </c>
      <c r="E116" s="0" t="s">
        <v>44</v>
      </c>
      <c r="F116" s="0" t="n">
        <v>18.63</v>
      </c>
      <c r="G116" s="0" t="s">
        <v>257</v>
      </c>
      <c r="H116" s="0" t="s">
        <v>444</v>
      </c>
      <c r="I116" s="0" t="s">
        <v>445</v>
      </c>
      <c r="J116" s="0" t="s">
        <v>763</v>
      </c>
      <c r="K116" s="0" t="s">
        <v>764</v>
      </c>
      <c r="L116" s="0" t="n">
        <v>-1</v>
      </c>
      <c r="M116" s="0" t="n">
        <v>0</v>
      </c>
      <c r="N116" s="0" t="n">
        <v>7659.04</v>
      </c>
      <c r="O116" s="0" t="n">
        <v>1897.76</v>
      </c>
      <c r="P116" s="0" t="n">
        <v>723.82</v>
      </c>
      <c r="Q116" s="0" t="s">
        <v>22</v>
      </c>
      <c r="R116" s="0" t="s">
        <v>52</v>
      </c>
      <c r="S116" s="0" t="s">
        <v>228</v>
      </c>
    </row>
    <row r="117" customFormat="false" ht="15" hidden="false" customHeight="false" outlineLevel="0" collapsed="false">
      <c r="A117" s="0" t="s">
        <v>765</v>
      </c>
      <c r="B117" s="0" t="s">
        <v>47</v>
      </c>
      <c r="C117" s="0" t="s">
        <v>209</v>
      </c>
      <c r="D117" s="0" t="s">
        <v>198</v>
      </c>
      <c r="E117" s="0" t="s">
        <v>43</v>
      </c>
      <c r="F117" s="0" t="n">
        <v>11.2</v>
      </c>
      <c r="G117" s="0" t="s">
        <v>542</v>
      </c>
      <c r="H117" s="0" t="s">
        <v>478</v>
      </c>
      <c r="I117" s="0" t="s">
        <v>230</v>
      </c>
      <c r="J117" s="0" t="s">
        <v>766</v>
      </c>
      <c r="K117" s="0" t="s">
        <v>767</v>
      </c>
      <c r="L117" s="0" t="n">
        <v>11.5</v>
      </c>
      <c r="M117" s="0" t="n">
        <v>1</v>
      </c>
      <c r="N117" s="0" t="n">
        <v>6101.14</v>
      </c>
      <c r="O117" s="0" t="n">
        <v>1518.06</v>
      </c>
      <c r="P117" s="0" t="n">
        <v>1388.75</v>
      </c>
      <c r="Q117" s="0" t="s">
        <v>25</v>
      </c>
      <c r="R117" s="0" t="s">
        <v>52</v>
      </c>
      <c r="S117" s="0" t="s">
        <v>254</v>
      </c>
    </row>
    <row r="118" customFormat="false" ht="15" hidden="false" customHeight="false" outlineLevel="0" collapsed="false">
      <c r="A118" s="0" t="s">
        <v>768</v>
      </c>
      <c r="B118" s="0" t="s">
        <v>47</v>
      </c>
      <c r="C118" s="0" t="s">
        <v>209</v>
      </c>
      <c r="D118" s="0" t="s">
        <v>198</v>
      </c>
      <c r="E118" s="0" t="s">
        <v>42</v>
      </c>
      <c r="F118" s="0" t="n">
        <v>19.16</v>
      </c>
      <c r="G118" s="0" t="s">
        <v>298</v>
      </c>
      <c r="H118" s="0" t="s">
        <v>686</v>
      </c>
      <c r="I118" s="0" t="s">
        <v>687</v>
      </c>
      <c r="J118" s="0" t="s">
        <v>769</v>
      </c>
      <c r="K118" s="0" t="s">
        <v>770</v>
      </c>
      <c r="L118" s="0" t="n">
        <v>-0.6</v>
      </c>
      <c r="M118" s="0" t="n">
        <v>0</v>
      </c>
      <c r="N118" s="0" t="n">
        <v>5049.74</v>
      </c>
      <c r="O118" s="0" t="n">
        <v>3782.86</v>
      </c>
      <c r="P118" s="0" t="n">
        <v>548.78</v>
      </c>
      <c r="Q118" s="0" t="s">
        <v>24</v>
      </c>
      <c r="R118" s="0" t="s">
        <v>52</v>
      </c>
      <c r="S118" s="0" t="s">
        <v>254</v>
      </c>
    </row>
    <row r="119" customFormat="false" ht="15" hidden="false" customHeight="false" outlineLevel="0" collapsed="false">
      <c r="A119" s="0" t="s">
        <v>771</v>
      </c>
      <c r="B119" s="0" t="s">
        <v>48</v>
      </c>
      <c r="C119" s="0" t="s">
        <v>198</v>
      </c>
      <c r="D119" s="0" t="s">
        <v>208</v>
      </c>
      <c r="E119" s="0" t="s">
        <v>44</v>
      </c>
      <c r="F119" s="0" t="n">
        <v>11.12</v>
      </c>
      <c r="G119" s="0" t="s">
        <v>218</v>
      </c>
      <c r="H119" s="0" t="s">
        <v>409</v>
      </c>
      <c r="I119" s="0" t="s">
        <v>219</v>
      </c>
      <c r="J119" s="0" t="s">
        <v>772</v>
      </c>
      <c r="K119" s="0" t="s">
        <v>602</v>
      </c>
      <c r="L119" s="0" t="n">
        <v>2.3</v>
      </c>
      <c r="M119" s="0" t="n">
        <v>1</v>
      </c>
      <c r="N119" s="0" t="n">
        <v>5506.51</v>
      </c>
      <c r="O119" s="0" t="n">
        <v>4531.63</v>
      </c>
      <c r="P119" s="0" t="n">
        <v>1016.08</v>
      </c>
      <c r="Q119" s="0" t="s">
        <v>25</v>
      </c>
      <c r="R119" s="0" t="s">
        <v>52</v>
      </c>
      <c r="S119" s="0" t="s">
        <v>222</v>
      </c>
    </row>
    <row r="120" customFormat="false" ht="15" hidden="false" customHeight="false" outlineLevel="0" collapsed="false">
      <c r="A120" s="0" t="s">
        <v>773</v>
      </c>
      <c r="B120" s="0" t="s">
        <v>47</v>
      </c>
      <c r="C120" s="0" t="s">
        <v>206</v>
      </c>
      <c r="D120" s="0" t="s">
        <v>198</v>
      </c>
      <c r="E120" s="0" t="s">
        <v>44</v>
      </c>
      <c r="F120" s="0" t="n">
        <v>18.22</v>
      </c>
      <c r="G120" s="0" t="s">
        <v>337</v>
      </c>
      <c r="H120" s="0" t="s">
        <v>477</v>
      </c>
      <c r="I120" s="0" t="s">
        <v>774</v>
      </c>
      <c r="J120" s="0" t="s">
        <v>775</v>
      </c>
      <c r="K120" s="0" t="s">
        <v>776</v>
      </c>
      <c r="L120" s="0" t="n">
        <v>3.2</v>
      </c>
      <c r="M120" s="0" t="n">
        <v>1</v>
      </c>
      <c r="N120" s="0" t="n">
        <v>11351.69</v>
      </c>
      <c r="O120" s="0" t="n">
        <v>4402.33</v>
      </c>
      <c r="P120" s="0" t="n">
        <v>1367.29</v>
      </c>
      <c r="Q120" s="0" t="s">
        <v>24</v>
      </c>
      <c r="R120" s="0" t="s">
        <v>52</v>
      </c>
      <c r="S120" s="0" t="s">
        <v>254</v>
      </c>
    </row>
    <row r="121" customFormat="false" ht="15" hidden="false" customHeight="false" outlineLevel="0" collapsed="false">
      <c r="A121" s="0" t="s">
        <v>777</v>
      </c>
      <c r="B121" s="0" t="s">
        <v>48</v>
      </c>
      <c r="C121" s="0" t="s">
        <v>198</v>
      </c>
      <c r="D121" s="0" t="s">
        <v>207</v>
      </c>
      <c r="E121" s="0" t="s">
        <v>44</v>
      </c>
      <c r="F121" s="0" t="n">
        <v>14.46</v>
      </c>
      <c r="G121" s="0" t="s">
        <v>431</v>
      </c>
      <c r="H121" s="0" t="s">
        <v>250</v>
      </c>
      <c r="I121" s="0" t="s">
        <v>251</v>
      </c>
      <c r="J121" s="0" t="s">
        <v>778</v>
      </c>
      <c r="K121" s="0" t="s">
        <v>779</v>
      </c>
      <c r="L121" s="0" t="n">
        <v>3.9</v>
      </c>
      <c r="M121" s="0" t="n">
        <v>1</v>
      </c>
      <c r="N121" s="0" t="n">
        <v>8725.09</v>
      </c>
      <c r="O121" s="0" t="n">
        <v>1634.42</v>
      </c>
      <c r="P121" s="0" t="n">
        <v>1380.87</v>
      </c>
      <c r="Q121" s="0" t="s">
        <v>21</v>
      </c>
      <c r="R121" s="0" t="s">
        <v>52</v>
      </c>
      <c r="S121" s="0" t="s">
        <v>247</v>
      </c>
    </row>
    <row r="122" customFormat="false" ht="15" hidden="false" customHeight="false" outlineLevel="0" collapsed="false">
      <c r="A122" s="0" t="s">
        <v>780</v>
      </c>
      <c r="B122" s="0" t="s">
        <v>47</v>
      </c>
      <c r="C122" s="0" t="s">
        <v>209</v>
      </c>
      <c r="D122" s="0" t="s">
        <v>198</v>
      </c>
      <c r="E122" s="0" t="s">
        <v>43</v>
      </c>
      <c r="F122" s="0" t="n">
        <v>17.57</v>
      </c>
      <c r="G122" s="0" t="s">
        <v>263</v>
      </c>
      <c r="H122" s="0" t="s">
        <v>511</v>
      </c>
      <c r="I122" s="0" t="s">
        <v>387</v>
      </c>
      <c r="J122" s="0" t="s">
        <v>781</v>
      </c>
      <c r="K122" s="0" t="s">
        <v>782</v>
      </c>
      <c r="L122" s="0" t="n">
        <v>0.4</v>
      </c>
      <c r="M122" s="0" t="n">
        <v>1</v>
      </c>
      <c r="N122" s="0" t="n">
        <v>7358.89</v>
      </c>
      <c r="O122" s="0" t="n">
        <v>4328.54</v>
      </c>
      <c r="P122" s="0" t="n">
        <v>1007.47</v>
      </c>
      <c r="Q122" s="0" t="s">
        <v>25</v>
      </c>
      <c r="R122" s="0" t="s">
        <v>52</v>
      </c>
      <c r="S122" s="0" t="s">
        <v>272</v>
      </c>
    </row>
    <row r="123" customFormat="false" ht="15" hidden="false" customHeight="false" outlineLevel="0" collapsed="false">
      <c r="A123" s="0" t="s">
        <v>783</v>
      </c>
      <c r="B123" s="0" t="s">
        <v>48</v>
      </c>
      <c r="C123" s="0" t="s">
        <v>198</v>
      </c>
      <c r="D123" s="0" t="s">
        <v>214</v>
      </c>
      <c r="E123" s="0" t="s">
        <v>43</v>
      </c>
      <c r="F123" s="0" t="n">
        <v>1.12</v>
      </c>
      <c r="G123" s="0" t="s">
        <v>784</v>
      </c>
      <c r="H123" s="0" t="s">
        <v>311</v>
      </c>
      <c r="I123" s="0" t="s">
        <v>785</v>
      </c>
      <c r="J123" s="0" t="s">
        <v>786</v>
      </c>
      <c r="K123" s="0" t="s">
        <v>787</v>
      </c>
      <c r="L123" s="0" t="n">
        <v>3.9</v>
      </c>
      <c r="M123" s="0" t="n">
        <v>1</v>
      </c>
      <c r="N123" s="0" t="n">
        <v>1410.24</v>
      </c>
      <c r="O123" s="0" t="n">
        <v>3536.02</v>
      </c>
      <c r="P123" s="0" t="n">
        <v>1039.99</v>
      </c>
      <c r="Q123" s="0" t="s">
        <v>25</v>
      </c>
      <c r="R123" s="0" t="s">
        <v>52</v>
      </c>
      <c r="S123" s="0" t="s">
        <v>247</v>
      </c>
    </row>
    <row r="124" customFormat="false" ht="15" hidden="false" customHeight="false" outlineLevel="0" collapsed="false">
      <c r="A124" s="0" t="s">
        <v>788</v>
      </c>
      <c r="B124" s="0" t="s">
        <v>48</v>
      </c>
      <c r="C124" s="0" t="s">
        <v>198</v>
      </c>
      <c r="D124" s="0" t="s">
        <v>207</v>
      </c>
      <c r="E124" s="0" t="s">
        <v>42</v>
      </c>
      <c r="F124" s="0" t="n">
        <v>15.82</v>
      </c>
      <c r="G124" s="0" t="s">
        <v>789</v>
      </c>
      <c r="H124" s="0" t="s">
        <v>242</v>
      </c>
      <c r="I124" s="0" t="s">
        <v>282</v>
      </c>
      <c r="J124" s="0" t="s">
        <v>790</v>
      </c>
      <c r="K124" s="0" t="s">
        <v>791</v>
      </c>
      <c r="L124" s="0" t="n">
        <v>5.6</v>
      </c>
      <c r="M124" s="0" t="n">
        <v>1</v>
      </c>
      <c r="N124" s="0" t="n">
        <v>10408.65</v>
      </c>
      <c r="O124" s="0" t="n">
        <v>1410.04</v>
      </c>
      <c r="P124" s="0" t="n">
        <v>1437.23</v>
      </c>
      <c r="Q124" s="0" t="s">
        <v>21</v>
      </c>
      <c r="R124" s="0" t="s">
        <v>51</v>
      </c>
      <c r="S124" s="0" t="s">
        <v>222</v>
      </c>
    </row>
    <row r="125" customFormat="false" ht="15" hidden="false" customHeight="false" outlineLevel="0" collapsed="false">
      <c r="A125" s="0" t="s">
        <v>792</v>
      </c>
      <c r="B125" s="0" t="s">
        <v>47</v>
      </c>
      <c r="C125" s="0" t="s">
        <v>205</v>
      </c>
      <c r="D125" s="0" t="s">
        <v>198</v>
      </c>
      <c r="E125" s="0" t="s">
        <v>43</v>
      </c>
      <c r="F125" s="0" t="n">
        <v>14.07</v>
      </c>
      <c r="G125" s="0" t="s">
        <v>793</v>
      </c>
      <c r="H125" s="0" t="s">
        <v>581</v>
      </c>
      <c r="I125" s="0" t="s">
        <v>492</v>
      </c>
      <c r="J125" s="0" t="s">
        <v>794</v>
      </c>
      <c r="K125" s="0" t="s">
        <v>795</v>
      </c>
      <c r="L125" s="0" t="n">
        <v>1.3</v>
      </c>
      <c r="M125" s="0" t="n">
        <v>1</v>
      </c>
      <c r="N125" s="0" t="n">
        <v>4948.76</v>
      </c>
      <c r="O125" s="0" t="n">
        <v>2383.53</v>
      </c>
      <c r="P125" s="0" t="n">
        <v>1120.92</v>
      </c>
      <c r="Q125" s="0" t="s">
        <v>21</v>
      </c>
      <c r="R125" s="0" t="s">
        <v>51</v>
      </c>
      <c r="S125" s="0" t="s">
        <v>228</v>
      </c>
    </row>
    <row r="126" customFormat="false" ht="15" hidden="false" customHeight="false" outlineLevel="0" collapsed="false">
      <c r="A126" s="0" t="s">
        <v>796</v>
      </c>
      <c r="B126" s="0" t="s">
        <v>47</v>
      </c>
      <c r="C126" s="0" t="s">
        <v>199</v>
      </c>
      <c r="D126" s="0" t="s">
        <v>198</v>
      </c>
      <c r="E126" s="0" t="s">
        <v>43</v>
      </c>
      <c r="F126" s="0" t="n">
        <v>1.87</v>
      </c>
      <c r="G126" s="0" t="s">
        <v>723</v>
      </c>
      <c r="H126" s="0" t="s">
        <v>331</v>
      </c>
      <c r="I126" s="0" t="s">
        <v>613</v>
      </c>
      <c r="J126" s="0" t="s">
        <v>797</v>
      </c>
      <c r="K126" s="0" t="s">
        <v>798</v>
      </c>
      <c r="L126" s="0" t="n">
        <v>8.1</v>
      </c>
      <c r="M126" s="0" t="n">
        <v>1</v>
      </c>
      <c r="N126" s="0" t="n">
        <v>1470.48</v>
      </c>
      <c r="O126" s="0" t="n">
        <v>1088.49</v>
      </c>
      <c r="P126" s="0" t="n">
        <v>823.61</v>
      </c>
      <c r="Q126" s="0" t="s">
        <v>22</v>
      </c>
      <c r="R126" s="0" t="s">
        <v>52</v>
      </c>
      <c r="S126" s="0" t="s">
        <v>222</v>
      </c>
    </row>
    <row r="127" customFormat="false" ht="15" hidden="false" customHeight="false" outlineLevel="0" collapsed="false">
      <c r="A127" s="0" t="s">
        <v>799</v>
      </c>
      <c r="B127" s="0" t="s">
        <v>48</v>
      </c>
      <c r="C127" s="0" t="s">
        <v>198</v>
      </c>
      <c r="D127" s="0" t="s">
        <v>204</v>
      </c>
      <c r="E127" s="0" t="s">
        <v>43</v>
      </c>
      <c r="F127" s="0" t="n">
        <v>10.28</v>
      </c>
      <c r="G127" s="0" t="s">
        <v>800</v>
      </c>
      <c r="H127" s="0" t="s">
        <v>364</v>
      </c>
      <c r="I127" s="0" t="s">
        <v>801</v>
      </c>
      <c r="J127" s="0" t="s">
        <v>802</v>
      </c>
      <c r="K127" s="0" t="s">
        <v>803</v>
      </c>
      <c r="L127" s="0" t="n">
        <v>-0.2</v>
      </c>
      <c r="M127" s="0" t="n">
        <v>0</v>
      </c>
      <c r="N127" s="0" t="n">
        <v>5841.95</v>
      </c>
      <c r="O127" s="0" t="n">
        <v>2704.73</v>
      </c>
      <c r="P127" s="0" t="n">
        <v>951.39</v>
      </c>
      <c r="Q127" s="0" t="s">
        <v>23</v>
      </c>
      <c r="R127" s="0" t="s">
        <v>52</v>
      </c>
      <c r="S127" s="0" t="s">
        <v>254</v>
      </c>
    </row>
    <row r="128" customFormat="false" ht="15" hidden="false" customHeight="false" outlineLevel="0" collapsed="false">
      <c r="A128" s="0" t="s">
        <v>804</v>
      </c>
      <c r="B128" s="0" t="s">
        <v>47</v>
      </c>
      <c r="C128" s="0" t="s">
        <v>205</v>
      </c>
      <c r="D128" s="0" t="s">
        <v>198</v>
      </c>
      <c r="E128" s="0" t="s">
        <v>43</v>
      </c>
      <c r="F128" s="0" t="n">
        <v>4.11</v>
      </c>
      <c r="G128" s="0" t="s">
        <v>343</v>
      </c>
      <c r="H128" s="0" t="s">
        <v>292</v>
      </c>
      <c r="I128" s="0" t="s">
        <v>294</v>
      </c>
      <c r="J128" s="0" t="s">
        <v>805</v>
      </c>
      <c r="K128" s="0" t="s">
        <v>806</v>
      </c>
      <c r="L128" s="0" t="n">
        <v>3.4</v>
      </c>
      <c r="M128" s="0" t="n">
        <v>1</v>
      </c>
      <c r="N128" s="0" t="n">
        <v>2606.09</v>
      </c>
      <c r="O128" s="0" t="n">
        <v>4803.45</v>
      </c>
      <c r="P128" s="0" t="n">
        <v>651.06</v>
      </c>
      <c r="Q128" s="0" t="s">
        <v>23</v>
      </c>
      <c r="R128" s="0" t="s">
        <v>52</v>
      </c>
      <c r="S128" s="0" t="s">
        <v>254</v>
      </c>
    </row>
    <row r="129" customFormat="false" ht="15" hidden="false" customHeight="false" outlineLevel="0" collapsed="false">
      <c r="A129" s="0" t="s">
        <v>807</v>
      </c>
      <c r="B129" s="0" t="s">
        <v>47</v>
      </c>
      <c r="C129" s="0" t="s">
        <v>199</v>
      </c>
      <c r="D129" s="0" t="s">
        <v>198</v>
      </c>
      <c r="E129" s="0" t="s">
        <v>44</v>
      </c>
      <c r="F129" s="0" t="n">
        <v>9.21</v>
      </c>
      <c r="G129" s="0" t="s">
        <v>408</v>
      </c>
      <c r="H129" s="0" t="s">
        <v>217</v>
      </c>
      <c r="I129" s="0" t="s">
        <v>409</v>
      </c>
      <c r="J129" s="0" t="s">
        <v>808</v>
      </c>
      <c r="K129" s="0" t="s">
        <v>809</v>
      </c>
      <c r="L129" s="0" t="n">
        <v>3.7</v>
      </c>
      <c r="M129" s="0" t="n">
        <v>1</v>
      </c>
      <c r="N129" s="0" t="n">
        <v>3908.83</v>
      </c>
      <c r="O129" s="0" t="n">
        <v>4935.91</v>
      </c>
      <c r="P129" s="0" t="n">
        <v>909.33</v>
      </c>
      <c r="Q129" s="0" t="s">
        <v>24</v>
      </c>
      <c r="R129" s="0" t="s">
        <v>51</v>
      </c>
      <c r="S129" s="0" t="s">
        <v>228</v>
      </c>
    </row>
    <row r="130" customFormat="false" ht="15" hidden="false" customHeight="false" outlineLevel="0" collapsed="false">
      <c r="A130" s="0" t="s">
        <v>810</v>
      </c>
      <c r="B130" s="0" t="s">
        <v>48</v>
      </c>
      <c r="C130" s="0" t="s">
        <v>198</v>
      </c>
      <c r="D130" s="0" t="s">
        <v>201</v>
      </c>
      <c r="E130" s="0" t="s">
        <v>43</v>
      </c>
      <c r="F130" s="0" t="n">
        <v>17.99</v>
      </c>
      <c r="G130" s="0" t="s">
        <v>288</v>
      </c>
      <c r="H130" s="0" t="s">
        <v>488</v>
      </c>
      <c r="I130" s="0" t="s">
        <v>668</v>
      </c>
      <c r="J130" s="0" t="s">
        <v>811</v>
      </c>
      <c r="K130" s="0" t="s">
        <v>812</v>
      </c>
      <c r="L130" s="0" t="n">
        <v>-1</v>
      </c>
      <c r="M130" s="0" t="n">
        <v>0</v>
      </c>
      <c r="N130" s="0" t="n">
        <v>8430.45</v>
      </c>
      <c r="O130" s="0" t="n">
        <v>1636.98</v>
      </c>
      <c r="P130" s="0" t="n">
        <v>703.7</v>
      </c>
      <c r="Q130" s="0" t="s">
        <v>25</v>
      </c>
      <c r="R130" s="0" t="s">
        <v>52</v>
      </c>
      <c r="S130" s="0" t="s">
        <v>272</v>
      </c>
    </row>
    <row r="131" customFormat="false" ht="15" hidden="false" customHeight="false" outlineLevel="0" collapsed="false">
      <c r="A131" s="0" t="s">
        <v>813</v>
      </c>
      <c r="B131" s="0" t="s">
        <v>48</v>
      </c>
      <c r="C131" s="0" t="s">
        <v>198</v>
      </c>
      <c r="D131" s="0" t="s">
        <v>208</v>
      </c>
      <c r="E131" s="0" t="s">
        <v>42</v>
      </c>
      <c r="F131" s="0" t="n">
        <v>2.73</v>
      </c>
      <c r="G131" s="0" t="s">
        <v>467</v>
      </c>
      <c r="H131" s="0" t="s">
        <v>414</v>
      </c>
      <c r="I131" s="0" t="s">
        <v>814</v>
      </c>
      <c r="J131" s="0" t="s">
        <v>815</v>
      </c>
      <c r="K131" s="0" t="s">
        <v>816</v>
      </c>
      <c r="L131" s="0" t="n">
        <v>6.3</v>
      </c>
      <c r="M131" s="0" t="n">
        <v>1</v>
      </c>
      <c r="N131" s="0" t="n">
        <v>2118.96</v>
      </c>
      <c r="O131" s="0" t="n">
        <v>2176.67</v>
      </c>
      <c r="P131" s="0" t="n">
        <v>1411.84</v>
      </c>
      <c r="Q131" s="0" t="s">
        <v>24</v>
      </c>
      <c r="R131" s="0" t="s">
        <v>51</v>
      </c>
      <c r="S131" s="0" t="s">
        <v>228</v>
      </c>
    </row>
    <row r="132" customFormat="false" ht="15" hidden="false" customHeight="false" outlineLevel="0" collapsed="false">
      <c r="A132" s="0" t="s">
        <v>817</v>
      </c>
      <c r="B132" s="0" t="s">
        <v>47</v>
      </c>
      <c r="C132" s="0" t="s">
        <v>203</v>
      </c>
      <c r="D132" s="0" t="s">
        <v>198</v>
      </c>
      <c r="E132" s="0" t="s">
        <v>44</v>
      </c>
      <c r="F132" s="0" t="n">
        <v>19.38</v>
      </c>
      <c r="G132" s="0" t="s">
        <v>818</v>
      </c>
      <c r="H132" s="0" t="s">
        <v>368</v>
      </c>
      <c r="I132" s="0" t="s">
        <v>369</v>
      </c>
      <c r="J132" s="0" t="s">
        <v>819</v>
      </c>
      <c r="K132" s="0" t="s">
        <v>820</v>
      </c>
      <c r="L132" s="0" t="n">
        <v>-1</v>
      </c>
      <c r="M132" s="0" t="n">
        <v>0</v>
      </c>
      <c r="N132" s="0" t="n">
        <v>6912.58</v>
      </c>
      <c r="O132" s="0" t="n">
        <v>1256.84</v>
      </c>
      <c r="P132" s="0" t="n">
        <v>1081.97</v>
      </c>
      <c r="Q132" s="0" t="s">
        <v>22</v>
      </c>
      <c r="R132" s="0" t="s">
        <v>52</v>
      </c>
      <c r="S132" s="0" t="s">
        <v>247</v>
      </c>
    </row>
    <row r="133" customFormat="false" ht="15" hidden="false" customHeight="false" outlineLevel="0" collapsed="false">
      <c r="A133" s="0" t="s">
        <v>821</v>
      </c>
      <c r="B133" s="0" t="s">
        <v>47</v>
      </c>
      <c r="C133" s="0" t="s">
        <v>199</v>
      </c>
      <c r="D133" s="0" t="s">
        <v>198</v>
      </c>
      <c r="E133" s="0" t="s">
        <v>42</v>
      </c>
      <c r="F133" s="0" t="n">
        <v>6.11</v>
      </c>
      <c r="G133" s="0" t="s">
        <v>822</v>
      </c>
      <c r="H133" s="0" t="s">
        <v>292</v>
      </c>
      <c r="I133" s="0" t="s">
        <v>604</v>
      </c>
      <c r="J133" s="0" t="s">
        <v>823</v>
      </c>
      <c r="K133" s="0" t="s">
        <v>824</v>
      </c>
      <c r="L133" s="0" t="n">
        <v>3.8</v>
      </c>
      <c r="M133" s="0" t="n">
        <v>1</v>
      </c>
      <c r="N133" s="0" t="n">
        <v>1908.4</v>
      </c>
      <c r="O133" s="0" t="n">
        <v>2569.97</v>
      </c>
      <c r="P133" s="0" t="n">
        <v>979.94</v>
      </c>
      <c r="Q133" s="0" t="s">
        <v>23</v>
      </c>
      <c r="R133" s="0" t="s">
        <v>51</v>
      </c>
      <c r="S133" s="0" t="s">
        <v>222</v>
      </c>
    </row>
    <row r="134" customFormat="false" ht="15" hidden="false" customHeight="false" outlineLevel="0" collapsed="false">
      <c r="A134" s="0" t="s">
        <v>825</v>
      </c>
      <c r="B134" s="0" t="s">
        <v>47</v>
      </c>
      <c r="C134" s="0" t="s">
        <v>199</v>
      </c>
      <c r="D134" s="0" t="s">
        <v>198</v>
      </c>
      <c r="E134" s="0" t="s">
        <v>43</v>
      </c>
      <c r="F134" s="0" t="n">
        <v>12.4</v>
      </c>
      <c r="G134" s="0" t="s">
        <v>826</v>
      </c>
      <c r="H134" s="0" t="s">
        <v>381</v>
      </c>
      <c r="I134" s="0" t="s">
        <v>827</v>
      </c>
      <c r="J134" s="0" t="s">
        <v>828</v>
      </c>
      <c r="K134" s="0" t="s">
        <v>829</v>
      </c>
      <c r="L134" s="0" t="n">
        <v>4.8</v>
      </c>
      <c r="M134" s="0" t="n">
        <v>1</v>
      </c>
      <c r="N134" s="0" t="n">
        <v>6529.71</v>
      </c>
      <c r="O134" s="0" t="n">
        <v>1569.98</v>
      </c>
      <c r="P134" s="0" t="n">
        <v>998.89</v>
      </c>
      <c r="Q134" s="0" t="s">
        <v>25</v>
      </c>
      <c r="R134" s="0" t="s">
        <v>51</v>
      </c>
      <c r="S134" s="0" t="s">
        <v>228</v>
      </c>
    </row>
    <row r="135" customFormat="false" ht="15" hidden="false" customHeight="false" outlineLevel="0" collapsed="false">
      <c r="A135" s="0" t="s">
        <v>830</v>
      </c>
      <c r="B135" s="0" t="s">
        <v>47</v>
      </c>
      <c r="C135" s="0" t="s">
        <v>199</v>
      </c>
      <c r="D135" s="0" t="s">
        <v>198</v>
      </c>
      <c r="E135" s="0" t="s">
        <v>44</v>
      </c>
      <c r="F135" s="0" t="n">
        <v>12.74</v>
      </c>
      <c r="G135" s="0" t="s">
        <v>831</v>
      </c>
      <c r="H135" s="0" t="s">
        <v>832</v>
      </c>
      <c r="I135" s="0" t="s">
        <v>833</v>
      </c>
      <c r="J135" s="0" t="s">
        <v>834</v>
      </c>
      <c r="K135" s="0" t="s">
        <v>835</v>
      </c>
      <c r="L135" s="0" t="n">
        <v>4.5</v>
      </c>
      <c r="M135" s="0" t="n">
        <v>1</v>
      </c>
      <c r="N135" s="0" t="n">
        <v>4490.17</v>
      </c>
      <c r="O135" s="0" t="n">
        <v>4530.13</v>
      </c>
      <c r="P135" s="0" t="n">
        <v>582.51</v>
      </c>
      <c r="Q135" s="0" t="s">
        <v>24</v>
      </c>
      <c r="R135" s="0" t="s">
        <v>52</v>
      </c>
      <c r="S135" s="0" t="s">
        <v>247</v>
      </c>
    </row>
    <row r="136" customFormat="false" ht="15" hidden="false" customHeight="false" outlineLevel="0" collapsed="false">
      <c r="A136" s="0" t="s">
        <v>836</v>
      </c>
      <c r="B136" s="0" t="s">
        <v>47</v>
      </c>
      <c r="C136" s="0" t="s">
        <v>205</v>
      </c>
      <c r="D136" s="0" t="s">
        <v>198</v>
      </c>
      <c r="E136" s="0" t="s">
        <v>42</v>
      </c>
      <c r="F136" s="0" t="n">
        <v>16.67</v>
      </c>
      <c r="G136" s="0" t="s">
        <v>374</v>
      </c>
      <c r="H136" s="0" t="s">
        <v>375</v>
      </c>
      <c r="I136" s="0" t="s">
        <v>376</v>
      </c>
      <c r="J136" s="0" t="s">
        <v>377</v>
      </c>
      <c r="K136" s="0" t="s">
        <v>837</v>
      </c>
      <c r="L136" s="0" t="n">
        <v>5</v>
      </c>
      <c r="M136" s="0" t="n">
        <v>1</v>
      </c>
      <c r="N136" s="0" t="n">
        <v>5762.43</v>
      </c>
      <c r="O136" s="0" t="n">
        <v>4806.2</v>
      </c>
      <c r="P136" s="0" t="n">
        <v>624.22</v>
      </c>
      <c r="Q136" s="0" t="s">
        <v>21</v>
      </c>
      <c r="R136" s="0" t="s">
        <v>52</v>
      </c>
      <c r="S136" s="0" t="s">
        <v>272</v>
      </c>
    </row>
    <row r="137" customFormat="false" ht="15" hidden="false" customHeight="false" outlineLevel="0" collapsed="false">
      <c r="A137" s="0" t="s">
        <v>838</v>
      </c>
      <c r="B137" s="0" t="s">
        <v>48</v>
      </c>
      <c r="C137" s="0" t="s">
        <v>198</v>
      </c>
      <c r="D137" s="0" t="s">
        <v>211</v>
      </c>
      <c r="E137" s="0" t="s">
        <v>42</v>
      </c>
      <c r="F137" s="0" t="n">
        <v>18.03</v>
      </c>
      <c r="G137" s="0" t="s">
        <v>774</v>
      </c>
      <c r="H137" s="0" t="s">
        <v>267</v>
      </c>
      <c r="I137" s="0" t="s">
        <v>230</v>
      </c>
      <c r="J137" s="0" t="s">
        <v>839</v>
      </c>
      <c r="K137" s="0" t="s">
        <v>840</v>
      </c>
      <c r="L137" s="0" t="n">
        <v>3.9</v>
      </c>
      <c r="M137" s="0" t="n">
        <v>1</v>
      </c>
      <c r="N137" s="0" t="n">
        <v>14140.58</v>
      </c>
      <c r="O137" s="0" t="n">
        <v>3501.22</v>
      </c>
      <c r="P137" s="0" t="n">
        <v>1283.42</v>
      </c>
      <c r="Q137" s="0" t="s">
        <v>22</v>
      </c>
      <c r="R137" s="0" t="s">
        <v>51</v>
      </c>
      <c r="S137" s="0" t="s">
        <v>254</v>
      </c>
    </row>
    <row r="138" customFormat="false" ht="15" hidden="false" customHeight="false" outlineLevel="0" collapsed="false">
      <c r="A138" s="0" t="s">
        <v>841</v>
      </c>
      <c r="B138" s="0" t="s">
        <v>47</v>
      </c>
      <c r="C138" s="0" t="s">
        <v>209</v>
      </c>
      <c r="D138" s="0" t="s">
        <v>198</v>
      </c>
      <c r="E138" s="0" t="s">
        <v>42</v>
      </c>
      <c r="F138" s="0" t="n">
        <v>12.63</v>
      </c>
      <c r="G138" s="0" t="s">
        <v>546</v>
      </c>
      <c r="H138" s="0" t="s">
        <v>358</v>
      </c>
      <c r="I138" s="0" t="s">
        <v>325</v>
      </c>
      <c r="J138" s="0" t="s">
        <v>842</v>
      </c>
      <c r="K138" s="0" t="s">
        <v>843</v>
      </c>
      <c r="L138" s="0" t="n">
        <v>6.1</v>
      </c>
      <c r="M138" s="0" t="n">
        <v>1</v>
      </c>
      <c r="N138" s="0" t="n">
        <v>6969.43</v>
      </c>
      <c r="O138" s="0" t="n">
        <v>3926.36</v>
      </c>
      <c r="P138" s="0" t="n">
        <v>581.63</v>
      </c>
      <c r="Q138" s="0" t="s">
        <v>25</v>
      </c>
      <c r="R138" s="0" t="s">
        <v>52</v>
      </c>
      <c r="S138" s="0" t="s">
        <v>222</v>
      </c>
    </row>
    <row r="139" customFormat="false" ht="15" hidden="false" customHeight="false" outlineLevel="0" collapsed="false">
      <c r="A139" s="0" t="s">
        <v>844</v>
      </c>
      <c r="B139" s="0" t="s">
        <v>47</v>
      </c>
      <c r="C139" s="0" t="s">
        <v>209</v>
      </c>
      <c r="D139" s="0" t="s">
        <v>198</v>
      </c>
      <c r="E139" s="0" t="s">
        <v>44</v>
      </c>
      <c r="F139" s="0" t="n">
        <v>2.15</v>
      </c>
      <c r="G139" s="0" t="s">
        <v>845</v>
      </c>
      <c r="H139" s="0" t="s">
        <v>515</v>
      </c>
      <c r="I139" s="0" t="s">
        <v>846</v>
      </c>
      <c r="J139" s="0" t="s">
        <v>847</v>
      </c>
      <c r="K139" s="0" t="s">
        <v>848</v>
      </c>
      <c r="L139" s="0" t="n">
        <v>3.4</v>
      </c>
      <c r="M139" s="0" t="n">
        <v>1</v>
      </c>
      <c r="N139" s="0" t="n">
        <v>2330.54</v>
      </c>
      <c r="O139" s="0" t="n">
        <v>2347.58</v>
      </c>
      <c r="P139" s="0" t="n">
        <v>682.12</v>
      </c>
      <c r="Q139" s="0" t="s">
        <v>22</v>
      </c>
      <c r="R139" s="0" t="s">
        <v>52</v>
      </c>
      <c r="S139" s="0" t="s">
        <v>254</v>
      </c>
    </row>
    <row r="140" customFormat="false" ht="15" hidden="false" customHeight="false" outlineLevel="0" collapsed="false">
      <c r="A140" s="0" t="s">
        <v>849</v>
      </c>
      <c r="B140" s="0" t="s">
        <v>47</v>
      </c>
      <c r="C140" s="0" t="s">
        <v>205</v>
      </c>
      <c r="D140" s="0" t="s">
        <v>198</v>
      </c>
      <c r="E140" s="0" t="s">
        <v>42</v>
      </c>
      <c r="F140" s="0" t="n">
        <v>16</v>
      </c>
      <c r="G140" s="0" t="s">
        <v>440</v>
      </c>
      <c r="H140" s="0" t="s">
        <v>696</v>
      </c>
      <c r="I140" s="0" t="s">
        <v>850</v>
      </c>
      <c r="J140" s="0" t="s">
        <v>851</v>
      </c>
      <c r="K140" s="0" t="s">
        <v>852</v>
      </c>
      <c r="L140" s="0" t="n">
        <v>3.5</v>
      </c>
      <c r="M140" s="0" t="n">
        <v>1</v>
      </c>
      <c r="N140" s="0" t="n">
        <v>6879.92</v>
      </c>
      <c r="O140" s="0" t="n">
        <v>3720.91</v>
      </c>
      <c r="P140" s="0" t="n">
        <v>572.2</v>
      </c>
      <c r="Q140" s="0" t="s">
        <v>24</v>
      </c>
      <c r="R140" s="0" t="s">
        <v>52</v>
      </c>
      <c r="S140" s="0" t="s">
        <v>228</v>
      </c>
    </row>
    <row r="141" customFormat="false" ht="15" hidden="false" customHeight="false" outlineLevel="0" collapsed="false">
      <c r="A141" s="0" t="s">
        <v>853</v>
      </c>
      <c r="B141" s="0" t="s">
        <v>47</v>
      </c>
      <c r="C141" s="0" t="s">
        <v>203</v>
      </c>
      <c r="D141" s="0" t="s">
        <v>198</v>
      </c>
      <c r="E141" s="0" t="s">
        <v>43</v>
      </c>
      <c r="F141" s="0" t="n">
        <v>1.58</v>
      </c>
      <c r="G141" s="0" t="s">
        <v>516</v>
      </c>
      <c r="H141" s="0" t="s">
        <v>854</v>
      </c>
      <c r="I141" s="0" t="s">
        <v>482</v>
      </c>
      <c r="J141" s="0" t="s">
        <v>855</v>
      </c>
      <c r="K141" s="0" t="s">
        <v>312</v>
      </c>
      <c r="L141" s="0" t="n">
        <v>-1</v>
      </c>
      <c r="M141" s="0" t="n">
        <v>0</v>
      </c>
      <c r="N141" s="0" t="n">
        <v>2106.85</v>
      </c>
      <c r="O141" s="0" t="n">
        <v>3515.06</v>
      </c>
      <c r="P141" s="0" t="n">
        <v>1235.35</v>
      </c>
      <c r="Q141" s="0" t="s">
        <v>22</v>
      </c>
      <c r="R141" s="0" t="s">
        <v>51</v>
      </c>
      <c r="S141" s="0" t="s">
        <v>254</v>
      </c>
    </row>
    <row r="142" customFormat="false" ht="15" hidden="false" customHeight="false" outlineLevel="0" collapsed="false">
      <c r="A142" s="0" t="s">
        <v>856</v>
      </c>
      <c r="B142" s="0" t="s">
        <v>48</v>
      </c>
      <c r="C142" s="0" t="s">
        <v>198</v>
      </c>
      <c r="D142" s="0" t="s">
        <v>211</v>
      </c>
      <c r="E142" s="0" t="s">
        <v>43</v>
      </c>
      <c r="F142" s="0" t="n">
        <v>15.59</v>
      </c>
      <c r="G142" s="0" t="s">
        <v>522</v>
      </c>
      <c r="H142" s="0" t="s">
        <v>326</v>
      </c>
      <c r="I142" s="0" t="s">
        <v>624</v>
      </c>
      <c r="J142" s="0" t="s">
        <v>857</v>
      </c>
      <c r="K142" s="0" t="s">
        <v>858</v>
      </c>
      <c r="L142" s="0" t="n">
        <v>-1</v>
      </c>
      <c r="M142" s="0" t="n">
        <v>0</v>
      </c>
      <c r="N142" s="0" t="n">
        <v>7306.6</v>
      </c>
      <c r="O142" s="0" t="n">
        <v>3390.89</v>
      </c>
      <c r="P142" s="0" t="n">
        <v>1292.96</v>
      </c>
      <c r="Q142" s="0" t="s">
        <v>23</v>
      </c>
      <c r="R142" s="0" t="s">
        <v>51</v>
      </c>
      <c r="S142" s="0" t="s">
        <v>228</v>
      </c>
    </row>
    <row r="143" customFormat="false" ht="15" hidden="false" customHeight="false" outlineLevel="0" collapsed="false">
      <c r="A143" s="0" t="s">
        <v>859</v>
      </c>
      <c r="B143" s="0" t="s">
        <v>47</v>
      </c>
      <c r="C143" s="0" t="s">
        <v>199</v>
      </c>
      <c r="D143" s="0" t="s">
        <v>198</v>
      </c>
      <c r="E143" s="0" t="s">
        <v>42</v>
      </c>
      <c r="F143" s="0" t="n">
        <v>13.45</v>
      </c>
      <c r="G143" s="0" t="s">
        <v>225</v>
      </c>
      <c r="H143" s="0" t="s">
        <v>444</v>
      </c>
      <c r="I143" s="0" t="s">
        <v>860</v>
      </c>
      <c r="J143" s="0" t="s">
        <v>861</v>
      </c>
      <c r="K143" s="0" t="s">
        <v>862</v>
      </c>
      <c r="L143" s="0" t="n">
        <v>8</v>
      </c>
      <c r="M143" s="0" t="n">
        <v>1</v>
      </c>
      <c r="N143" s="0" t="n">
        <v>5899.28</v>
      </c>
      <c r="O143" s="0" t="n">
        <v>4343.99</v>
      </c>
      <c r="P143" s="0" t="n">
        <v>735.79</v>
      </c>
      <c r="Q143" s="0" t="s">
        <v>21</v>
      </c>
      <c r="R143" s="0" t="s">
        <v>51</v>
      </c>
      <c r="S143" s="0" t="s">
        <v>222</v>
      </c>
    </row>
    <row r="144" customFormat="false" ht="15" hidden="false" customHeight="false" outlineLevel="0" collapsed="false">
      <c r="A144" s="0" t="s">
        <v>863</v>
      </c>
      <c r="B144" s="0" t="s">
        <v>47</v>
      </c>
      <c r="C144" s="0" t="s">
        <v>203</v>
      </c>
      <c r="D144" s="0" t="s">
        <v>198</v>
      </c>
      <c r="E144" s="0" t="s">
        <v>44</v>
      </c>
      <c r="F144" s="0" t="n">
        <v>15.74</v>
      </c>
      <c r="G144" s="0" t="s">
        <v>657</v>
      </c>
      <c r="H144" s="0" t="s">
        <v>647</v>
      </c>
      <c r="I144" s="0" t="s">
        <v>588</v>
      </c>
      <c r="J144" s="0" t="s">
        <v>864</v>
      </c>
      <c r="K144" s="0" t="s">
        <v>400</v>
      </c>
      <c r="L144" s="0" t="n">
        <v>3</v>
      </c>
      <c r="M144" s="0" t="n">
        <v>1</v>
      </c>
      <c r="N144" s="0" t="n">
        <v>5393.36</v>
      </c>
      <c r="O144" s="0" t="n">
        <v>2620.08</v>
      </c>
      <c r="P144" s="0" t="n">
        <v>1092.92</v>
      </c>
      <c r="Q144" s="0" t="s">
        <v>25</v>
      </c>
      <c r="R144" s="0" t="s">
        <v>52</v>
      </c>
      <c r="S144" s="0" t="s">
        <v>254</v>
      </c>
    </row>
    <row r="145" customFormat="false" ht="15" hidden="false" customHeight="false" outlineLevel="0" collapsed="false">
      <c r="A145" s="0" t="s">
        <v>865</v>
      </c>
      <c r="B145" s="0" t="s">
        <v>48</v>
      </c>
      <c r="C145" s="0" t="s">
        <v>198</v>
      </c>
      <c r="D145" s="0" t="s">
        <v>204</v>
      </c>
      <c r="E145" s="0" t="s">
        <v>44</v>
      </c>
      <c r="F145" s="0" t="n">
        <v>12.01</v>
      </c>
      <c r="G145" s="0" t="s">
        <v>866</v>
      </c>
      <c r="H145" s="0" t="s">
        <v>696</v>
      </c>
      <c r="I145" s="0" t="s">
        <v>867</v>
      </c>
      <c r="J145" s="0" t="s">
        <v>851</v>
      </c>
      <c r="K145" s="0" t="s">
        <v>868</v>
      </c>
      <c r="L145" s="0" t="n">
        <v>1.1</v>
      </c>
      <c r="M145" s="0" t="n">
        <v>1</v>
      </c>
      <c r="N145" s="0" t="n">
        <v>4885.78</v>
      </c>
      <c r="O145" s="0" t="n">
        <v>4431.95</v>
      </c>
      <c r="P145" s="0" t="n">
        <v>509.03</v>
      </c>
      <c r="Q145" s="0" t="s">
        <v>24</v>
      </c>
      <c r="R145" s="0" t="s">
        <v>52</v>
      </c>
      <c r="S145" s="0" t="s">
        <v>247</v>
      </c>
    </row>
    <row r="146" customFormat="false" ht="15" hidden="false" customHeight="false" outlineLevel="0" collapsed="false">
      <c r="A146" s="0" t="s">
        <v>869</v>
      </c>
      <c r="B146" s="0" t="s">
        <v>48</v>
      </c>
      <c r="C146" s="0" t="s">
        <v>198</v>
      </c>
      <c r="D146" s="0" t="s">
        <v>214</v>
      </c>
      <c r="E146" s="0" t="s">
        <v>44</v>
      </c>
      <c r="F146" s="0" t="n">
        <v>12.18</v>
      </c>
      <c r="G146" s="0" t="s">
        <v>681</v>
      </c>
      <c r="H146" s="0" t="s">
        <v>267</v>
      </c>
      <c r="I146" s="0" t="s">
        <v>268</v>
      </c>
      <c r="J146" s="0" t="s">
        <v>870</v>
      </c>
      <c r="K146" s="0" t="s">
        <v>871</v>
      </c>
      <c r="L146" s="0" t="n">
        <v>1.5</v>
      </c>
      <c r="M146" s="0" t="n">
        <v>1</v>
      </c>
      <c r="N146" s="0" t="n">
        <v>6439.07</v>
      </c>
      <c r="O146" s="0" t="n">
        <v>1583.03</v>
      </c>
      <c r="P146" s="0" t="n">
        <v>949.43</v>
      </c>
      <c r="Q146" s="0" t="s">
        <v>24</v>
      </c>
      <c r="R146" s="0" t="s">
        <v>52</v>
      </c>
      <c r="S146" s="0" t="s">
        <v>247</v>
      </c>
    </row>
    <row r="147" customFormat="false" ht="15" hidden="false" customHeight="false" outlineLevel="0" collapsed="false">
      <c r="A147" s="0" t="s">
        <v>872</v>
      </c>
      <c r="B147" s="0" t="s">
        <v>48</v>
      </c>
      <c r="C147" s="0" t="s">
        <v>198</v>
      </c>
      <c r="D147" s="0" t="s">
        <v>212</v>
      </c>
      <c r="E147" s="0" t="s">
        <v>42</v>
      </c>
      <c r="F147" s="0" t="n">
        <v>12.17</v>
      </c>
      <c r="G147" s="0" t="s">
        <v>709</v>
      </c>
      <c r="H147" s="0" t="s">
        <v>710</v>
      </c>
      <c r="I147" s="0" t="s">
        <v>873</v>
      </c>
      <c r="J147" s="0" t="s">
        <v>874</v>
      </c>
      <c r="K147" s="0" t="s">
        <v>411</v>
      </c>
      <c r="L147" s="0" t="n">
        <v>5</v>
      </c>
      <c r="M147" s="0" t="n">
        <v>1</v>
      </c>
      <c r="N147" s="0" t="n">
        <v>4693.49</v>
      </c>
      <c r="O147" s="0" t="n">
        <v>3655.22</v>
      </c>
      <c r="P147" s="0" t="n">
        <v>974.63</v>
      </c>
      <c r="Q147" s="0" t="s">
        <v>23</v>
      </c>
      <c r="R147" s="0" t="s">
        <v>52</v>
      </c>
      <c r="S147" s="0" t="s">
        <v>272</v>
      </c>
    </row>
    <row r="148" customFormat="false" ht="15" hidden="false" customHeight="false" outlineLevel="0" collapsed="false">
      <c r="A148" s="0" t="s">
        <v>875</v>
      </c>
      <c r="B148" s="0" t="s">
        <v>47</v>
      </c>
      <c r="C148" s="0" t="s">
        <v>205</v>
      </c>
      <c r="D148" s="0" t="s">
        <v>198</v>
      </c>
      <c r="E148" s="0" t="s">
        <v>43</v>
      </c>
      <c r="F148" s="0" t="n">
        <v>17.04</v>
      </c>
      <c r="G148" s="0" t="s">
        <v>292</v>
      </c>
      <c r="H148" s="0" t="s">
        <v>876</v>
      </c>
      <c r="I148" s="0" t="s">
        <v>430</v>
      </c>
      <c r="J148" s="0" t="s">
        <v>877</v>
      </c>
      <c r="K148" s="0" t="s">
        <v>878</v>
      </c>
      <c r="L148" s="0" t="n">
        <v>0.5</v>
      </c>
      <c r="M148" s="0" t="n">
        <v>1</v>
      </c>
      <c r="N148" s="0" t="n">
        <v>5507.35</v>
      </c>
      <c r="O148" s="0" t="n">
        <v>4746.42</v>
      </c>
      <c r="P148" s="0" t="n">
        <v>539.34</v>
      </c>
      <c r="Q148" s="0" t="s">
        <v>24</v>
      </c>
      <c r="R148" s="0" t="s">
        <v>51</v>
      </c>
      <c r="S148" s="0" t="s">
        <v>228</v>
      </c>
    </row>
    <row r="149" customFormat="false" ht="15" hidden="false" customHeight="false" outlineLevel="0" collapsed="false">
      <c r="A149" s="0" t="s">
        <v>879</v>
      </c>
      <c r="B149" s="0" t="s">
        <v>47</v>
      </c>
      <c r="C149" s="0" t="s">
        <v>199</v>
      </c>
      <c r="D149" s="0" t="s">
        <v>198</v>
      </c>
      <c r="E149" s="0" t="s">
        <v>43</v>
      </c>
      <c r="F149" s="0" t="n">
        <v>3.32</v>
      </c>
      <c r="G149" s="0" t="s">
        <v>609</v>
      </c>
      <c r="H149" s="0" t="s">
        <v>880</v>
      </c>
      <c r="I149" s="0" t="s">
        <v>546</v>
      </c>
      <c r="J149" s="0" t="s">
        <v>881</v>
      </c>
      <c r="K149" s="0" t="s">
        <v>882</v>
      </c>
      <c r="L149" s="0" t="n">
        <v>2.1</v>
      </c>
      <c r="M149" s="0" t="n">
        <v>1</v>
      </c>
      <c r="N149" s="0" t="n">
        <v>1798.49</v>
      </c>
      <c r="O149" s="0" t="n">
        <v>1593.37</v>
      </c>
      <c r="P149" s="0" t="n">
        <v>1486.63</v>
      </c>
      <c r="Q149" s="0" t="s">
        <v>22</v>
      </c>
      <c r="R149" s="0" t="s">
        <v>52</v>
      </c>
      <c r="S149" s="0" t="s">
        <v>228</v>
      </c>
    </row>
    <row r="150" customFormat="false" ht="15" hidden="false" customHeight="false" outlineLevel="0" collapsed="false">
      <c r="A150" s="0" t="s">
        <v>883</v>
      </c>
      <c r="B150" s="0" t="s">
        <v>48</v>
      </c>
      <c r="C150" s="0" t="s">
        <v>198</v>
      </c>
      <c r="D150" s="0" t="s">
        <v>204</v>
      </c>
      <c r="E150" s="0" t="s">
        <v>43</v>
      </c>
      <c r="F150" s="0" t="n">
        <v>19.34</v>
      </c>
      <c r="G150" s="0" t="s">
        <v>748</v>
      </c>
      <c r="H150" s="0" t="s">
        <v>884</v>
      </c>
      <c r="I150" s="0" t="s">
        <v>263</v>
      </c>
      <c r="J150" s="0" t="s">
        <v>885</v>
      </c>
      <c r="K150" s="0" t="s">
        <v>886</v>
      </c>
      <c r="L150" s="0" t="n">
        <v>2.2</v>
      </c>
      <c r="M150" s="0" t="n">
        <v>1</v>
      </c>
      <c r="N150" s="0" t="n">
        <v>8977.05</v>
      </c>
      <c r="O150" s="0" t="n">
        <v>3667.46</v>
      </c>
      <c r="P150" s="0" t="n">
        <v>639.65</v>
      </c>
      <c r="Q150" s="0" t="s">
        <v>25</v>
      </c>
      <c r="R150" s="0" t="s">
        <v>52</v>
      </c>
      <c r="S150" s="0" t="s">
        <v>228</v>
      </c>
    </row>
    <row r="151" customFormat="false" ht="15" hidden="false" customHeight="false" outlineLevel="0" collapsed="false">
      <c r="A151" s="0" t="s">
        <v>887</v>
      </c>
      <c r="B151" s="0" t="s">
        <v>47</v>
      </c>
      <c r="C151" s="0" t="s">
        <v>205</v>
      </c>
      <c r="D151" s="0" t="s">
        <v>198</v>
      </c>
      <c r="E151" s="0" t="s">
        <v>44</v>
      </c>
      <c r="F151" s="0" t="n">
        <v>1.57</v>
      </c>
      <c r="G151" s="0" t="s">
        <v>827</v>
      </c>
      <c r="H151" s="0" t="s">
        <v>483</v>
      </c>
      <c r="I151" s="0" t="s">
        <v>888</v>
      </c>
      <c r="J151" s="0" t="s">
        <v>889</v>
      </c>
      <c r="K151" s="0" t="s">
        <v>890</v>
      </c>
      <c r="L151" s="0" t="n">
        <v>3.2</v>
      </c>
      <c r="M151" s="0" t="n">
        <v>1</v>
      </c>
      <c r="N151" s="0" t="n">
        <v>2412.42</v>
      </c>
      <c r="O151" s="0" t="n">
        <v>1375.6</v>
      </c>
      <c r="P151" s="0" t="n">
        <v>1172.6</v>
      </c>
      <c r="Q151" s="0" t="s">
        <v>24</v>
      </c>
      <c r="R151" s="0" t="s">
        <v>51</v>
      </c>
      <c r="S151" s="0" t="s">
        <v>272</v>
      </c>
    </row>
    <row r="152" customFormat="false" ht="15" hidden="false" customHeight="false" outlineLevel="0" collapsed="false">
      <c r="A152" s="0" t="s">
        <v>891</v>
      </c>
      <c r="B152" s="0" t="s">
        <v>48</v>
      </c>
      <c r="C152" s="0" t="s">
        <v>198</v>
      </c>
      <c r="D152" s="0" t="s">
        <v>199</v>
      </c>
      <c r="E152" s="0" t="s">
        <v>42</v>
      </c>
      <c r="F152" s="0" t="n">
        <v>9.43</v>
      </c>
      <c r="G152" s="0" t="s">
        <v>685</v>
      </c>
      <c r="H152" s="0" t="s">
        <v>723</v>
      </c>
      <c r="I152" s="0" t="s">
        <v>687</v>
      </c>
      <c r="J152" s="0" t="s">
        <v>892</v>
      </c>
      <c r="K152" s="0" t="s">
        <v>893</v>
      </c>
      <c r="L152" s="0" t="n">
        <v>1.7</v>
      </c>
      <c r="M152" s="0" t="n">
        <v>1</v>
      </c>
      <c r="N152" s="0" t="n">
        <v>6525.6</v>
      </c>
      <c r="O152" s="0" t="n">
        <v>3282.44</v>
      </c>
      <c r="P152" s="0" t="n">
        <v>530.39</v>
      </c>
      <c r="Q152" s="0" t="s">
        <v>25</v>
      </c>
      <c r="R152" s="0" t="s">
        <v>52</v>
      </c>
      <c r="S152" s="0" t="s">
        <v>228</v>
      </c>
    </row>
    <row r="153" customFormat="false" ht="15" hidden="false" customHeight="false" outlineLevel="0" collapsed="false">
      <c r="A153" s="0" t="s">
        <v>894</v>
      </c>
      <c r="B153" s="0" t="s">
        <v>47</v>
      </c>
      <c r="C153" s="0" t="s">
        <v>203</v>
      </c>
      <c r="D153" s="0" t="s">
        <v>198</v>
      </c>
      <c r="E153" s="0" t="s">
        <v>43</v>
      </c>
      <c r="F153" s="0" t="n">
        <v>18.69</v>
      </c>
      <c r="G153" s="0" t="s">
        <v>895</v>
      </c>
      <c r="H153" s="0" t="s">
        <v>896</v>
      </c>
      <c r="I153" s="0" t="s">
        <v>832</v>
      </c>
      <c r="J153" s="0" t="s">
        <v>897</v>
      </c>
      <c r="K153" s="0" t="s">
        <v>898</v>
      </c>
      <c r="L153" s="0" t="n">
        <v>1.9</v>
      </c>
      <c r="M153" s="0" t="n">
        <v>1</v>
      </c>
      <c r="N153" s="0" t="n">
        <v>9070.74</v>
      </c>
      <c r="O153" s="0" t="n">
        <v>3604.93</v>
      </c>
      <c r="P153" s="0" t="n">
        <v>606.59</v>
      </c>
      <c r="Q153" s="0" t="s">
        <v>25</v>
      </c>
      <c r="R153" s="0" t="s">
        <v>51</v>
      </c>
      <c r="S153" s="0" t="s">
        <v>254</v>
      </c>
    </row>
    <row r="154" customFormat="false" ht="15" hidden="false" customHeight="false" outlineLevel="0" collapsed="false">
      <c r="A154" s="0" t="s">
        <v>899</v>
      </c>
      <c r="B154" s="0" t="s">
        <v>48</v>
      </c>
      <c r="C154" s="0" t="s">
        <v>198</v>
      </c>
      <c r="D154" s="0" t="s">
        <v>214</v>
      </c>
      <c r="E154" s="0" t="s">
        <v>44</v>
      </c>
      <c r="F154" s="0" t="n">
        <v>13.5</v>
      </c>
      <c r="G154" s="0" t="s">
        <v>444</v>
      </c>
      <c r="H154" s="0" t="s">
        <v>497</v>
      </c>
      <c r="I154" s="0" t="s">
        <v>445</v>
      </c>
      <c r="J154" s="0" t="s">
        <v>900</v>
      </c>
      <c r="K154" s="0" t="s">
        <v>901</v>
      </c>
      <c r="L154" s="0" t="n">
        <v>1</v>
      </c>
      <c r="M154" s="0" t="n">
        <v>1</v>
      </c>
      <c r="N154" s="0" t="n">
        <v>9467.11</v>
      </c>
      <c r="O154" s="0" t="n">
        <v>2616.56</v>
      </c>
      <c r="P154" s="0" t="n">
        <v>827.03</v>
      </c>
      <c r="Q154" s="0" t="s">
        <v>21</v>
      </c>
      <c r="R154" s="0" t="s">
        <v>52</v>
      </c>
      <c r="S154" s="0" t="s">
        <v>254</v>
      </c>
    </row>
    <row r="155" customFormat="false" ht="15" hidden="false" customHeight="false" outlineLevel="0" collapsed="false">
      <c r="A155" s="0" t="s">
        <v>902</v>
      </c>
      <c r="B155" s="0" t="s">
        <v>48</v>
      </c>
      <c r="C155" s="0" t="s">
        <v>198</v>
      </c>
      <c r="D155" s="0" t="s">
        <v>204</v>
      </c>
      <c r="E155" s="0" t="s">
        <v>43</v>
      </c>
      <c r="F155" s="0" t="n">
        <v>13.68</v>
      </c>
      <c r="G155" s="0" t="s">
        <v>293</v>
      </c>
      <c r="H155" s="0" t="s">
        <v>294</v>
      </c>
      <c r="I155" s="0" t="s">
        <v>605</v>
      </c>
      <c r="J155" s="0" t="s">
        <v>903</v>
      </c>
      <c r="K155" s="0" t="s">
        <v>904</v>
      </c>
      <c r="L155" s="0" t="n">
        <v>2.6</v>
      </c>
      <c r="M155" s="0" t="n">
        <v>1</v>
      </c>
      <c r="N155" s="0" t="n">
        <v>7581.1</v>
      </c>
      <c r="O155" s="0" t="n">
        <v>1480.84</v>
      </c>
      <c r="P155" s="0" t="n">
        <v>1044.49</v>
      </c>
      <c r="Q155" s="0" t="s">
        <v>24</v>
      </c>
      <c r="R155" s="0" t="s">
        <v>51</v>
      </c>
      <c r="S155" s="0" t="s">
        <v>254</v>
      </c>
    </row>
    <row r="156" customFormat="false" ht="15" hidden="false" customHeight="false" outlineLevel="0" collapsed="false">
      <c r="A156" s="0" t="s">
        <v>905</v>
      </c>
      <c r="B156" s="0" t="s">
        <v>47</v>
      </c>
      <c r="C156" s="0" t="s">
        <v>206</v>
      </c>
      <c r="D156" s="0" t="s">
        <v>198</v>
      </c>
      <c r="E156" s="0" t="s">
        <v>42</v>
      </c>
      <c r="F156" s="0" t="n">
        <v>1.11</v>
      </c>
      <c r="G156" s="0" t="s">
        <v>906</v>
      </c>
      <c r="H156" s="0" t="s">
        <v>907</v>
      </c>
      <c r="I156" s="0" t="s">
        <v>908</v>
      </c>
      <c r="J156" s="0" t="s">
        <v>909</v>
      </c>
      <c r="K156" s="0" t="s">
        <v>910</v>
      </c>
      <c r="L156" s="0" t="n">
        <v>4.6</v>
      </c>
      <c r="M156" s="0" t="n">
        <v>1</v>
      </c>
      <c r="N156" s="0" t="n">
        <v>1380.83</v>
      </c>
      <c r="O156" s="0" t="n">
        <v>1909.08</v>
      </c>
      <c r="P156" s="0" t="n">
        <v>573.2</v>
      </c>
      <c r="Q156" s="0" t="s">
        <v>25</v>
      </c>
      <c r="R156" s="0" t="s">
        <v>51</v>
      </c>
      <c r="S156" s="0" t="s">
        <v>247</v>
      </c>
    </row>
    <row r="157" customFormat="false" ht="15" hidden="false" customHeight="false" outlineLevel="0" collapsed="false">
      <c r="A157" s="0" t="s">
        <v>911</v>
      </c>
      <c r="B157" s="0" t="s">
        <v>48</v>
      </c>
      <c r="C157" s="0" t="s">
        <v>198</v>
      </c>
      <c r="D157" s="0" t="s">
        <v>212</v>
      </c>
      <c r="E157" s="0" t="s">
        <v>44</v>
      </c>
      <c r="F157" s="0" t="n">
        <v>12.47</v>
      </c>
      <c r="G157" s="0" t="s">
        <v>912</v>
      </c>
      <c r="H157" s="0" t="s">
        <v>913</v>
      </c>
      <c r="I157" s="0" t="s">
        <v>424</v>
      </c>
      <c r="J157" s="0" t="s">
        <v>914</v>
      </c>
      <c r="K157" s="0" t="s">
        <v>915</v>
      </c>
      <c r="L157" s="0" t="n">
        <v>-1</v>
      </c>
      <c r="M157" s="0" t="n">
        <v>0</v>
      </c>
      <c r="N157" s="0" t="n">
        <v>8096.89</v>
      </c>
      <c r="O157" s="0" t="n">
        <v>4388.67</v>
      </c>
      <c r="P157" s="0" t="n">
        <v>1414.24</v>
      </c>
      <c r="Q157" s="0" t="s">
        <v>22</v>
      </c>
      <c r="R157" s="0" t="s">
        <v>52</v>
      </c>
      <c r="S157" s="0" t="s">
        <v>272</v>
      </c>
    </row>
    <row r="158" customFormat="false" ht="15" hidden="false" customHeight="false" outlineLevel="0" collapsed="false">
      <c r="A158" s="0" t="s">
        <v>916</v>
      </c>
      <c r="B158" s="0" t="s">
        <v>47</v>
      </c>
      <c r="C158" s="0" t="s">
        <v>205</v>
      </c>
      <c r="D158" s="0" t="s">
        <v>198</v>
      </c>
      <c r="E158" s="0" t="s">
        <v>42</v>
      </c>
      <c r="F158" s="0" t="n">
        <v>16.46</v>
      </c>
      <c r="G158" s="0" t="s">
        <v>789</v>
      </c>
      <c r="H158" s="0" t="s">
        <v>280</v>
      </c>
      <c r="I158" s="0" t="s">
        <v>282</v>
      </c>
      <c r="J158" s="0" t="s">
        <v>917</v>
      </c>
      <c r="K158" s="0" t="s">
        <v>918</v>
      </c>
      <c r="L158" s="0" t="n">
        <v>1.6</v>
      </c>
      <c r="M158" s="0" t="n">
        <v>1</v>
      </c>
      <c r="N158" s="0" t="n">
        <v>11047.18</v>
      </c>
      <c r="O158" s="0" t="n">
        <v>3872.49</v>
      </c>
      <c r="P158" s="0" t="n">
        <v>1455.52</v>
      </c>
      <c r="Q158" s="0" t="s">
        <v>22</v>
      </c>
      <c r="R158" s="0" t="s">
        <v>52</v>
      </c>
      <c r="S158" s="0" t="s">
        <v>222</v>
      </c>
    </row>
    <row r="159" customFormat="false" ht="15" hidden="false" customHeight="false" outlineLevel="0" collapsed="false">
      <c r="A159" s="0" t="s">
        <v>919</v>
      </c>
      <c r="B159" s="0" t="s">
        <v>47</v>
      </c>
      <c r="C159" s="0" t="s">
        <v>203</v>
      </c>
      <c r="D159" s="0" t="s">
        <v>198</v>
      </c>
      <c r="E159" s="0" t="s">
        <v>44</v>
      </c>
      <c r="F159" s="0" t="n">
        <v>1.35</v>
      </c>
      <c r="G159" s="0" t="s">
        <v>920</v>
      </c>
      <c r="H159" s="0" t="s">
        <v>369</v>
      </c>
      <c r="I159" s="0" t="s">
        <v>304</v>
      </c>
      <c r="J159" s="0" t="s">
        <v>921</v>
      </c>
      <c r="K159" s="0" t="s">
        <v>922</v>
      </c>
      <c r="L159" s="0" t="n">
        <v>-1</v>
      </c>
      <c r="M159" s="0" t="n">
        <v>0</v>
      </c>
      <c r="N159" s="0" t="n">
        <v>2084.52</v>
      </c>
      <c r="O159" s="0" t="n">
        <v>2520.3</v>
      </c>
      <c r="P159" s="0" t="n">
        <v>697.15</v>
      </c>
      <c r="Q159" s="0" t="s">
        <v>21</v>
      </c>
      <c r="R159" s="0" t="s">
        <v>52</v>
      </c>
      <c r="S159" s="0" t="s">
        <v>254</v>
      </c>
    </row>
    <row r="160" customFormat="false" ht="15" hidden="false" customHeight="false" outlineLevel="0" collapsed="false">
      <c r="A160" s="0" t="s">
        <v>923</v>
      </c>
      <c r="B160" s="0" t="s">
        <v>48</v>
      </c>
      <c r="C160" s="0" t="s">
        <v>198</v>
      </c>
      <c r="D160" s="0" t="s">
        <v>199</v>
      </c>
      <c r="E160" s="0" t="s">
        <v>42</v>
      </c>
      <c r="F160" s="0" t="n">
        <v>10.1</v>
      </c>
      <c r="G160" s="0" t="s">
        <v>920</v>
      </c>
      <c r="H160" s="0" t="s">
        <v>369</v>
      </c>
      <c r="I160" s="0" t="s">
        <v>287</v>
      </c>
      <c r="J160" s="0" t="s">
        <v>924</v>
      </c>
      <c r="K160" s="0" t="s">
        <v>925</v>
      </c>
      <c r="L160" s="0" t="n">
        <v>-0.6</v>
      </c>
      <c r="M160" s="0" t="n">
        <v>0</v>
      </c>
      <c r="N160" s="0" t="n">
        <v>6844.02</v>
      </c>
      <c r="O160" s="0" t="n">
        <v>3323.73</v>
      </c>
      <c r="P160" s="0" t="n">
        <v>589.63</v>
      </c>
      <c r="Q160" s="0" t="s">
        <v>25</v>
      </c>
      <c r="R160" s="0" t="s">
        <v>52</v>
      </c>
      <c r="S160" s="0" t="s">
        <v>222</v>
      </c>
    </row>
    <row r="161" customFormat="false" ht="15" hidden="false" customHeight="false" outlineLevel="0" collapsed="false">
      <c r="A161" s="0" t="s">
        <v>926</v>
      </c>
      <c r="B161" s="0" t="s">
        <v>48</v>
      </c>
      <c r="C161" s="0" t="s">
        <v>198</v>
      </c>
      <c r="D161" s="0" t="s">
        <v>212</v>
      </c>
      <c r="E161" s="0" t="s">
        <v>43</v>
      </c>
      <c r="F161" s="0" t="n">
        <v>14.64</v>
      </c>
      <c r="G161" s="0" t="s">
        <v>533</v>
      </c>
      <c r="H161" s="0" t="s">
        <v>396</v>
      </c>
      <c r="I161" s="0" t="s">
        <v>397</v>
      </c>
      <c r="J161" s="0" t="s">
        <v>927</v>
      </c>
      <c r="K161" s="0" t="s">
        <v>928</v>
      </c>
      <c r="L161" s="0" t="n">
        <v>-1</v>
      </c>
      <c r="M161" s="0" t="n">
        <v>0</v>
      </c>
      <c r="N161" s="0" t="n">
        <v>5514.94</v>
      </c>
      <c r="O161" s="0" t="n">
        <v>4437.66</v>
      </c>
      <c r="P161" s="0" t="n">
        <v>1299.78</v>
      </c>
      <c r="Q161" s="0" t="s">
        <v>21</v>
      </c>
      <c r="R161" s="0" t="s">
        <v>52</v>
      </c>
      <c r="S161" s="0" t="s">
        <v>254</v>
      </c>
    </row>
    <row r="162" customFormat="false" ht="15" hidden="false" customHeight="false" outlineLevel="0" collapsed="false">
      <c r="A162" s="0" t="s">
        <v>929</v>
      </c>
      <c r="B162" s="0" t="s">
        <v>47</v>
      </c>
      <c r="C162" s="0" t="s">
        <v>209</v>
      </c>
      <c r="D162" s="0" t="s">
        <v>198</v>
      </c>
      <c r="E162" s="0" t="s">
        <v>44</v>
      </c>
      <c r="F162" s="0" t="n">
        <v>4.51</v>
      </c>
      <c r="G162" s="0" t="s">
        <v>380</v>
      </c>
      <c r="H162" s="0" t="s">
        <v>827</v>
      </c>
      <c r="I162" s="0" t="s">
        <v>888</v>
      </c>
      <c r="J162" s="0" t="s">
        <v>930</v>
      </c>
      <c r="K162" s="0" t="s">
        <v>931</v>
      </c>
      <c r="L162" s="0" t="n">
        <v>6.2</v>
      </c>
      <c r="M162" s="0" t="n">
        <v>1</v>
      </c>
      <c r="N162" s="0" t="n">
        <v>2813.12</v>
      </c>
      <c r="O162" s="0" t="n">
        <v>1449.22</v>
      </c>
      <c r="P162" s="0" t="n">
        <v>502.58</v>
      </c>
      <c r="Q162" s="0" t="s">
        <v>23</v>
      </c>
      <c r="R162" s="0" t="s">
        <v>51</v>
      </c>
      <c r="S162" s="0" t="s">
        <v>228</v>
      </c>
    </row>
    <row r="163" customFormat="false" ht="15" hidden="false" customHeight="false" outlineLevel="0" collapsed="false">
      <c r="A163" s="0" t="s">
        <v>932</v>
      </c>
      <c r="B163" s="0" t="s">
        <v>48</v>
      </c>
      <c r="C163" s="0" t="s">
        <v>198</v>
      </c>
      <c r="D163" s="0" t="s">
        <v>213</v>
      </c>
      <c r="E163" s="0" t="s">
        <v>43</v>
      </c>
      <c r="F163" s="0" t="n">
        <v>13.12</v>
      </c>
      <c r="G163" s="0" t="s">
        <v>326</v>
      </c>
      <c r="H163" s="0" t="s">
        <v>933</v>
      </c>
      <c r="I163" s="0" t="s">
        <v>934</v>
      </c>
      <c r="J163" s="0" t="s">
        <v>935</v>
      </c>
      <c r="K163" s="0" t="s">
        <v>936</v>
      </c>
      <c r="L163" s="0" t="n">
        <v>1.8</v>
      </c>
      <c r="M163" s="0" t="n">
        <v>1</v>
      </c>
      <c r="N163" s="0" t="n">
        <v>5689.96</v>
      </c>
      <c r="O163" s="0" t="n">
        <v>2443.09</v>
      </c>
      <c r="P163" s="0" t="n">
        <v>1405.89</v>
      </c>
      <c r="Q163" s="0" t="s">
        <v>24</v>
      </c>
      <c r="R163" s="0" t="s">
        <v>51</v>
      </c>
      <c r="S163" s="0" t="s">
        <v>228</v>
      </c>
    </row>
    <row r="164" customFormat="false" ht="15" hidden="false" customHeight="false" outlineLevel="0" collapsed="false">
      <c r="A164" s="0" t="s">
        <v>937</v>
      </c>
      <c r="B164" s="0" t="s">
        <v>48</v>
      </c>
      <c r="C164" s="0" t="s">
        <v>198</v>
      </c>
      <c r="D164" s="0" t="s">
        <v>201</v>
      </c>
      <c r="E164" s="0" t="s">
        <v>42</v>
      </c>
      <c r="F164" s="0" t="n">
        <v>15.63</v>
      </c>
      <c r="G164" s="0" t="s">
        <v>572</v>
      </c>
      <c r="H164" s="0" t="s">
        <v>938</v>
      </c>
      <c r="I164" s="0" t="s">
        <v>338</v>
      </c>
      <c r="J164" s="0" t="s">
        <v>939</v>
      </c>
      <c r="K164" s="0" t="s">
        <v>940</v>
      </c>
      <c r="L164" s="0" t="n">
        <v>4.4</v>
      </c>
      <c r="M164" s="0" t="n">
        <v>1</v>
      </c>
      <c r="N164" s="0" t="n">
        <v>9941.59</v>
      </c>
      <c r="O164" s="0" t="n">
        <v>4066.62</v>
      </c>
      <c r="P164" s="0" t="n">
        <v>649.7</v>
      </c>
      <c r="Q164" s="0" t="s">
        <v>25</v>
      </c>
      <c r="R164" s="0" t="s">
        <v>52</v>
      </c>
      <c r="S164" s="0" t="s">
        <v>222</v>
      </c>
    </row>
    <row r="165" customFormat="false" ht="15" hidden="false" customHeight="false" outlineLevel="0" collapsed="false">
      <c r="A165" s="0" t="s">
        <v>941</v>
      </c>
      <c r="B165" s="0" t="s">
        <v>47</v>
      </c>
      <c r="C165" s="0" t="s">
        <v>205</v>
      </c>
      <c r="D165" s="0" t="s">
        <v>198</v>
      </c>
      <c r="E165" s="0" t="s">
        <v>44</v>
      </c>
      <c r="F165" s="0" t="n">
        <v>9.05</v>
      </c>
      <c r="G165" s="0" t="s">
        <v>692</v>
      </c>
      <c r="H165" s="0" t="s">
        <v>467</v>
      </c>
      <c r="I165" s="0" t="s">
        <v>814</v>
      </c>
      <c r="J165" s="0" t="s">
        <v>942</v>
      </c>
      <c r="K165" s="0" t="s">
        <v>943</v>
      </c>
      <c r="L165" s="0" t="n">
        <v>0.3</v>
      </c>
      <c r="M165" s="0" t="n">
        <v>1</v>
      </c>
      <c r="N165" s="0" t="n">
        <v>4809.31</v>
      </c>
      <c r="O165" s="0" t="n">
        <v>1713.78</v>
      </c>
      <c r="P165" s="0" t="n">
        <v>812.27</v>
      </c>
      <c r="Q165" s="0" t="s">
        <v>22</v>
      </c>
      <c r="R165" s="0" t="s">
        <v>52</v>
      </c>
      <c r="S165" s="0" t="s">
        <v>272</v>
      </c>
    </row>
    <row r="166" customFormat="false" ht="15" hidden="false" customHeight="false" outlineLevel="0" collapsed="false">
      <c r="A166" s="0" t="s">
        <v>944</v>
      </c>
      <c r="B166" s="0" t="s">
        <v>48</v>
      </c>
      <c r="C166" s="0" t="s">
        <v>198</v>
      </c>
      <c r="D166" s="0" t="s">
        <v>207</v>
      </c>
      <c r="E166" s="0" t="s">
        <v>44</v>
      </c>
      <c r="F166" s="0" t="n">
        <v>5.37</v>
      </c>
      <c r="G166" s="0" t="s">
        <v>945</v>
      </c>
      <c r="H166" s="0" t="s">
        <v>287</v>
      </c>
      <c r="I166" s="0" t="s">
        <v>667</v>
      </c>
      <c r="J166" s="0" t="s">
        <v>946</v>
      </c>
      <c r="K166" s="0" t="s">
        <v>947</v>
      </c>
      <c r="L166" s="0" t="n">
        <v>6.4</v>
      </c>
      <c r="M166" s="0" t="n">
        <v>1</v>
      </c>
      <c r="N166" s="0" t="n">
        <v>2284.39</v>
      </c>
      <c r="O166" s="0" t="n">
        <v>3388.19</v>
      </c>
      <c r="P166" s="0" t="n">
        <v>1175.84</v>
      </c>
      <c r="Q166" s="0" t="s">
        <v>21</v>
      </c>
      <c r="R166" s="0" t="s">
        <v>52</v>
      </c>
      <c r="S166" s="0" t="s">
        <v>228</v>
      </c>
    </row>
    <row r="167" customFormat="false" ht="15" hidden="false" customHeight="false" outlineLevel="0" collapsed="false">
      <c r="A167" s="0" t="s">
        <v>948</v>
      </c>
      <c r="B167" s="0" t="s">
        <v>47</v>
      </c>
      <c r="C167" s="0" t="s">
        <v>199</v>
      </c>
      <c r="D167" s="0" t="s">
        <v>198</v>
      </c>
      <c r="E167" s="0" t="s">
        <v>43</v>
      </c>
      <c r="F167" s="0" t="n">
        <v>9.41</v>
      </c>
      <c r="G167" s="0" t="s">
        <v>528</v>
      </c>
      <c r="H167" s="0" t="s">
        <v>949</v>
      </c>
      <c r="I167" s="0" t="s">
        <v>950</v>
      </c>
      <c r="J167" s="0" t="s">
        <v>951</v>
      </c>
      <c r="K167" s="0" t="s">
        <v>952</v>
      </c>
      <c r="L167" s="0" t="n">
        <v>-1</v>
      </c>
      <c r="M167" s="0" t="n">
        <v>0</v>
      </c>
      <c r="N167" s="0" t="n">
        <v>5279.41</v>
      </c>
      <c r="O167" s="0" t="n">
        <v>3412.88</v>
      </c>
      <c r="P167" s="0" t="n">
        <v>837.23</v>
      </c>
      <c r="Q167" s="0" t="s">
        <v>21</v>
      </c>
      <c r="R167" s="0" t="s">
        <v>51</v>
      </c>
      <c r="S167" s="0" t="s">
        <v>272</v>
      </c>
    </row>
    <row r="168" customFormat="false" ht="15" hidden="false" customHeight="false" outlineLevel="0" collapsed="false">
      <c r="A168" s="0" t="s">
        <v>953</v>
      </c>
      <c r="B168" s="0" t="s">
        <v>47</v>
      </c>
      <c r="C168" s="0" t="s">
        <v>199</v>
      </c>
      <c r="D168" s="0" t="s">
        <v>198</v>
      </c>
      <c r="E168" s="0" t="s">
        <v>42</v>
      </c>
      <c r="F168" s="0" t="n">
        <v>18.2</v>
      </c>
      <c r="G168" s="0" t="s">
        <v>800</v>
      </c>
      <c r="H168" s="0" t="s">
        <v>954</v>
      </c>
      <c r="I168" s="0" t="s">
        <v>822</v>
      </c>
      <c r="J168" s="0" t="s">
        <v>955</v>
      </c>
      <c r="K168" s="0" t="s">
        <v>956</v>
      </c>
      <c r="L168" s="0" t="n">
        <v>-1</v>
      </c>
      <c r="M168" s="0" t="n">
        <v>0</v>
      </c>
      <c r="N168" s="0" t="n">
        <v>8888.23</v>
      </c>
      <c r="O168" s="0" t="n">
        <v>4327.45</v>
      </c>
      <c r="P168" s="0" t="n">
        <v>1169.6</v>
      </c>
      <c r="Q168" s="0" t="s">
        <v>23</v>
      </c>
      <c r="R168" s="0" t="s">
        <v>52</v>
      </c>
      <c r="S168" s="0" t="s">
        <v>222</v>
      </c>
    </row>
    <row r="169" customFormat="false" ht="15" hidden="false" customHeight="false" outlineLevel="0" collapsed="false">
      <c r="A169" s="0" t="s">
        <v>957</v>
      </c>
      <c r="B169" s="0" t="s">
        <v>48</v>
      </c>
      <c r="C169" s="0" t="s">
        <v>198</v>
      </c>
      <c r="D169" s="0" t="s">
        <v>201</v>
      </c>
      <c r="E169" s="0" t="s">
        <v>43</v>
      </c>
      <c r="F169" s="0" t="n">
        <v>2.33</v>
      </c>
      <c r="G169" s="0" t="s">
        <v>439</v>
      </c>
      <c r="H169" s="0" t="s">
        <v>701</v>
      </c>
      <c r="I169" s="0" t="s">
        <v>440</v>
      </c>
      <c r="J169" s="0" t="s">
        <v>958</v>
      </c>
      <c r="K169" s="0" t="s">
        <v>959</v>
      </c>
      <c r="L169" s="0" t="n">
        <v>-0.1</v>
      </c>
      <c r="M169" s="0" t="n">
        <v>0</v>
      </c>
      <c r="N169" s="0" t="n">
        <v>1888.24</v>
      </c>
      <c r="O169" s="0" t="n">
        <v>2332.01</v>
      </c>
      <c r="P169" s="0" t="n">
        <v>1169.49</v>
      </c>
      <c r="Q169" s="0" t="s">
        <v>21</v>
      </c>
      <c r="R169" s="0" t="s">
        <v>51</v>
      </c>
      <c r="S169" s="0" t="s">
        <v>247</v>
      </c>
    </row>
    <row r="170" customFormat="false" ht="15" hidden="false" customHeight="false" outlineLevel="0" collapsed="false">
      <c r="A170" s="0" t="s">
        <v>960</v>
      </c>
      <c r="B170" s="0" t="s">
        <v>47</v>
      </c>
      <c r="C170" s="0" t="s">
        <v>203</v>
      </c>
      <c r="D170" s="0" t="s">
        <v>198</v>
      </c>
      <c r="E170" s="0" t="s">
        <v>43</v>
      </c>
      <c r="F170" s="0" t="n">
        <v>19.89</v>
      </c>
      <c r="G170" s="0" t="s">
        <v>866</v>
      </c>
      <c r="H170" s="0" t="s">
        <v>867</v>
      </c>
      <c r="I170" s="0" t="s">
        <v>596</v>
      </c>
      <c r="J170" s="0" t="s">
        <v>961</v>
      </c>
      <c r="K170" s="0" t="s">
        <v>962</v>
      </c>
      <c r="L170" s="0" t="n">
        <v>-1</v>
      </c>
      <c r="M170" s="0" t="n">
        <v>0</v>
      </c>
      <c r="N170" s="0" t="n">
        <v>12252.66</v>
      </c>
      <c r="O170" s="0" t="n">
        <v>1701.21</v>
      </c>
      <c r="P170" s="0" t="n">
        <v>1190</v>
      </c>
      <c r="Q170" s="0" t="s">
        <v>25</v>
      </c>
      <c r="R170" s="0" t="s">
        <v>52</v>
      </c>
      <c r="S170" s="0" t="s">
        <v>228</v>
      </c>
    </row>
    <row r="171" customFormat="false" ht="15" hidden="false" customHeight="false" outlineLevel="0" collapsed="false">
      <c r="A171" s="0" t="s">
        <v>963</v>
      </c>
      <c r="B171" s="0" t="s">
        <v>48</v>
      </c>
      <c r="C171" s="0" t="s">
        <v>198</v>
      </c>
      <c r="D171" s="0" t="s">
        <v>214</v>
      </c>
      <c r="E171" s="0" t="s">
        <v>43</v>
      </c>
      <c r="F171" s="0" t="n">
        <v>4.82</v>
      </c>
      <c r="G171" s="0" t="s">
        <v>934</v>
      </c>
      <c r="H171" s="0" t="s">
        <v>570</v>
      </c>
      <c r="I171" s="0" t="s">
        <v>964</v>
      </c>
      <c r="J171" s="0" t="s">
        <v>965</v>
      </c>
      <c r="K171" s="0" t="s">
        <v>966</v>
      </c>
      <c r="L171" s="0" t="n">
        <v>0.1</v>
      </c>
      <c r="M171" s="0" t="n">
        <v>1</v>
      </c>
      <c r="N171" s="0" t="n">
        <v>3189.8</v>
      </c>
      <c r="O171" s="0" t="n">
        <v>3659.65</v>
      </c>
      <c r="P171" s="0" t="n">
        <v>1295.45</v>
      </c>
      <c r="Q171" s="0" t="s">
        <v>25</v>
      </c>
      <c r="R171" s="0" t="s">
        <v>51</v>
      </c>
      <c r="S171" s="0" t="s">
        <v>228</v>
      </c>
    </row>
    <row r="172" customFormat="false" ht="15" hidden="false" customHeight="false" outlineLevel="0" collapsed="false">
      <c r="A172" s="0" t="s">
        <v>967</v>
      </c>
      <c r="B172" s="0" t="s">
        <v>48</v>
      </c>
      <c r="C172" s="0" t="s">
        <v>198</v>
      </c>
      <c r="D172" s="0" t="s">
        <v>199</v>
      </c>
      <c r="E172" s="0" t="s">
        <v>44</v>
      </c>
      <c r="F172" s="0" t="n">
        <v>18.62</v>
      </c>
      <c r="G172" s="0" t="s">
        <v>727</v>
      </c>
      <c r="H172" s="0" t="s">
        <v>672</v>
      </c>
      <c r="I172" s="0" t="s">
        <v>968</v>
      </c>
      <c r="J172" s="0" t="s">
        <v>969</v>
      </c>
      <c r="K172" s="0" t="s">
        <v>970</v>
      </c>
      <c r="L172" s="0" t="n">
        <v>4.6</v>
      </c>
      <c r="M172" s="0" t="n">
        <v>1</v>
      </c>
      <c r="N172" s="0" t="n">
        <v>10980.05</v>
      </c>
      <c r="O172" s="0" t="n">
        <v>3494.34</v>
      </c>
      <c r="P172" s="0" t="n">
        <v>589.12</v>
      </c>
      <c r="Q172" s="0" t="s">
        <v>22</v>
      </c>
      <c r="R172" s="0" t="s">
        <v>51</v>
      </c>
      <c r="S172" s="0" t="s">
        <v>222</v>
      </c>
    </row>
    <row r="173" customFormat="false" ht="15" hidden="false" customHeight="false" outlineLevel="0" collapsed="false">
      <c r="A173" s="0" t="s">
        <v>971</v>
      </c>
      <c r="B173" s="0" t="s">
        <v>47</v>
      </c>
      <c r="C173" s="0" t="s">
        <v>205</v>
      </c>
      <c r="D173" s="0" t="s">
        <v>198</v>
      </c>
      <c r="E173" s="0" t="s">
        <v>44</v>
      </c>
      <c r="F173" s="0" t="n">
        <v>15.35</v>
      </c>
      <c r="G173" s="0" t="s">
        <v>243</v>
      </c>
      <c r="H173" s="0" t="s">
        <v>244</v>
      </c>
      <c r="I173" s="0" t="s">
        <v>413</v>
      </c>
      <c r="J173" s="0" t="s">
        <v>972</v>
      </c>
      <c r="K173" s="0" t="s">
        <v>943</v>
      </c>
      <c r="L173" s="0" t="n">
        <v>4.3</v>
      </c>
      <c r="M173" s="0" t="n">
        <v>1</v>
      </c>
      <c r="N173" s="0" t="n">
        <v>3847.61</v>
      </c>
      <c r="O173" s="0" t="n">
        <v>1909.43</v>
      </c>
      <c r="P173" s="0" t="n">
        <v>841.67</v>
      </c>
      <c r="Q173" s="0" t="s">
        <v>21</v>
      </c>
      <c r="R173" s="0" t="s">
        <v>51</v>
      </c>
      <c r="S173" s="0" t="s">
        <v>254</v>
      </c>
    </row>
    <row r="174" customFormat="false" ht="15" hidden="false" customHeight="false" outlineLevel="0" collapsed="false">
      <c r="A174" s="0" t="s">
        <v>973</v>
      </c>
      <c r="B174" s="0" t="s">
        <v>48</v>
      </c>
      <c r="C174" s="0" t="s">
        <v>198</v>
      </c>
      <c r="D174" s="0" t="s">
        <v>207</v>
      </c>
      <c r="E174" s="0" t="s">
        <v>43</v>
      </c>
      <c r="F174" s="0" t="n">
        <v>8.24</v>
      </c>
      <c r="G174" s="0" t="s">
        <v>632</v>
      </c>
      <c r="H174" s="0" t="s">
        <v>715</v>
      </c>
      <c r="I174" s="0" t="s">
        <v>576</v>
      </c>
      <c r="J174" s="0" t="s">
        <v>974</v>
      </c>
      <c r="K174" s="0" t="s">
        <v>975</v>
      </c>
      <c r="L174" s="0" t="n">
        <v>-0.5</v>
      </c>
      <c r="M174" s="0" t="n">
        <v>0</v>
      </c>
      <c r="N174" s="0" t="n">
        <v>7025.04</v>
      </c>
      <c r="O174" s="0" t="n">
        <v>1647.06</v>
      </c>
      <c r="P174" s="0" t="n">
        <v>1286.28</v>
      </c>
      <c r="Q174" s="0" t="s">
        <v>23</v>
      </c>
      <c r="R174" s="0" t="s">
        <v>52</v>
      </c>
      <c r="S174" s="0" t="s">
        <v>247</v>
      </c>
    </row>
    <row r="175" customFormat="false" ht="15" hidden="false" customHeight="false" outlineLevel="0" collapsed="false">
      <c r="A175" s="0" t="s">
        <v>976</v>
      </c>
      <c r="B175" s="0" t="s">
        <v>48</v>
      </c>
      <c r="C175" s="0" t="s">
        <v>198</v>
      </c>
      <c r="D175" s="0" t="s">
        <v>211</v>
      </c>
      <c r="E175" s="0" t="s">
        <v>42</v>
      </c>
      <c r="F175" s="0" t="n">
        <v>11.92</v>
      </c>
      <c r="G175" s="0" t="s">
        <v>977</v>
      </c>
      <c r="H175" s="0" t="s">
        <v>337</v>
      </c>
      <c r="I175" s="0" t="s">
        <v>978</v>
      </c>
      <c r="J175" s="0" t="s">
        <v>979</v>
      </c>
      <c r="K175" s="0" t="s">
        <v>980</v>
      </c>
      <c r="L175" s="0" t="n">
        <v>-1</v>
      </c>
      <c r="M175" s="0" t="n">
        <v>0</v>
      </c>
      <c r="N175" s="0" t="n">
        <v>5658.58</v>
      </c>
      <c r="O175" s="0" t="n">
        <v>3511.8</v>
      </c>
      <c r="P175" s="0" t="n">
        <v>1174.3</v>
      </c>
      <c r="Q175" s="0" t="s">
        <v>24</v>
      </c>
      <c r="R175" s="0" t="s">
        <v>52</v>
      </c>
      <c r="S175" s="0" t="s">
        <v>254</v>
      </c>
    </row>
    <row r="176" customFormat="false" ht="15" hidden="false" customHeight="false" outlineLevel="0" collapsed="false">
      <c r="A176" s="0" t="s">
        <v>981</v>
      </c>
      <c r="B176" s="0" t="s">
        <v>48</v>
      </c>
      <c r="C176" s="0" t="s">
        <v>198</v>
      </c>
      <c r="D176" s="0" t="s">
        <v>199</v>
      </c>
      <c r="E176" s="0" t="s">
        <v>44</v>
      </c>
      <c r="F176" s="0" t="n">
        <v>11.12</v>
      </c>
      <c r="G176" s="0" t="s">
        <v>833</v>
      </c>
      <c r="H176" s="0" t="s">
        <v>462</v>
      </c>
      <c r="I176" s="0" t="s">
        <v>982</v>
      </c>
      <c r="J176" s="0" t="s">
        <v>983</v>
      </c>
      <c r="K176" s="0" t="s">
        <v>984</v>
      </c>
      <c r="L176" s="0" t="n">
        <v>0.4</v>
      </c>
      <c r="M176" s="0" t="n">
        <v>1</v>
      </c>
      <c r="N176" s="0" t="n">
        <v>4892.27</v>
      </c>
      <c r="O176" s="0" t="n">
        <v>2384.4</v>
      </c>
      <c r="P176" s="0" t="n">
        <v>1475.61</v>
      </c>
      <c r="Q176" s="0" t="s">
        <v>24</v>
      </c>
      <c r="R176" s="0" t="s">
        <v>51</v>
      </c>
      <c r="S176" s="0" t="s">
        <v>222</v>
      </c>
    </row>
    <row r="177" customFormat="false" ht="15" hidden="false" customHeight="false" outlineLevel="0" collapsed="false">
      <c r="A177" s="0" t="s">
        <v>985</v>
      </c>
      <c r="B177" s="0" t="s">
        <v>47</v>
      </c>
      <c r="C177" s="0" t="s">
        <v>205</v>
      </c>
      <c r="D177" s="0" t="s">
        <v>198</v>
      </c>
      <c r="E177" s="0" t="s">
        <v>42</v>
      </c>
      <c r="F177" s="0" t="n">
        <v>13.18</v>
      </c>
      <c r="G177" s="0" t="s">
        <v>294</v>
      </c>
      <c r="H177" s="0" t="s">
        <v>604</v>
      </c>
      <c r="I177" s="0" t="s">
        <v>430</v>
      </c>
      <c r="J177" s="0" t="s">
        <v>986</v>
      </c>
      <c r="K177" s="0" t="s">
        <v>987</v>
      </c>
      <c r="L177" s="0" t="n">
        <v>4.9</v>
      </c>
      <c r="M177" s="0" t="n">
        <v>1</v>
      </c>
      <c r="N177" s="0" t="n">
        <v>5414.78</v>
      </c>
      <c r="O177" s="0" t="n">
        <v>4593.05</v>
      </c>
      <c r="P177" s="0" t="n">
        <v>1329.33</v>
      </c>
      <c r="Q177" s="0" t="s">
        <v>21</v>
      </c>
      <c r="R177" s="0" t="s">
        <v>52</v>
      </c>
      <c r="S177" s="0" t="s">
        <v>272</v>
      </c>
    </row>
    <row r="178" customFormat="false" ht="15" hidden="false" customHeight="false" outlineLevel="0" collapsed="false">
      <c r="A178" s="0" t="s">
        <v>988</v>
      </c>
      <c r="B178" s="0" t="s">
        <v>48</v>
      </c>
      <c r="C178" s="0" t="s">
        <v>198</v>
      </c>
      <c r="D178" s="0" t="s">
        <v>212</v>
      </c>
      <c r="E178" s="0" t="s">
        <v>44</v>
      </c>
      <c r="F178" s="0" t="n">
        <v>7.03</v>
      </c>
      <c r="G178" s="0" t="s">
        <v>217</v>
      </c>
      <c r="H178" s="0" t="s">
        <v>409</v>
      </c>
      <c r="I178" s="0" t="s">
        <v>496</v>
      </c>
      <c r="J178" s="0" t="s">
        <v>989</v>
      </c>
      <c r="K178" s="0" t="s">
        <v>990</v>
      </c>
      <c r="L178" s="0" t="n">
        <v>0.2</v>
      </c>
      <c r="M178" s="0" t="n">
        <v>1</v>
      </c>
      <c r="N178" s="0" t="n">
        <v>3344.12</v>
      </c>
      <c r="O178" s="0" t="n">
        <v>1319.86</v>
      </c>
      <c r="P178" s="0" t="n">
        <v>1276.72</v>
      </c>
      <c r="Q178" s="0" t="s">
        <v>23</v>
      </c>
      <c r="R178" s="0" t="s">
        <v>51</v>
      </c>
      <c r="S178" s="0" t="s">
        <v>228</v>
      </c>
    </row>
    <row r="179" customFormat="false" ht="15" hidden="false" customHeight="false" outlineLevel="0" collapsed="false">
      <c r="A179" s="0" t="s">
        <v>991</v>
      </c>
      <c r="B179" s="0" t="s">
        <v>48</v>
      </c>
      <c r="C179" s="0" t="s">
        <v>198</v>
      </c>
      <c r="D179" s="0" t="s">
        <v>211</v>
      </c>
      <c r="E179" s="0" t="s">
        <v>43</v>
      </c>
      <c r="F179" s="0" t="n">
        <v>3.32</v>
      </c>
      <c r="G179" s="0" t="s">
        <v>774</v>
      </c>
      <c r="H179" s="0" t="s">
        <v>992</v>
      </c>
      <c r="I179" s="0" t="s">
        <v>993</v>
      </c>
      <c r="J179" s="0" t="s">
        <v>994</v>
      </c>
      <c r="K179" s="0" t="s">
        <v>995</v>
      </c>
      <c r="L179" s="0" t="n">
        <v>1.4</v>
      </c>
      <c r="M179" s="0" t="n">
        <v>1</v>
      </c>
      <c r="N179" s="0" t="n">
        <v>2709.16</v>
      </c>
      <c r="O179" s="0" t="n">
        <v>1001.33</v>
      </c>
      <c r="P179" s="0" t="n">
        <v>517.69</v>
      </c>
      <c r="Q179" s="0" t="s">
        <v>22</v>
      </c>
      <c r="R179" s="0" t="s">
        <v>52</v>
      </c>
      <c r="S179" s="0" t="s">
        <v>222</v>
      </c>
    </row>
    <row r="180" customFormat="false" ht="15" hidden="false" customHeight="false" outlineLevel="0" collapsed="false">
      <c r="A180" s="0" t="s">
        <v>996</v>
      </c>
      <c r="B180" s="0" t="s">
        <v>48</v>
      </c>
      <c r="C180" s="0" t="s">
        <v>198</v>
      </c>
      <c r="D180" s="0" t="s">
        <v>211</v>
      </c>
      <c r="E180" s="0" t="s">
        <v>42</v>
      </c>
      <c r="F180" s="0" t="n">
        <v>12.45</v>
      </c>
      <c r="G180" s="0" t="s">
        <v>375</v>
      </c>
      <c r="H180" s="0" t="s">
        <v>557</v>
      </c>
      <c r="I180" s="0" t="s">
        <v>532</v>
      </c>
      <c r="J180" s="0" t="s">
        <v>997</v>
      </c>
      <c r="K180" s="0" t="s">
        <v>998</v>
      </c>
      <c r="L180" s="0" t="n">
        <v>1.4</v>
      </c>
      <c r="M180" s="0" t="n">
        <v>1</v>
      </c>
      <c r="N180" s="0" t="n">
        <v>7038.26</v>
      </c>
      <c r="O180" s="0" t="n">
        <v>3477.99</v>
      </c>
      <c r="P180" s="0" t="n">
        <v>797.36</v>
      </c>
      <c r="Q180" s="0" t="s">
        <v>25</v>
      </c>
      <c r="R180" s="0" t="s">
        <v>51</v>
      </c>
      <c r="S180" s="0" t="s">
        <v>272</v>
      </c>
    </row>
    <row r="181" customFormat="false" ht="15" hidden="false" customHeight="false" outlineLevel="0" collapsed="false">
      <c r="A181" s="0" t="s">
        <v>999</v>
      </c>
      <c r="B181" s="0" t="s">
        <v>47</v>
      </c>
      <c r="C181" s="0" t="s">
        <v>203</v>
      </c>
      <c r="D181" s="0" t="s">
        <v>198</v>
      </c>
      <c r="E181" s="0" t="s">
        <v>43</v>
      </c>
      <c r="F181" s="0" t="n">
        <v>9.18</v>
      </c>
      <c r="G181" s="0" t="s">
        <v>814</v>
      </c>
      <c r="H181" s="0" t="s">
        <v>1000</v>
      </c>
      <c r="I181" s="0" t="s">
        <v>368</v>
      </c>
      <c r="J181" s="0" t="s">
        <v>1001</v>
      </c>
      <c r="K181" s="0" t="s">
        <v>1002</v>
      </c>
      <c r="L181" s="0" t="n">
        <v>6.5</v>
      </c>
      <c r="M181" s="0" t="n">
        <v>1</v>
      </c>
      <c r="N181" s="0" t="n">
        <v>3297.35</v>
      </c>
      <c r="O181" s="0" t="n">
        <v>3766.47</v>
      </c>
      <c r="P181" s="0" t="n">
        <v>1118.05</v>
      </c>
      <c r="Q181" s="0" t="s">
        <v>22</v>
      </c>
      <c r="R181" s="0" t="s">
        <v>52</v>
      </c>
      <c r="S181" s="0" t="s">
        <v>222</v>
      </c>
    </row>
    <row r="182" customFormat="false" ht="15" hidden="false" customHeight="false" outlineLevel="0" collapsed="false">
      <c r="A182" s="0" t="s">
        <v>1003</v>
      </c>
      <c r="B182" s="0" t="s">
        <v>47</v>
      </c>
      <c r="C182" s="0" t="s">
        <v>205</v>
      </c>
      <c r="D182" s="0" t="s">
        <v>198</v>
      </c>
      <c r="E182" s="0" t="s">
        <v>44</v>
      </c>
      <c r="F182" s="0" t="n">
        <v>13.03</v>
      </c>
      <c r="G182" s="0" t="s">
        <v>288</v>
      </c>
      <c r="H182" s="0" t="s">
        <v>488</v>
      </c>
      <c r="I182" s="0" t="s">
        <v>845</v>
      </c>
      <c r="J182" s="0" t="s">
        <v>1004</v>
      </c>
      <c r="K182" s="0" t="s">
        <v>1005</v>
      </c>
      <c r="L182" s="0" t="n">
        <v>4.8</v>
      </c>
      <c r="M182" s="0" t="n">
        <v>1</v>
      </c>
      <c r="N182" s="0" t="n">
        <v>9045.76</v>
      </c>
      <c r="O182" s="0" t="n">
        <v>4168.37</v>
      </c>
      <c r="P182" s="0" t="n">
        <v>904.8</v>
      </c>
      <c r="Q182" s="0" t="s">
        <v>24</v>
      </c>
      <c r="R182" s="0" t="s">
        <v>51</v>
      </c>
      <c r="S182" s="0" t="s">
        <v>222</v>
      </c>
    </row>
    <row r="183" customFormat="false" ht="15" hidden="false" customHeight="false" outlineLevel="0" collapsed="false">
      <c r="A183" s="0" t="s">
        <v>1006</v>
      </c>
      <c r="B183" s="0" t="s">
        <v>47</v>
      </c>
      <c r="C183" s="0" t="s">
        <v>206</v>
      </c>
      <c r="D183" s="0" t="s">
        <v>198</v>
      </c>
      <c r="E183" s="0" t="s">
        <v>44</v>
      </c>
      <c r="F183" s="0" t="n">
        <v>13.43</v>
      </c>
      <c r="G183" s="0" t="s">
        <v>576</v>
      </c>
      <c r="H183" s="0" t="s">
        <v>375</v>
      </c>
      <c r="I183" s="0" t="s">
        <v>1007</v>
      </c>
      <c r="J183" s="0" t="s">
        <v>1008</v>
      </c>
      <c r="K183" s="0" t="s">
        <v>1009</v>
      </c>
      <c r="L183" s="0" t="n">
        <v>-1</v>
      </c>
      <c r="M183" s="0" t="n">
        <v>0</v>
      </c>
      <c r="N183" s="0" t="n">
        <v>5480.82</v>
      </c>
      <c r="O183" s="0" t="n">
        <v>2664.62</v>
      </c>
      <c r="P183" s="0" t="n">
        <v>981.34</v>
      </c>
      <c r="Q183" s="0" t="s">
        <v>22</v>
      </c>
      <c r="R183" s="0" t="s">
        <v>52</v>
      </c>
      <c r="S183" s="0" t="s">
        <v>222</v>
      </c>
    </row>
    <row r="184" customFormat="false" ht="15" hidden="false" customHeight="false" outlineLevel="0" collapsed="false">
      <c r="A184" s="0" t="s">
        <v>1010</v>
      </c>
      <c r="B184" s="0" t="s">
        <v>47</v>
      </c>
      <c r="C184" s="0" t="s">
        <v>203</v>
      </c>
      <c r="D184" s="0" t="s">
        <v>198</v>
      </c>
      <c r="E184" s="0" t="s">
        <v>44</v>
      </c>
      <c r="F184" s="0" t="n">
        <v>1.36</v>
      </c>
      <c r="G184" s="0" t="s">
        <v>516</v>
      </c>
      <c r="H184" s="0" t="s">
        <v>846</v>
      </c>
      <c r="I184" s="0" t="s">
        <v>310</v>
      </c>
      <c r="J184" s="0" t="s">
        <v>1011</v>
      </c>
      <c r="K184" s="0" t="s">
        <v>1012</v>
      </c>
      <c r="L184" s="0" t="n">
        <v>3.4</v>
      </c>
      <c r="M184" s="0" t="n">
        <v>1</v>
      </c>
      <c r="N184" s="0" t="n">
        <v>1237.16</v>
      </c>
      <c r="O184" s="0" t="n">
        <v>4903.5</v>
      </c>
      <c r="P184" s="0" t="n">
        <v>1301.54</v>
      </c>
      <c r="Q184" s="0" t="s">
        <v>21</v>
      </c>
      <c r="R184" s="0" t="s">
        <v>51</v>
      </c>
      <c r="S184" s="0" t="s">
        <v>254</v>
      </c>
    </row>
    <row r="185" customFormat="false" ht="15" hidden="false" customHeight="false" outlineLevel="0" collapsed="false">
      <c r="A185" s="0" t="s">
        <v>1013</v>
      </c>
      <c r="B185" s="0" t="s">
        <v>48</v>
      </c>
      <c r="C185" s="0" t="s">
        <v>198</v>
      </c>
      <c r="D185" s="0" t="s">
        <v>214</v>
      </c>
      <c r="E185" s="0" t="s">
        <v>43</v>
      </c>
      <c r="F185" s="0" t="n">
        <v>19.23</v>
      </c>
      <c r="G185" s="0" t="s">
        <v>276</v>
      </c>
      <c r="H185" s="0" t="s">
        <v>357</v>
      </c>
      <c r="I185" s="0" t="s">
        <v>507</v>
      </c>
      <c r="J185" s="0" t="s">
        <v>1014</v>
      </c>
      <c r="K185" s="0" t="s">
        <v>524</v>
      </c>
      <c r="L185" s="0" t="n">
        <v>-1</v>
      </c>
      <c r="M185" s="0" t="n">
        <v>0</v>
      </c>
      <c r="N185" s="0" t="n">
        <v>10387.39</v>
      </c>
      <c r="O185" s="0" t="n">
        <v>1392.33</v>
      </c>
      <c r="P185" s="0" t="n">
        <v>988.24</v>
      </c>
      <c r="Q185" s="0" t="s">
        <v>24</v>
      </c>
      <c r="R185" s="0" t="s">
        <v>52</v>
      </c>
      <c r="S185" s="0" t="s">
        <v>272</v>
      </c>
    </row>
    <row r="186" customFormat="false" ht="15" hidden="false" customHeight="false" outlineLevel="0" collapsed="false">
      <c r="A186" s="0" t="s">
        <v>1015</v>
      </c>
      <c r="B186" s="0" t="s">
        <v>48</v>
      </c>
      <c r="C186" s="0" t="s">
        <v>198</v>
      </c>
      <c r="D186" s="0" t="s">
        <v>201</v>
      </c>
      <c r="E186" s="0" t="s">
        <v>44</v>
      </c>
      <c r="F186" s="0" t="n">
        <v>3.85</v>
      </c>
      <c r="G186" s="0" t="s">
        <v>906</v>
      </c>
      <c r="H186" s="0" t="s">
        <v>714</v>
      </c>
      <c r="I186" s="0" t="s">
        <v>715</v>
      </c>
      <c r="J186" s="0" t="s">
        <v>1016</v>
      </c>
      <c r="K186" s="0" t="s">
        <v>1017</v>
      </c>
      <c r="L186" s="0" t="n">
        <v>-1</v>
      </c>
      <c r="M186" s="0" t="n">
        <v>0</v>
      </c>
      <c r="N186" s="0" t="n">
        <v>3266.69</v>
      </c>
      <c r="O186" s="0" t="n">
        <v>1532.58</v>
      </c>
      <c r="P186" s="0" t="n">
        <v>602.15</v>
      </c>
      <c r="Q186" s="0" t="s">
        <v>22</v>
      </c>
      <c r="R186" s="0" t="s">
        <v>51</v>
      </c>
      <c r="S186" s="0" t="s">
        <v>254</v>
      </c>
    </row>
    <row r="187" customFormat="false" ht="15" hidden="false" customHeight="false" outlineLevel="0" collapsed="false">
      <c r="A187" s="0" t="s">
        <v>1018</v>
      </c>
      <c r="B187" s="0" t="s">
        <v>47</v>
      </c>
      <c r="C187" s="0" t="s">
        <v>205</v>
      </c>
      <c r="D187" s="0" t="s">
        <v>198</v>
      </c>
      <c r="E187" s="0" t="s">
        <v>42</v>
      </c>
      <c r="F187" s="0" t="n">
        <v>13.52</v>
      </c>
      <c r="G187" s="0" t="s">
        <v>1019</v>
      </c>
      <c r="H187" s="0" t="s">
        <v>710</v>
      </c>
      <c r="I187" s="0" t="s">
        <v>256</v>
      </c>
      <c r="J187" s="0" t="s">
        <v>1020</v>
      </c>
      <c r="K187" s="0" t="s">
        <v>712</v>
      </c>
      <c r="L187" s="0" t="n">
        <v>-1</v>
      </c>
      <c r="M187" s="0" t="n">
        <v>0</v>
      </c>
      <c r="N187" s="0" t="n">
        <v>5883.03</v>
      </c>
      <c r="O187" s="0" t="n">
        <v>4607.05</v>
      </c>
      <c r="P187" s="0" t="n">
        <v>961.48</v>
      </c>
      <c r="Q187" s="0" t="s">
        <v>24</v>
      </c>
      <c r="R187" s="0" t="s">
        <v>52</v>
      </c>
      <c r="S187" s="0" t="s">
        <v>272</v>
      </c>
    </row>
    <row r="188" customFormat="false" ht="15" hidden="false" customHeight="false" outlineLevel="0" collapsed="false">
      <c r="A188" s="0" t="s">
        <v>1021</v>
      </c>
      <c r="B188" s="0" t="s">
        <v>48</v>
      </c>
      <c r="C188" s="0" t="s">
        <v>198</v>
      </c>
      <c r="D188" s="0" t="s">
        <v>204</v>
      </c>
      <c r="E188" s="0" t="s">
        <v>43</v>
      </c>
      <c r="F188" s="0" t="n">
        <v>13.11</v>
      </c>
      <c r="G188" s="0" t="s">
        <v>440</v>
      </c>
      <c r="H188" s="0" t="s">
        <v>867</v>
      </c>
      <c r="I188" s="0" t="s">
        <v>913</v>
      </c>
      <c r="J188" s="0" t="s">
        <v>1022</v>
      </c>
      <c r="K188" s="0" t="s">
        <v>1023</v>
      </c>
      <c r="L188" s="0" t="n">
        <v>0.1</v>
      </c>
      <c r="M188" s="0" t="n">
        <v>1</v>
      </c>
      <c r="N188" s="0" t="n">
        <v>6198.93</v>
      </c>
      <c r="O188" s="0" t="n">
        <v>4953.1</v>
      </c>
      <c r="P188" s="0" t="n">
        <v>943.27</v>
      </c>
      <c r="Q188" s="0" t="s">
        <v>22</v>
      </c>
      <c r="R188" s="0" t="s">
        <v>52</v>
      </c>
      <c r="S188" s="0" t="s">
        <v>228</v>
      </c>
    </row>
    <row r="189" customFormat="false" ht="15" hidden="false" customHeight="false" outlineLevel="0" collapsed="false">
      <c r="A189" s="0" t="s">
        <v>1024</v>
      </c>
      <c r="B189" s="0" t="s">
        <v>47</v>
      </c>
      <c r="C189" s="0" t="s">
        <v>199</v>
      </c>
      <c r="D189" s="0" t="s">
        <v>198</v>
      </c>
      <c r="E189" s="0" t="s">
        <v>42</v>
      </c>
      <c r="F189" s="0" t="n">
        <v>1.91</v>
      </c>
      <c r="G189" s="0" t="s">
        <v>386</v>
      </c>
      <c r="H189" s="0" t="s">
        <v>419</v>
      </c>
      <c r="I189" s="0" t="s">
        <v>435</v>
      </c>
      <c r="J189" s="0" t="s">
        <v>1025</v>
      </c>
      <c r="K189" s="0" t="s">
        <v>1026</v>
      </c>
      <c r="L189" s="0" t="n">
        <v>2.5</v>
      </c>
      <c r="M189" s="0" t="n">
        <v>1</v>
      </c>
      <c r="N189" s="0" t="n">
        <v>1609.13</v>
      </c>
      <c r="O189" s="0" t="n">
        <v>1142.28</v>
      </c>
      <c r="P189" s="0" t="n">
        <v>1008.58</v>
      </c>
      <c r="Q189" s="0" t="s">
        <v>24</v>
      </c>
      <c r="R189" s="0" t="s">
        <v>52</v>
      </c>
      <c r="S189" s="0" t="s">
        <v>254</v>
      </c>
    </row>
    <row r="190" customFormat="false" ht="15" hidden="false" customHeight="false" outlineLevel="0" collapsed="false">
      <c r="A190" s="0" t="s">
        <v>1027</v>
      </c>
      <c r="B190" s="0" t="s">
        <v>47</v>
      </c>
      <c r="C190" s="0" t="s">
        <v>199</v>
      </c>
      <c r="D190" s="0" t="s">
        <v>198</v>
      </c>
      <c r="E190" s="0" t="s">
        <v>43</v>
      </c>
      <c r="F190" s="0" t="n">
        <v>8.36</v>
      </c>
      <c r="G190" s="0" t="s">
        <v>347</v>
      </c>
      <c r="H190" s="0" t="s">
        <v>275</v>
      </c>
      <c r="I190" s="0" t="s">
        <v>357</v>
      </c>
      <c r="J190" s="0" t="s">
        <v>1028</v>
      </c>
      <c r="K190" s="0" t="s">
        <v>524</v>
      </c>
      <c r="L190" s="0" t="n">
        <v>4</v>
      </c>
      <c r="M190" s="0" t="n">
        <v>1</v>
      </c>
      <c r="N190" s="0" t="n">
        <v>3877.14</v>
      </c>
      <c r="O190" s="0" t="n">
        <v>3198.46</v>
      </c>
      <c r="P190" s="0" t="n">
        <v>1330.53</v>
      </c>
      <c r="Q190" s="0" t="s">
        <v>21</v>
      </c>
      <c r="R190" s="0" t="s">
        <v>52</v>
      </c>
      <c r="S190" s="0" t="s">
        <v>272</v>
      </c>
    </row>
    <row r="191" customFormat="false" ht="15" hidden="false" customHeight="false" outlineLevel="0" collapsed="false">
      <c r="A191" s="0" t="s">
        <v>1029</v>
      </c>
      <c r="B191" s="0" t="s">
        <v>47</v>
      </c>
      <c r="C191" s="0" t="s">
        <v>206</v>
      </c>
      <c r="D191" s="0" t="s">
        <v>198</v>
      </c>
      <c r="E191" s="0" t="s">
        <v>43</v>
      </c>
      <c r="F191" s="0" t="n">
        <v>2.31</v>
      </c>
      <c r="G191" s="0" t="s">
        <v>588</v>
      </c>
      <c r="H191" s="0" t="s">
        <v>648</v>
      </c>
      <c r="I191" s="0" t="s">
        <v>528</v>
      </c>
      <c r="J191" s="0" t="s">
        <v>1030</v>
      </c>
      <c r="K191" s="0" t="s">
        <v>1031</v>
      </c>
      <c r="L191" s="0" t="n">
        <v>5.5</v>
      </c>
      <c r="M191" s="0" t="n">
        <v>1</v>
      </c>
      <c r="N191" s="0" t="n">
        <v>2230.86</v>
      </c>
      <c r="O191" s="0" t="n">
        <v>3498.65</v>
      </c>
      <c r="P191" s="0" t="n">
        <v>881.94</v>
      </c>
      <c r="Q191" s="0" t="s">
        <v>24</v>
      </c>
      <c r="R191" s="0" t="s">
        <v>52</v>
      </c>
      <c r="S191" s="0" t="s">
        <v>247</v>
      </c>
    </row>
    <row r="192" customFormat="false" ht="15" hidden="false" customHeight="false" outlineLevel="0" collapsed="false">
      <c r="A192" s="0" t="s">
        <v>1032</v>
      </c>
      <c r="B192" s="0" t="s">
        <v>48</v>
      </c>
      <c r="C192" s="0" t="s">
        <v>198</v>
      </c>
      <c r="D192" s="0" t="s">
        <v>207</v>
      </c>
      <c r="E192" s="0" t="s">
        <v>44</v>
      </c>
      <c r="F192" s="0" t="n">
        <v>4.91</v>
      </c>
      <c r="G192" s="0" t="s">
        <v>242</v>
      </c>
      <c r="H192" s="0" t="s">
        <v>282</v>
      </c>
      <c r="I192" s="0" t="s">
        <v>691</v>
      </c>
      <c r="J192" s="0" t="s">
        <v>1033</v>
      </c>
      <c r="K192" s="0" t="s">
        <v>1034</v>
      </c>
      <c r="L192" s="0" t="n">
        <v>3.4</v>
      </c>
      <c r="M192" s="0" t="n">
        <v>1</v>
      </c>
      <c r="N192" s="0" t="n">
        <v>3385.89</v>
      </c>
      <c r="O192" s="0" t="n">
        <v>1500.93</v>
      </c>
      <c r="P192" s="0" t="n">
        <v>974.34</v>
      </c>
      <c r="Q192" s="0" t="s">
        <v>22</v>
      </c>
      <c r="R192" s="0" t="s">
        <v>51</v>
      </c>
      <c r="S192" s="0" t="s">
        <v>254</v>
      </c>
    </row>
    <row r="193" customFormat="false" ht="15" hidden="false" customHeight="false" outlineLevel="0" collapsed="false">
      <c r="A193" s="0" t="s">
        <v>1035</v>
      </c>
      <c r="B193" s="0" t="s">
        <v>48</v>
      </c>
      <c r="C193" s="0" t="s">
        <v>198</v>
      </c>
      <c r="D193" s="0" t="s">
        <v>204</v>
      </c>
      <c r="E193" s="0" t="s">
        <v>42</v>
      </c>
      <c r="F193" s="0" t="n">
        <v>3.17</v>
      </c>
      <c r="G193" s="0" t="s">
        <v>546</v>
      </c>
      <c r="H193" s="0" t="s">
        <v>521</v>
      </c>
      <c r="I193" s="0" t="s">
        <v>326</v>
      </c>
      <c r="J193" s="0" t="s">
        <v>1036</v>
      </c>
      <c r="K193" s="0" t="s">
        <v>1037</v>
      </c>
      <c r="L193" s="0" t="n">
        <v>8.5</v>
      </c>
      <c r="M193" s="0" t="n">
        <v>1</v>
      </c>
      <c r="N193" s="0" t="n">
        <v>1820.41</v>
      </c>
      <c r="O193" s="0" t="n">
        <v>4712.33</v>
      </c>
      <c r="P193" s="0" t="n">
        <v>724.62</v>
      </c>
      <c r="Q193" s="0" t="s">
        <v>24</v>
      </c>
      <c r="R193" s="0" t="s">
        <v>52</v>
      </c>
      <c r="S193" s="0" t="s">
        <v>272</v>
      </c>
    </row>
    <row r="194" customFormat="false" ht="15" hidden="false" customHeight="false" outlineLevel="0" collapsed="false">
      <c r="A194" s="0" t="s">
        <v>1038</v>
      </c>
      <c r="B194" s="0" t="s">
        <v>48</v>
      </c>
      <c r="C194" s="0" t="s">
        <v>198</v>
      </c>
      <c r="D194" s="0" t="s">
        <v>199</v>
      </c>
      <c r="E194" s="0" t="s">
        <v>44</v>
      </c>
      <c r="F194" s="0" t="n">
        <v>8.07</v>
      </c>
      <c r="G194" s="0" t="s">
        <v>1039</v>
      </c>
      <c r="H194" s="0" t="s">
        <v>398</v>
      </c>
      <c r="I194" s="0" t="s">
        <v>528</v>
      </c>
      <c r="J194" s="0" t="s">
        <v>1040</v>
      </c>
      <c r="K194" s="0" t="s">
        <v>1041</v>
      </c>
      <c r="L194" s="0" t="n">
        <v>0.5</v>
      </c>
      <c r="M194" s="0" t="n">
        <v>1</v>
      </c>
      <c r="N194" s="0" t="n">
        <v>2728.52</v>
      </c>
      <c r="O194" s="0" t="n">
        <v>4547.7</v>
      </c>
      <c r="P194" s="0" t="n">
        <v>1145.81</v>
      </c>
      <c r="Q194" s="0" t="s">
        <v>24</v>
      </c>
      <c r="R194" s="0" t="s">
        <v>51</v>
      </c>
      <c r="S194" s="0" t="s">
        <v>247</v>
      </c>
    </row>
    <row r="195" customFormat="false" ht="15" hidden="false" customHeight="false" outlineLevel="0" collapsed="false">
      <c r="A195" s="0" t="s">
        <v>1042</v>
      </c>
      <c r="B195" s="0" t="s">
        <v>47</v>
      </c>
      <c r="C195" s="0" t="s">
        <v>205</v>
      </c>
      <c r="D195" s="0" t="s">
        <v>198</v>
      </c>
      <c r="E195" s="0" t="s">
        <v>42</v>
      </c>
      <c r="F195" s="0" t="n">
        <v>6.43</v>
      </c>
      <c r="G195" s="0" t="s">
        <v>876</v>
      </c>
      <c r="H195" s="0" t="s">
        <v>605</v>
      </c>
      <c r="I195" s="0" t="s">
        <v>501</v>
      </c>
      <c r="J195" s="0" t="s">
        <v>1043</v>
      </c>
      <c r="K195" s="0" t="s">
        <v>1044</v>
      </c>
      <c r="L195" s="0" t="n">
        <v>-0.3</v>
      </c>
      <c r="M195" s="0" t="n">
        <v>0</v>
      </c>
      <c r="N195" s="0" t="n">
        <v>3963.51</v>
      </c>
      <c r="O195" s="0" t="n">
        <v>4020.17</v>
      </c>
      <c r="P195" s="0" t="n">
        <v>960.54</v>
      </c>
      <c r="Q195" s="0" t="s">
        <v>21</v>
      </c>
      <c r="R195" s="0" t="s">
        <v>51</v>
      </c>
      <c r="S195" s="0" t="s">
        <v>254</v>
      </c>
    </row>
    <row r="196" customFormat="false" ht="15" hidden="false" customHeight="false" outlineLevel="0" collapsed="false">
      <c r="A196" s="0" t="s">
        <v>1045</v>
      </c>
      <c r="B196" s="0" t="s">
        <v>47</v>
      </c>
      <c r="C196" s="0" t="s">
        <v>199</v>
      </c>
      <c r="D196" s="0" t="s">
        <v>198</v>
      </c>
      <c r="E196" s="0" t="s">
        <v>44</v>
      </c>
      <c r="F196" s="0" t="n">
        <v>17</v>
      </c>
      <c r="G196" s="0" t="s">
        <v>1046</v>
      </c>
      <c r="H196" s="0" t="s">
        <v>982</v>
      </c>
      <c r="I196" s="0" t="s">
        <v>1047</v>
      </c>
      <c r="J196" s="0" t="s">
        <v>1048</v>
      </c>
      <c r="K196" s="0" t="s">
        <v>1049</v>
      </c>
      <c r="L196" s="0" t="n">
        <v>1.6</v>
      </c>
      <c r="M196" s="0" t="n">
        <v>1</v>
      </c>
      <c r="N196" s="0" t="n">
        <v>13719.78</v>
      </c>
      <c r="O196" s="0" t="n">
        <v>1172.69</v>
      </c>
      <c r="P196" s="0" t="n">
        <v>664.81</v>
      </c>
      <c r="Q196" s="0" t="s">
        <v>23</v>
      </c>
      <c r="R196" s="0" t="s">
        <v>51</v>
      </c>
      <c r="S196" s="0" t="s">
        <v>228</v>
      </c>
    </row>
    <row r="197" customFormat="false" ht="15" hidden="false" customHeight="false" outlineLevel="0" collapsed="false">
      <c r="A197" s="0" t="s">
        <v>1050</v>
      </c>
      <c r="B197" s="0" t="s">
        <v>48</v>
      </c>
      <c r="C197" s="0" t="s">
        <v>198</v>
      </c>
      <c r="D197" s="0" t="s">
        <v>201</v>
      </c>
      <c r="E197" s="0" t="s">
        <v>44</v>
      </c>
      <c r="F197" s="0" t="n">
        <v>3.5</v>
      </c>
      <c r="G197" s="0" t="s">
        <v>462</v>
      </c>
      <c r="H197" s="0" t="s">
        <v>1051</v>
      </c>
      <c r="I197" s="0" t="s">
        <v>403</v>
      </c>
      <c r="J197" s="0" t="s">
        <v>1052</v>
      </c>
      <c r="K197" s="0" t="s">
        <v>1053</v>
      </c>
      <c r="L197" s="0" t="n">
        <v>0.9</v>
      </c>
      <c r="M197" s="0" t="n">
        <v>1</v>
      </c>
      <c r="N197" s="0" t="n">
        <v>3391.03</v>
      </c>
      <c r="O197" s="0" t="n">
        <v>3168.95</v>
      </c>
      <c r="P197" s="0" t="n">
        <v>1090.35</v>
      </c>
      <c r="Q197" s="0" t="s">
        <v>25</v>
      </c>
      <c r="R197" s="0" t="s">
        <v>51</v>
      </c>
      <c r="S197" s="0" t="s">
        <v>228</v>
      </c>
    </row>
    <row r="198" customFormat="false" ht="15" hidden="false" customHeight="false" outlineLevel="0" collapsed="false">
      <c r="A198" s="0" t="s">
        <v>1054</v>
      </c>
      <c r="B198" s="0" t="s">
        <v>47</v>
      </c>
      <c r="C198" s="0" t="s">
        <v>206</v>
      </c>
      <c r="D198" s="0" t="s">
        <v>198</v>
      </c>
      <c r="E198" s="0" t="s">
        <v>43</v>
      </c>
      <c r="F198" s="0" t="n">
        <v>10.66</v>
      </c>
      <c r="G198" s="0" t="s">
        <v>311</v>
      </c>
      <c r="H198" s="0" t="s">
        <v>827</v>
      </c>
      <c r="I198" s="0" t="s">
        <v>888</v>
      </c>
      <c r="J198" s="0" t="s">
        <v>1055</v>
      </c>
      <c r="K198" s="0" t="s">
        <v>1056</v>
      </c>
      <c r="L198" s="0" t="n">
        <v>2.5</v>
      </c>
      <c r="M198" s="0" t="n">
        <v>1</v>
      </c>
      <c r="N198" s="0" t="n">
        <v>5076.53</v>
      </c>
      <c r="O198" s="0" t="n">
        <v>2846.23</v>
      </c>
      <c r="P198" s="0" t="n">
        <v>509.33</v>
      </c>
      <c r="Q198" s="0" t="s">
        <v>22</v>
      </c>
      <c r="R198" s="0" t="s">
        <v>51</v>
      </c>
      <c r="S198" s="0" t="s">
        <v>222</v>
      </c>
    </row>
    <row r="199" customFormat="false" ht="15" hidden="false" customHeight="false" outlineLevel="0" collapsed="false">
      <c r="A199" s="0" t="s">
        <v>1057</v>
      </c>
      <c r="B199" s="0" t="s">
        <v>47</v>
      </c>
      <c r="C199" s="0" t="s">
        <v>209</v>
      </c>
      <c r="D199" s="0" t="s">
        <v>198</v>
      </c>
      <c r="E199" s="0" t="s">
        <v>42</v>
      </c>
      <c r="F199" s="0" t="n">
        <v>5.69</v>
      </c>
      <c r="G199" s="0" t="s">
        <v>462</v>
      </c>
      <c r="H199" s="0" t="s">
        <v>1051</v>
      </c>
      <c r="I199" s="0" t="s">
        <v>403</v>
      </c>
      <c r="J199" s="0" t="s">
        <v>1058</v>
      </c>
      <c r="K199" s="0" t="s">
        <v>1059</v>
      </c>
      <c r="L199" s="0" t="n">
        <v>-0.6</v>
      </c>
      <c r="M199" s="0" t="n">
        <v>0</v>
      </c>
      <c r="N199" s="0" t="n">
        <v>3318</v>
      </c>
      <c r="O199" s="0" t="n">
        <v>3969.39</v>
      </c>
      <c r="P199" s="0" t="n">
        <v>1315.12</v>
      </c>
      <c r="Q199" s="0" t="s">
        <v>23</v>
      </c>
      <c r="R199" s="0" t="s">
        <v>52</v>
      </c>
      <c r="S199" s="0" t="s">
        <v>222</v>
      </c>
    </row>
    <row r="200" customFormat="false" ht="15" hidden="false" customHeight="false" outlineLevel="0" collapsed="false">
      <c r="A200" s="0" t="s">
        <v>1060</v>
      </c>
      <c r="B200" s="0" t="s">
        <v>48</v>
      </c>
      <c r="C200" s="0" t="s">
        <v>198</v>
      </c>
      <c r="D200" s="0" t="s">
        <v>207</v>
      </c>
      <c r="E200" s="0" t="s">
        <v>44</v>
      </c>
      <c r="F200" s="0" t="n">
        <v>12.68</v>
      </c>
      <c r="G200" s="0" t="s">
        <v>895</v>
      </c>
      <c r="H200" s="0" t="s">
        <v>425</v>
      </c>
      <c r="I200" s="0" t="s">
        <v>831</v>
      </c>
      <c r="J200" s="0" t="s">
        <v>1061</v>
      </c>
      <c r="K200" s="0" t="s">
        <v>1062</v>
      </c>
      <c r="L200" s="0" t="n">
        <v>1.6</v>
      </c>
      <c r="M200" s="0" t="n">
        <v>1</v>
      </c>
      <c r="N200" s="0" t="n">
        <v>9308.45</v>
      </c>
      <c r="O200" s="0" t="n">
        <v>1044.13</v>
      </c>
      <c r="P200" s="0" t="n">
        <v>1249.55</v>
      </c>
      <c r="Q200" s="0" t="s">
        <v>25</v>
      </c>
      <c r="R200" s="0" t="s">
        <v>51</v>
      </c>
      <c r="S200" s="0" t="s">
        <v>272</v>
      </c>
    </row>
    <row r="201" customFormat="false" ht="15" hidden="false" customHeight="false" outlineLevel="0" collapsed="false">
      <c r="A201" s="0" t="s">
        <v>1063</v>
      </c>
      <c r="B201" s="0" t="s">
        <v>47</v>
      </c>
      <c r="C201" s="0" t="s">
        <v>205</v>
      </c>
      <c r="D201" s="0" t="s">
        <v>198</v>
      </c>
      <c r="E201" s="0" t="s">
        <v>43</v>
      </c>
      <c r="F201" s="0" t="n">
        <v>15.41</v>
      </c>
      <c r="G201" s="0" t="s">
        <v>913</v>
      </c>
      <c r="H201" s="0" t="s">
        <v>1064</v>
      </c>
      <c r="I201" s="0" t="s">
        <v>426</v>
      </c>
      <c r="J201" s="0" t="s">
        <v>1065</v>
      </c>
      <c r="K201" s="0" t="s">
        <v>1066</v>
      </c>
      <c r="L201" s="0" t="n">
        <v>2</v>
      </c>
      <c r="M201" s="0" t="n">
        <v>1</v>
      </c>
      <c r="N201" s="0" t="n">
        <v>4983.55</v>
      </c>
      <c r="O201" s="0" t="n">
        <v>3573.46</v>
      </c>
      <c r="P201" s="0" t="n">
        <v>1280.4</v>
      </c>
      <c r="Q201" s="0" t="s">
        <v>22</v>
      </c>
      <c r="R201" s="0" t="s">
        <v>52</v>
      </c>
      <c r="S201" s="0" t="s">
        <v>272</v>
      </c>
    </row>
    <row r="202" customFormat="false" ht="15" hidden="false" customHeight="false" outlineLevel="0" collapsed="false">
      <c r="A202" s="0" t="s">
        <v>1067</v>
      </c>
      <c r="B202" s="0" t="s">
        <v>47</v>
      </c>
      <c r="C202" s="0" t="s">
        <v>199</v>
      </c>
      <c r="D202" s="0" t="s">
        <v>198</v>
      </c>
      <c r="E202" s="0" t="s">
        <v>43</v>
      </c>
      <c r="F202" s="0" t="n">
        <v>5.13</v>
      </c>
      <c r="G202" s="0" t="s">
        <v>691</v>
      </c>
      <c r="H202" s="0" t="s">
        <v>1068</v>
      </c>
      <c r="I202" s="0" t="s">
        <v>468</v>
      </c>
      <c r="J202" s="0" t="s">
        <v>1069</v>
      </c>
      <c r="K202" s="0" t="s">
        <v>1070</v>
      </c>
      <c r="L202" s="0" t="n">
        <v>0.8</v>
      </c>
      <c r="M202" s="0" t="n">
        <v>1</v>
      </c>
      <c r="N202" s="0" t="n">
        <v>3331.89</v>
      </c>
      <c r="O202" s="0" t="n">
        <v>3569.3</v>
      </c>
      <c r="P202" s="0" t="n">
        <v>564.85</v>
      </c>
      <c r="Q202" s="0" t="s">
        <v>24</v>
      </c>
      <c r="R202" s="0" t="s">
        <v>51</v>
      </c>
      <c r="S202" s="0" t="s">
        <v>272</v>
      </c>
    </row>
    <row r="203" customFormat="false" ht="15" hidden="false" customHeight="false" outlineLevel="0" collapsed="false">
      <c r="A203" s="0" t="s">
        <v>1071</v>
      </c>
      <c r="B203" s="0" t="s">
        <v>47</v>
      </c>
      <c r="C203" s="0" t="s">
        <v>205</v>
      </c>
      <c r="D203" s="0" t="s">
        <v>198</v>
      </c>
      <c r="E203" s="0" t="s">
        <v>42</v>
      </c>
      <c r="F203" s="0" t="n">
        <v>12.02</v>
      </c>
      <c r="G203" s="0" t="s">
        <v>938</v>
      </c>
      <c r="H203" s="0" t="s">
        <v>337</v>
      </c>
      <c r="I203" s="0" t="s">
        <v>477</v>
      </c>
      <c r="J203" s="0" t="s">
        <v>1072</v>
      </c>
      <c r="K203" s="0" t="s">
        <v>1073</v>
      </c>
      <c r="L203" s="0" t="n">
        <v>-1</v>
      </c>
      <c r="M203" s="0" t="n">
        <v>0</v>
      </c>
      <c r="N203" s="0" t="n">
        <v>6236.62</v>
      </c>
      <c r="O203" s="0" t="n">
        <v>4300.2</v>
      </c>
      <c r="P203" s="0" t="n">
        <v>998.26</v>
      </c>
      <c r="Q203" s="0" t="s">
        <v>22</v>
      </c>
      <c r="R203" s="0" t="s">
        <v>51</v>
      </c>
      <c r="S203" s="0" t="s">
        <v>254</v>
      </c>
    </row>
    <row r="204" customFormat="false" ht="15" hidden="false" customHeight="false" outlineLevel="0" collapsed="false">
      <c r="A204" s="0" t="s">
        <v>1074</v>
      </c>
      <c r="B204" s="0" t="s">
        <v>47</v>
      </c>
      <c r="C204" s="0" t="s">
        <v>206</v>
      </c>
      <c r="D204" s="0" t="s">
        <v>198</v>
      </c>
      <c r="E204" s="0" t="s">
        <v>43</v>
      </c>
      <c r="F204" s="0" t="n">
        <v>2.46</v>
      </c>
      <c r="G204" s="0" t="s">
        <v>392</v>
      </c>
      <c r="H204" s="0" t="s">
        <v>236</v>
      </c>
      <c r="I204" s="0" t="s">
        <v>581</v>
      </c>
      <c r="J204" s="0" t="s">
        <v>1075</v>
      </c>
      <c r="K204" s="0" t="s">
        <v>1076</v>
      </c>
      <c r="L204" s="0" t="n">
        <v>4.8</v>
      </c>
      <c r="M204" s="0" t="n">
        <v>1</v>
      </c>
      <c r="N204" s="0" t="n">
        <v>1641.02</v>
      </c>
      <c r="O204" s="0" t="n">
        <v>2312.77</v>
      </c>
      <c r="P204" s="0" t="n">
        <v>934.02</v>
      </c>
      <c r="Q204" s="0" t="s">
        <v>22</v>
      </c>
      <c r="R204" s="0" t="s">
        <v>52</v>
      </c>
      <c r="S204" s="0" t="s">
        <v>254</v>
      </c>
    </row>
    <row r="205" customFormat="false" ht="15" hidden="false" customHeight="false" outlineLevel="0" collapsed="false">
      <c r="A205" s="0" t="s">
        <v>1077</v>
      </c>
      <c r="B205" s="0" t="s">
        <v>48</v>
      </c>
      <c r="C205" s="0" t="s">
        <v>198</v>
      </c>
      <c r="D205" s="0" t="s">
        <v>201</v>
      </c>
      <c r="E205" s="0" t="s">
        <v>43</v>
      </c>
      <c r="F205" s="0" t="n">
        <v>2.68</v>
      </c>
      <c r="G205" s="0" t="s">
        <v>667</v>
      </c>
      <c r="H205" s="0" t="s">
        <v>488</v>
      </c>
      <c r="I205" s="0" t="s">
        <v>305</v>
      </c>
      <c r="J205" s="0" t="s">
        <v>811</v>
      </c>
      <c r="K205" s="0" t="s">
        <v>1078</v>
      </c>
      <c r="L205" s="0" t="n">
        <v>4</v>
      </c>
      <c r="M205" s="0" t="n">
        <v>1</v>
      </c>
      <c r="N205" s="0" t="n">
        <v>3398.51</v>
      </c>
      <c r="O205" s="0" t="n">
        <v>3570.26</v>
      </c>
      <c r="P205" s="0" t="n">
        <v>921.25</v>
      </c>
      <c r="Q205" s="0" t="s">
        <v>24</v>
      </c>
      <c r="R205" s="0" t="s">
        <v>52</v>
      </c>
      <c r="S205" s="0" t="s">
        <v>254</v>
      </c>
    </row>
    <row r="206" customFormat="false" ht="15" hidden="false" customHeight="false" outlineLevel="0" collapsed="false">
      <c r="A206" s="0" t="s">
        <v>1079</v>
      </c>
      <c r="B206" s="0" t="s">
        <v>48</v>
      </c>
      <c r="C206" s="0" t="s">
        <v>198</v>
      </c>
      <c r="D206" s="0" t="s">
        <v>204</v>
      </c>
      <c r="E206" s="0" t="s">
        <v>42</v>
      </c>
      <c r="F206" s="0" t="n">
        <v>13.09</v>
      </c>
      <c r="G206" s="0" t="s">
        <v>342</v>
      </c>
      <c r="H206" s="0" t="s">
        <v>1080</v>
      </c>
      <c r="I206" s="0" t="s">
        <v>292</v>
      </c>
      <c r="J206" s="0" t="s">
        <v>1081</v>
      </c>
      <c r="K206" s="0" t="s">
        <v>1082</v>
      </c>
      <c r="L206" s="0" t="n">
        <v>5.6</v>
      </c>
      <c r="M206" s="0" t="n">
        <v>1</v>
      </c>
      <c r="N206" s="0" t="n">
        <v>4575.04</v>
      </c>
      <c r="O206" s="0" t="n">
        <v>2338.05</v>
      </c>
      <c r="P206" s="0" t="n">
        <v>526.2</v>
      </c>
      <c r="Q206" s="0" t="s">
        <v>24</v>
      </c>
      <c r="R206" s="0" t="s">
        <v>51</v>
      </c>
      <c r="S206" s="0" t="s">
        <v>272</v>
      </c>
    </row>
    <row r="207" customFormat="false" ht="15" hidden="false" customHeight="false" outlineLevel="0" collapsed="false">
      <c r="A207" s="0" t="s">
        <v>1083</v>
      </c>
      <c r="B207" s="0" t="s">
        <v>47</v>
      </c>
      <c r="C207" s="0" t="s">
        <v>209</v>
      </c>
      <c r="D207" s="0" t="s">
        <v>198</v>
      </c>
      <c r="E207" s="0" t="s">
        <v>43</v>
      </c>
      <c r="F207" s="0" t="n">
        <v>1.46</v>
      </c>
      <c r="G207" s="0" t="s">
        <v>430</v>
      </c>
      <c r="H207" s="0" t="s">
        <v>431</v>
      </c>
      <c r="I207" s="0" t="s">
        <v>643</v>
      </c>
      <c r="J207" s="0" t="s">
        <v>1084</v>
      </c>
      <c r="K207" s="0" t="s">
        <v>1085</v>
      </c>
      <c r="L207" s="0" t="n">
        <v>-1</v>
      </c>
      <c r="M207" s="0" t="n">
        <v>0</v>
      </c>
      <c r="N207" s="0" t="n">
        <v>2075.18</v>
      </c>
      <c r="O207" s="0" t="n">
        <v>2037.19</v>
      </c>
      <c r="P207" s="0" t="n">
        <v>929.66</v>
      </c>
      <c r="Q207" s="0" t="s">
        <v>25</v>
      </c>
      <c r="R207" s="0" t="s">
        <v>52</v>
      </c>
      <c r="S207" s="0" t="s">
        <v>228</v>
      </c>
    </row>
    <row r="208" customFormat="false" ht="15" hidden="false" customHeight="false" outlineLevel="0" collapsed="false">
      <c r="A208" s="0" t="s">
        <v>1086</v>
      </c>
      <c r="B208" s="0" t="s">
        <v>48</v>
      </c>
      <c r="C208" s="0" t="s">
        <v>198</v>
      </c>
      <c r="D208" s="0" t="s">
        <v>207</v>
      </c>
      <c r="E208" s="0" t="s">
        <v>42</v>
      </c>
      <c r="F208" s="0" t="n">
        <v>17.58</v>
      </c>
      <c r="G208" s="0" t="s">
        <v>249</v>
      </c>
      <c r="H208" s="0" t="s">
        <v>643</v>
      </c>
      <c r="I208" s="0" t="s">
        <v>1087</v>
      </c>
      <c r="J208" s="0" t="s">
        <v>1088</v>
      </c>
      <c r="K208" s="0" t="s">
        <v>1089</v>
      </c>
      <c r="L208" s="0" t="n">
        <v>4.1</v>
      </c>
      <c r="M208" s="0" t="n">
        <v>1</v>
      </c>
      <c r="N208" s="0" t="n">
        <v>4470.5</v>
      </c>
      <c r="O208" s="0" t="n">
        <v>3911.76</v>
      </c>
      <c r="P208" s="0" t="n">
        <v>996.46</v>
      </c>
      <c r="Q208" s="0" t="s">
        <v>21</v>
      </c>
      <c r="R208" s="0" t="s">
        <v>52</v>
      </c>
      <c r="S208" s="0" t="s">
        <v>228</v>
      </c>
    </row>
    <row r="209" customFormat="false" ht="15" hidden="false" customHeight="false" outlineLevel="0" collapsed="false">
      <c r="A209" s="0" t="s">
        <v>1090</v>
      </c>
      <c r="B209" s="0" t="s">
        <v>47</v>
      </c>
      <c r="C209" s="0" t="s">
        <v>203</v>
      </c>
      <c r="D209" s="0" t="s">
        <v>198</v>
      </c>
      <c r="E209" s="0" t="s">
        <v>42</v>
      </c>
      <c r="F209" s="0" t="n">
        <v>9.3</v>
      </c>
      <c r="G209" s="0" t="s">
        <v>1046</v>
      </c>
      <c r="H209" s="0" t="s">
        <v>982</v>
      </c>
      <c r="I209" s="0" t="s">
        <v>1047</v>
      </c>
      <c r="J209" s="0" t="s">
        <v>1091</v>
      </c>
      <c r="K209" s="0" t="s">
        <v>1092</v>
      </c>
      <c r="L209" s="0" t="n">
        <v>1.7</v>
      </c>
      <c r="M209" s="0" t="n">
        <v>1</v>
      </c>
      <c r="N209" s="0" t="n">
        <v>4292.99</v>
      </c>
      <c r="O209" s="0" t="n">
        <v>3627.82</v>
      </c>
      <c r="P209" s="0" t="n">
        <v>1456.61</v>
      </c>
      <c r="Q209" s="0" t="s">
        <v>22</v>
      </c>
      <c r="R209" s="0" t="s">
        <v>52</v>
      </c>
      <c r="S209" s="0" t="s">
        <v>272</v>
      </c>
    </row>
    <row r="210" customFormat="false" ht="15" hidden="false" customHeight="false" outlineLevel="0" collapsed="false">
      <c r="A210" s="0" t="s">
        <v>1093</v>
      </c>
      <c r="B210" s="0" t="s">
        <v>48</v>
      </c>
      <c r="C210" s="0" t="s">
        <v>198</v>
      </c>
      <c r="D210" s="0" t="s">
        <v>208</v>
      </c>
      <c r="E210" s="0" t="s">
        <v>42</v>
      </c>
      <c r="F210" s="0" t="n">
        <v>2.31</v>
      </c>
      <c r="G210" s="0" t="s">
        <v>392</v>
      </c>
      <c r="H210" s="0" t="s">
        <v>236</v>
      </c>
      <c r="I210" s="0" t="s">
        <v>492</v>
      </c>
      <c r="J210" s="0" t="s">
        <v>1094</v>
      </c>
      <c r="K210" s="0" t="s">
        <v>1095</v>
      </c>
      <c r="L210" s="0" t="n">
        <v>-0.9</v>
      </c>
      <c r="M210" s="0" t="n">
        <v>0</v>
      </c>
      <c r="N210" s="0" t="n">
        <v>1619.18</v>
      </c>
      <c r="O210" s="0" t="n">
        <v>4037.59</v>
      </c>
      <c r="P210" s="0" t="n">
        <v>949.74</v>
      </c>
      <c r="Q210" s="0" t="s">
        <v>22</v>
      </c>
      <c r="R210" s="0" t="s">
        <v>51</v>
      </c>
      <c r="S210" s="0" t="s">
        <v>254</v>
      </c>
    </row>
    <row r="211" customFormat="false" ht="15" hidden="false" customHeight="false" outlineLevel="0" collapsed="false">
      <c r="A211" s="0" t="s">
        <v>1096</v>
      </c>
      <c r="B211" s="0" t="s">
        <v>47</v>
      </c>
      <c r="C211" s="0" t="s">
        <v>209</v>
      </c>
      <c r="D211" s="0" t="s">
        <v>198</v>
      </c>
      <c r="E211" s="0" t="s">
        <v>44</v>
      </c>
      <c r="F211" s="0" t="n">
        <v>15.76</v>
      </c>
      <c r="G211" s="0" t="s">
        <v>236</v>
      </c>
      <c r="H211" s="0" t="s">
        <v>1097</v>
      </c>
      <c r="I211" s="0" t="s">
        <v>1098</v>
      </c>
      <c r="J211" s="0" t="s">
        <v>1099</v>
      </c>
      <c r="K211" s="0" t="s">
        <v>1100</v>
      </c>
      <c r="L211" s="0" t="n">
        <v>-0.9</v>
      </c>
      <c r="M211" s="0" t="n">
        <v>0</v>
      </c>
      <c r="N211" s="0" t="n">
        <v>8451.55</v>
      </c>
      <c r="O211" s="0" t="n">
        <v>2383.68</v>
      </c>
      <c r="P211" s="0" t="n">
        <v>815.19</v>
      </c>
      <c r="Q211" s="0" t="s">
        <v>21</v>
      </c>
      <c r="R211" s="0" t="s">
        <v>52</v>
      </c>
      <c r="S211" s="0" t="s">
        <v>254</v>
      </c>
    </row>
    <row r="212" customFormat="false" ht="15" hidden="false" customHeight="false" outlineLevel="0" collapsed="false">
      <c r="A212" s="0" t="s">
        <v>1101</v>
      </c>
      <c r="B212" s="0" t="s">
        <v>47</v>
      </c>
      <c r="C212" s="0" t="s">
        <v>199</v>
      </c>
      <c r="D212" s="0" t="s">
        <v>198</v>
      </c>
      <c r="E212" s="0" t="s">
        <v>44</v>
      </c>
      <c r="F212" s="0" t="n">
        <v>15.67</v>
      </c>
      <c r="G212" s="0" t="s">
        <v>1098</v>
      </c>
      <c r="H212" s="0" t="s">
        <v>550</v>
      </c>
      <c r="I212" s="0" t="s">
        <v>449</v>
      </c>
      <c r="J212" s="0" t="s">
        <v>1102</v>
      </c>
      <c r="K212" s="0" t="s">
        <v>1103</v>
      </c>
      <c r="L212" s="0" t="n">
        <v>2.2</v>
      </c>
      <c r="M212" s="0" t="n">
        <v>1</v>
      </c>
      <c r="N212" s="0" t="n">
        <v>8254.42</v>
      </c>
      <c r="O212" s="0" t="n">
        <v>4150.85</v>
      </c>
      <c r="P212" s="0" t="n">
        <v>1124.43</v>
      </c>
      <c r="Q212" s="0" t="s">
        <v>24</v>
      </c>
      <c r="R212" s="0" t="s">
        <v>52</v>
      </c>
      <c r="S212" s="0" t="s">
        <v>247</v>
      </c>
    </row>
    <row r="213" customFormat="false" ht="15" hidden="false" customHeight="false" outlineLevel="0" collapsed="false">
      <c r="A213" s="0" t="s">
        <v>1104</v>
      </c>
      <c r="B213" s="0" t="s">
        <v>47</v>
      </c>
      <c r="C213" s="0" t="s">
        <v>209</v>
      </c>
      <c r="D213" s="0" t="s">
        <v>198</v>
      </c>
      <c r="E213" s="0" t="s">
        <v>42</v>
      </c>
      <c r="F213" s="0" t="n">
        <v>10.4</v>
      </c>
      <c r="G213" s="0" t="s">
        <v>1105</v>
      </c>
      <c r="H213" s="0" t="s">
        <v>219</v>
      </c>
      <c r="I213" s="0" t="s">
        <v>225</v>
      </c>
      <c r="J213" s="0" t="s">
        <v>1106</v>
      </c>
      <c r="K213" s="0" t="s">
        <v>499</v>
      </c>
      <c r="L213" s="0" t="n">
        <v>3.5</v>
      </c>
      <c r="M213" s="0" t="n">
        <v>1</v>
      </c>
      <c r="N213" s="0" t="n">
        <v>5448.11</v>
      </c>
      <c r="O213" s="0" t="n">
        <v>4888.02</v>
      </c>
      <c r="P213" s="0" t="n">
        <v>1108.53</v>
      </c>
      <c r="Q213" s="0" t="s">
        <v>24</v>
      </c>
      <c r="R213" s="0" t="s">
        <v>51</v>
      </c>
      <c r="S213" s="0" t="s">
        <v>272</v>
      </c>
    </row>
    <row r="214" customFormat="false" ht="15" hidden="false" customHeight="false" outlineLevel="0" collapsed="false">
      <c r="A214" s="0" t="s">
        <v>1107</v>
      </c>
      <c r="B214" s="0" t="s">
        <v>48</v>
      </c>
      <c r="C214" s="0" t="s">
        <v>198</v>
      </c>
      <c r="D214" s="0" t="s">
        <v>208</v>
      </c>
      <c r="E214" s="0" t="s">
        <v>44</v>
      </c>
      <c r="F214" s="0" t="n">
        <v>7.64</v>
      </c>
      <c r="G214" s="0" t="s">
        <v>450</v>
      </c>
      <c r="H214" s="0" t="s">
        <v>281</v>
      </c>
      <c r="I214" s="0" t="s">
        <v>1108</v>
      </c>
      <c r="J214" s="0" t="s">
        <v>1109</v>
      </c>
      <c r="K214" s="0" t="s">
        <v>1110</v>
      </c>
      <c r="L214" s="0" t="n">
        <v>-0.5</v>
      </c>
      <c r="M214" s="0" t="n">
        <v>0</v>
      </c>
      <c r="N214" s="0" t="n">
        <v>4448.93</v>
      </c>
      <c r="O214" s="0" t="n">
        <v>1459.08</v>
      </c>
      <c r="P214" s="0" t="n">
        <v>1360.14</v>
      </c>
      <c r="Q214" s="0" t="s">
        <v>23</v>
      </c>
      <c r="R214" s="0" t="s">
        <v>52</v>
      </c>
      <c r="S214" s="0" t="s">
        <v>222</v>
      </c>
    </row>
    <row r="215" customFormat="false" ht="15" hidden="false" customHeight="false" outlineLevel="0" collapsed="false">
      <c r="A215" s="0" t="s">
        <v>1111</v>
      </c>
      <c r="B215" s="0" t="s">
        <v>47</v>
      </c>
      <c r="C215" s="0" t="s">
        <v>206</v>
      </c>
      <c r="D215" s="0" t="s">
        <v>198</v>
      </c>
      <c r="E215" s="0" t="s">
        <v>42</v>
      </c>
      <c r="F215" s="0" t="n">
        <v>14.73</v>
      </c>
      <c r="G215" s="0" t="s">
        <v>793</v>
      </c>
      <c r="H215" s="0" t="s">
        <v>237</v>
      </c>
      <c r="I215" s="0" t="s">
        <v>1098</v>
      </c>
      <c r="J215" s="0" t="s">
        <v>1112</v>
      </c>
      <c r="K215" s="0" t="s">
        <v>1113</v>
      </c>
      <c r="L215" s="0" t="n">
        <v>1.5</v>
      </c>
      <c r="M215" s="0" t="n">
        <v>1</v>
      </c>
      <c r="N215" s="0" t="n">
        <v>4827.49</v>
      </c>
      <c r="O215" s="0" t="n">
        <v>2938.79</v>
      </c>
      <c r="P215" s="0" t="n">
        <v>665.77</v>
      </c>
      <c r="Q215" s="0" t="s">
        <v>22</v>
      </c>
      <c r="R215" s="0" t="s">
        <v>52</v>
      </c>
      <c r="S215" s="0" t="s">
        <v>272</v>
      </c>
    </row>
    <row r="216" customFormat="false" ht="15" hidden="false" customHeight="false" outlineLevel="0" collapsed="false">
      <c r="A216" s="0" t="s">
        <v>1114</v>
      </c>
      <c r="B216" s="0" t="s">
        <v>47</v>
      </c>
      <c r="C216" s="0" t="s">
        <v>203</v>
      </c>
      <c r="D216" s="0" t="s">
        <v>198</v>
      </c>
      <c r="E216" s="0" t="s">
        <v>42</v>
      </c>
      <c r="F216" s="0" t="n">
        <v>18.97</v>
      </c>
      <c r="G216" s="0" t="s">
        <v>250</v>
      </c>
      <c r="H216" s="0" t="s">
        <v>251</v>
      </c>
      <c r="I216" s="0" t="s">
        <v>685</v>
      </c>
      <c r="J216" s="0" t="s">
        <v>1115</v>
      </c>
      <c r="K216" s="0" t="s">
        <v>1116</v>
      </c>
      <c r="L216" s="0" t="n">
        <v>1.6</v>
      </c>
      <c r="M216" s="0" t="n">
        <v>1</v>
      </c>
      <c r="N216" s="0" t="n">
        <v>6662.73</v>
      </c>
      <c r="O216" s="0" t="n">
        <v>3050.01</v>
      </c>
      <c r="P216" s="0" t="n">
        <v>1306.4</v>
      </c>
      <c r="Q216" s="0" t="s">
        <v>23</v>
      </c>
      <c r="R216" s="0" t="s">
        <v>52</v>
      </c>
      <c r="S216" s="0" t="s">
        <v>228</v>
      </c>
    </row>
    <row r="217" customFormat="false" ht="15" hidden="false" customHeight="false" outlineLevel="0" collapsed="false">
      <c r="A217" s="0" t="s">
        <v>1117</v>
      </c>
      <c r="B217" s="0" t="s">
        <v>47</v>
      </c>
      <c r="C217" s="0" t="s">
        <v>199</v>
      </c>
      <c r="D217" s="0" t="s">
        <v>198</v>
      </c>
      <c r="E217" s="0" t="s">
        <v>42</v>
      </c>
      <c r="F217" s="0" t="n">
        <v>9.73</v>
      </c>
      <c r="G217" s="0" t="s">
        <v>387</v>
      </c>
      <c r="H217" s="0" t="s">
        <v>236</v>
      </c>
      <c r="I217" s="0" t="s">
        <v>1098</v>
      </c>
      <c r="J217" s="0" t="s">
        <v>493</v>
      </c>
      <c r="K217" s="0" t="s">
        <v>1118</v>
      </c>
      <c r="L217" s="0" t="n">
        <v>5.4</v>
      </c>
      <c r="M217" s="0" t="n">
        <v>1</v>
      </c>
      <c r="N217" s="0" t="n">
        <v>6037.5</v>
      </c>
      <c r="O217" s="0" t="n">
        <v>4016.43</v>
      </c>
      <c r="P217" s="0" t="n">
        <v>517.95</v>
      </c>
      <c r="Q217" s="0" t="s">
        <v>22</v>
      </c>
      <c r="R217" s="0" t="s">
        <v>51</v>
      </c>
      <c r="S217" s="0" t="s">
        <v>222</v>
      </c>
    </row>
    <row r="218" customFormat="false" ht="15" hidden="false" customHeight="false" outlineLevel="0" collapsed="false">
      <c r="A218" s="0" t="s">
        <v>1119</v>
      </c>
      <c r="B218" s="0" t="s">
        <v>48</v>
      </c>
      <c r="C218" s="0" t="s">
        <v>198</v>
      </c>
      <c r="D218" s="0" t="s">
        <v>199</v>
      </c>
      <c r="E218" s="0" t="s">
        <v>43</v>
      </c>
      <c r="F218" s="0" t="n">
        <v>3.4</v>
      </c>
      <c r="G218" s="0" t="s">
        <v>440</v>
      </c>
      <c r="H218" s="0" t="s">
        <v>866</v>
      </c>
      <c r="I218" s="0" t="s">
        <v>850</v>
      </c>
      <c r="J218" s="0" t="s">
        <v>1120</v>
      </c>
      <c r="K218" s="0" t="s">
        <v>1121</v>
      </c>
      <c r="L218" s="0" t="n">
        <v>2.3</v>
      </c>
      <c r="M218" s="0" t="n">
        <v>1</v>
      </c>
      <c r="N218" s="0" t="n">
        <v>2020.89</v>
      </c>
      <c r="O218" s="0" t="n">
        <v>1260.82</v>
      </c>
      <c r="P218" s="0" t="n">
        <v>963.93</v>
      </c>
      <c r="Q218" s="0" t="s">
        <v>21</v>
      </c>
      <c r="R218" s="0" t="s">
        <v>52</v>
      </c>
      <c r="S218" s="0" t="s">
        <v>272</v>
      </c>
    </row>
    <row r="219" customFormat="false" ht="15" hidden="false" customHeight="false" outlineLevel="0" collapsed="false">
      <c r="A219" s="0" t="s">
        <v>1122</v>
      </c>
      <c r="B219" s="0" t="s">
        <v>48</v>
      </c>
      <c r="C219" s="0" t="s">
        <v>198</v>
      </c>
      <c r="D219" s="0" t="s">
        <v>199</v>
      </c>
      <c r="E219" s="0" t="s">
        <v>44</v>
      </c>
      <c r="F219" s="0" t="n">
        <v>18.28</v>
      </c>
      <c r="G219" s="0" t="s">
        <v>570</v>
      </c>
      <c r="H219" s="0" t="s">
        <v>964</v>
      </c>
      <c r="I219" s="0" t="s">
        <v>938</v>
      </c>
      <c r="J219" s="0" t="s">
        <v>1123</v>
      </c>
      <c r="K219" s="0" t="s">
        <v>1124</v>
      </c>
      <c r="L219" s="0" t="n">
        <v>3.9</v>
      </c>
      <c r="M219" s="0" t="n">
        <v>1</v>
      </c>
      <c r="N219" s="0" t="n">
        <v>9771.96</v>
      </c>
      <c r="O219" s="0" t="n">
        <v>4102.45</v>
      </c>
      <c r="P219" s="0" t="n">
        <v>1464.48</v>
      </c>
      <c r="Q219" s="0" t="s">
        <v>22</v>
      </c>
      <c r="R219" s="0" t="s">
        <v>51</v>
      </c>
      <c r="S219" s="0" t="s">
        <v>228</v>
      </c>
    </row>
    <row r="220" customFormat="false" ht="15" hidden="false" customHeight="false" outlineLevel="0" collapsed="false">
      <c r="A220" s="0" t="s">
        <v>1125</v>
      </c>
      <c r="B220" s="0" t="s">
        <v>48</v>
      </c>
      <c r="C220" s="0" t="s">
        <v>198</v>
      </c>
      <c r="D220" s="0" t="s">
        <v>211</v>
      </c>
      <c r="E220" s="0" t="s">
        <v>43</v>
      </c>
      <c r="F220" s="0" t="n">
        <v>4.87</v>
      </c>
      <c r="G220" s="0" t="s">
        <v>563</v>
      </c>
      <c r="H220" s="0" t="s">
        <v>624</v>
      </c>
      <c r="I220" s="0" t="s">
        <v>964</v>
      </c>
      <c r="J220" s="0" t="s">
        <v>1126</v>
      </c>
      <c r="K220" s="0" t="s">
        <v>1127</v>
      </c>
      <c r="L220" s="0" t="n">
        <v>-0.4</v>
      </c>
      <c r="M220" s="0" t="n">
        <v>0</v>
      </c>
      <c r="N220" s="0" t="n">
        <v>3382.08</v>
      </c>
      <c r="O220" s="0" t="n">
        <v>4660.36</v>
      </c>
      <c r="P220" s="0" t="n">
        <v>1033.03</v>
      </c>
      <c r="Q220" s="0" t="s">
        <v>25</v>
      </c>
      <c r="R220" s="0" t="s">
        <v>52</v>
      </c>
      <c r="S220" s="0" t="s">
        <v>247</v>
      </c>
    </row>
    <row r="221" customFormat="false" ht="15" hidden="false" customHeight="false" outlineLevel="0" collapsed="false">
      <c r="A221" s="0" t="s">
        <v>1128</v>
      </c>
      <c r="B221" s="0" t="s">
        <v>48</v>
      </c>
      <c r="C221" s="0" t="s">
        <v>198</v>
      </c>
      <c r="D221" s="0" t="s">
        <v>213</v>
      </c>
      <c r="E221" s="0" t="s">
        <v>43</v>
      </c>
      <c r="F221" s="0" t="n">
        <v>4</v>
      </c>
      <c r="G221" s="0" t="s">
        <v>425</v>
      </c>
      <c r="H221" s="0" t="s">
        <v>597</v>
      </c>
      <c r="I221" s="0" t="s">
        <v>833</v>
      </c>
      <c r="J221" s="0" t="s">
        <v>1129</v>
      </c>
      <c r="K221" s="0" t="s">
        <v>464</v>
      </c>
      <c r="L221" s="0" t="n">
        <v>4.8</v>
      </c>
      <c r="M221" s="0" t="n">
        <v>1</v>
      </c>
      <c r="N221" s="0" t="n">
        <v>2869.57</v>
      </c>
      <c r="O221" s="0" t="n">
        <v>4934.09</v>
      </c>
      <c r="P221" s="0" t="n">
        <v>640.71</v>
      </c>
      <c r="Q221" s="0" t="s">
        <v>25</v>
      </c>
      <c r="R221" s="0" t="s">
        <v>51</v>
      </c>
      <c r="S221" s="0" t="s">
        <v>228</v>
      </c>
    </row>
    <row r="222" customFormat="false" ht="15" hidden="false" customHeight="false" outlineLevel="0" collapsed="false">
      <c r="A222" s="0" t="s">
        <v>1130</v>
      </c>
      <c r="B222" s="0" t="s">
        <v>48</v>
      </c>
      <c r="C222" s="0" t="s">
        <v>198</v>
      </c>
      <c r="D222" s="0" t="s">
        <v>208</v>
      </c>
      <c r="E222" s="0" t="s">
        <v>43</v>
      </c>
      <c r="F222" s="0" t="n">
        <v>4.84</v>
      </c>
      <c r="G222" s="0" t="s">
        <v>818</v>
      </c>
      <c r="H222" s="0" t="s">
        <v>369</v>
      </c>
      <c r="I222" s="0" t="s">
        <v>287</v>
      </c>
      <c r="J222" s="0" t="s">
        <v>1131</v>
      </c>
      <c r="K222" s="0" t="s">
        <v>1132</v>
      </c>
      <c r="L222" s="0" t="n">
        <v>0.3</v>
      </c>
      <c r="M222" s="0" t="n">
        <v>1</v>
      </c>
      <c r="N222" s="0" t="n">
        <v>2456.31</v>
      </c>
      <c r="O222" s="0" t="n">
        <v>4529.67</v>
      </c>
      <c r="P222" s="0" t="n">
        <v>1303.6</v>
      </c>
      <c r="Q222" s="0" t="s">
        <v>23</v>
      </c>
      <c r="R222" s="0" t="s">
        <v>51</v>
      </c>
      <c r="S222" s="0" t="s">
        <v>228</v>
      </c>
    </row>
    <row r="223" customFormat="false" ht="15" hidden="false" customHeight="false" outlineLevel="0" collapsed="false">
      <c r="A223" s="0" t="s">
        <v>1133</v>
      </c>
      <c r="B223" s="0" t="s">
        <v>47</v>
      </c>
      <c r="C223" s="0" t="s">
        <v>203</v>
      </c>
      <c r="D223" s="0" t="s">
        <v>198</v>
      </c>
      <c r="E223" s="0" t="s">
        <v>44</v>
      </c>
      <c r="F223" s="0" t="n">
        <v>10.6</v>
      </c>
      <c r="G223" s="0" t="s">
        <v>224</v>
      </c>
      <c r="H223" s="0" t="s">
        <v>256</v>
      </c>
      <c r="I223" s="0" t="s">
        <v>257</v>
      </c>
      <c r="J223" s="0" t="s">
        <v>1134</v>
      </c>
      <c r="K223" s="0" t="s">
        <v>1135</v>
      </c>
      <c r="L223" s="0" t="n">
        <v>4.8</v>
      </c>
      <c r="M223" s="0" t="n">
        <v>1</v>
      </c>
      <c r="N223" s="0" t="n">
        <v>5567.75</v>
      </c>
      <c r="O223" s="0" t="n">
        <v>4988.31</v>
      </c>
      <c r="P223" s="0" t="n">
        <v>1479.78</v>
      </c>
      <c r="Q223" s="0" t="s">
        <v>21</v>
      </c>
      <c r="R223" s="0" t="s">
        <v>51</v>
      </c>
      <c r="S223" s="0" t="s">
        <v>247</v>
      </c>
    </row>
    <row r="224" customFormat="false" ht="15" hidden="false" customHeight="false" outlineLevel="0" collapsed="false">
      <c r="A224" s="0" t="s">
        <v>1136</v>
      </c>
      <c r="B224" s="0" t="s">
        <v>47</v>
      </c>
      <c r="C224" s="0" t="s">
        <v>205</v>
      </c>
      <c r="D224" s="0" t="s">
        <v>198</v>
      </c>
      <c r="E224" s="0" t="s">
        <v>42</v>
      </c>
      <c r="F224" s="0" t="n">
        <v>13.47</v>
      </c>
      <c r="G224" s="0" t="s">
        <v>243</v>
      </c>
      <c r="H224" s="0" t="s">
        <v>691</v>
      </c>
      <c r="I224" s="0" t="s">
        <v>692</v>
      </c>
      <c r="J224" s="0" t="s">
        <v>1137</v>
      </c>
      <c r="K224" s="0" t="s">
        <v>653</v>
      </c>
      <c r="L224" s="0" t="n">
        <v>7.4</v>
      </c>
      <c r="M224" s="0" t="n">
        <v>1</v>
      </c>
      <c r="N224" s="0" t="n">
        <v>4838.27</v>
      </c>
      <c r="O224" s="0" t="n">
        <v>4893.83</v>
      </c>
      <c r="P224" s="0" t="n">
        <v>836.84</v>
      </c>
      <c r="Q224" s="0" t="s">
        <v>22</v>
      </c>
      <c r="R224" s="0" t="s">
        <v>51</v>
      </c>
      <c r="S224" s="0" t="s">
        <v>272</v>
      </c>
    </row>
    <row r="225" customFormat="false" ht="15" hidden="false" customHeight="false" outlineLevel="0" collapsed="false">
      <c r="A225" s="0" t="s">
        <v>1138</v>
      </c>
      <c r="B225" s="0" t="s">
        <v>47</v>
      </c>
      <c r="C225" s="0" t="s">
        <v>206</v>
      </c>
      <c r="D225" s="0" t="s">
        <v>198</v>
      </c>
      <c r="E225" s="0" t="s">
        <v>43</v>
      </c>
      <c r="F225" s="0" t="n">
        <v>6.63</v>
      </c>
      <c r="G225" s="0" t="s">
        <v>756</v>
      </c>
      <c r="H225" s="0" t="s">
        <v>1139</v>
      </c>
      <c r="I225" s="0" t="s">
        <v>1140</v>
      </c>
      <c r="J225" s="0" t="s">
        <v>1141</v>
      </c>
      <c r="K225" s="0" t="s">
        <v>1142</v>
      </c>
      <c r="L225" s="0" t="n">
        <v>2.7</v>
      </c>
      <c r="M225" s="0" t="n">
        <v>1</v>
      </c>
      <c r="N225" s="0" t="n">
        <v>6140.4</v>
      </c>
      <c r="O225" s="0" t="n">
        <v>3606.67</v>
      </c>
      <c r="P225" s="0" t="n">
        <v>814.06</v>
      </c>
      <c r="Q225" s="0" t="s">
        <v>23</v>
      </c>
      <c r="R225" s="0" t="s">
        <v>52</v>
      </c>
      <c r="S225" s="0" t="s">
        <v>254</v>
      </c>
    </row>
    <row r="226" customFormat="false" ht="15" hidden="false" customHeight="false" outlineLevel="0" collapsed="false">
      <c r="A226" s="0" t="s">
        <v>1143</v>
      </c>
      <c r="B226" s="0" t="s">
        <v>48</v>
      </c>
      <c r="C226" s="0" t="s">
        <v>198</v>
      </c>
      <c r="D226" s="0" t="s">
        <v>204</v>
      </c>
      <c r="E226" s="0" t="s">
        <v>42</v>
      </c>
      <c r="F226" s="0" t="n">
        <v>5.83</v>
      </c>
      <c r="G226" s="0" t="s">
        <v>1144</v>
      </c>
      <c r="H226" s="0" t="s">
        <v>430</v>
      </c>
      <c r="I226" s="0" t="s">
        <v>249</v>
      </c>
      <c r="J226" s="0" t="s">
        <v>1145</v>
      </c>
      <c r="K226" s="0" t="s">
        <v>1146</v>
      </c>
      <c r="L226" s="0" t="n">
        <v>0.6</v>
      </c>
      <c r="M226" s="0" t="n">
        <v>1</v>
      </c>
      <c r="N226" s="0" t="n">
        <v>2266.86</v>
      </c>
      <c r="O226" s="0" t="n">
        <v>1567.89</v>
      </c>
      <c r="P226" s="0" t="n">
        <v>847.94</v>
      </c>
      <c r="Q226" s="0" t="s">
        <v>24</v>
      </c>
      <c r="R226" s="0" t="s">
        <v>52</v>
      </c>
      <c r="S226" s="0" t="s">
        <v>247</v>
      </c>
    </row>
    <row r="227" customFormat="false" ht="15" hidden="false" customHeight="false" outlineLevel="0" collapsed="false">
      <c r="A227" s="0" t="s">
        <v>1147</v>
      </c>
      <c r="B227" s="0" t="s">
        <v>47</v>
      </c>
      <c r="C227" s="0" t="s">
        <v>206</v>
      </c>
      <c r="D227" s="0" t="s">
        <v>198</v>
      </c>
      <c r="E227" s="0" t="s">
        <v>43</v>
      </c>
      <c r="F227" s="0" t="n">
        <v>9.56</v>
      </c>
      <c r="G227" s="0" t="s">
        <v>362</v>
      </c>
      <c r="H227" s="0" t="s">
        <v>1047</v>
      </c>
      <c r="I227" s="0" t="s">
        <v>1148</v>
      </c>
      <c r="J227" s="0" t="s">
        <v>1149</v>
      </c>
      <c r="K227" s="0" t="s">
        <v>1150</v>
      </c>
      <c r="L227" s="0" t="n">
        <v>1.1</v>
      </c>
      <c r="M227" s="0" t="n">
        <v>1</v>
      </c>
      <c r="N227" s="0" t="n">
        <v>7264.81</v>
      </c>
      <c r="O227" s="0" t="n">
        <v>2015.9</v>
      </c>
      <c r="P227" s="0" t="n">
        <v>531.12</v>
      </c>
      <c r="Q227" s="0" t="s">
        <v>21</v>
      </c>
      <c r="R227" s="0" t="s">
        <v>52</v>
      </c>
      <c r="S227" s="0" t="s">
        <v>272</v>
      </c>
    </row>
    <row r="228" customFormat="false" ht="15" hidden="false" customHeight="false" outlineLevel="0" collapsed="false">
      <c r="A228" s="0" t="s">
        <v>1151</v>
      </c>
      <c r="B228" s="0" t="s">
        <v>47</v>
      </c>
      <c r="C228" s="0" t="s">
        <v>206</v>
      </c>
      <c r="D228" s="0" t="s">
        <v>198</v>
      </c>
      <c r="E228" s="0" t="s">
        <v>44</v>
      </c>
      <c r="F228" s="0" t="n">
        <v>15.05</v>
      </c>
      <c r="G228" s="0" t="s">
        <v>321</v>
      </c>
      <c r="H228" s="0" t="s">
        <v>280</v>
      </c>
      <c r="I228" s="0" t="s">
        <v>243</v>
      </c>
      <c r="J228" s="0" t="s">
        <v>1152</v>
      </c>
      <c r="K228" s="0" t="s">
        <v>1153</v>
      </c>
      <c r="L228" s="0" t="n">
        <v>-0.8</v>
      </c>
      <c r="M228" s="0" t="n">
        <v>0</v>
      </c>
      <c r="N228" s="0" t="n">
        <v>6979.14</v>
      </c>
      <c r="O228" s="0" t="n">
        <v>2117.1</v>
      </c>
      <c r="P228" s="0" t="n">
        <v>1142.88</v>
      </c>
      <c r="Q228" s="0" t="s">
        <v>22</v>
      </c>
      <c r="R228" s="0" t="s">
        <v>52</v>
      </c>
      <c r="S228" s="0" t="s">
        <v>272</v>
      </c>
    </row>
    <row r="229" customFormat="false" ht="15" hidden="false" customHeight="false" outlineLevel="0" collapsed="false">
      <c r="A229" s="0" t="s">
        <v>1154</v>
      </c>
      <c r="B229" s="0" t="s">
        <v>47</v>
      </c>
      <c r="C229" s="0" t="s">
        <v>206</v>
      </c>
      <c r="D229" s="0" t="s">
        <v>198</v>
      </c>
      <c r="E229" s="0" t="s">
        <v>43</v>
      </c>
      <c r="F229" s="0" t="n">
        <v>14.19</v>
      </c>
      <c r="G229" s="0" t="s">
        <v>325</v>
      </c>
      <c r="H229" s="0" t="s">
        <v>523</v>
      </c>
      <c r="I229" s="0" t="s">
        <v>570</v>
      </c>
      <c r="J229" s="0" t="s">
        <v>1155</v>
      </c>
      <c r="K229" s="0" t="s">
        <v>1156</v>
      </c>
      <c r="L229" s="0" t="n">
        <v>3.5</v>
      </c>
      <c r="M229" s="0" t="n">
        <v>1</v>
      </c>
      <c r="N229" s="0" t="n">
        <v>7694.9</v>
      </c>
      <c r="O229" s="0" t="n">
        <v>4036.99</v>
      </c>
      <c r="P229" s="0" t="n">
        <v>1403.61</v>
      </c>
      <c r="Q229" s="0" t="s">
        <v>23</v>
      </c>
      <c r="R229" s="0" t="s">
        <v>51</v>
      </c>
      <c r="S229" s="0" t="s">
        <v>247</v>
      </c>
    </row>
    <row r="230" customFormat="false" ht="15" hidden="false" customHeight="false" outlineLevel="0" collapsed="false">
      <c r="A230" s="0" t="s">
        <v>1157</v>
      </c>
      <c r="B230" s="0" t="s">
        <v>48</v>
      </c>
      <c r="C230" s="0" t="s">
        <v>198</v>
      </c>
      <c r="D230" s="0" t="s">
        <v>214</v>
      </c>
      <c r="E230" s="0" t="s">
        <v>44</v>
      </c>
      <c r="F230" s="0" t="n">
        <v>5.42</v>
      </c>
      <c r="G230" s="0" t="s">
        <v>293</v>
      </c>
      <c r="H230" s="0" t="s">
        <v>1158</v>
      </c>
      <c r="I230" s="0" t="s">
        <v>294</v>
      </c>
      <c r="J230" s="0" t="s">
        <v>1159</v>
      </c>
      <c r="K230" s="0" t="s">
        <v>904</v>
      </c>
      <c r="L230" s="0" t="n">
        <v>4.6</v>
      </c>
      <c r="M230" s="0" t="n">
        <v>1</v>
      </c>
      <c r="N230" s="0" t="n">
        <v>2628.93</v>
      </c>
      <c r="O230" s="0" t="n">
        <v>2788.22</v>
      </c>
      <c r="P230" s="0" t="n">
        <v>960.36</v>
      </c>
      <c r="Q230" s="0" t="s">
        <v>21</v>
      </c>
      <c r="R230" s="0" t="s">
        <v>52</v>
      </c>
      <c r="S230" s="0" t="s">
        <v>272</v>
      </c>
    </row>
    <row r="231" customFormat="false" ht="15" hidden="false" customHeight="false" outlineLevel="0" collapsed="false">
      <c r="A231" s="0" t="s">
        <v>1160</v>
      </c>
      <c r="B231" s="0" t="s">
        <v>47</v>
      </c>
      <c r="C231" s="0" t="s">
        <v>203</v>
      </c>
      <c r="D231" s="0" t="s">
        <v>198</v>
      </c>
      <c r="E231" s="0" t="s">
        <v>43</v>
      </c>
      <c r="F231" s="0" t="n">
        <v>17.43</v>
      </c>
      <c r="G231" s="0" t="s">
        <v>964</v>
      </c>
      <c r="H231" s="0" t="s">
        <v>353</v>
      </c>
      <c r="I231" s="0" t="s">
        <v>977</v>
      </c>
      <c r="J231" s="0" t="s">
        <v>1161</v>
      </c>
      <c r="K231" s="0" t="s">
        <v>1162</v>
      </c>
      <c r="L231" s="0" t="n">
        <v>3</v>
      </c>
      <c r="M231" s="0" t="n">
        <v>1</v>
      </c>
      <c r="N231" s="0" t="n">
        <v>5015.28</v>
      </c>
      <c r="O231" s="0" t="n">
        <v>1108.7</v>
      </c>
      <c r="P231" s="0" t="n">
        <v>1466.24</v>
      </c>
      <c r="Q231" s="0" t="s">
        <v>25</v>
      </c>
      <c r="R231" s="0" t="s">
        <v>52</v>
      </c>
      <c r="S231" s="0" t="s">
        <v>228</v>
      </c>
    </row>
    <row r="232" customFormat="false" ht="15" hidden="false" customHeight="false" outlineLevel="0" collapsed="false">
      <c r="A232" s="0" t="s">
        <v>1163</v>
      </c>
      <c r="B232" s="0" t="s">
        <v>48</v>
      </c>
      <c r="C232" s="0" t="s">
        <v>198</v>
      </c>
      <c r="D232" s="0" t="s">
        <v>207</v>
      </c>
      <c r="E232" s="0" t="s">
        <v>42</v>
      </c>
      <c r="F232" s="0" t="n">
        <v>3.42</v>
      </c>
      <c r="G232" s="0" t="s">
        <v>597</v>
      </c>
      <c r="H232" s="0" t="s">
        <v>833</v>
      </c>
      <c r="I232" s="0" t="s">
        <v>636</v>
      </c>
      <c r="J232" s="0" t="s">
        <v>1164</v>
      </c>
      <c r="K232" s="0" t="s">
        <v>1165</v>
      </c>
      <c r="L232" s="0" t="n">
        <v>4.2</v>
      </c>
      <c r="M232" s="0" t="n">
        <v>1</v>
      </c>
      <c r="N232" s="0" t="n">
        <v>3323.63</v>
      </c>
      <c r="O232" s="0" t="n">
        <v>3236.74</v>
      </c>
      <c r="P232" s="0" t="n">
        <v>1128.24</v>
      </c>
      <c r="Q232" s="0" t="s">
        <v>21</v>
      </c>
      <c r="R232" s="0" t="s">
        <v>51</v>
      </c>
      <c r="S232" s="0" t="s">
        <v>254</v>
      </c>
    </row>
    <row r="233" customFormat="false" ht="15" hidden="false" customHeight="false" outlineLevel="0" collapsed="false">
      <c r="A233" s="0" t="s">
        <v>1166</v>
      </c>
      <c r="B233" s="0" t="s">
        <v>48</v>
      </c>
      <c r="C233" s="0" t="s">
        <v>198</v>
      </c>
      <c r="D233" s="0" t="s">
        <v>201</v>
      </c>
      <c r="E233" s="0" t="s">
        <v>44</v>
      </c>
      <c r="F233" s="0" t="n">
        <v>11.12</v>
      </c>
      <c r="G233" s="0" t="s">
        <v>1167</v>
      </c>
      <c r="H233" s="0" t="s">
        <v>439</v>
      </c>
      <c r="I233" s="0" t="s">
        <v>866</v>
      </c>
      <c r="J233" s="0" t="s">
        <v>1168</v>
      </c>
      <c r="K233" s="0" t="s">
        <v>1169</v>
      </c>
      <c r="L233" s="0" t="n">
        <v>3.8</v>
      </c>
      <c r="M233" s="0" t="n">
        <v>1</v>
      </c>
      <c r="N233" s="0" t="n">
        <v>3397.86</v>
      </c>
      <c r="O233" s="0" t="n">
        <v>1184.49</v>
      </c>
      <c r="P233" s="0" t="n">
        <v>1067.17</v>
      </c>
      <c r="Q233" s="0" t="s">
        <v>23</v>
      </c>
      <c r="R233" s="0" t="s">
        <v>52</v>
      </c>
      <c r="S233" s="0" t="s">
        <v>272</v>
      </c>
    </row>
    <row r="234" customFormat="false" ht="15" hidden="false" customHeight="false" outlineLevel="0" collapsed="false">
      <c r="A234" s="0" t="s">
        <v>1170</v>
      </c>
      <c r="B234" s="0" t="s">
        <v>48</v>
      </c>
      <c r="C234" s="0" t="s">
        <v>198</v>
      </c>
      <c r="D234" s="0" t="s">
        <v>212</v>
      </c>
      <c r="E234" s="0" t="s">
        <v>42</v>
      </c>
      <c r="F234" s="0" t="n">
        <v>6.39</v>
      </c>
      <c r="G234" s="0" t="s">
        <v>604</v>
      </c>
      <c r="H234" s="0" t="s">
        <v>605</v>
      </c>
      <c r="I234" s="0" t="s">
        <v>501</v>
      </c>
      <c r="J234" s="0" t="s">
        <v>1171</v>
      </c>
      <c r="K234" s="0" t="s">
        <v>1172</v>
      </c>
      <c r="L234" s="0" t="n">
        <v>5.2</v>
      </c>
      <c r="M234" s="0" t="n">
        <v>1</v>
      </c>
      <c r="N234" s="0" t="n">
        <v>3396.07</v>
      </c>
      <c r="O234" s="0" t="n">
        <v>4509.05</v>
      </c>
      <c r="P234" s="0" t="n">
        <v>830.41</v>
      </c>
      <c r="Q234" s="0" t="s">
        <v>24</v>
      </c>
      <c r="R234" s="0" t="s">
        <v>52</v>
      </c>
      <c r="S234" s="0" t="s">
        <v>247</v>
      </c>
    </row>
    <row r="235" customFormat="false" ht="15" hidden="false" customHeight="false" outlineLevel="0" collapsed="false">
      <c r="A235" s="0" t="s">
        <v>1173</v>
      </c>
      <c r="B235" s="0" t="s">
        <v>47</v>
      </c>
      <c r="C235" s="0" t="s">
        <v>199</v>
      </c>
      <c r="D235" s="0" t="s">
        <v>198</v>
      </c>
      <c r="E235" s="0" t="s">
        <v>44</v>
      </c>
      <c r="F235" s="0" t="n">
        <v>7.47</v>
      </c>
      <c r="G235" s="0" t="s">
        <v>1174</v>
      </c>
      <c r="H235" s="0" t="s">
        <v>444</v>
      </c>
      <c r="I235" s="0" t="s">
        <v>860</v>
      </c>
      <c r="J235" s="0" t="s">
        <v>1175</v>
      </c>
      <c r="K235" s="0" t="s">
        <v>1176</v>
      </c>
      <c r="L235" s="0" t="n">
        <v>-0.6</v>
      </c>
      <c r="M235" s="0" t="n">
        <v>0</v>
      </c>
      <c r="N235" s="0" t="n">
        <v>3523.46</v>
      </c>
      <c r="O235" s="0" t="n">
        <v>3331.23</v>
      </c>
      <c r="P235" s="0" t="n">
        <v>1495.44</v>
      </c>
      <c r="Q235" s="0" t="s">
        <v>25</v>
      </c>
      <c r="R235" s="0" t="s">
        <v>52</v>
      </c>
      <c r="S235" s="0" t="s">
        <v>247</v>
      </c>
    </row>
    <row r="236" customFormat="false" ht="15" hidden="false" customHeight="false" outlineLevel="0" collapsed="false">
      <c r="A236" s="0" t="s">
        <v>1177</v>
      </c>
      <c r="B236" s="0" t="s">
        <v>47</v>
      </c>
      <c r="C236" s="0" t="s">
        <v>199</v>
      </c>
      <c r="D236" s="0" t="s">
        <v>198</v>
      </c>
      <c r="E236" s="0" t="s">
        <v>43</v>
      </c>
      <c r="F236" s="0" t="n">
        <v>17.26</v>
      </c>
      <c r="G236" s="0" t="s">
        <v>563</v>
      </c>
      <c r="H236" s="0" t="s">
        <v>933</v>
      </c>
      <c r="I236" s="0" t="s">
        <v>352</v>
      </c>
      <c r="J236" s="0" t="s">
        <v>1178</v>
      </c>
      <c r="K236" s="0" t="s">
        <v>1179</v>
      </c>
      <c r="L236" s="0" t="n">
        <v>1.8</v>
      </c>
      <c r="M236" s="0" t="n">
        <v>1</v>
      </c>
      <c r="N236" s="0" t="n">
        <v>7094.61</v>
      </c>
      <c r="O236" s="0" t="n">
        <v>3676.8</v>
      </c>
      <c r="P236" s="0" t="n">
        <v>1329.29</v>
      </c>
      <c r="Q236" s="0" t="s">
        <v>24</v>
      </c>
      <c r="R236" s="0" t="s">
        <v>52</v>
      </c>
      <c r="S236" s="0" t="s">
        <v>228</v>
      </c>
    </row>
    <row r="237" customFormat="false" ht="15" hidden="false" customHeight="false" outlineLevel="0" collapsed="false">
      <c r="A237" s="0" t="s">
        <v>1180</v>
      </c>
      <c r="B237" s="0" t="s">
        <v>47</v>
      </c>
      <c r="C237" s="0" t="s">
        <v>205</v>
      </c>
      <c r="D237" s="0" t="s">
        <v>198</v>
      </c>
      <c r="E237" s="0" t="s">
        <v>42</v>
      </c>
      <c r="F237" s="0" t="n">
        <v>17.7</v>
      </c>
      <c r="G237" s="0" t="s">
        <v>337</v>
      </c>
      <c r="H237" s="0" t="s">
        <v>477</v>
      </c>
      <c r="I237" s="0" t="s">
        <v>681</v>
      </c>
      <c r="J237" s="0" t="s">
        <v>1181</v>
      </c>
      <c r="K237" s="0" t="s">
        <v>1182</v>
      </c>
      <c r="L237" s="0" t="n">
        <v>-1</v>
      </c>
      <c r="M237" s="0" t="n">
        <v>0</v>
      </c>
      <c r="N237" s="0" t="n">
        <v>9187.67</v>
      </c>
      <c r="O237" s="0" t="n">
        <v>3407.69</v>
      </c>
      <c r="P237" s="0" t="n">
        <v>1392.52</v>
      </c>
      <c r="Q237" s="0" t="s">
        <v>21</v>
      </c>
      <c r="R237" s="0" t="s">
        <v>51</v>
      </c>
      <c r="S237" s="0" t="s">
        <v>247</v>
      </c>
    </row>
    <row r="238" customFormat="false" ht="15" hidden="false" customHeight="false" outlineLevel="0" collapsed="false">
      <c r="A238" s="0" t="s">
        <v>1183</v>
      </c>
      <c r="B238" s="0" t="s">
        <v>48</v>
      </c>
      <c r="C238" s="0" t="s">
        <v>198</v>
      </c>
      <c r="D238" s="0" t="s">
        <v>208</v>
      </c>
      <c r="E238" s="0" t="s">
        <v>42</v>
      </c>
      <c r="F238" s="0" t="n">
        <v>9.42</v>
      </c>
      <c r="G238" s="0" t="s">
        <v>992</v>
      </c>
      <c r="H238" s="0" t="s">
        <v>268</v>
      </c>
      <c r="I238" s="0" t="s">
        <v>1167</v>
      </c>
      <c r="J238" s="0" t="s">
        <v>270</v>
      </c>
      <c r="K238" s="0" t="s">
        <v>1184</v>
      </c>
      <c r="L238" s="0" t="n">
        <v>3.7</v>
      </c>
      <c r="M238" s="0" t="n">
        <v>1</v>
      </c>
      <c r="N238" s="0" t="n">
        <v>3781.6</v>
      </c>
      <c r="O238" s="0" t="n">
        <v>2538.05</v>
      </c>
      <c r="P238" s="0" t="n">
        <v>987.67</v>
      </c>
      <c r="Q238" s="0" t="s">
        <v>23</v>
      </c>
      <c r="R238" s="0" t="s">
        <v>51</v>
      </c>
      <c r="S238" s="0" t="s">
        <v>247</v>
      </c>
    </row>
    <row r="239" customFormat="false" ht="15" hidden="false" customHeight="false" outlineLevel="0" collapsed="false">
      <c r="A239" s="0" t="s">
        <v>1185</v>
      </c>
      <c r="B239" s="0" t="s">
        <v>47</v>
      </c>
      <c r="C239" s="0" t="s">
        <v>209</v>
      </c>
      <c r="D239" s="0" t="s">
        <v>198</v>
      </c>
      <c r="E239" s="0" t="s">
        <v>43</v>
      </c>
      <c r="F239" s="0" t="n">
        <v>13.39</v>
      </c>
      <c r="G239" s="0" t="s">
        <v>217</v>
      </c>
      <c r="H239" s="0" t="s">
        <v>218</v>
      </c>
      <c r="I239" s="0" t="s">
        <v>224</v>
      </c>
      <c r="J239" s="0" t="s">
        <v>1186</v>
      </c>
      <c r="K239" s="0" t="s">
        <v>1187</v>
      </c>
      <c r="L239" s="0" t="n">
        <v>5.6</v>
      </c>
      <c r="M239" s="0" t="n">
        <v>1</v>
      </c>
      <c r="N239" s="0" t="n">
        <v>5162.3</v>
      </c>
      <c r="O239" s="0" t="n">
        <v>4565.92</v>
      </c>
      <c r="P239" s="0" t="n">
        <v>502.92</v>
      </c>
      <c r="Q239" s="0" t="s">
        <v>23</v>
      </c>
      <c r="R239" s="0" t="s">
        <v>51</v>
      </c>
      <c r="S239" s="0" t="s">
        <v>247</v>
      </c>
    </row>
    <row r="240" customFormat="false" ht="15" hidden="false" customHeight="false" outlineLevel="0" collapsed="false">
      <c r="A240" s="0" t="s">
        <v>1188</v>
      </c>
      <c r="B240" s="0" t="s">
        <v>47</v>
      </c>
      <c r="C240" s="0" t="s">
        <v>206</v>
      </c>
      <c r="D240" s="0" t="s">
        <v>198</v>
      </c>
      <c r="E240" s="0" t="s">
        <v>43</v>
      </c>
      <c r="F240" s="0" t="n">
        <v>1.76</v>
      </c>
      <c r="G240" s="0" t="s">
        <v>267</v>
      </c>
      <c r="H240" s="0" t="s">
        <v>268</v>
      </c>
      <c r="I240" s="0" t="s">
        <v>232</v>
      </c>
      <c r="J240" s="0" t="s">
        <v>1189</v>
      </c>
      <c r="K240" s="0" t="s">
        <v>1190</v>
      </c>
      <c r="L240" s="0" t="n">
        <v>1.3</v>
      </c>
      <c r="M240" s="0" t="n">
        <v>1</v>
      </c>
      <c r="N240" s="0" t="n">
        <v>1781.19</v>
      </c>
      <c r="O240" s="0" t="n">
        <v>2897.15</v>
      </c>
      <c r="P240" s="0" t="n">
        <v>1090.87</v>
      </c>
      <c r="Q240" s="0" t="s">
        <v>23</v>
      </c>
      <c r="R240" s="0" t="s">
        <v>51</v>
      </c>
      <c r="S240" s="0" t="s">
        <v>254</v>
      </c>
    </row>
    <row r="241" customFormat="false" ht="15" hidden="false" customHeight="false" outlineLevel="0" collapsed="false">
      <c r="A241" s="0" t="s">
        <v>1191</v>
      </c>
      <c r="B241" s="0" t="s">
        <v>47</v>
      </c>
      <c r="C241" s="0" t="s">
        <v>206</v>
      </c>
      <c r="D241" s="0" t="s">
        <v>198</v>
      </c>
      <c r="E241" s="0" t="s">
        <v>42</v>
      </c>
      <c r="F241" s="0" t="n">
        <v>11.2</v>
      </c>
      <c r="G241" s="0" t="s">
        <v>502</v>
      </c>
      <c r="H241" s="0" t="s">
        <v>251</v>
      </c>
      <c r="I241" s="0" t="s">
        <v>723</v>
      </c>
      <c r="J241" s="0" t="s">
        <v>1192</v>
      </c>
      <c r="K241" s="0" t="s">
        <v>1193</v>
      </c>
      <c r="L241" s="0" t="n">
        <v>-1</v>
      </c>
      <c r="M241" s="0" t="n">
        <v>0</v>
      </c>
      <c r="N241" s="0" t="n">
        <v>3737.01</v>
      </c>
      <c r="O241" s="0" t="n">
        <v>4210.34</v>
      </c>
      <c r="P241" s="0" t="n">
        <v>1072.05</v>
      </c>
      <c r="Q241" s="0" t="s">
        <v>24</v>
      </c>
      <c r="R241" s="0" t="s">
        <v>52</v>
      </c>
      <c r="S241" s="0" t="s">
        <v>247</v>
      </c>
    </row>
    <row r="242" customFormat="false" ht="15" hidden="false" customHeight="false" outlineLevel="0" collapsed="false">
      <c r="A242" s="0" t="s">
        <v>1194</v>
      </c>
      <c r="B242" s="0" t="s">
        <v>47</v>
      </c>
      <c r="C242" s="0" t="s">
        <v>199</v>
      </c>
      <c r="D242" s="0" t="s">
        <v>198</v>
      </c>
      <c r="E242" s="0" t="s">
        <v>44</v>
      </c>
      <c r="F242" s="0" t="n">
        <v>10.74</v>
      </c>
      <c r="G242" s="0" t="s">
        <v>380</v>
      </c>
      <c r="H242" s="0" t="s">
        <v>827</v>
      </c>
      <c r="I242" s="0" t="s">
        <v>1195</v>
      </c>
      <c r="J242" s="0" t="s">
        <v>930</v>
      </c>
      <c r="K242" s="0" t="s">
        <v>1196</v>
      </c>
      <c r="L242" s="0" t="n">
        <v>0.3</v>
      </c>
      <c r="M242" s="0" t="n">
        <v>1</v>
      </c>
      <c r="N242" s="0" t="n">
        <v>3661.2</v>
      </c>
      <c r="O242" s="0" t="n">
        <v>3029.65</v>
      </c>
      <c r="P242" s="0" t="n">
        <v>1374.22</v>
      </c>
      <c r="Q242" s="0" t="s">
        <v>24</v>
      </c>
      <c r="R242" s="0" t="s">
        <v>52</v>
      </c>
      <c r="S242" s="0" t="s">
        <v>247</v>
      </c>
    </row>
    <row r="243" customFormat="false" ht="15" hidden="false" customHeight="false" outlineLevel="0" collapsed="false">
      <c r="A243" s="0" t="s">
        <v>1197</v>
      </c>
      <c r="B243" s="0" t="s">
        <v>47</v>
      </c>
      <c r="C243" s="0" t="s">
        <v>205</v>
      </c>
      <c r="D243" s="0" t="s">
        <v>198</v>
      </c>
      <c r="E243" s="0" t="s">
        <v>42</v>
      </c>
      <c r="F243" s="0" t="n">
        <v>10.38</v>
      </c>
      <c r="G243" s="0" t="s">
        <v>831</v>
      </c>
      <c r="H243" s="0" t="s">
        <v>1198</v>
      </c>
      <c r="I243" s="0" t="s">
        <v>636</v>
      </c>
      <c r="J243" s="0" t="s">
        <v>1199</v>
      </c>
      <c r="K243" s="0" t="s">
        <v>1200</v>
      </c>
      <c r="L243" s="0" t="n">
        <v>4.6</v>
      </c>
      <c r="M243" s="0" t="n">
        <v>1</v>
      </c>
      <c r="N243" s="0" t="n">
        <v>4231.11</v>
      </c>
      <c r="O243" s="0" t="n">
        <v>2687.31</v>
      </c>
      <c r="P243" s="0" t="n">
        <v>911.02</v>
      </c>
      <c r="Q243" s="0" t="s">
        <v>23</v>
      </c>
      <c r="R243" s="0" t="s">
        <v>52</v>
      </c>
      <c r="S243" s="0" t="s">
        <v>254</v>
      </c>
    </row>
    <row r="244" customFormat="false" ht="15" hidden="false" customHeight="false" outlineLevel="0" collapsed="false">
      <c r="A244" s="0" t="s">
        <v>1201</v>
      </c>
      <c r="B244" s="0" t="s">
        <v>47</v>
      </c>
      <c r="C244" s="0" t="s">
        <v>199</v>
      </c>
      <c r="D244" s="0" t="s">
        <v>198</v>
      </c>
      <c r="E244" s="0" t="s">
        <v>44</v>
      </c>
      <c r="F244" s="0" t="n">
        <v>18.24</v>
      </c>
      <c r="G244" s="0" t="s">
        <v>1198</v>
      </c>
      <c r="H244" s="0" t="s">
        <v>462</v>
      </c>
      <c r="I244" s="0" t="s">
        <v>731</v>
      </c>
      <c r="J244" s="0" t="s">
        <v>1202</v>
      </c>
      <c r="K244" s="0" t="s">
        <v>1203</v>
      </c>
      <c r="L244" s="0" t="n">
        <v>0.6</v>
      </c>
      <c r="M244" s="0" t="n">
        <v>1</v>
      </c>
      <c r="N244" s="0" t="n">
        <v>7610.85</v>
      </c>
      <c r="O244" s="0" t="n">
        <v>4486.39</v>
      </c>
      <c r="P244" s="0" t="n">
        <v>756.69</v>
      </c>
      <c r="Q244" s="0" t="s">
        <v>21</v>
      </c>
      <c r="R244" s="0" t="s">
        <v>51</v>
      </c>
      <c r="S244" s="0" t="s">
        <v>272</v>
      </c>
    </row>
    <row r="245" customFormat="false" ht="15" hidden="false" customHeight="false" outlineLevel="0" collapsed="false">
      <c r="A245" s="0" t="s">
        <v>1204</v>
      </c>
      <c r="B245" s="0" t="s">
        <v>48</v>
      </c>
      <c r="C245" s="0" t="s">
        <v>198</v>
      </c>
      <c r="D245" s="0" t="s">
        <v>207</v>
      </c>
      <c r="E245" s="0" t="s">
        <v>44</v>
      </c>
      <c r="F245" s="0" t="n">
        <v>13.64</v>
      </c>
      <c r="G245" s="0" t="s">
        <v>1205</v>
      </c>
      <c r="H245" s="0" t="s">
        <v>1158</v>
      </c>
      <c r="I245" s="0" t="s">
        <v>430</v>
      </c>
      <c r="J245" s="0" t="s">
        <v>1206</v>
      </c>
      <c r="K245" s="0" t="s">
        <v>1207</v>
      </c>
      <c r="L245" s="0" t="n">
        <v>2.4</v>
      </c>
      <c r="M245" s="0" t="n">
        <v>1</v>
      </c>
      <c r="N245" s="0" t="n">
        <v>7307.46</v>
      </c>
      <c r="O245" s="0" t="n">
        <v>4601.29</v>
      </c>
      <c r="P245" s="0" t="n">
        <v>904.24</v>
      </c>
      <c r="Q245" s="0" t="s">
        <v>24</v>
      </c>
      <c r="R245" s="0" t="s">
        <v>51</v>
      </c>
      <c r="S245" s="0" t="s">
        <v>254</v>
      </c>
    </row>
    <row r="246" customFormat="false" ht="15" hidden="false" customHeight="false" outlineLevel="0" collapsed="false">
      <c r="A246" s="0" t="s">
        <v>1208</v>
      </c>
      <c r="B246" s="0" t="s">
        <v>48</v>
      </c>
      <c r="C246" s="0" t="s">
        <v>198</v>
      </c>
      <c r="D246" s="0" t="s">
        <v>199</v>
      </c>
      <c r="E246" s="0" t="s">
        <v>44</v>
      </c>
      <c r="F246" s="0" t="n">
        <v>7.1</v>
      </c>
      <c r="G246" s="0" t="s">
        <v>362</v>
      </c>
      <c r="H246" s="0" t="s">
        <v>472</v>
      </c>
      <c r="I246" s="0" t="s">
        <v>473</v>
      </c>
      <c r="J246" s="0" t="s">
        <v>1209</v>
      </c>
      <c r="K246" s="0" t="s">
        <v>1210</v>
      </c>
      <c r="L246" s="0" t="n">
        <v>-1</v>
      </c>
      <c r="M246" s="0" t="n">
        <v>0</v>
      </c>
      <c r="N246" s="0" t="n">
        <v>4255.07</v>
      </c>
      <c r="O246" s="0" t="n">
        <v>1555.49</v>
      </c>
      <c r="P246" s="0" t="n">
        <v>615.74</v>
      </c>
      <c r="Q246" s="0" t="s">
        <v>22</v>
      </c>
      <c r="R246" s="0" t="s">
        <v>52</v>
      </c>
      <c r="S246" s="0" t="s">
        <v>228</v>
      </c>
    </row>
    <row r="247" customFormat="false" ht="15" hidden="false" customHeight="false" outlineLevel="0" collapsed="false">
      <c r="A247" s="0" t="s">
        <v>1211</v>
      </c>
      <c r="B247" s="0" t="s">
        <v>47</v>
      </c>
      <c r="C247" s="0" t="s">
        <v>199</v>
      </c>
      <c r="D247" s="0" t="s">
        <v>198</v>
      </c>
      <c r="E247" s="0" t="s">
        <v>44</v>
      </c>
      <c r="F247" s="0" t="n">
        <v>3.93</v>
      </c>
      <c r="G247" s="0" t="s">
        <v>814</v>
      </c>
      <c r="H247" s="0" t="s">
        <v>415</v>
      </c>
      <c r="I247" s="0" t="s">
        <v>286</v>
      </c>
      <c r="J247" s="0" t="s">
        <v>1212</v>
      </c>
      <c r="K247" s="0" t="s">
        <v>1213</v>
      </c>
      <c r="L247" s="0" t="n">
        <v>6.2</v>
      </c>
      <c r="M247" s="0" t="n">
        <v>1</v>
      </c>
      <c r="N247" s="0" t="n">
        <v>3327.74</v>
      </c>
      <c r="O247" s="0" t="n">
        <v>4965.05</v>
      </c>
      <c r="P247" s="0" t="n">
        <v>1320.01</v>
      </c>
      <c r="Q247" s="0" t="s">
        <v>23</v>
      </c>
      <c r="R247" s="0" t="s">
        <v>52</v>
      </c>
      <c r="S247" s="0" t="s">
        <v>272</v>
      </c>
    </row>
    <row r="248" customFormat="false" ht="15" hidden="false" customHeight="false" outlineLevel="0" collapsed="false">
      <c r="A248" s="0" t="s">
        <v>1214</v>
      </c>
      <c r="B248" s="0" t="s">
        <v>47</v>
      </c>
      <c r="C248" s="0" t="s">
        <v>209</v>
      </c>
      <c r="D248" s="0" t="s">
        <v>198</v>
      </c>
      <c r="E248" s="0" t="s">
        <v>43</v>
      </c>
      <c r="F248" s="0" t="n">
        <v>14.2</v>
      </c>
      <c r="G248" s="0" t="s">
        <v>327</v>
      </c>
      <c r="H248" s="0" t="s">
        <v>570</v>
      </c>
      <c r="I248" s="0" t="s">
        <v>336</v>
      </c>
      <c r="J248" s="0" t="s">
        <v>1215</v>
      </c>
      <c r="K248" s="0" t="s">
        <v>1216</v>
      </c>
      <c r="L248" s="0" t="n">
        <v>4.4</v>
      </c>
      <c r="M248" s="0" t="n">
        <v>1</v>
      </c>
      <c r="N248" s="0" t="n">
        <v>6469.96</v>
      </c>
      <c r="O248" s="0" t="n">
        <v>3916.69</v>
      </c>
      <c r="P248" s="0" t="n">
        <v>1152.29</v>
      </c>
      <c r="Q248" s="0" t="s">
        <v>25</v>
      </c>
      <c r="R248" s="0" t="s">
        <v>52</v>
      </c>
      <c r="S248" s="0" t="s">
        <v>254</v>
      </c>
    </row>
    <row r="249" customFormat="false" ht="15" hidden="false" customHeight="false" outlineLevel="0" collapsed="false">
      <c r="A249" s="0" t="s">
        <v>1217</v>
      </c>
      <c r="B249" s="0" t="s">
        <v>47</v>
      </c>
      <c r="C249" s="0" t="s">
        <v>206</v>
      </c>
      <c r="D249" s="0" t="s">
        <v>198</v>
      </c>
      <c r="E249" s="0" t="s">
        <v>43</v>
      </c>
      <c r="F249" s="0" t="n">
        <v>17.07</v>
      </c>
      <c r="G249" s="0" t="s">
        <v>1064</v>
      </c>
      <c r="H249" s="0" t="s">
        <v>896</v>
      </c>
      <c r="I249" s="0" t="s">
        <v>832</v>
      </c>
      <c r="J249" s="0" t="s">
        <v>1218</v>
      </c>
      <c r="K249" s="0" t="s">
        <v>1219</v>
      </c>
      <c r="L249" s="0" t="n">
        <v>1.4</v>
      </c>
      <c r="M249" s="0" t="n">
        <v>1</v>
      </c>
      <c r="N249" s="0" t="n">
        <v>5908.21</v>
      </c>
      <c r="O249" s="0" t="n">
        <v>4155.94</v>
      </c>
      <c r="P249" s="0" t="n">
        <v>946.42</v>
      </c>
      <c r="Q249" s="0" t="s">
        <v>21</v>
      </c>
      <c r="R249" s="0" t="s">
        <v>52</v>
      </c>
      <c r="S249" s="0" t="s">
        <v>247</v>
      </c>
    </row>
    <row r="250" customFormat="false" ht="15" hidden="false" customHeight="false" outlineLevel="0" collapsed="false">
      <c r="A250" s="0" t="s">
        <v>1220</v>
      </c>
      <c r="B250" s="0" t="s">
        <v>47</v>
      </c>
      <c r="C250" s="0" t="s">
        <v>205</v>
      </c>
      <c r="D250" s="0" t="s">
        <v>198</v>
      </c>
      <c r="E250" s="0" t="s">
        <v>42</v>
      </c>
      <c r="F250" s="0" t="n">
        <v>16.17</v>
      </c>
      <c r="G250" s="0" t="s">
        <v>294</v>
      </c>
      <c r="H250" s="0" t="s">
        <v>501</v>
      </c>
      <c r="I250" s="0" t="s">
        <v>249</v>
      </c>
      <c r="J250" s="0" t="s">
        <v>1221</v>
      </c>
      <c r="K250" s="0" t="s">
        <v>1222</v>
      </c>
      <c r="L250" s="0" t="n">
        <v>-1</v>
      </c>
      <c r="M250" s="0" t="n">
        <v>0</v>
      </c>
      <c r="N250" s="0" t="n">
        <v>4939.02</v>
      </c>
      <c r="O250" s="0" t="n">
        <v>2571.9</v>
      </c>
      <c r="P250" s="0" t="n">
        <v>1025.81</v>
      </c>
      <c r="Q250" s="0" t="s">
        <v>22</v>
      </c>
      <c r="R250" s="0" t="s">
        <v>51</v>
      </c>
      <c r="S250" s="0" t="s">
        <v>247</v>
      </c>
    </row>
    <row r="251" customFormat="false" ht="15" hidden="false" customHeight="false" outlineLevel="0" collapsed="false">
      <c r="A251" s="0" t="s">
        <v>1223</v>
      </c>
      <c r="B251" s="0" t="s">
        <v>47</v>
      </c>
      <c r="C251" s="0" t="s">
        <v>199</v>
      </c>
      <c r="D251" s="0" t="s">
        <v>198</v>
      </c>
      <c r="E251" s="0" t="s">
        <v>42</v>
      </c>
      <c r="F251" s="0" t="n">
        <v>10.72</v>
      </c>
      <c r="G251" s="0" t="s">
        <v>1224</v>
      </c>
      <c r="H251" s="0" t="s">
        <v>1000</v>
      </c>
      <c r="I251" s="0" t="s">
        <v>920</v>
      </c>
      <c r="J251" s="0" t="s">
        <v>1225</v>
      </c>
      <c r="K251" s="0" t="s">
        <v>1226</v>
      </c>
      <c r="L251" s="0" t="n">
        <v>-0.1</v>
      </c>
      <c r="M251" s="0" t="n">
        <v>0</v>
      </c>
      <c r="N251" s="0" t="n">
        <v>8182.5</v>
      </c>
      <c r="O251" s="0" t="n">
        <v>2359.08</v>
      </c>
      <c r="P251" s="0" t="n">
        <v>1017.24</v>
      </c>
      <c r="Q251" s="0" t="s">
        <v>24</v>
      </c>
      <c r="R251" s="0" t="s">
        <v>52</v>
      </c>
      <c r="S251" s="0" t="s">
        <v>247</v>
      </c>
    </row>
    <row r="252" customFormat="false" ht="15" hidden="false" customHeight="false" outlineLevel="0" collapsed="false">
      <c r="A252" s="0" t="s">
        <v>1227</v>
      </c>
      <c r="B252" s="0" t="s">
        <v>48</v>
      </c>
      <c r="C252" s="0" t="s">
        <v>198</v>
      </c>
      <c r="D252" s="0" t="s">
        <v>214</v>
      </c>
      <c r="E252" s="0" t="s">
        <v>44</v>
      </c>
      <c r="F252" s="0" t="n">
        <v>8.2</v>
      </c>
      <c r="G252" s="0" t="s">
        <v>1228</v>
      </c>
      <c r="H252" s="0" t="s">
        <v>261</v>
      </c>
      <c r="I252" s="0" t="s">
        <v>263</v>
      </c>
      <c r="J252" s="0" t="s">
        <v>1229</v>
      </c>
      <c r="K252" s="0" t="s">
        <v>1230</v>
      </c>
      <c r="L252" s="0" t="n">
        <v>-1</v>
      </c>
      <c r="M252" s="0" t="n">
        <v>0</v>
      </c>
      <c r="N252" s="0" t="n">
        <v>5535.35</v>
      </c>
      <c r="O252" s="0" t="n">
        <v>4366.89</v>
      </c>
      <c r="P252" s="0" t="n">
        <v>1080.22</v>
      </c>
      <c r="Q252" s="0" t="s">
        <v>23</v>
      </c>
      <c r="R252" s="0" t="s">
        <v>51</v>
      </c>
      <c r="S252" s="0" t="s">
        <v>247</v>
      </c>
    </row>
    <row r="253" customFormat="false" ht="15" hidden="false" customHeight="false" outlineLevel="0" collapsed="false">
      <c r="A253" s="0" t="s">
        <v>1231</v>
      </c>
      <c r="B253" s="0" t="s">
        <v>47</v>
      </c>
      <c r="C253" s="0" t="s">
        <v>203</v>
      </c>
      <c r="D253" s="0" t="s">
        <v>198</v>
      </c>
      <c r="E253" s="0" t="s">
        <v>43</v>
      </c>
      <c r="F253" s="0" t="n">
        <v>11.63</v>
      </c>
      <c r="G253" s="0" t="s">
        <v>321</v>
      </c>
      <c r="H253" s="0" t="s">
        <v>789</v>
      </c>
      <c r="I253" s="0" t="s">
        <v>281</v>
      </c>
      <c r="J253" s="0" t="s">
        <v>1232</v>
      </c>
      <c r="K253" s="0" t="s">
        <v>1233</v>
      </c>
      <c r="L253" s="0" t="n">
        <v>-0.4</v>
      </c>
      <c r="M253" s="0" t="n">
        <v>0</v>
      </c>
      <c r="N253" s="0" t="n">
        <v>6119.71</v>
      </c>
      <c r="O253" s="0" t="n">
        <v>3127.65</v>
      </c>
      <c r="P253" s="0" t="n">
        <v>635.79</v>
      </c>
      <c r="Q253" s="0" t="s">
        <v>22</v>
      </c>
      <c r="R253" s="0" t="s">
        <v>51</v>
      </c>
      <c r="S253" s="0" t="s">
        <v>247</v>
      </c>
    </row>
    <row r="254" customFormat="false" ht="15" hidden="false" customHeight="false" outlineLevel="0" collapsed="false">
      <c r="A254" s="0" t="s">
        <v>1234</v>
      </c>
      <c r="B254" s="0" t="s">
        <v>47</v>
      </c>
      <c r="C254" s="0" t="s">
        <v>205</v>
      </c>
      <c r="D254" s="0" t="s">
        <v>198</v>
      </c>
      <c r="E254" s="0" t="s">
        <v>43</v>
      </c>
      <c r="F254" s="0" t="n">
        <v>2.89</v>
      </c>
      <c r="G254" s="0" t="s">
        <v>677</v>
      </c>
      <c r="H254" s="0" t="s">
        <v>667</v>
      </c>
      <c r="I254" s="0" t="s">
        <v>727</v>
      </c>
      <c r="J254" s="0" t="s">
        <v>1235</v>
      </c>
      <c r="K254" s="0" t="s">
        <v>1236</v>
      </c>
      <c r="L254" s="0" t="n">
        <v>1.2</v>
      </c>
      <c r="M254" s="0" t="n">
        <v>1</v>
      </c>
      <c r="N254" s="0" t="n">
        <v>2341.41</v>
      </c>
      <c r="O254" s="0" t="n">
        <v>2481.59</v>
      </c>
      <c r="P254" s="0" t="n">
        <v>874.8</v>
      </c>
      <c r="Q254" s="0" t="s">
        <v>22</v>
      </c>
      <c r="R254" s="0" t="s">
        <v>51</v>
      </c>
      <c r="S254" s="0" t="s">
        <v>254</v>
      </c>
    </row>
    <row r="255" customFormat="false" ht="15" hidden="false" customHeight="false" outlineLevel="0" collapsed="false">
      <c r="A255" s="0" t="s">
        <v>1237</v>
      </c>
      <c r="B255" s="0" t="s">
        <v>47</v>
      </c>
      <c r="C255" s="0" t="s">
        <v>199</v>
      </c>
      <c r="D255" s="0" t="s">
        <v>198</v>
      </c>
      <c r="E255" s="0" t="s">
        <v>44</v>
      </c>
      <c r="F255" s="0" t="n">
        <v>10.01</v>
      </c>
      <c r="G255" s="0" t="s">
        <v>528</v>
      </c>
      <c r="H255" s="0" t="s">
        <v>316</v>
      </c>
      <c r="I255" s="0" t="s">
        <v>880</v>
      </c>
      <c r="J255" s="0" t="s">
        <v>317</v>
      </c>
      <c r="K255" s="0" t="s">
        <v>1238</v>
      </c>
      <c r="L255" s="0" t="n">
        <v>6.8</v>
      </c>
      <c r="M255" s="0" t="n">
        <v>1</v>
      </c>
      <c r="N255" s="0" t="n">
        <v>4001.31</v>
      </c>
      <c r="O255" s="0" t="n">
        <v>1606.34</v>
      </c>
      <c r="P255" s="0" t="n">
        <v>530.94</v>
      </c>
      <c r="Q255" s="0" t="s">
        <v>21</v>
      </c>
      <c r="R255" s="0" t="s">
        <v>51</v>
      </c>
      <c r="S255" s="0" t="s">
        <v>222</v>
      </c>
    </row>
    <row r="256" customFormat="false" ht="15" hidden="false" customHeight="false" outlineLevel="0" collapsed="false">
      <c r="A256" s="0" t="s">
        <v>1239</v>
      </c>
      <c r="B256" s="0" t="s">
        <v>47</v>
      </c>
      <c r="C256" s="0" t="s">
        <v>203</v>
      </c>
      <c r="D256" s="0" t="s">
        <v>198</v>
      </c>
      <c r="E256" s="0" t="s">
        <v>43</v>
      </c>
      <c r="F256" s="0" t="n">
        <v>19.44</v>
      </c>
      <c r="G256" s="0" t="s">
        <v>473</v>
      </c>
      <c r="H256" s="0" t="s">
        <v>1080</v>
      </c>
      <c r="I256" s="0" t="s">
        <v>343</v>
      </c>
      <c r="J256" s="0" t="s">
        <v>1240</v>
      </c>
      <c r="K256" s="0" t="s">
        <v>1241</v>
      </c>
      <c r="L256" s="0" t="n">
        <v>7.2</v>
      </c>
      <c r="M256" s="0" t="n">
        <v>1</v>
      </c>
      <c r="N256" s="0" t="n">
        <v>8776.79</v>
      </c>
      <c r="O256" s="0" t="n">
        <v>2424.74</v>
      </c>
      <c r="P256" s="0" t="n">
        <v>1326.81</v>
      </c>
      <c r="Q256" s="0" t="s">
        <v>25</v>
      </c>
      <c r="R256" s="0" t="s">
        <v>51</v>
      </c>
      <c r="S256" s="0" t="s">
        <v>222</v>
      </c>
    </row>
    <row r="257" customFormat="false" ht="15" hidden="false" customHeight="false" outlineLevel="0" collapsed="false">
      <c r="A257" s="0" t="s">
        <v>1242</v>
      </c>
      <c r="B257" s="0" t="s">
        <v>47</v>
      </c>
      <c r="C257" s="0" t="s">
        <v>199</v>
      </c>
      <c r="D257" s="0" t="s">
        <v>198</v>
      </c>
      <c r="E257" s="0" t="s">
        <v>42</v>
      </c>
      <c r="F257" s="0" t="n">
        <v>14.47</v>
      </c>
      <c r="G257" s="0" t="s">
        <v>1243</v>
      </c>
      <c r="H257" s="0" t="s">
        <v>1244</v>
      </c>
      <c r="I257" s="0" t="s">
        <v>945</v>
      </c>
      <c r="J257" s="0" t="s">
        <v>1245</v>
      </c>
      <c r="K257" s="0" t="s">
        <v>1246</v>
      </c>
      <c r="L257" s="0" t="n">
        <v>8.7</v>
      </c>
      <c r="M257" s="0" t="n">
        <v>1</v>
      </c>
      <c r="N257" s="0" t="n">
        <v>9629.37</v>
      </c>
      <c r="O257" s="0" t="n">
        <v>2389.11</v>
      </c>
      <c r="P257" s="0" t="n">
        <v>1080.47</v>
      </c>
      <c r="Q257" s="0" t="s">
        <v>22</v>
      </c>
      <c r="R257" s="0" t="s">
        <v>51</v>
      </c>
      <c r="S257" s="0" t="s">
        <v>247</v>
      </c>
    </row>
    <row r="258" customFormat="false" ht="15" hidden="false" customHeight="false" outlineLevel="0" collapsed="false">
      <c r="A258" s="0" t="s">
        <v>1247</v>
      </c>
      <c r="B258" s="0" t="s">
        <v>48</v>
      </c>
      <c r="C258" s="0" t="s">
        <v>198</v>
      </c>
      <c r="D258" s="0" t="s">
        <v>214</v>
      </c>
      <c r="E258" s="0" t="s">
        <v>42</v>
      </c>
      <c r="F258" s="0" t="n">
        <v>3.64</v>
      </c>
      <c r="G258" s="0" t="s">
        <v>528</v>
      </c>
      <c r="H258" s="0" t="s">
        <v>949</v>
      </c>
      <c r="I258" s="0" t="s">
        <v>950</v>
      </c>
      <c r="J258" s="0" t="s">
        <v>1248</v>
      </c>
      <c r="K258" s="0" t="s">
        <v>1249</v>
      </c>
      <c r="L258" s="0" t="n">
        <v>3.9</v>
      </c>
      <c r="M258" s="0" t="n">
        <v>1</v>
      </c>
      <c r="N258" s="0" t="n">
        <v>3325.01</v>
      </c>
      <c r="O258" s="0" t="n">
        <v>3277.51</v>
      </c>
      <c r="P258" s="0" t="n">
        <v>1120.66</v>
      </c>
      <c r="Q258" s="0" t="s">
        <v>24</v>
      </c>
      <c r="R258" s="0" t="s">
        <v>51</v>
      </c>
      <c r="S258" s="0" t="s">
        <v>222</v>
      </c>
    </row>
    <row r="259" customFormat="false" ht="15" hidden="false" customHeight="false" outlineLevel="0" collapsed="false">
      <c r="A259" s="0" t="s">
        <v>1250</v>
      </c>
      <c r="B259" s="0" t="s">
        <v>47</v>
      </c>
      <c r="C259" s="0" t="s">
        <v>206</v>
      </c>
      <c r="D259" s="0" t="s">
        <v>198</v>
      </c>
      <c r="E259" s="0" t="s">
        <v>43</v>
      </c>
      <c r="F259" s="0" t="n">
        <v>4.82</v>
      </c>
      <c r="G259" s="0" t="s">
        <v>1251</v>
      </c>
      <c r="H259" s="0" t="s">
        <v>533</v>
      </c>
      <c r="I259" s="0" t="s">
        <v>657</v>
      </c>
      <c r="J259" s="0" t="s">
        <v>1252</v>
      </c>
      <c r="K259" s="0" t="s">
        <v>1253</v>
      </c>
      <c r="L259" s="0" t="n">
        <v>0</v>
      </c>
      <c r="M259" s="0" t="n">
        <v>0</v>
      </c>
      <c r="N259" s="0" t="n">
        <v>2637.66</v>
      </c>
      <c r="O259" s="0" t="n">
        <v>4856.12</v>
      </c>
      <c r="P259" s="0" t="n">
        <v>1409.45</v>
      </c>
      <c r="Q259" s="0" t="s">
        <v>24</v>
      </c>
      <c r="R259" s="0" t="s">
        <v>51</v>
      </c>
      <c r="S259" s="0" t="s">
        <v>254</v>
      </c>
    </row>
    <row r="260" customFormat="false" ht="15" hidden="false" customHeight="false" outlineLevel="0" collapsed="false">
      <c r="A260" s="0" t="s">
        <v>1254</v>
      </c>
      <c r="B260" s="0" t="s">
        <v>47</v>
      </c>
      <c r="C260" s="0" t="s">
        <v>209</v>
      </c>
      <c r="D260" s="0" t="s">
        <v>198</v>
      </c>
      <c r="E260" s="0" t="s">
        <v>44</v>
      </c>
      <c r="F260" s="0" t="n">
        <v>14.72</v>
      </c>
      <c r="G260" s="0" t="s">
        <v>934</v>
      </c>
      <c r="H260" s="0" t="s">
        <v>571</v>
      </c>
      <c r="I260" s="0" t="s">
        <v>1255</v>
      </c>
      <c r="J260" s="0" t="s">
        <v>1256</v>
      </c>
      <c r="K260" s="0" t="s">
        <v>1073</v>
      </c>
      <c r="L260" s="0" t="n">
        <v>3</v>
      </c>
      <c r="M260" s="0" t="n">
        <v>1</v>
      </c>
      <c r="N260" s="0" t="n">
        <v>7399.35</v>
      </c>
      <c r="O260" s="0" t="n">
        <v>4508.36</v>
      </c>
      <c r="P260" s="0" t="n">
        <v>1444.04</v>
      </c>
      <c r="Q260" s="0" t="s">
        <v>22</v>
      </c>
      <c r="R260" s="0" t="s">
        <v>52</v>
      </c>
      <c r="S260" s="0" t="s">
        <v>254</v>
      </c>
    </row>
    <row r="261" customFormat="false" ht="15" hidden="false" customHeight="false" outlineLevel="0" collapsed="false">
      <c r="A261" s="0" t="s">
        <v>1257</v>
      </c>
      <c r="B261" s="0" t="s">
        <v>47</v>
      </c>
      <c r="C261" s="0" t="s">
        <v>209</v>
      </c>
      <c r="D261" s="0" t="s">
        <v>198</v>
      </c>
      <c r="E261" s="0" t="s">
        <v>44</v>
      </c>
      <c r="F261" s="0" t="n">
        <v>3.83</v>
      </c>
      <c r="G261" s="0" t="s">
        <v>347</v>
      </c>
      <c r="H261" s="0" t="s">
        <v>275</v>
      </c>
      <c r="I261" s="0" t="s">
        <v>357</v>
      </c>
      <c r="J261" s="0" t="s">
        <v>1258</v>
      </c>
      <c r="K261" s="0" t="s">
        <v>1259</v>
      </c>
      <c r="L261" s="0" t="n">
        <v>6.9</v>
      </c>
      <c r="M261" s="0" t="n">
        <v>1</v>
      </c>
      <c r="N261" s="0" t="n">
        <v>3343.27</v>
      </c>
      <c r="O261" s="0" t="n">
        <v>2501.32</v>
      </c>
      <c r="P261" s="0" t="n">
        <v>785.78</v>
      </c>
      <c r="Q261" s="0" t="s">
        <v>24</v>
      </c>
      <c r="R261" s="0" t="s">
        <v>51</v>
      </c>
      <c r="S261" s="0" t="s">
        <v>247</v>
      </c>
    </row>
    <row r="262" customFormat="false" ht="15" hidden="false" customHeight="false" outlineLevel="0" collapsed="false">
      <c r="A262" s="0" t="s">
        <v>1260</v>
      </c>
      <c r="B262" s="0" t="s">
        <v>48</v>
      </c>
      <c r="C262" s="0" t="s">
        <v>198</v>
      </c>
      <c r="D262" s="0" t="s">
        <v>204</v>
      </c>
      <c r="E262" s="0" t="s">
        <v>44</v>
      </c>
      <c r="F262" s="0" t="n">
        <v>4.86</v>
      </c>
      <c r="G262" s="0" t="s">
        <v>363</v>
      </c>
      <c r="H262" s="0" t="s">
        <v>1261</v>
      </c>
      <c r="I262" s="0" t="s">
        <v>364</v>
      </c>
      <c r="J262" s="0" t="s">
        <v>1262</v>
      </c>
      <c r="K262" s="0" t="s">
        <v>1263</v>
      </c>
      <c r="L262" s="0" t="n">
        <v>1.3</v>
      </c>
      <c r="M262" s="0" t="n">
        <v>1</v>
      </c>
      <c r="N262" s="0" t="n">
        <v>4807.41</v>
      </c>
      <c r="O262" s="0" t="n">
        <v>2630.34</v>
      </c>
      <c r="P262" s="0" t="n">
        <v>1327.52</v>
      </c>
      <c r="Q262" s="0" t="s">
        <v>21</v>
      </c>
      <c r="R262" s="0" t="s">
        <v>52</v>
      </c>
      <c r="S262" s="0" t="s">
        <v>228</v>
      </c>
    </row>
    <row r="263" customFormat="false" ht="15" hidden="false" customHeight="false" outlineLevel="0" collapsed="false">
      <c r="A263" s="0" t="s">
        <v>1264</v>
      </c>
      <c r="B263" s="0" t="s">
        <v>47</v>
      </c>
      <c r="C263" s="0" t="s">
        <v>209</v>
      </c>
      <c r="D263" s="0" t="s">
        <v>198</v>
      </c>
      <c r="E263" s="0" t="s">
        <v>43</v>
      </c>
      <c r="F263" s="0" t="n">
        <v>15.53</v>
      </c>
      <c r="G263" s="0" t="s">
        <v>1265</v>
      </c>
      <c r="H263" s="0" t="s">
        <v>978</v>
      </c>
      <c r="I263" s="0" t="s">
        <v>774</v>
      </c>
      <c r="J263" s="0" t="s">
        <v>1266</v>
      </c>
      <c r="K263" s="0" t="s">
        <v>1267</v>
      </c>
      <c r="L263" s="0" t="n">
        <v>4</v>
      </c>
      <c r="M263" s="0" t="n">
        <v>1</v>
      </c>
      <c r="N263" s="0" t="n">
        <v>8952.94</v>
      </c>
      <c r="O263" s="0" t="n">
        <v>4387.88</v>
      </c>
      <c r="P263" s="0" t="n">
        <v>1393.09</v>
      </c>
      <c r="Q263" s="0" t="s">
        <v>22</v>
      </c>
      <c r="R263" s="0" t="s">
        <v>51</v>
      </c>
      <c r="S263" s="0" t="s">
        <v>247</v>
      </c>
    </row>
    <row r="264" customFormat="false" ht="15" hidden="false" customHeight="false" outlineLevel="0" collapsed="false">
      <c r="A264" s="0" t="s">
        <v>1268</v>
      </c>
      <c r="B264" s="0" t="s">
        <v>47</v>
      </c>
      <c r="C264" s="0" t="s">
        <v>203</v>
      </c>
      <c r="D264" s="0" t="s">
        <v>198</v>
      </c>
      <c r="E264" s="0" t="s">
        <v>44</v>
      </c>
      <c r="F264" s="0" t="n">
        <v>2.19</v>
      </c>
      <c r="G264" s="0" t="s">
        <v>331</v>
      </c>
      <c r="H264" s="0" t="s">
        <v>1269</v>
      </c>
      <c r="I264" s="0" t="s">
        <v>1270</v>
      </c>
      <c r="J264" s="0" t="s">
        <v>1271</v>
      </c>
      <c r="K264" s="0" t="s">
        <v>1272</v>
      </c>
      <c r="L264" s="0" t="n">
        <v>4.7</v>
      </c>
      <c r="M264" s="0" t="n">
        <v>1</v>
      </c>
      <c r="N264" s="0" t="n">
        <v>2467.92</v>
      </c>
      <c r="O264" s="0" t="n">
        <v>3770.13</v>
      </c>
      <c r="P264" s="0" t="n">
        <v>634.44</v>
      </c>
      <c r="Q264" s="0" t="s">
        <v>22</v>
      </c>
      <c r="R264" s="0" t="s">
        <v>51</v>
      </c>
      <c r="S264" s="0" t="s">
        <v>228</v>
      </c>
    </row>
    <row r="265" customFormat="false" ht="15" hidden="false" customHeight="false" outlineLevel="0" collapsed="false">
      <c r="A265" s="0" t="s">
        <v>1273</v>
      </c>
      <c r="B265" s="0" t="s">
        <v>48</v>
      </c>
      <c r="C265" s="0" t="s">
        <v>198</v>
      </c>
      <c r="D265" s="0" t="s">
        <v>211</v>
      </c>
      <c r="E265" s="0" t="s">
        <v>43</v>
      </c>
      <c r="F265" s="0" t="n">
        <v>6.69</v>
      </c>
      <c r="G265" s="0" t="s">
        <v>374</v>
      </c>
      <c r="H265" s="0" t="s">
        <v>557</v>
      </c>
      <c r="I265" s="0" t="s">
        <v>1007</v>
      </c>
      <c r="J265" s="0" t="s">
        <v>1274</v>
      </c>
      <c r="K265" s="0" t="s">
        <v>1275</v>
      </c>
      <c r="L265" s="0" t="n">
        <v>4.4</v>
      </c>
      <c r="M265" s="0" t="n">
        <v>1</v>
      </c>
      <c r="N265" s="0" t="n">
        <v>4606.73</v>
      </c>
      <c r="O265" s="0" t="n">
        <v>4962.18</v>
      </c>
      <c r="P265" s="0" t="n">
        <v>700.65</v>
      </c>
      <c r="Q265" s="0" t="s">
        <v>25</v>
      </c>
      <c r="R265" s="0" t="s">
        <v>52</v>
      </c>
      <c r="S265" s="0" t="s">
        <v>254</v>
      </c>
    </row>
    <row r="266" customFormat="false" ht="15" hidden="false" customHeight="false" outlineLevel="0" collapsed="false">
      <c r="A266" s="0" t="s">
        <v>1276</v>
      </c>
      <c r="B266" s="0" t="s">
        <v>48</v>
      </c>
      <c r="C266" s="0" t="s">
        <v>198</v>
      </c>
      <c r="D266" s="0" t="s">
        <v>214</v>
      </c>
      <c r="E266" s="0" t="s">
        <v>44</v>
      </c>
      <c r="F266" s="0" t="n">
        <v>19.9</v>
      </c>
      <c r="G266" s="0" t="s">
        <v>550</v>
      </c>
      <c r="H266" s="0" t="s">
        <v>320</v>
      </c>
      <c r="I266" s="0" t="s">
        <v>321</v>
      </c>
      <c r="J266" s="0" t="s">
        <v>551</v>
      </c>
      <c r="K266" s="0" t="s">
        <v>1277</v>
      </c>
      <c r="L266" s="0" t="n">
        <v>4.2</v>
      </c>
      <c r="M266" s="0" t="n">
        <v>1</v>
      </c>
      <c r="N266" s="0" t="n">
        <v>4335.07</v>
      </c>
      <c r="O266" s="0" t="n">
        <v>4748.36</v>
      </c>
      <c r="P266" s="0" t="n">
        <v>1321.93</v>
      </c>
      <c r="Q266" s="0" t="s">
        <v>23</v>
      </c>
      <c r="R266" s="0" t="s">
        <v>51</v>
      </c>
      <c r="S266" s="0" t="s">
        <v>254</v>
      </c>
    </row>
    <row r="267" customFormat="false" ht="15" hidden="false" customHeight="false" outlineLevel="0" collapsed="false">
      <c r="A267" s="0" t="s">
        <v>1278</v>
      </c>
      <c r="B267" s="0" t="s">
        <v>48</v>
      </c>
      <c r="C267" s="0" t="s">
        <v>198</v>
      </c>
      <c r="D267" s="0" t="s">
        <v>201</v>
      </c>
      <c r="E267" s="0" t="s">
        <v>44</v>
      </c>
      <c r="F267" s="0" t="n">
        <v>16.37</v>
      </c>
      <c r="G267" s="0" t="s">
        <v>331</v>
      </c>
      <c r="H267" s="0" t="s">
        <v>741</v>
      </c>
      <c r="I267" s="0" t="s">
        <v>332</v>
      </c>
      <c r="J267" s="0" t="s">
        <v>1279</v>
      </c>
      <c r="K267" s="0" t="s">
        <v>1280</v>
      </c>
      <c r="L267" s="0" t="n">
        <v>3.5</v>
      </c>
      <c r="M267" s="0" t="n">
        <v>1</v>
      </c>
      <c r="N267" s="0" t="n">
        <v>5052.34</v>
      </c>
      <c r="O267" s="0" t="n">
        <v>2628.43</v>
      </c>
      <c r="P267" s="0" t="n">
        <v>566.01</v>
      </c>
      <c r="Q267" s="0" t="s">
        <v>23</v>
      </c>
      <c r="R267" s="0" t="s">
        <v>52</v>
      </c>
      <c r="S267" s="0" t="s">
        <v>228</v>
      </c>
    </row>
    <row r="268" customFormat="false" ht="15" hidden="false" customHeight="false" outlineLevel="0" collapsed="false">
      <c r="A268" s="0" t="s">
        <v>1281</v>
      </c>
      <c r="B268" s="0" t="s">
        <v>47</v>
      </c>
      <c r="C268" s="0" t="s">
        <v>203</v>
      </c>
      <c r="D268" s="0" t="s">
        <v>198</v>
      </c>
      <c r="E268" s="0" t="s">
        <v>43</v>
      </c>
      <c r="F268" s="0" t="n">
        <v>7.63</v>
      </c>
      <c r="G268" s="0" t="s">
        <v>280</v>
      </c>
      <c r="H268" s="0" t="s">
        <v>705</v>
      </c>
      <c r="I268" s="0" t="s">
        <v>466</v>
      </c>
      <c r="J268" s="0" t="s">
        <v>1282</v>
      </c>
      <c r="K268" s="0" t="s">
        <v>1283</v>
      </c>
      <c r="L268" s="0" t="n">
        <v>-0.1</v>
      </c>
      <c r="M268" s="0" t="n">
        <v>0</v>
      </c>
      <c r="N268" s="0" t="n">
        <v>5626.15</v>
      </c>
      <c r="O268" s="0" t="n">
        <v>1200.9</v>
      </c>
      <c r="P268" s="0" t="n">
        <v>572.9</v>
      </c>
      <c r="Q268" s="0" t="s">
        <v>21</v>
      </c>
      <c r="R268" s="0" t="s">
        <v>51</v>
      </c>
      <c r="S268" s="0" t="s">
        <v>272</v>
      </c>
    </row>
    <row r="269" customFormat="false" ht="15" hidden="false" customHeight="false" outlineLevel="0" collapsed="false">
      <c r="A269" s="0" t="s">
        <v>1284</v>
      </c>
      <c r="B269" s="0" t="s">
        <v>47</v>
      </c>
      <c r="C269" s="0" t="s">
        <v>199</v>
      </c>
      <c r="D269" s="0" t="s">
        <v>198</v>
      </c>
      <c r="E269" s="0" t="s">
        <v>42</v>
      </c>
      <c r="F269" s="0" t="n">
        <v>8.65</v>
      </c>
      <c r="G269" s="0" t="s">
        <v>380</v>
      </c>
      <c r="H269" s="0" t="s">
        <v>311</v>
      </c>
      <c r="I269" s="0" t="s">
        <v>382</v>
      </c>
      <c r="J269" s="0" t="s">
        <v>1285</v>
      </c>
      <c r="K269" s="0" t="s">
        <v>1286</v>
      </c>
      <c r="L269" s="0" t="n">
        <v>3</v>
      </c>
      <c r="M269" s="0" t="n">
        <v>1</v>
      </c>
      <c r="N269" s="0" t="n">
        <v>3163.3</v>
      </c>
      <c r="O269" s="0" t="n">
        <v>2064.67</v>
      </c>
      <c r="P269" s="0" t="n">
        <v>522.03</v>
      </c>
      <c r="Q269" s="0" t="s">
        <v>21</v>
      </c>
      <c r="R269" s="0" t="s">
        <v>51</v>
      </c>
      <c r="S269" s="0" t="s">
        <v>222</v>
      </c>
    </row>
    <row r="270" customFormat="false" ht="15" hidden="false" customHeight="false" outlineLevel="0" collapsed="false">
      <c r="A270" s="0" t="s">
        <v>1287</v>
      </c>
      <c r="B270" s="0" t="s">
        <v>47</v>
      </c>
      <c r="C270" s="0" t="s">
        <v>203</v>
      </c>
      <c r="D270" s="0" t="s">
        <v>198</v>
      </c>
      <c r="E270" s="0" t="s">
        <v>42</v>
      </c>
      <c r="F270" s="0" t="n">
        <v>12.08</v>
      </c>
      <c r="G270" s="0" t="s">
        <v>249</v>
      </c>
      <c r="H270" s="0" t="s">
        <v>1087</v>
      </c>
      <c r="I270" s="0" t="s">
        <v>723</v>
      </c>
      <c r="J270" s="0" t="s">
        <v>1288</v>
      </c>
      <c r="K270" s="0" t="s">
        <v>1289</v>
      </c>
      <c r="L270" s="0" t="n">
        <v>6.4</v>
      </c>
      <c r="M270" s="0" t="n">
        <v>1</v>
      </c>
      <c r="N270" s="0" t="n">
        <v>7646.3</v>
      </c>
      <c r="O270" s="0" t="n">
        <v>2797.4</v>
      </c>
      <c r="P270" s="0" t="n">
        <v>1085.86</v>
      </c>
      <c r="Q270" s="0" t="s">
        <v>25</v>
      </c>
      <c r="R270" s="0" t="s">
        <v>52</v>
      </c>
      <c r="S270" s="0" t="s">
        <v>254</v>
      </c>
    </row>
    <row r="271" customFormat="false" ht="15" hidden="false" customHeight="false" outlineLevel="0" collapsed="false">
      <c r="A271" s="0" t="s">
        <v>1290</v>
      </c>
      <c r="B271" s="0" t="s">
        <v>48</v>
      </c>
      <c r="C271" s="0" t="s">
        <v>198</v>
      </c>
      <c r="D271" s="0" t="s">
        <v>208</v>
      </c>
      <c r="E271" s="0" t="s">
        <v>43</v>
      </c>
      <c r="F271" s="0" t="n">
        <v>12.87</v>
      </c>
      <c r="G271" s="0" t="s">
        <v>1097</v>
      </c>
      <c r="H271" s="0" t="s">
        <v>492</v>
      </c>
      <c r="I271" s="0" t="s">
        <v>320</v>
      </c>
      <c r="J271" s="0" t="s">
        <v>1291</v>
      </c>
      <c r="K271" s="0" t="s">
        <v>1292</v>
      </c>
      <c r="L271" s="0" t="n">
        <v>0.6</v>
      </c>
      <c r="M271" s="0" t="n">
        <v>1</v>
      </c>
      <c r="N271" s="0" t="n">
        <v>4534.81</v>
      </c>
      <c r="O271" s="0" t="n">
        <v>2159.88</v>
      </c>
      <c r="P271" s="0" t="n">
        <v>1063.29</v>
      </c>
      <c r="Q271" s="0" t="s">
        <v>21</v>
      </c>
      <c r="R271" s="0" t="s">
        <v>51</v>
      </c>
      <c r="S271" s="0" t="s">
        <v>222</v>
      </c>
    </row>
    <row r="272" customFormat="false" ht="15" hidden="false" customHeight="false" outlineLevel="0" collapsed="false">
      <c r="A272" s="0" t="s">
        <v>1293</v>
      </c>
      <c r="B272" s="0" t="s">
        <v>47</v>
      </c>
      <c r="C272" s="0" t="s">
        <v>206</v>
      </c>
      <c r="D272" s="0" t="s">
        <v>198</v>
      </c>
      <c r="E272" s="0" t="s">
        <v>42</v>
      </c>
      <c r="F272" s="0" t="n">
        <v>3.28</v>
      </c>
      <c r="G272" s="0" t="s">
        <v>756</v>
      </c>
      <c r="H272" s="0" t="s">
        <v>615</v>
      </c>
      <c r="I272" s="0" t="s">
        <v>408</v>
      </c>
      <c r="J272" s="0" t="s">
        <v>1294</v>
      </c>
      <c r="K272" s="0" t="s">
        <v>1295</v>
      </c>
      <c r="L272" s="0" t="n">
        <v>-1</v>
      </c>
      <c r="M272" s="0" t="n">
        <v>0</v>
      </c>
      <c r="N272" s="0" t="n">
        <v>3219.42</v>
      </c>
      <c r="O272" s="0" t="n">
        <v>2086.19</v>
      </c>
      <c r="P272" s="0" t="n">
        <v>902.45</v>
      </c>
      <c r="Q272" s="0" t="s">
        <v>24</v>
      </c>
      <c r="R272" s="0" t="s">
        <v>51</v>
      </c>
      <c r="S272" s="0" t="s">
        <v>247</v>
      </c>
    </row>
    <row r="273" customFormat="false" ht="15" hidden="false" customHeight="false" outlineLevel="0" collapsed="false">
      <c r="A273" s="0" t="s">
        <v>1296</v>
      </c>
      <c r="B273" s="0" t="s">
        <v>47</v>
      </c>
      <c r="C273" s="0" t="s">
        <v>199</v>
      </c>
      <c r="D273" s="0" t="s">
        <v>198</v>
      </c>
      <c r="E273" s="0" t="s">
        <v>43</v>
      </c>
      <c r="F273" s="0" t="n">
        <v>2.95</v>
      </c>
      <c r="G273" s="0" t="s">
        <v>1244</v>
      </c>
      <c r="H273" s="0" t="s">
        <v>286</v>
      </c>
      <c r="I273" s="0" t="s">
        <v>370</v>
      </c>
      <c r="J273" s="0" t="s">
        <v>1297</v>
      </c>
      <c r="K273" s="0" t="s">
        <v>1298</v>
      </c>
      <c r="L273" s="0" t="n">
        <v>1.9</v>
      </c>
      <c r="M273" s="0" t="n">
        <v>1</v>
      </c>
      <c r="N273" s="0" t="n">
        <v>1869.77</v>
      </c>
      <c r="O273" s="0" t="n">
        <v>4357.35</v>
      </c>
      <c r="P273" s="0" t="n">
        <v>503.82</v>
      </c>
      <c r="Q273" s="0" t="s">
        <v>25</v>
      </c>
      <c r="R273" s="0" t="s">
        <v>52</v>
      </c>
      <c r="S273" s="0" t="s">
        <v>228</v>
      </c>
    </row>
    <row r="274" customFormat="false" ht="15" hidden="false" customHeight="false" outlineLevel="0" collapsed="false">
      <c r="A274" s="0" t="s">
        <v>1299</v>
      </c>
      <c r="B274" s="0" t="s">
        <v>47</v>
      </c>
      <c r="C274" s="0" t="s">
        <v>199</v>
      </c>
      <c r="D274" s="0" t="s">
        <v>198</v>
      </c>
      <c r="E274" s="0" t="s">
        <v>44</v>
      </c>
      <c r="F274" s="0" t="n">
        <v>5.69</v>
      </c>
      <c r="G274" s="0" t="s">
        <v>982</v>
      </c>
      <c r="H274" s="0" t="s">
        <v>362</v>
      </c>
      <c r="I274" s="0" t="s">
        <v>363</v>
      </c>
      <c r="J274" s="0" t="s">
        <v>1300</v>
      </c>
      <c r="K274" s="0" t="s">
        <v>1301</v>
      </c>
      <c r="L274" s="0" t="n">
        <v>1.5</v>
      </c>
      <c r="M274" s="0" t="n">
        <v>1</v>
      </c>
      <c r="N274" s="0" t="n">
        <v>3645.69</v>
      </c>
      <c r="O274" s="0" t="n">
        <v>4155.73</v>
      </c>
      <c r="P274" s="0" t="n">
        <v>1391.87</v>
      </c>
      <c r="Q274" s="0" t="s">
        <v>22</v>
      </c>
      <c r="R274" s="0" t="s">
        <v>51</v>
      </c>
      <c r="S274" s="0" t="s">
        <v>228</v>
      </c>
    </row>
    <row r="275" customFormat="false" ht="15" hidden="false" customHeight="false" outlineLevel="0" collapsed="false">
      <c r="A275" s="0" t="s">
        <v>1302</v>
      </c>
      <c r="B275" s="0" t="s">
        <v>47</v>
      </c>
      <c r="C275" s="0" t="s">
        <v>209</v>
      </c>
      <c r="D275" s="0" t="s">
        <v>198</v>
      </c>
      <c r="E275" s="0" t="s">
        <v>44</v>
      </c>
      <c r="F275" s="0" t="n">
        <v>9.24</v>
      </c>
      <c r="G275" s="0" t="s">
        <v>1303</v>
      </c>
      <c r="H275" s="0" t="s">
        <v>614</v>
      </c>
      <c r="I275" s="0" t="s">
        <v>1304</v>
      </c>
      <c r="J275" s="0" t="s">
        <v>1305</v>
      </c>
      <c r="K275" s="0" t="s">
        <v>1306</v>
      </c>
      <c r="L275" s="0" t="n">
        <v>2.4</v>
      </c>
      <c r="M275" s="0" t="n">
        <v>1</v>
      </c>
      <c r="N275" s="0" t="n">
        <v>3965.08</v>
      </c>
      <c r="O275" s="0" t="n">
        <v>2975.26</v>
      </c>
      <c r="P275" s="0" t="n">
        <v>887.65</v>
      </c>
      <c r="Q275" s="0" t="s">
        <v>24</v>
      </c>
      <c r="R275" s="0" t="s">
        <v>51</v>
      </c>
      <c r="S275" s="0" t="s">
        <v>228</v>
      </c>
    </row>
    <row r="276" customFormat="false" ht="15" hidden="false" customHeight="false" outlineLevel="0" collapsed="false">
      <c r="A276" s="0" t="s">
        <v>1307</v>
      </c>
      <c r="B276" s="0" t="s">
        <v>47</v>
      </c>
      <c r="C276" s="0" t="s">
        <v>206</v>
      </c>
      <c r="D276" s="0" t="s">
        <v>198</v>
      </c>
      <c r="E276" s="0" t="s">
        <v>44</v>
      </c>
      <c r="F276" s="0" t="n">
        <v>13.02</v>
      </c>
      <c r="G276" s="0" t="s">
        <v>426</v>
      </c>
      <c r="H276" s="0" t="s">
        <v>597</v>
      </c>
      <c r="I276" s="0" t="s">
        <v>1046</v>
      </c>
      <c r="J276" s="0" t="s">
        <v>1308</v>
      </c>
      <c r="K276" s="0" t="s">
        <v>1309</v>
      </c>
      <c r="L276" s="0" t="n">
        <v>4.9</v>
      </c>
      <c r="M276" s="0" t="n">
        <v>1</v>
      </c>
      <c r="N276" s="0" t="n">
        <v>4178.89</v>
      </c>
      <c r="O276" s="0" t="n">
        <v>3704.43</v>
      </c>
      <c r="P276" s="0" t="n">
        <v>1443.98</v>
      </c>
      <c r="Q276" s="0" t="s">
        <v>25</v>
      </c>
      <c r="R276" s="0" t="s">
        <v>51</v>
      </c>
      <c r="S276" s="0" t="s">
        <v>228</v>
      </c>
    </row>
    <row r="277" customFormat="false" ht="15" hidden="false" customHeight="false" outlineLevel="0" collapsed="false">
      <c r="A277" s="0" t="s">
        <v>1310</v>
      </c>
      <c r="B277" s="0" t="s">
        <v>48</v>
      </c>
      <c r="C277" s="0" t="s">
        <v>198</v>
      </c>
      <c r="D277" s="0" t="s">
        <v>208</v>
      </c>
      <c r="E277" s="0" t="s">
        <v>42</v>
      </c>
      <c r="F277" s="0" t="n">
        <v>6.11</v>
      </c>
      <c r="G277" s="0" t="s">
        <v>275</v>
      </c>
      <c r="H277" s="0" t="s">
        <v>546</v>
      </c>
      <c r="I277" s="0" t="s">
        <v>522</v>
      </c>
      <c r="J277" s="0" t="s">
        <v>1311</v>
      </c>
      <c r="K277" s="0" t="s">
        <v>1312</v>
      </c>
      <c r="L277" s="0" t="n">
        <v>5.7</v>
      </c>
      <c r="M277" s="0" t="n">
        <v>1</v>
      </c>
      <c r="N277" s="0" t="n">
        <v>2773.81</v>
      </c>
      <c r="O277" s="0" t="n">
        <v>2540.48</v>
      </c>
      <c r="P277" s="0" t="n">
        <v>1365.82</v>
      </c>
      <c r="Q277" s="0" t="s">
        <v>22</v>
      </c>
      <c r="R277" s="0" t="s">
        <v>51</v>
      </c>
      <c r="S277" s="0" t="s">
        <v>254</v>
      </c>
    </row>
    <row r="278" customFormat="false" ht="15" hidden="false" customHeight="false" outlineLevel="0" collapsed="false">
      <c r="A278" s="0" t="s">
        <v>1313</v>
      </c>
      <c r="B278" s="0" t="s">
        <v>48</v>
      </c>
      <c r="C278" s="0" t="s">
        <v>198</v>
      </c>
      <c r="D278" s="0" t="s">
        <v>201</v>
      </c>
      <c r="E278" s="0" t="s">
        <v>42</v>
      </c>
      <c r="F278" s="0" t="n">
        <v>10.04</v>
      </c>
      <c r="G278" s="0" t="s">
        <v>280</v>
      </c>
      <c r="H278" s="0" t="s">
        <v>242</v>
      </c>
      <c r="I278" s="0" t="s">
        <v>1108</v>
      </c>
      <c r="J278" s="0" t="s">
        <v>1314</v>
      </c>
      <c r="K278" s="0" t="s">
        <v>1315</v>
      </c>
      <c r="L278" s="0" t="n">
        <v>0.5</v>
      </c>
      <c r="M278" s="0" t="n">
        <v>1</v>
      </c>
      <c r="N278" s="0" t="n">
        <v>4233.61</v>
      </c>
      <c r="O278" s="0" t="n">
        <v>2663.19</v>
      </c>
      <c r="P278" s="0" t="n">
        <v>1219.65</v>
      </c>
      <c r="Q278" s="0" t="s">
        <v>24</v>
      </c>
      <c r="R278" s="0" t="s">
        <v>52</v>
      </c>
      <c r="S278" s="0" t="s">
        <v>247</v>
      </c>
    </row>
    <row r="279" customFormat="false" ht="15" hidden="false" customHeight="false" outlineLevel="0" collapsed="false">
      <c r="A279" s="0" t="s">
        <v>1316</v>
      </c>
      <c r="B279" s="0" t="s">
        <v>48</v>
      </c>
      <c r="C279" s="0" t="s">
        <v>198</v>
      </c>
      <c r="D279" s="0" t="s">
        <v>213</v>
      </c>
      <c r="E279" s="0" t="s">
        <v>43</v>
      </c>
      <c r="F279" s="0" t="n">
        <v>8.05</v>
      </c>
      <c r="G279" s="0" t="s">
        <v>685</v>
      </c>
      <c r="H279" s="0" t="s">
        <v>300</v>
      </c>
      <c r="I279" s="0" t="s">
        <v>331</v>
      </c>
      <c r="J279" s="0" t="s">
        <v>1317</v>
      </c>
      <c r="K279" s="0" t="s">
        <v>1318</v>
      </c>
      <c r="L279" s="0" t="n">
        <v>1.6</v>
      </c>
      <c r="M279" s="0" t="n">
        <v>1</v>
      </c>
      <c r="N279" s="0" t="n">
        <v>5204.29</v>
      </c>
      <c r="O279" s="0" t="n">
        <v>2181.21</v>
      </c>
      <c r="P279" s="0" t="n">
        <v>636.6</v>
      </c>
      <c r="Q279" s="0" t="s">
        <v>21</v>
      </c>
      <c r="R279" s="0" t="s">
        <v>51</v>
      </c>
      <c r="S279" s="0" t="s">
        <v>272</v>
      </c>
    </row>
    <row r="280" customFormat="false" ht="15" hidden="false" customHeight="false" outlineLevel="0" collapsed="false">
      <c r="A280" s="0" t="s">
        <v>1319</v>
      </c>
      <c r="B280" s="0" t="s">
        <v>48</v>
      </c>
      <c r="C280" s="0" t="s">
        <v>198</v>
      </c>
      <c r="D280" s="0" t="s">
        <v>213</v>
      </c>
      <c r="E280" s="0" t="s">
        <v>43</v>
      </c>
      <c r="F280" s="0" t="n">
        <v>13.38</v>
      </c>
      <c r="G280" s="0" t="s">
        <v>1051</v>
      </c>
      <c r="H280" s="0" t="s">
        <v>402</v>
      </c>
      <c r="I280" s="0" t="s">
        <v>363</v>
      </c>
      <c r="J280" s="0" t="s">
        <v>1320</v>
      </c>
      <c r="K280" s="0" t="s">
        <v>1321</v>
      </c>
      <c r="L280" s="0" t="n">
        <v>2.4</v>
      </c>
      <c r="M280" s="0" t="n">
        <v>1</v>
      </c>
      <c r="N280" s="0" t="n">
        <v>6369.52</v>
      </c>
      <c r="O280" s="0" t="n">
        <v>2149.64</v>
      </c>
      <c r="P280" s="0" t="n">
        <v>867.79</v>
      </c>
      <c r="Q280" s="0" t="s">
        <v>23</v>
      </c>
      <c r="R280" s="0" t="s">
        <v>52</v>
      </c>
      <c r="S280" s="0" t="s">
        <v>228</v>
      </c>
    </row>
    <row r="281" customFormat="false" ht="15" hidden="false" customHeight="false" outlineLevel="0" collapsed="false">
      <c r="A281" s="0" t="s">
        <v>1322</v>
      </c>
      <c r="B281" s="0" t="s">
        <v>47</v>
      </c>
      <c r="C281" s="0" t="s">
        <v>209</v>
      </c>
      <c r="D281" s="0" t="s">
        <v>198</v>
      </c>
      <c r="E281" s="0" t="s">
        <v>42</v>
      </c>
      <c r="F281" s="0" t="n">
        <v>2.1</v>
      </c>
      <c r="G281" s="0" t="s">
        <v>280</v>
      </c>
      <c r="H281" s="0" t="s">
        <v>242</v>
      </c>
      <c r="I281" s="0" t="s">
        <v>691</v>
      </c>
      <c r="J281" s="0" t="s">
        <v>1323</v>
      </c>
      <c r="K281" s="0" t="s">
        <v>1324</v>
      </c>
      <c r="L281" s="0" t="n">
        <v>1</v>
      </c>
      <c r="M281" s="0" t="n">
        <v>1</v>
      </c>
      <c r="N281" s="0" t="n">
        <v>1577.1</v>
      </c>
      <c r="O281" s="0" t="n">
        <v>2516.38</v>
      </c>
      <c r="P281" s="0" t="n">
        <v>837.35</v>
      </c>
      <c r="Q281" s="0" t="s">
        <v>24</v>
      </c>
      <c r="R281" s="0" t="s">
        <v>52</v>
      </c>
      <c r="S281" s="0" t="s">
        <v>222</v>
      </c>
    </row>
    <row r="282" customFormat="false" ht="15" hidden="false" customHeight="false" outlineLevel="0" collapsed="false">
      <c r="A282" s="0" t="s">
        <v>1325</v>
      </c>
      <c r="B282" s="0" t="s">
        <v>48</v>
      </c>
      <c r="C282" s="0" t="s">
        <v>198</v>
      </c>
      <c r="D282" s="0" t="s">
        <v>208</v>
      </c>
      <c r="E282" s="0" t="s">
        <v>42</v>
      </c>
      <c r="F282" s="0" t="n">
        <v>1.37</v>
      </c>
      <c r="G282" s="0" t="s">
        <v>705</v>
      </c>
      <c r="H282" s="0" t="s">
        <v>282</v>
      </c>
      <c r="I282" s="0" t="s">
        <v>691</v>
      </c>
      <c r="J282" s="0" t="s">
        <v>1326</v>
      </c>
      <c r="K282" s="0" t="s">
        <v>1327</v>
      </c>
      <c r="L282" s="0" t="n">
        <v>-0.6</v>
      </c>
      <c r="M282" s="0" t="n">
        <v>0</v>
      </c>
      <c r="N282" s="0" t="n">
        <v>1225.43</v>
      </c>
      <c r="O282" s="0" t="n">
        <v>2856.38</v>
      </c>
      <c r="P282" s="0" t="n">
        <v>1463.5</v>
      </c>
      <c r="Q282" s="0" t="s">
        <v>24</v>
      </c>
      <c r="R282" s="0" t="s">
        <v>51</v>
      </c>
      <c r="S282" s="0" t="s">
        <v>247</v>
      </c>
    </row>
    <row r="283" customFormat="false" ht="15" hidden="false" customHeight="false" outlineLevel="0" collapsed="false">
      <c r="A283" s="0" t="s">
        <v>1328</v>
      </c>
      <c r="B283" s="0" t="s">
        <v>47</v>
      </c>
      <c r="C283" s="0" t="s">
        <v>209</v>
      </c>
      <c r="D283" s="0" t="s">
        <v>198</v>
      </c>
      <c r="E283" s="0" t="s">
        <v>43</v>
      </c>
      <c r="F283" s="0" t="n">
        <v>10.86</v>
      </c>
      <c r="G283" s="0" t="s">
        <v>913</v>
      </c>
      <c r="H283" s="0" t="s">
        <v>424</v>
      </c>
      <c r="I283" s="0" t="s">
        <v>831</v>
      </c>
      <c r="J283" s="0" t="s">
        <v>1329</v>
      </c>
      <c r="K283" s="0" t="s">
        <v>1330</v>
      </c>
      <c r="L283" s="0" t="n">
        <v>5.6</v>
      </c>
      <c r="M283" s="0" t="n">
        <v>1</v>
      </c>
      <c r="N283" s="0" t="n">
        <v>3468.45</v>
      </c>
      <c r="O283" s="0" t="n">
        <v>4428.52</v>
      </c>
      <c r="P283" s="0" t="n">
        <v>1075.36</v>
      </c>
      <c r="Q283" s="0" t="s">
        <v>21</v>
      </c>
      <c r="R283" s="0" t="s">
        <v>52</v>
      </c>
      <c r="S283" s="0" t="s">
        <v>228</v>
      </c>
    </row>
    <row r="284" customFormat="false" ht="15" hidden="false" customHeight="false" outlineLevel="0" collapsed="false">
      <c r="A284" s="0" t="s">
        <v>1331</v>
      </c>
      <c r="B284" s="0" t="s">
        <v>47</v>
      </c>
      <c r="C284" s="0" t="s">
        <v>206</v>
      </c>
      <c r="D284" s="0" t="s">
        <v>198</v>
      </c>
      <c r="E284" s="0" t="s">
        <v>44</v>
      </c>
      <c r="F284" s="0" t="n">
        <v>2.45</v>
      </c>
      <c r="G284" s="0" t="s">
        <v>1332</v>
      </c>
      <c r="H284" s="0" t="s">
        <v>559</v>
      </c>
      <c r="I284" s="0" t="s">
        <v>534</v>
      </c>
      <c r="J284" s="0" t="s">
        <v>1333</v>
      </c>
      <c r="K284" s="0" t="s">
        <v>1334</v>
      </c>
      <c r="L284" s="0" t="n">
        <v>4.9</v>
      </c>
      <c r="M284" s="0" t="n">
        <v>1</v>
      </c>
      <c r="N284" s="0" t="n">
        <v>2066.47</v>
      </c>
      <c r="O284" s="0" t="n">
        <v>3282.6</v>
      </c>
      <c r="P284" s="0" t="n">
        <v>1068.09</v>
      </c>
      <c r="Q284" s="0" t="s">
        <v>21</v>
      </c>
      <c r="R284" s="0" t="s">
        <v>51</v>
      </c>
      <c r="S284" s="0" t="s">
        <v>222</v>
      </c>
    </row>
    <row r="285" customFormat="false" ht="15" hidden="false" customHeight="false" outlineLevel="0" collapsed="false">
      <c r="A285" s="0" t="s">
        <v>1335</v>
      </c>
      <c r="B285" s="0" t="s">
        <v>47</v>
      </c>
      <c r="C285" s="0" t="s">
        <v>199</v>
      </c>
      <c r="D285" s="0" t="s">
        <v>198</v>
      </c>
      <c r="E285" s="0" t="s">
        <v>42</v>
      </c>
      <c r="F285" s="0" t="n">
        <v>13.6</v>
      </c>
      <c r="G285" s="0" t="s">
        <v>571</v>
      </c>
      <c r="H285" s="0" t="s">
        <v>938</v>
      </c>
      <c r="I285" s="0" t="s">
        <v>1265</v>
      </c>
      <c r="J285" s="0" t="s">
        <v>1336</v>
      </c>
      <c r="K285" s="0" t="s">
        <v>1337</v>
      </c>
      <c r="L285" s="0" t="n">
        <v>-0.2</v>
      </c>
      <c r="M285" s="0" t="n">
        <v>0</v>
      </c>
      <c r="N285" s="0" t="n">
        <v>8218.19</v>
      </c>
      <c r="O285" s="0" t="n">
        <v>3424.59</v>
      </c>
      <c r="P285" s="0" t="n">
        <v>791.14</v>
      </c>
      <c r="Q285" s="0" t="s">
        <v>21</v>
      </c>
      <c r="R285" s="0" t="s">
        <v>52</v>
      </c>
      <c r="S285" s="0" t="s">
        <v>272</v>
      </c>
    </row>
    <row r="286" customFormat="false" ht="15" hidden="false" customHeight="false" outlineLevel="0" collapsed="false">
      <c r="A286" s="0" t="s">
        <v>1338</v>
      </c>
      <c r="B286" s="0" t="s">
        <v>48</v>
      </c>
      <c r="C286" s="0" t="s">
        <v>198</v>
      </c>
      <c r="D286" s="0" t="s">
        <v>212</v>
      </c>
      <c r="E286" s="0" t="s">
        <v>44</v>
      </c>
      <c r="F286" s="0" t="n">
        <v>4.93</v>
      </c>
      <c r="G286" s="0" t="s">
        <v>692</v>
      </c>
      <c r="H286" s="0" t="s">
        <v>1224</v>
      </c>
      <c r="I286" s="0" t="s">
        <v>818</v>
      </c>
      <c r="J286" s="0" t="s">
        <v>1339</v>
      </c>
      <c r="K286" s="0" t="s">
        <v>1340</v>
      </c>
      <c r="L286" s="0" t="n">
        <v>-0.2</v>
      </c>
      <c r="M286" s="0" t="n">
        <v>0</v>
      </c>
      <c r="N286" s="0" t="n">
        <v>2261.21</v>
      </c>
      <c r="O286" s="0" t="n">
        <v>3686.57</v>
      </c>
      <c r="P286" s="0" t="n">
        <v>1082.21</v>
      </c>
      <c r="Q286" s="0" t="s">
        <v>24</v>
      </c>
      <c r="R286" s="0" t="s">
        <v>52</v>
      </c>
      <c r="S286" s="0" t="s">
        <v>247</v>
      </c>
    </row>
    <row r="287" customFormat="false" ht="15" hidden="false" customHeight="false" outlineLevel="0" collapsed="false">
      <c r="A287" s="0" t="s">
        <v>1341</v>
      </c>
      <c r="B287" s="0" t="s">
        <v>48</v>
      </c>
      <c r="C287" s="0" t="s">
        <v>198</v>
      </c>
      <c r="D287" s="0" t="s">
        <v>204</v>
      </c>
      <c r="E287" s="0" t="s">
        <v>42</v>
      </c>
      <c r="F287" s="0" t="n">
        <v>19.81</v>
      </c>
      <c r="G287" s="0" t="s">
        <v>668</v>
      </c>
      <c r="H287" s="0" t="s">
        <v>845</v>
      </c>
      <c r="I287" s="0" t="s">
        <v>854</v>
      </c>
      <c r="J287" s="0" t="s">
        <v>1342</v>
      </c>
      <c r="K287" s="0" t="s">
        <v>1343</v>
      </c>
      <c r="L287" s="0" t="n">
        <v>-0.4</v>
      </c>
      <c r="M287" s="0" t="n">
        <v>0</v>
      </c>
      <c r="N287" s="0" t="n">
        <v>10488.99</v>
      </c>
      <c r="O287" s="0" t="n">
        <v>4107.71</v>
      </c>
      <c r="P287" s="0" t="n">
        <v>704.98</v>
      </c>
      <c r="Q287" s="0" t="s">
        <v>24</v>
      </c>
      <c r="R287" s="0" t="s">
        <v>52</v>
      </c>
      <c r="S287" s="0" t="s">
        <v>228</v>
      </c>
    </row>
    <row r="288" customFormat="false" ht="15" hidden="false" customHeight="false" outlineLevel="0" collapsed="false">
      <c r="A288" s="0" t="s">
        <v>1344</v>
      </c>
      <c r="B288" s="0" t="s">
        <v>47</v>
      </c>
      <c r="C288" s="0" t="s">
        <v>199</v>
      </c>
      <c r="D288" s="0" t="s">
        <v>198</v>
      </c>
      <c r="E288" s="0" t="s">
        <v>42</v>
      </c>
      <c r="F288" s="0" t="n">
        <v>14.79</v>
      </c>
      <c r="G288" s="0" t="s">
        <v>268</v>
      </c>
      <c r="H288" s="0" t="s">
        <v>232</v>
      </c>
      <c r="I288" s="0" t="s">
        <v>700</v>
      </c>
      <c r="J288" s="0" t="s">
        <v>1345</v>
      </c>
      <c r="K288" s="0" t="s">
        <v>1346</v>
      </c>
      <c r="L288" s="0" t="n">
        <v>3.2</v>
      </c>
      <c r="M288" s="0" t="n">
        <v>1</v>
      </c>
      <c r="N288" s="0" t="n">
        <v>9719.31</v>
      </c>
      <c r="O288" s="0" t="n">
        <v>4625.68</v>
      </c>
      <c r="P288" s="0" t="n">
        <v>663.88</v>
      </c>
      <c r="Q288" s="0" t="s">
        <v>24</v>
      </c>
      <c r="R288" s="0" t="s">
        <v>51</v>
      </c>
      <c r="S288" s="0" t="s">
        <v>254</v>
      </c>
    </row>
    <row r="289" customFormat="false" ht="15" hidden="false" customHeight="false" outlineLevel="0" collapsed="false">
      <c r="A289" s="0" t="s">
        <v>1347</v>
      </c>
      <c r="B289" s="0" t="s">
        <v>48</v>
      </c>
      <c r="C289" s="0" t="s">
        <v>198</v>
      </c>
      <c r="D289" s="0" t="s">
        <v>214</v>
      </c>
      <c r="E289" s="0" t="s">
        <v>42</v>
      </c>
      <c r="F289" s="0" t="n">
        <v>13.21</v>
      </c>
      <c r="G289" s="0" t="s">
        <v>293</v>
      </c>
      <c r="H289" s="0" t="s">
        <v>294</v>
      </c>
      <c r="I289" s="0" t="s">
        <v>431</v>
      </c>
      <c r="J289" s="0" t="s">
        <v>1348</v>
      </c>
      <c r="K289" s="0" t="s">
        <v>1349</v>
      </c>
      <c r="L289" s="0" t="n">
        <v>6.2</v>
      </c>
      <c r="M289" s="0" t="n">
        <v>1</v>
      </c>
      <c r="N289" s="0" t="n">
        <v>9287.57</v>
      </c>
      <c r="O289" s="0" t="n">
        <v>1248.81</v>
      </c>
      <c r="P289" s="0" t="n">
        <v>647.3</v>
      </c>
      <c r="Q289" s="0" t="s">
        <v>21</v>
      </c>
      <c r="R289" s="0" t="s">
        <v>52</v>
      </c>
      <c r="S289" s="0" t="s">
        <v>272</v>
      </c>
    </row>
    <row r="290" customFormat="false" ht="15" hidden="false" customHeight="false" outlineLevel="0" collapsed="false">
      <c r="A290" s="0" t="s">
        <v>1350</v>
      </c>
      <c r="B290" s="0" t="s">
        <v>47</v>
      </c>
      <c r="C290" s="0" t="s">
        <v>205</v>
      </c>
      <c r="D290" s="0" t="s">
        <v>198</v>
      </c>
      <c r="E290" s="0" t="s">
        <v>44</v>
      </c>
      <c r="F290" s="0" t="n">
        <v>1.15</v>
      </c>
      <c r="G290" s="0" t="s">
        <v>232</v>
      </c>
      <c r="H290" s="0" t="s">
        <v>700</v>
      </c>
      <c r="I290" s="0" t="s">
        <v>620</v>
      </c>
      <c r="J290" s="0" t="s">
        <v>1351</v>
      </c>
      <c r="K290" s="0" t="s">
        <v>1352</v>
      </c>
      <c r="L290" s="0" t="n">
        <v>2.1</v>
      </c>
      <c r="M290" s="0" t="n">
        <v>1</v>
      </c>
      <c r="N290" s="0" t="n">
        <v>1980.13</v>
      </c>
      <c r="O290" s="0" t="n">
        <v>4849.24</v>
      </c>
      <c r="P290" s="0" t="n">
        <v>1120.91</v>
      </c>
      <c r="Q290" s="0" t="s">
        <v>24</v>
      </c>
      <c r="R290" s="0" t="s">
        <v>52</v>
      </c>
      <c r="S290" s="0" t="s">
        <v>222</v>
      </c>
    </row>
    <row r="291" customFormat="false" ht="15" hidden="false" customHeight="false" outlineLevel="0" collapsed="false">
      <c r="A291" s="0" t="s">
        <v>1353</v>
      </c>
      <c r="B291" s="0" t="s">
        <v>48</v>
      </c>
      <c r="C291" s="0" t="s">
        <v>198</v>
      </c>
      <c r="D291" s="0" t="s">
        <v>213</v>
      </c>
      <c r="E291" s="0" t="s">
        <v>44</v>
      </c>
      <c r="F291" s="0" t="n">
        <v>18.64</v>
      </c>
      <c r="G291" s="0" t="s">
        <v>363</v>
      </c>
      <c r="H291" s="0" t="s">
        <v>800</v>
      </c>
      <c r="I291" s="0" t="s">
        <v>801</v>
      </c>
      <c r="J291" s="0" t="s">
        <v>1354</v>
      </c>
      <c r="K291" s="0" t="s">
        <v>1355</v>
      </c>
      <c r="L291" s="0" t="n">
        <v>3.8</v>
      </c>
      <c r="M291" s="0" t="n">
        <v>1</v>
      </c>
      <c r="N291" s="0" t="n">
        <v>4555.84</v>
      </c>
      <c r="O291" s="0" t="n">
        <v>2782.17</v>
      </c>
      <c r="P291" s="0" t="n">
        <v>709.19</v>
      </c>
      <c r="Q291" s="0" t="s">
        <v>23</v>
      </c>
      <c r="R291" s="0" t="s">
        <v>52</v>
      </c>
      <c r="S291" s="0" t="s">
        <v>228</v>
      </c>
    </row>
    <row r="292" customFormat="false" ht="15" hidden="false" customHeight="false" outlineLevel="0" collapsed="false">
      <c r="A292" s="0" t="s">
        <v>1356</v>
      </c>
      <c r="B292" s="0" t="s">
        <v>48</v>
      </c>
      <c r="C292" s="0" t="s">
        <v>198</v>
      </c>
      <c r="D292" s="0" t="s">
        <v>211</v>
      </c>
      <c r="E292" s="0" t="s">
        <v>42</v>
      </c>
      <c r="F292" s="0" t="n">
        <v>1.95</v>
      </c>
      <c r="G292" s="0" t="s">
        <v>643</v>
      </c>
      <c r="H292" s="0" t="s">
        <v>251</v>
      </c>
      <c r="I292" s="0" t="s">
        <v>300</v>
      </c>
      <c r="J292" s="0" t="s">
        <v>1357</v>
      </c>
      <c r="K292" s="0" t="s">
        <v>1358</v>
      </c>
      <c r="L292" s="0" t="n">
        <v>-1</v>
      </c>
      <c r="M292" s="0" t="n">
        <v>0</v>
      </c>
      <c r="N292" s="0" t="n">
        <v>1830.65</v>
      </c>
      <c r="O292" s="0" t="n">
        <v>4805.72</v>
      </c>
      <c r="P292" s="0" t="n">
        <v>1494.82</v>
      </c>
      <c r="Q292" s="0" t="s">
        <v>23</v>
      </c>
      <c r="R292" s="0" t="s">
        <v>51</v>
      </c>
      <c r="S292" s="0" t="s">
        <v>254</v>
      </c>
    </row>
    <row r="293" customFormat="false" ht="15" hidden="false" customHeight="false" outlineLevel="0" collapsed="false">
      <c r="A293" s="0" t="s">
        <v>1359</v>
      </c>
      <c r="B293" s="0" t="s">
        <v>47</v>
      </c>
      <c r="C293" s="0" t="s">
        <v>209</v>
      </c>
      <c r="D293" s="0" t="s">
        <v>198</v>
      </c>
      <c r="E293" s="0" t="s">
        <v>43</v>
      </c>
      <c r="F293" s="0" t="n">
        <v>14.52</v>
      </c>
      <c r="G293" s="0" t="s">
        <v>219</v>
      </c>
      <c r="H293" s="0" t="s">
        <v>225</v>
      </c>
      <c r="I293" s="0" t="s">
        <v>1360</v>
      </c>
      <c r="J293" s="0" t="s">
        <v>1361</v>
      </c>
      <c r="K293" s="0" t="s">
        <v>1362</v>
      </c>
      <c r="L293" s="0" t="n">
        <v>3.8</v>
      </c>
      <c r="M293" s="0" t="n">
        <v>1</v>
      </c>
      <c r="N293" s="0" t="n">
        <v>7059.04</v>
      </c>
      <c r="O293" s="0" t="n">
        <v>1292.33</v>
      </c>
      <c r="P293" s="0" t="n">
        <v>1122.34</v>
      </c>
      <c r="Q293" s="0" t="s">
        <v>25</v>
      </c>
      <c r="R293" s="0" t="s">
        <v>52</v>
      </c>
      <c r="S293" s="0" t="s">
        <v>272</v>
      </c>
    </row>
    <row r="294" customFormat="false" ht="15" hidden="false" customHeight="false" outlineLevel="0" collapsed="false">
      <c r="A294" s="0" t="s">
        <v>1363</v>
      </c>
      <c r="B294" s="0" t="s">
        <v>47</v>
      </c>
      <c r="C294" s="0" t="s">
        <v>209</v>
      </c>
      <c r="D294" s="0" t="s">
        <v>198</v>
      </c>
      <c r="E294" s="0" t="s">
        <v>42</v>
      </c>
      <c r="F294" s="0" t="n">
        <v>19.64</v>
      </c>
      <c r="G294" s="0" t="s">
        <v>368</v>
      </c>
      <c r="H294" s="0" t="s">
        <v>945</v>
      </c>
      <c r="I294" s="0" t="s">
        <v>304</v>
      </c>
      <c r="J294" s="0" t="s">
        <v>1364</v>
      </c>
      <c r="K294" s="0" t="s">
        <v>1365</v>
      </c>
      <c r="L294" s="0" t="n">
        <v>6.1</v>
      </c>
      <c r="M294" s="0" t="n">
        <v>1</v>
      </c>
      <c r="N294" s="0" t="n">
        <v>11873.58</v>
      </c>
      <c r="O294" s="0" t="n">
        <v>4029.24</v>
      </c>
      <c r="P294" s="0" t="n">
        <v>661.67</v>
      </c>
      <c r="Q294" s="0" t="s">
        <v>21</v>
      </c>
      <c r="R294" s="0" t="s">
        <v>52</v>
      </c>
      <c r="S294" s="0" t="s">
        <v>254</v>
      </c>
    </row>
    <row r="295" customFormat="false" ht="15" hidden="false" customHeight="false" outlineLevel="0" collapsed="false">
      <c r="A295" s="0" t="s">
        <v>1366</v>
      </c>
      <c r="B295" s="0" t="s">
        <v>48</v>
      </c>
      <c r="C295" s="0" t="s">
        <v>198</v>
      </c>
      <c r="D295" s="0" t="s">
        <v>201</v>
      </c>
      <c r="E295" s="0" t="s">
        <v>42</v>
      </c>
      <c r="F295" s="0" t="n">
        <v>10.06</v>
      </c>
      <c r="G295" s="0" t="s">
        <v>461</v>
      </c>
      <c r="H295" s="0" t="s">
        <v>833</v>
      </c>
      <c r="I295" s="0" t="s">
        <v>1046</v>
      </c>
      <c r="J295" s="0" t="s">
        <v>1367</v>
      </c>
      <c r="K295" s="0" t="s">
        <v>1368</v>
      </c>
      <c r="L295" s="0" t="n">
        <v>-1</v>
      </c>
      <c r="M295" s="0" t="n">
        <v>0</v>
      </c>
      <c r="N295" s="0" t="n">
        <v>4591.2</v>
      </c>
      <c r="O295" s="0" t="n">
        <v>3260.34</v>
      </c>
      <c r="P295" s="0" t="n">
        <v>1271.63</v>
      </c>
      <c r="Q295" s="0" t="s">
        <v>25</v>
      </c>
      <c r="R295" s="0" t="s">
        <v>52</v>
      </c>
      <c r="S295" s="0" t="s">
        <v>247</v>
      </c>
    </row>
    <row r="296" customFormat="false" ht="15" hidden="false" customHeight="false" outlineLevel="0" collapsed="false">
      <c r="A296" s="0" t="s">
        <v>1369</v>
      </c>
      <c r="B296" s="0" t="s">
        <v>47</v>
      </c>
      <c r="C296" s="0" t="s">
        <v>199</v>
      </c>
      <c r="D296" s="0" t="s">
        <v>198</v>
      </c>
      <c r="E296" s="0" t="s">
        <v>42</v>
      </c>
      <c r="F296" s="0" t="n">
        <v>10.48</v>
      </c>
      <c r="G296" s="0" t="s">
        <v>749</v>
      </c>
      <c r="H296" s="0" t="s">
        <v>261</v>
      </c>
      <c r="I296" s="0" t="s">
        <v>1370</v>
      </c>
      <c r="J296" s="0" t="s">
        <v>1371</v>
      </c>
      <c r="K296" s="0" t="s">
        <v>1372</v>
      </c>
      <c r="L296" s="0" t="n">
        <v>4.7</v>
      </c>
      <c r="M296" s="0" t="n">
        <v>1</v>
      </c>
      <c r="N296" s="0" t="n">
        <v>4863.68</v>
      </c>
      <c r="O296" s="0" t="n">
        <v>2286.68</v>
      </c>
      <c r="P296" s="0" t="n">
        <v>1348.04</v>
      </c>
      <c r="Q296" s="0" t="s">
        <v>25</v>
      </c>
      <c r="R296" s="0" t="s">
        <v>52</v>
      </c>
      <c r="S296" s="0" t="s">
        <v>254</v>
      </c>
    </row>
    <row r="297" customFormat="false" ht="15" hidden="false" customHeight="false" outlineLevel="0" collapsed="false">
      <c r="A297" s="0" t="s">
        <v>1373</v>
      </c>
      <c r="B297" s="0" t="s">
        <v>47</v>
      </c>
      <c r="C297" s="0" t="s">
        <v>205</v>
      </c>
      <c r="D297" s="0" t="s">
        <v>198</v>
      </c>
      <c r="E297" s="0" t="s">
        <v>43</v>
      </c>
      <c r="F297" s="0" t="n">
        <v>14.85</v>
      </c>
      <c r="G297" s="0" t="s">
        <v>238</v>
      </c>
      <c r="H297" s="0" t="s">
        <v>449</v>
      </c>
      <c r="I297" s="0" t="s">
        <v>789</v>
      </c>
      <c r="J297" s="0" t="s">
        <v>1374</v>
      </c>
      <c r="K297" s="0" t="s">
        <v>1375</v>
      </c>
      <c r="L297" s="0" t="n">
        <v>-1</v>
      </c>
      <c r="M297" s="0" t="n">
        <v>0</v>
      </c>
      <c r="N297" s="0" t="n">
        <v>7724.22</v>
      </c>
      <c r="O297" s="0" t="n">
        <v>1474.01</v>
      </c>
      <c r="P297" s="0" t="n">
        <v>788.88</v>
      </c>
      <c r="Q297" s="0" t="s">
        <v>23</v>
      </c>
      <c r="R297" s="0" t="s">
        <v>51</v>
      </c>
      <c r="S297" s="0" t="s">
        <v>222</v>
      </c>
    </row>
    <row r="298" customFormat="false" ht="15" hidden="false" customHeight="false" outlineLevel="0" collapsed="false">
      <c r="A298" s="0" t="s">
        <v>1376</v>
      </c>
      <c r="B298" s="0" t="s">
        <v>47</v>
      </c>
      <c r="C298" s="0" t="s">
        <v>203</v>
      </c>
      <c r="D298" s="0" t="s">
        <v>198</v>
      </c>
      <c r="E298" s="0" t="s">
        <v>42</v>
      </c>
      <c r="F298" s="0" t="n">
        <v>8.56</v>
      </c>
      <c r="G298" s="0" t="s">
        <v>756</v>
      </c>
      <c r="H298" s="0" t="s">
        <v>1304</v>
      </c>
      <c r="I298" s="0" t="s">
        <v>1140</v>
      </c>
      <c r="J298" s="0" t="s">
        <v>1377</v>
      </c>
      <c r="K298" s="0" t="s">
        <v>1378</v>
      </c>
      <c r="L298" s="0" t="n">
        <v>0.1</v>
      </c>
      <c r="M298" s="0" t="n">
        <v>1</v>
      </c>
      <c r="N298" s="0" t="n">
        <v>2423.22</v>
      </c>
      <c r="O298" s="0" t="n">
        <v>1230.81</v>
      </c>
      <c r="P298" s="0" t="n">
        <v>944.37</v>
      </c>
      <c r="Q298" s="0" t="s">
        <v>23</v>
      </c>
      <c r="R298" s="0" t="s">
        <v>52</v>
      </c>
      <c r="S298" s="0" t="s">
        <v>247</v>
      </c>
    </row>
    <row r="299" customFormat="false" ht="15" hidden="false" customHeight="false" outlineLevel="0" collapsed="false">
      <c r="A299" s="0" t="s">
        <v>1379</v>
      </c>
      <c r="B299" s="0" t="s">
        <v>48</v>
      </c>
      <c r="C299" s="0" t="s">
        <v>198</v>
      </c>
      <c r="D299" s="0" t="s">
        <v>199</v>
      </c>
      <c r="E299" s="0" t="s">
        <v>42</v>
      </c>
      <c r="F299" s="0" t="n">
        <v>6.24</v>
      </c>
      <c r="G299" s="0" t="s">
        <v>619</v>
      </c>
      <c r="H299" s="0" t="s">
        <v>1167</v>
      </c>
      <c r="I299" s="0" t="s">
        <v>1380</v>
      </c>
      <c r="J299" s="0" t="s">
        <v>1381</v>
      </c>
      <c r="K299" s="0" t="s">
        <v>1382</v>
      </c>
      <c r="L299" s="0" t="n">
        <v>6</v>
      </c>
      <c r="M299" s="0" t="n">
        <v>1</v>
      </c>
      <c r="N299" s="0" t="n">
        <v>3624.3</v>
      </c>
      <c r="O299" s="0" t="n">
        <v>4389.09</v>
      </c>
      <c r="P299" s="0" t="n">
        <v>1402.24</v>
      </c>
      <c r="Q299" s="0" t="s">
        <v>21</v>
      </c>
      <c r="R299" s="0" t="s">
        <v>52</v>
      </c>
      <c r="S299" s="0" t="s">
        <v>222</v>
      </c>
    </row>
    <row r="300" customFormat="false" ht="15" hidden="false" customHeight="false" outlineLevel="0" collapsed="false">
      <c r="A300" s="0" t="s">
        <v>1383</v>
      </c>
      <c r="B300" s="0" t="s">
        <v>47</v>
      </c>
      <c r="C300" s="0" t="s">
        <v>199</v>
      </c>
      <c r="D300" s="0" t="s">
        <v>198</v>
      </c>
      <c r="E300" s="0" t="s">
        <v>44</v>
      </c>
      <c r="F300" s="0" t="n">
        <v>17.67</v>
      </c>
      <c r="G300" s="0" t="s">
        <v>256</v>
      </c>
      <c r="H300" s="0" t="s">
        <v>1105</v>
      </c>
      <c r="I300" s="0" t="s">
        <v>225</v>
      </c>
      <c r="J300" s="0" t="s">
        <v>1384</v>
      </c>
      <c r="K300" s="0" t="s">
        <v>1385</v>
      </c>
      <c r="L300" s="0" t="n">
        <v>0.8</v>
      </c>
      <c r="M300" s="0" t="n">
        <v>1</v>
      </c>
      <c r="N300" s="0" t="n">
        <v>8890.25</v>
      </c>
      <c r="O300" s="0" t="n">
        <v>3253.3</v>
      </c>
      <c r="P300" s="0" t="n">
        <v>927.5</v>
      </c>
      <c r="Q300" s="0" t="s">
        <v>25</v>
      </c>
      <c r="R300" s="0" t="s">
        <v>52</v>
      </c>
      <c r="S300" s="0" t="s">
        <v>272</v>
      </c>
    </row>
    <row r="301" customFormat="false" ht="15" hidden="false" customHeight="false" outlineLevel="0" collapsed="false">
      <c r="A301" s="0" t="s">
        <v>1386</v>
      </c>
      <c r="B301" s="0" t="s">
        <v>48</v>
      </c>
      <c r="C301" s="0" t="s">
        <v>198</v>
      </c>
      <c r="D301" s="0" t="s">
        <v>213</v>
      </c>
      <c r="E301" s="0" t="s">
        <v>42</v>
      </c>
      <c r="F301" s="0" t="n">
        <v>7.2</v>
      </c>
      <c r="G301" s="0" t="s">
        <v>431</v>
      </c>
      <c r="H301" s="0" t="s">
        <v>249</v>
      </c>
      <c r="I301" s="0" t="s">
        <v>1087</v>
      </c>
      <c r="J301" s="0" t="s">
        <v>1387</v>
      </c>
      <c r="K301" s="0" t="s">
        <v>1089</v>
      </c>
      <c r="L301" s="0" t="n">
        <v>4.1</v>
      </c>
      <c r="M301" s="0" t="n">
        <v>1</v>
      </c>
      <c r="N301" s="0" t="n">
        <v>4410.83</v>
      </c>
      <c r="O301" s="0" t="n">
        <v>4292.64</v>
      </c>
      <c r="P301" s="0" t="n">
        <v>1388.89</v>
      </c>
      <c r="Q301" s="0" t="s">
        <v>21</v>
      </c>
      <c r="R301" s="0" t="s">
        <v>51</v>
      </c>
      <c r="S301" s="0" t="s">
        <v>228</v>
      </c>
    </row>
    <row r="302" customFormat="false" ht="15" hidden="false" customHeight="false" outlineLevel="0" collapsed="false">
      <c r="A302" s="0" t="s">
        <v>1388</v>
      </c>
      <c r="B302" s="0" t="s">
        <v>47</v>
      </c>
      <c r="C302" s="0" t="s">
        <v>205</v>
      </c>
      <c r="D302" s="0" t="s">
        <v>198</v>
      </c>
      <c r="E302" s="0" t="s">
        <v>43</v>
      </c>
      <c r="F302" s="0" t="n">
        <v>11.35</v>
      </c>
      <c r="G302" s="0" t="s">
        <v>945</v>
      </c>
      <c r="H302" s="0" t="s">
        <v>370</v>
      </c>
      <c r="I302" s="0" t="s">
        <v>487</v>
      </c>
      <c r="J302" s="0" t="s">
        <v>1389</v>
      </c>
      <c r="K302" s="0" t="s">
        <v>1390</v>
      </c>
      <c r="L302" s="0" t="n">
        <v>0.7</v>
      </c>
      <c r="M302" s="0" t="n">
        <v>1</v>
      </c>
      <c r="N302" s="0" t="n">
        <v>2979.5</v>
      </c>
      <c r="O302" s="0" t="n">
        <v>4763.14</v>
      </c>
      <c r="P302" s="0" t="n">
        <v>1006.92</v>
      </c>
      <c r="Q302" s="0" t="s">
        <v>25</v>
      </c>
      <c r="R302" s="0" t="s">
        <v>52</v>
      </c>
      <c r="S302" s="0" t="s">
        <v>228</v>
      </c>
    </row>
    <row r="303" customFormat="false" ht="15" hidden="false" customHeight="false" outlineLevel="0" collapsed="false">
      <c r="A303" s="0" t="s">
        <v>1391</v>
      </c>
      <c r="B303" s="0" t="s">
        <v>47</v>
      </c>
      <c r="C303" s="0" t="s">
        <v>209</v>
      </c>
      <c r="D303" s="0" t="s">
        <v>198</v>
      </c>
      <c r="E303" s="0" t="s">
        <v>43</v>
      </c>
      <c r="F303" s="0" t="n">
        <v>8.78</v>
      </c>
      <c r="G303" s="0" t="s">
        <v>1158</v>
      </c>
      <c r="H303" s="0" t="s">
        <v>604</v>
      </c>
      <c r="I303" s="0" t="s">
        <v>643</v>
      </c>
      <c r="J303" s="0" t="s">
        <v>986</v>
      </c>
      <c r="K303" s="0" t="s">
        <v>1392</v>
      </c>
      <c r="L303" s="0" t="n">
        <v>2.3</v>
      </c>
      <c r="M303" s="0" t="n">
        <v>1</v>
      </c>
      <c r="N303" s="0" t="n">
        <v>6140.23</v>
      </c>
      <c r="O303" s="0" t="n">
        <v>3618.6</v>
      </c>
      <c r="P303" s="0" t="n">
        <v>651.6</v>
      </c>
      <c r="Q303" s="0" t="s">
        <v>25</v>
      </c>
      <c r="R303" s="0" t="s">
        <v>52</v>
      </c>
      <c r="S303" s="0" t="s">
        <v>272</v>
      </c>
    </row>
    <row r="304" customFormat="false" ht="15" hidden="false" customHeight="false" outlineLevel="0" collapsed="false">
      <c r="A304" s="0" t="s">
        <v>1393</v>
      </c>
      <c r="B304" s="0" t="s">
        <v>47</v>
      </c>
      <c r="C304" s="0" t="s">
        <v>206</v>
      </c>
      <c r="D304" s="0" t="s">
        <v>198</v>
      </c>
      <c r="E304" s="0" t="s">
        <v>44</v>
      </c>
      <c r="F304" s="0" t="n">
        <v>17.64</v>
      </c>
      <c r="G304" s="0" t="s">
        <v>570</v>
      </c>
      <c r="H304" s="0" t="s">
        <v>964</v>
      </c>
      <c r="I304" s="0" t="s">
        <v>977</v>
      </c>
      <c r="J304" s="0" t="s">
        <v>1394</v>
      </c>
      <c r="K304" s="0" t="s">
        <v>1395</v>
      </c>
      <c r="L304" s="0" t="n">
        <v>4.1</v>
      </c>
      <c r="M304" s="0" t="n">
        <v>1</v>
      </c>
      <c r="N304" s="0" t="n">
        <v>7856.78</v>
      </c>
      <c r="O304" s="0" t="n">
        <v>1814.31</v>
      </c>
      <c r="P304" s="0" t="n">
        <v>510.09</v>
      </c>
      <c r="Q304" s="0" t="s">
        <v>24</v>
      </c>
      <c r="R304" s="0" t="s">
        <v>51</v>
      </c>
      <c r="S304" s="0" t="s">
        <v>228</v>
      </c>
    </row>
    <row r="305" customFormat="false" ht="15" hidden="false" customHeight="false" outlineLevel="0" collapsed="false">
      <c r="A305" s="0" t="s">
        <v>1396</v>
      </c>
      <c r="B305" s="0" t="s">
        <v>48</v>
      </c>
      <c r="C305" s="0" t="s">
        <v>198</v>
      </c>
      <c r="D305" s="0" t="s">
        <v>208</v>
      </c>
      <c r="E305" s="0" t="s">
        <v>44</v>
      </c>
      <c r="F305" s="0" t="n">
        <v>9.31</v>
      </c>
      <c r="G305" s="0" t="s">
        <v>687</v>
      </c>
      <c r="H305" s="0" t="s">
        <v>331</v>
      </c>
      <c r="I305" s="0" t="s">
        <v>332</v>
      </c>
      <c r="J305" s="0" t="s">
        <v>1397</v>
      </c>
      <c r="K305" s="0" t="s">
        <v>1398</v>
      </c>
      <c r="L305" s="0" t="n">
        <v>-1</v>
      </c>
      <c r="M305" s="0" t="n">
        <v>0</v>
      </c>
      <c r="N305" s="0" t="n">
        <v>4892</v>
      </c>
      <c r="O305" s="0" t="n">
        <v>3562.54</v>
      </c>
      <c r="P305" s="0" t="n">
        <v>915.94</v>
      </c>
      <c r="Q305" s="0" t="s">
        <v>24</v>
      </c>
      <c r="R305" s="0" t="s">
        <v>52</v>
      </c>
      <c r="S305" s="0" t="s">
        <v>228</v>
      </c>
    </row>
    <row r="306" customFormat="false" ht="15" hidden="false" customHeight="false" outlineLevel="0" collapsed="false">
      <c r="A306" s="0" t="s">
        <v>1399</v>
      </c>
      <c r="B306" s="0" t="s">
        <v>47</v>
      </c>
      <c r="C306" s="0" t="s">
        <v>203</v>
      </c>
      <c r="D306" s="0" t="s">
        <v>198</v>
      </c>
      <c r="E306" s="0" t="s">
        <v>42</v>
      </c>
      <c r="F306" s="0" t="n">
        <v>15.42</v>
      </c>
      <c r="G306" s="0" t="s">
        <v>992</v>
      </c>
      <c r="H306" s="0" t="s">
        <v>619</v>
      </c>
      <c r="I306" s="0" t="s">
        <v>439</v>
      </c>
      <c r="J306" s="0" t="s">
        <v>1400</v>
      </c>
      <c r="K306" s="0" t="s">
        <v>1401</v>
      </c>
      <c r="L306" s="0" t="n">
        <v>4.6</v>
      </c>
      <c r="M306" s="0" t="n">
        <v>1</v>
      </c>
      <c r="N306" s="0" t="n">
        <v>4831.22</v>
      </c>
      <c r="O306" s="0" t="n">
        <v>4998.18</v>
      </c>
      <c r="P306" s="0" t="n">
        <v>905.75</v>
      </c>
      <c r="Q306" s="0" t="s">
        <v>23</v>
      </c>
      <c r="R306" s="0" t="s">
        <v>51</v>
      </c>
      <c r="S306" s="0" t="s">
        <v>247</v>
      </c>
    </row>
    <row r="307" customFormat="false" ht="15" hidden="false" customHeight="false" outlineLevel="0" collapsed="false">
      <c r="A307" s="0" t="s">
        <v>1402</v>
      </c>
      <c r="B307" s="0" t="s">
        <v>48</v>
      </c>
      <c r="C307" s="0" t="s">
        <v>198</v>
      </c>
      <c r="D307" s="0" t="s">
        <v>204</v>
      </c>
      <c r="E307" s="0" t="s">
        <v>44</v>
      </c>
      <c r="F307" s="0" t="n">
        <v>5.19</v>
      </c>
      <c r="G307" s="0" t="s">
        <v>363</v>
      </c>
      <c r="H307" s="0" t="s">
        <v>800</v>
      </c>
      <c r="I307" s="0" t="s">
        <v>954</v>
      </c>
      <c r="J307" s="0" t="s">
        <v>1403</v>
      </c>
      <c r="K307" s="0" t="s">
        <v>1404</v>
      </c>
      <c r="L307" s="0" t="n">
        <v>3.7</v>
      </c>
      <c r="M307" s="0" t="n">
        <v>1</v>
      </c>
      <c r="N307" s="0" t="n">
        <v>3562.6</v>
      </c>
      <c r="O307" s="0" t="n">
        <v>1082.69</v>
      </c>
      <c r="P307" s="0" t="n">
        <v>769.02</v>
      </c>
      <c r="Q307" s="0" t="s">
        <v>22</v>
      </c>
      <c r="R307" s="0" t="s">
        <v>52</v>
      </c>
      <c r="S307" s="0" t="s">
        <v>222</v>
      </c>
    </row>
    <row r="308" customFormat="false" ht="15" hidden="false" customHeight="false" outlineLevel="0" collapsed="false">
      <c r="A308" s="0" t="s">
        <v>1405</v>
      </c>
      <c r="B308" s="0" t="s">
        <v>48</v>
      </c>
      <c r="C308" s="0" t="s">
        <v>198</v>
      </c>
      <c r="D308" s="0" t="s">
        <v>207</v>
      </c>
      <c r="E308" s="0" t="s">
        <v>42</v>
      </c>
      <c r="F308" s="0" t="n">
        <v>10.83</v>
      </c>
      <c r="G308" s="0" t="s">
        <v>309</v>
      </c>
      <c r="H308" s="0" t="s">
        <v>719</v>
      </c>
      <c r="I308" s="0" t="s">
        <v>482</v>
      </c>
      <c r="J308" s="0" t="s">
        <v>1406</v>
      </c>
      <c r="K308" s="0" t="s">
        <v>1407</v>
      </c>
      <c r="L308" s="0" t="n">
        <v>3.4</v>
      </c>
      <c r="M308" s="0" t="n">
        <v>1</v>
      </c>
      <c r="N308" s="0" t="n">
        <v>7305.08</v>
      </c>
      <c r="O308" s="0" t="n">
        <v>1410.06</v>
      </c>
      <c r="P308" s="0" t="n">
        <v>1013.85</v>
      </c>
      <c r="Q308" s="0" t="s">
        <v>22</v>
      </c>
      <c r="R308" s="0" t="s">
        <v>51</v>
      </c>
      <c r="S308" s="0" t="s">
        <v>222</v>
      </c>
    </row>
    <row r="309" customFormat="false" ht="15" hidden="false" customHeight="false" outlineLevel="0" collapsed="false">
      <c r="A309" s="0" t="s">
        <v>1408</v>
      </c>
      <c r="B309" s="0" t="s">
        <v>47</v>
      </c>
      <c r="C309" s="0" t="s">
        <v>199</v>
      </c>
      <c r="D309" s="0" t="s">
        <v>198</v>
      </c>
      <c r="E309" s="0" t="s">
        <v>43</v>
      </c>
      <c r="F309" s="0" t="n">
        <v>10.67</v>
      </c>
      <c r="G309" s="0" t="s">
        <v>577</v>
      </c>
      <c r="H309" s="0" t="s">
        <v>1332</v>
      </c>
      <c r="I309" s="0" t="s">
        <v>532</v>
      </c>
      <c r="J309" s="0" t="s">
        <v>1409</v>
      </c>
      <c r="K309" s="0" t="s">
        <v>561</v>
      </c>
      <c r="L309" s="0" t="n">
        <v>1.6</v>
      </c>
      <c r="M309" s="0" t="n">
        <v>1</v>
      </c>
      <c r="N309" s="0" t="n">
        <v>3223.82</v>
      </c>
      <c r="O309" s="0" t="n">
        <v>4214.07</v>
      </c>
      <c r="P309" s="0" t="n">
        <v>622.03</v>
      </c>
      <c r="Q309" s="0" t="s">
        <v>22</v>
      </c>
      <c r="R309" s="0" t="s">
        <v>51</v>
      </c>
      <c r="S309" s="0" t="s">
        <v>247</v>
      </c>
    </row>
    <row r="310" customFormat="false" ht="15" hidden="false" customHeight="false" outlineLevel="0" collapsed="false">
      <c r="A310" s="0" t="s">
        <v>1410</v>
      </c>
      <c r="B310" s="0" t="s">
        <v>47</v>
      </c>
      <c r="C310" s="0" t="s">
        <v>205</v>
      </c>
      <c r="D310" s="0" t="s">
        <v>198</v>
      </c>
      <c r="E310" s="0" t="s">
        <v>42</v>
      </c>
      <c r="F310" s="0" t="n">
        <v>3.38</v>
      </c>
      <c r="G310" s="0" t="s">
        <v>1087</v>
      </c>
      <c r="H310" s="0" t="s">
        <v>251</v>
      </c>
      <c r="I310" s="0" t="s">
        <v>685</v>
      </c>
      <c r="J310" s="0" t="s">
        <v>1411</v>
      </c>
      <c r="K310" s="0" t="s">
        <v>1412</v>
      </c>
      <c r="L310" s="0" t="n">
        <v>0.4</v>
      </c>
      <c r="M310" s="0" t="n">
        <v>1</v>
      </c>
      <c r="N310" s="0" t="n">
        <v>2395</v>
      </c>
      <c r="O310" s="0" t="n">
        <v>1629.31</v>
      </c>
      <c r="P310" s="0" t="n">
        <v>618.87</v>
      </c>
      <c r="Q310" s="0" t="s">
        <v>25</v>
      </c>
      <c r="R310" s="0" t="s">
        <v>52</v>
      </c>
      <c r="S310" s="0" t="s">
        <v>228</v>
      </c>
    </row>
    <row r="311" customFormat="false" ht="15" hidden="false" customHeight="false" outlineLevel="0" collapsed="false">
      <c r="A311" s="0" t="s">
        <v>1413</v>
      </c>
      <c r="B311" s="0" t="s">
        <v>48</v>
      </c>
      <c r="C311" s="0" t="s">
        <v>198</v>
      </c>
      <c r="D311" s="0" t="s">
        <v>208</v>
      </c>
      <c r="E311" s="0" t="s">
        <v>44</v>
      </c>
      <c r="F311" s="0" t="n">
        <v>15.53</v>
      </c>
      <c r="G311" s="0" t="s">
        <v>867</v>
      </c>
      <c r="H311" s="0" t="s">
        <v>913</v>
      </c>
      <c r="I311" s="0" t="s">
        <v>424</v>
      </c>
      <c r="J311" s="0" t="s">
        <v>1414</v>
      </c>
      <c r="K311" s="0" t="s">
        <v>1415</v>
      </c>
      <c r="L311" s="0" t="n">
        <v>3.6</v>
      </c>
      <c r="M311" s="0" t="n">
        <v>1</v>
      </c>
      <c r="N311" s="0" t="n">
        <v>5373.99</v>
      </c>
      <c r="O311" s="0" t="n">
        <v>4144.82</v>
      </c>
      <c r="P311" s="0" t="n">
        <v>1234.44</v>
      </c>
      <c r="Q311" s="0" t="s">
        <v>25</v>
      </c>
      <c r="R311" s="0" t="s">
        <v>52</v>
      </c>
      <c r="S311" s="0" t="s">
        <v>222</v>
      </c>
    </row>
    <row r="312" customFormat="false" ht="15" hidden="false" customHeight="false" outlineLevel="0" collapsed="false">
      <c r="A312" s="0" t="s">
        <v>1416</v>
      </c>
      <c r="B312" s="0" t="s">
        <v>48</v>
      </c>
      <c r="C312" s="0" t="s">
        <v>198</v>
      </c>
      <c r="D312" s="0" t="s">
        <v>207</v>
      </c>
      <c r="E312" s="0" t="s">
        <v>43</v>
      </c>
      <c r="F312" s="0" t="n">
        <v>8.3</v>
      </c>
      <c r="G312" s="0" t="s">
        <v>1417</v>
      </c>
      <c r="H312" s="0" t="s">
        <v>386</v>
      </c>
      <c r="I312" s="0" t="s">
        <v>419</v>
      </c>
      <c r="J312" s="0" t="s">
        <v>1418</v>
      </c>
      <c r="K312" s="0" t="s">
        <v>394</v>
      </c>
      <c r="L312" s="0" t="n">
        <v>5.2</v>
      </c>
      <c r="M312" s="0" t="n">
        <v>1</v>
      </c>
      <c r="N312" s="0" t="n">
        <v>4197.22</v>
      </c>
      <c r="O312" s="0" t="n">
        <v>4268.51</v>
      </c>
      <c r="P312" s="0" t="n">
        <v>1046.43</v>
      </c>
      <c r="Q312" s="0" t="s">
        <v>22</v>
      </c>
      <c r="R312" s="0" t="s">
        <v>51</v>
      </c>
      <c r="S312" s="0" t="s">
        <v>228</v>
      </c>
    </row>
    <row r="313" customFormat="false" ht="15" hidden="false" customHeight="false" outlineLevel="0" collapsed="false">
      <c r="A313" s="0" t="s">
        <v>1419</v>
      </c>
      <c r="B313" s="0" t="s">
        <v>48</v>
      </c>
      <c r="C313" s="0" t="s">
        <v>198</v>
      </c>
      <c r="D313" s="0" t="s">
        <v>214</v>
      </c>
      <c r="E313" s="0" t="s">
        <v>43</v>
      </c>
      <c r="F313" s="0" t="n">
        <v>19.37</v>
      </c>
      <c r="G313" s="0" t="s">
        <v>387</v>
      </c>
      <c r="H313" s="0" t="s">
        <v>420</v>
      </c>
      <c r="I313" s="0" t="s">
        <v>581</v>
      </c>
      <c r="J313" s="0" t="s">
        <v>1420</v>
      </c>
      <c r="K313" s="0" t="s">
        <v>1421</v>
      </c>
      <c r="L313" s="0" t="n">
        <v>3.1</v>
      </c>
      <c r="M313" s="0" t="n">
        <v>1</v>
      </c>
      <c r="N313" s="0" t="n">
        <v>8193.98</v>
      </c>
      <c r="O313" s="0" t="n">
        <v>3857.64</v>
      </c>
      <c r="P313" s="0" t="n">
        <v>1452.47</v>
      </c>
      <c r="Q313" s="0" t="s">
        <v>22</v>
      </c>
      <c r="R313" s="0" t="s">
        <v>52</v>
      </c>
      <c r="S313" s="0" t="s">
        <v>228</v>
      </c>
    </row>
    <row r="314" customFormat="false" ht="15" hidden="false" customHeight="false" outlineLevel="0" collapsed="false">
      <c r="A314" s="0" t="s">
        <v>1422</v>
      </c>
      <c r="B314" s="0" t="s">
        <v>47</v>
      </c>
      <c r="C314" s="0" t="s">
        <v>199</v>
      </c>
      <c r="D314" s="0" t="s">
        <v>198</v>
      </c>
      <c r="E314" s="0" t="s">
        <v>43</v>
      </c>
      <c r="F314" s="0" t="n">
        <v>5.31</v>
      </c>
      <c r="G314" s="0" t="s">
        <v>300</v>
      </c>
      <c r="H314" s="0" t="s">
        <v>1269</v>
      </c>
      <c r="I314" s="0" t="s">
        <v>1303</v>
      </c>
      <c r="J314" s="0" t="s">
        <v>1271</v>
      </c>
      <c r="K314" s="0" t="s">
        <v>1423</v>
      </c>
      <c r="L314" s="0" t="n">
        <v>-1</v>
      </c>
      <c r="M314" s="0" t="n">
        <v>0</v>
      </c>
      <c r="N314" s="0" t="n">
        <v>4254.44</v>
      </c>
      <c r="O314" s="0" t="n">
        <v>2001.87</v>
      </c>
      <c r="P314" s="0" t="n">
        <v>1124.87</v>
      </c>
      <c r="Q314" s="0" t="s">
        <v>23</v>
      </c>
      <c r="R314" s="0" t="s">
        <v>52</v>
      </c>
      <c r="S314" s="0" t="s">
        <v>222</v>
      </c>
    </row>
    <row r="315" customFormat="false" ht="15" hidden="false" customHeight="false" outlineLevel="0" collapsed="false">
      <c r="A315" s="0" t="s">
        <v>1424</v>
      </c>
      <c r="B315" s="0" t="s">
        <v>48</v>
      </c>
      <c r="C315" s="0" t="s">
        <v>198</v>
      </c>
      <c r="D315" s="0" t="s">
        <v>212</v>
      </c>
      <c r="E315" s="0" t="s">
        <v>42</v>
      </c>
      <c r="F315" s="0" t="n">
        <v>11.86</v>
      </c>
      <c r="G315" s="0" t="s">
        <v>430</v>
      </c>
      <c r="H315" s="0" t="s">
        <v>643</v>
      </c>
      <c r="I315" s="0" t="s">
        <v>502</v>
      </c>
      <c r="J315" s="0" t="s">
        <v>1088</v>
      </c>
      <c r="K315" s="0" t="s">
        <v>1425</v>
      </c>
      <c r="L315" s="0" t="n">
        <v>5</v>
      </c>
      <c r="M315" s="0" t="n">
        <v>1</v>
      </c>
      <c r="N315" s="0" t="n">
        <v>4825.5</v>
      </c>
      <c r="O315" s="0" t="n">
        <v>3195.43</v>
      </c>
      <c r="P315" s="0" t="n">
        <v>787.63</v>
      </c>
      <c r="Q315" s="0" t="s">
        <v>23</v>
      </c>
      <c r="R315" s="0" t="s">
        <v>52</v>
      </c>
      <c r="S315" s="0" t="s">
        <v>228</v>
      </c>
    </row>
    <row r="316" customFormat="false" ht="15" hidden="false" customHeight="false" outlineLevel="0" collapsed="false">
      <c r="A316" s="0" t="s">
        <v>1426</v>
      </c>
      <c r="B316" s="0" t="s">
        <v>47</v>
      </c>
      <c r="C316" s="0" t="s">
        <v>205</v>
      </c>
      <c r="D316" s="0" t="s">
        <v>198</v>
      </c>
      <c r="E316" s="0" t="s">
        <v>44</v>
      </c>
      <c r="F316" s="0" t="n">
        <v>6.83</v>
      </c>
      <c r="G316" s="0" t="s">
        <v>908</v>
      </c>
      <c r="H316" s="0" t="s">
        <v>1427</v>
      </c>
      <c r="I316" s="0" t="s">
        <v>577</v>
      </c>
      <c r="J316" s="0" t="s">
        <v>1428</v>
      </c>
      <c r="K316" s="0" t="s">
        <v>1429</v>
      </c>
      <c r="L316" s="0" t="n">
        <v>5</v>
      </c>
      <c r="M316" s="0" t="n">
        <v>1</v>
      </c>
      <c r="N316" s="0" t="n">
        <v>3379.75</v>
      </c>
      <c r="O316" s="0" t="n">
        <v>2143.03</v>
      </c>
      <c r="P316" s="0" t="n">
        <v>932.77</v>
      </c>
      <c r="Q316" s="0" t="s">
        <v>25</v>
      </c>
      <c r="R316" s="0" t="s">
        <v>52</v>
      </c>
      <c r="S316" s="0" t="s">
        <v>247</v>
      </c>
    </row>
    <row r="317" customFormat="false" ht="15" hidden="false" customHeight="false" outlineLevel="0" collapsed="false">
      <c r="A317" s="0" t="s">
        <v>1430</v>
      </c>
      <c r="B317" s="0" t="s">
        <v>47</v>
      </c>
      <c r="C317" s="0" t="s">
        <v>199</v>
      </c>
      <c r="D317" s="0" t="s">
        <v>198</v>
      </c>
      <c r="E317" s="0" t="s">
        <v>43</v>
      </c>
      <c r="F317" s="0" t="n">
        <v>14.02</v>
      </c>
      <c r="G317" s="0" t="s">
        <v>907</v>
      </c>
      <c r="H317" s="0" t="s">
        <v>714</v>
      </c>
      <c r="I317" s="0" t="s">
        <v>908</v>
      </c>
      <c r="J317" s="0" t="s">
        <v>1431</v>
      </c>
      <c r="K317" s="0" t="s">
        <v>1432</v>
      </c>
      <c r="L317" s="0" t="n">
        <v>1.4</v>
      </c>
      <c r="M317" s="0" t="n">
        <v>1</v>
      </c>
      <c r="N317" s="0" t="n">
        <v>8259.21</v>
      </c>
      <c r="O317" s="0" t="n">
        <v>3529.13</v>
      </c>
      <c r="P317" s="0" t="n">
        <v>698.99</v>
      </c>
      <c r="Q317" s="0" t="s">
        <v>24</v>
      </c>
      <c r="R317" s="0" t="s">
        <v>52</v>
      </c>
      <c r="S317" s="0" t="s">
        <v>254</v>
      </c>
    </row>
    <row r="318" customFormat="false" ht="15" hidden="false" customHeight="false" outlineLevel="0" collapsed="false">
      <c r="A318" s="0" t="s">
        <v>1433</v>
      </c>
      <c r="B318" s="0" t="s">
        <v>47</v>
      </c>
      <c r="C318" s="0" t="s">
        <v>205</v>
      </c>
      <c r="D318" s="0" t="s">
        <v>198</v>
      </c>
      <c r="E318" s="0" t="s">
        <v>42</v>
      </c>
      <c r="F318" s="0" t="n">
        <v>8.95</v>
      </c>
      <c r="G318" s="0" t="s">
        <v>403</v>
      </c>
      <c r="H318" s="0" t="s">
        <v>472</v>
      </c>
      <c r="I318" s="0" t="s">
        <v>473</v>
      </c>
      <c r="J318" s="0" t="s">
        <v>1434</v>
      </c>
      <c r="K318" s="0" t="s">
        <v>1263</v>
      </c>
      <c r="L318" s="0" t="n">
        <v>3.3</v>
      </c>
      <c r="M318" s="0" t="n">
        <v>1</v>
      </c>
      <c r="N318" s="0" t="n">
        <v>4594.04</v>
      </c>
      <c r="O318" s="0" t="n">
        <v>3074.8</v>
      </c>
      <c r="P318" s="0" t="n">
        <v>679.36</v>
      </c>
      <c r="Q318" s="0" t="s">
        <v>25</v>
      </c>
      <c r="R318" s="0" t="s">
        <v>52</v>
      </c>
      <c r="S318" s="0" t="s">
        <v>247</v>
      </c>
    </row>
    <row r="319" customFormat="false" ht="15" hidden="false" customHeight="false" outlineLevel="0" collapsed="false">
      <c r="A319" s="0" t="s">
        <v>1435</v>
      </c>
      <c r="B319" s="0" t="s">
        <v>48</v>
      </c>
      <c r="C319" s="0" t="s">
        <v>198</v>
      </c>
      <c r="D319" s="0" t="s">
        <v>213</v>
      </c>
      <c r="E319" s="0" t="s">
        <v>44</v>
      </c>
      <c r="F319" s="0" t="n">
        <v>19.44</v>
      </c>
      <c r="G319" s="0" t="s">
        <v>280</v>
      </c>
      <c r="H319" s="0" t="s">
        <v>281</v>
      </c>
      <c r="I319" s="0" t="s">
        <v>691</v>
      </c>
      <c r="J319" s="0" t="s">
        <v>1436</v>
      </c>
      <c r="K319" s="0" t="s">
        <v>1437</v>
      </c>
      <c r="L319" s="0" t="n">
        <v>1.5</v>
      </c>
      <c r="M319" s="0" t="n">
        <v>1</v>
      </c>
      <c r="N319" s="0" t="n">
        <v>9859.86</v>
      </c>
      <c r="O319" s="0" t="n">
        <v>2386.1</v>
      </c>
      <c r="P319" s="0" t="n">
        <v>897.61</v>
      </c>
      <c r="Q319" s="0" t="s">
        <v>25</v>
      </c>
      <c r="R319" s="0" t="s">
        <v>52</v>
      </c>
      <c r="S319" s="0" t="s">
        <v>228</v>
      </c>
    </row>
    <row r="320" customFormat="false" ht="15" hidden="false" customHeight="false" outlineLevel="0" collapsed="false">
      <c r="A320" s="0" t="s">
        <v>1438</v>
      </c>
      <c r="B320" s="0" t="s">
        <v>47</v>
      </c>
      <c r="C320" s="0" t="s">
        <v>205</v>
      </c>
      <c r="D320" s="0" t="s">
        <v>198</v>
      </c>
      <c r="E320" s="0" t="s">
        <v>43</v>
      </c>
      <c r="F320" s="0" t="n">
        <v>6.02</v>
      </c>
      <c r="G320" s="0" t="s">
        <v>945</v>
      </c>
      <c r="H320" s="0" t="s">
        <v>370</v>
      </c>
      <c r="I320" s="0" t="s">
        <v>667</v>
      </c>
      <c r="J320" s="0" t="s">
        <v>1439</v>
      </c>
      <c r="K320" s="0" t="s">
        <v>1440</v>
      </c>
      <c r="L320" s="0" t="n">
        <v>4.8</v>
      </c>
      <c r="M320" s="0" t="n">
        <v>1</v>
      </c>
      <c r="N320" s="0" t="n">
        <v>2998.03</v>
      </c>
      <c r="O320" s="0" t="n">
        <v>1688.44</v>
      </c>
      <c r="P320" s="0" t="n">
        <v>1425.52</v>
      </c>
      <c r="Q320" s="0" t="s">
        <v>24</v>
      </c>
      <c r="R320" s="0" t="s">
        <v>51</v>
      </c>
      <c r="S320" s="0" t="s">
        <v>247</v>
      </c>
    </row>
    <row r="321" customFormat="false" ht="15" hidden="false" customHeight="false" outlineLevel="0" collapsed="false">
      <c r="A321" s="0" t="s">
        <v>1441</v>
      </c>
      <c r="B321" s="0" t="s">
        <v>47</v>
      </c>
      <c r="C321" s="0" t="s">
        <v>209</v>
      </c>
      <c r="D321" s="0" t="s">
        <v>198</v>
      </c>
      <c r="E321" s="0" t="s">
        <v>43</v>
      </c>
      <c r="F321" s="0" t="n">
        <v>2.3</v>
      </c>
      <c r="G321" s="0" t="s">
        <v>1039</v>
      </c>
      <c r="H321" s="0" t="s">
        <v>589</v>
      </c>
      <c r="I321" s="0" t="s">
        <v>949</v>
      </c>
      <c r="J321" s="0" t="s">
        <v>1442</v>
      </c>
      <c r="K321" s="0" t="s">
        <v>1443</v>
      </c>
      <c r="L321" s="0" t="n">
        <v>-1</v>
      </c>
      <c r="M321" s="0" t="n">
        <v>0</v>
      </c>
      <c r="N321" s="0" t="n">
        <v>1809.01</v>
      </c>
      <c r="O321" s="0" t="n">
        <v>3566.53</v>
      </c>
      <c r="P321" s="0" t="n">
        <v>1203.79</v>
      </c>
      <c r="Q321" s="0" t="s">
        <v>23</v>
      </c>
      <c r="R321" s="0" t="s">
        <v>52</v>
      </c>
      <c r="S321" s="0" t="s">
        <v>254</v>
      </c>
    </row>
    <row r="322" customFormat="false" ht="15" hidden="false" customHeight="false" outlineLevel="0" collapsed="false">
      <c r="A322" s="0" t="s">
        <v>1444</v>
      </c>
      <c r="B322" s="0" t="s">
        <v>48</v>
      </c>
      <c r="C322" s="0" t="s">
        <v>198</v>
      </c>
      <c r="D322" s="0" t="s">
        <v>212</v>
      </c>
      <c r="E322" s="0" t="s">
        <v>43</v>
      </c>
      <c r="F322" s="0" t="n">
        <v>8.09</v>
      </c>
      <c r="G322" s="0" t="s">
        <v>977</v>
      </c>
      <c r="H322" s="0" t="s">
        <v>337</v>
      </c>
      <c r="I322" s="0" t="s">
        <v>338</v>
      </c>
      <c r="J322" s="0" t="s">
        <v>1445</v>
      </c>
      <c r="K322" s="0" t="s">
        <v>1162</v>
      </c>
      <c r="L322" s="0" t="n">
        <v>-1</v>
      </c>
      <c r="M322" s="0" t="n">
        <v>0</v>
      </c>
      <c r="N322" s="0" t="n">
        <v>6904.03</v>
      </c>
      <c r="O322" s="0" t="n">
        <v>1423.62</v>
      </c>
      <c r="P322" s="0" t="n">
        <v>654.83</v>
      </c>
      <c r="Q322" s="0" t="s">
        <v>25</v>
      </c>
      <c r="R322" s="0" t="s">
        <v>52</v>
      </c>
      <c r="S322" s="0" t="s">
        <v>228</v>
      </c>
    </row>
    <row r="323" customFormat="false" ht="15" hidden="false" customHeight="false" outlineLevel="0" collapsed="false">
      <c r="A323" s="0" t="s">
        <v>1446</v>
      </c>
      <c r="B323" s="0" t="s">
        <v>48</v>
      </c>
      <c r="C323" s="0" t="s">
        <v>198</v>
      </c>
      <c r="D323" s="0" t="s">
        <v>199</v>
      </c>
      <c r="E323" s="0" t="s">
        <v>43</v>
      </c>
      <c r="F323" s="0" t="n">
        <v>18.95</v>
      </c>
      <c r="G323" s="0" t="s">
        <v>636</v>
      </c>
      <c r="H323" s="0" t="s">
        <v>362</v>
      </c>
      <c r="I323" s="0" t="s">
        <v>363</v>
      </c>
      <c r="J323" s="0" t="s">
        <v>1447</v>
      </c>
      <c r="K323" s="0" t="s">
        <v>1448</v>
      </c>
      <c r="L323" s="0" t="n">
        <v>2.5</v>
      </c>
      <c r="M323" s="0" t="n">
        <v>1</v>
      </c>
      <c r="N323" s="0" t="n">
        <v>10494.73</v>
      </c>
      <c r="O323" s="0" t="n">
        <v>3720.45</v>
      </c>
      <c r="P323" s="0" t="n">
        <v>908.15</v>
      </c>
      <c r="Q323" s="0" t="s">
        <v>24</v>
      </c>
      <c r="R323" s="0" t="s">
        <v>52</v>
      </c>
      <c r="S323" s="0" t="s">
        <v>254</v>
      </c>
    </row>
    <row r="324" customFormat="false" ht="15" hidden="false" customHeight="false" outlineLevel="0" collapsed="false">
      <c r="A324" s="0" t="s">
        <v>1449</v>
      </c>
      <c r="B324" s="0" t="s">
        <v>48</v>
      </c>
      <c r="C324" s="0" t="s">
        <v>198</v>
      </c>
      <c r="D324" s="0" t="s">
        <v>204</v>
      </c>
      <c r="E324" s="0" t="s">
        <v>43</v>
      </c>
      <c r="F324" s="0" t="n">
        <v>1.29</v>
      </c>
      <c r="G324" s="0" t="s">
        <v>477</v>
      </c>
      <c r="H324" s="0" t="s">
        <v>978</v>
      </c>
      <c r="I324" s="0" t="s">
        <v>267</v>
      </c>
      <c r="J324" s="0" t="s">
        <v>1450</v>
      </c>
      <c r="K324" s="0" t="s">
        <v>1451</v>
      </c>
      <c r="L324" s="0" t="n">
        <v>4.3</v>
      </c>
      <c r="M324" s="0" t="n">
        <v>1</v>
      </c>
      <c r="N324" s="0" t="n">
        <v>1425.58</v>
      </c>
      <c r="O324" s="0" t="n">
        <v>1033.28</v>
      </c>
      <c r="P324" s="0" t="n">
        <v>933.58</v>
      </c>
      <c r="Q324" s="0" t="s">
        <v>23</v>
      </c>
      <c r="R324" s="0" t="s">
        <v>52</v>
      </c>
      <c r="S324" s="0" t="s">
        <v>228</v>
      </c>
    </row>
    <row r="325" customFormat="false" ht="15" hidden="false" customHeight="false" outlineLevel="0" collapsed="false">
      <c r="A325" s="0" t="s">
        <v>1452</v>
      </c>
      <c r="B325" s="0" t="s">
        <v>47</v>
      </c>
      <c r="C325" s="0" t="s">
        <v>209</v>
      </c>
      <c r="D325" s="0" t="s">
        <v>198</v>
      </c>
      <c r="E325" s="0" t="s">
        <v>43</v>
      </c>
      <c r="F325" s="0" t="n">
        <v>2.76</v>
      </c>
      <c r="G325" s="0" t="s">
        <v>362</v>
      </c>
      <c r="H325" s="0" t="s">
        <v>363</v>
      </c>
      <c r="I325" s="0" t="s">
        <v>954</v>
      </c>
      <c r="J325" s="0" t="s">
        <v>1453</v>
      </c>
      <c r="K325" s="0" t="s">
        <v>1454</v>
      </c>
      <c r="L325" s="0" t="n">
        <v>6.4</v>
      </c>
      <c r="M325" s="0" t="n">
        <v>1</v>
      </c>
      <c r="N325" s="0" t="n">
        <v>1950.04</v>
      </c>
      <c r="O325" s="0" t="n">
        <v>3893.79</v>
      </c>
      <c r="P325" s="0" t="n">
        <v>509.05</v>
      </c>
      <c r="Q325" s="0" t="s">
        <v>22</v>
      </c>
      <c r="R325" s="0" t="s">
        <v>52</v>
      </c>
      <c r="S325" s="0" t="s">
        <v>272</v>
      </c>
    </row>
    <row r="326" customFormat="false" ht="15" hidden="false" customHeight="false" outlineLevel="0" collapsed="false">
      <c r="A326" s="0" t="s">
        <v>1455</v>
      </c>
      <c r="B326" s="0" t="s">
        <v>47</v>
      </c>
      <c r="C326" s="0" t="s">
        <v>203</v>
      </c>
      <c r="D326" s="0" t="s">
        <v>198</v>
      </c>
      <c r="E326" s="0" t="s">
        <v>42</v>
      </c>
      <c r="F326" s="0" t="n">
        <v>12.2</v>
      </c>
      <c r="G326" s="0" t="s">
        <v>230</v>
      </c>
      <c r="H326" s="0" t="s">
        <v>619</v>
      </c>
      <c r="I326" s="0" t="s">
        <v>232</v>
      </c>
      <c r="J326" s="0" t="s">
        <v>1456</v>
      </c>
      <c r="K326" s="0" t="s">
        <v>1457</v>
      </c>
      <c r="L326" s="0" t="n">
        <v>-0.9</v>
      </c>
      <c r="M326" s="0" t="n">
        <v>0</v>
      </c>
      <c r="N326" s="0" t="n">
        <v>5896.39</v>
      </c>
      <c r="O326" s="0" t="n">
        <v>3954.89</v>
      </c>
      <c r="P326" s="0" t="n">
        <v>513.75</v>
      </c>
      <c r="Q326" s="0" t="s">
        <v>24</v>
      </c>
      <c r="R326" s="0" t="s">
        <v>52</v>
      </c>
      <c r="S326" s="0" t="s">
        <v>228</v>
      </c>
    </row>
    <row r="327" customFormat="false" ht="15" hidden="false" customHeight="false" outlineLevel="0" collapsed="false">
      <c r="A327" s="0" t="s">
        <v>1458</v>
      </c>
      <c r="B327" s="0" t="s">
        <v>47</v>
      </c>
      <c r="C327" s="0" t="s">
        <v>199</v>
      </c>
      <c r="D327" s="0" t="s">
        <v>198</v>
      </c>
      <c r="E327" s="0" t="s">
        <v>44</v>
      </c>
      <c r="F327" s="0" t="n">
        <v>5.72</v>
      </c>
      <c r="G327" s="0" t="s">
        <v>287</v>
      </c>
      <c r="H327" s="0" t="s">
        <v>667</v>
      </c>
      <c r="I327" s="0" t="s">
        <v>488</v>
      </c>
      <c r="J327" s="0" t="s">
        <v>1459</v>
      </c>
      <c r="K327" s="0" t="s">
        <v>1460</v>
      </c>
      <c r="L327" s="0" t="n">
        <v>3.9</v>
      </c>
      <c r="M327" s="0" t="n">
        <v>1</v>
      </c>
      <c r="N327" s="0" t="n">
        <v>3020.91</v>
      </c>
      <c r="O327" s="0" t="n">
        <v>1861.38</v>
      </c>
      <c r="P327" s="0" t="n">
        <v>1097.1</v>
      </c>
      <c r="Q327" s="0" t="s">
        <v>25</v>
      </c>
      <c r="R327" s="0" t="s">
        <v>52</v>
      </c>
      <c r="S327" s="0" t="s">
        <v>247</v>
      </c>
    </row>
    <row r="328" customFormat="false" ht="15" hidden="false" customHeight="false" outlineLevel="0" collapsed="false">
      <c r="A328" s="0" t="s">
        <v>1461</v>
      </c>
      <c r="B328" s="0" t="s">
        <v>48</v>
      </c>
      <c r="C328" s="0" t="s">
        <v>198</v>
      </c>
      <c r="D328" s="0" t="s">
        <v>213</v>
      </c>
      <c r="E328" s="0" t="s">
        <v>43</v>
      </c>
      <c r="F328" s="0" t="n">
        <v>12.3</v>
      </c>
      <c r="G328" s="0" t="s">
        <v>557</v>
      </c>
      <c r="H328" s="0" t="s">
        <v>558</v>
      </c>
      <c r="I328" s="0" t="s">
        <v>559</v>
      </c>
      <c r="J328" s="0" t="s">
        <v>1462</v>
      </c>
      <c r="K328" s="0" t="s">
        <v>1463</v>
      </c>
      <c r="L328" s="0" t="n">
        <v>3.5</v>
      </c>
      <c r="M328" s="0" t="n">
        <v>1</v>
      </c>
      <c r="N328" s="0" t="n">
        <v>6085.61</v>
      </c>
      <c r="O328" s="0" t="n">
        <v>2589.79</v>
      </c>
      <c r="P328" s="0" t="n">
        <v>1013.61</v>
      </c>
      <c r="Q328" s="0" t="s">
        <v>24</v>
      </c>
      <c r="R328" s="0" t="s">
        <v>51</v>
      </c>
      <c r="S328" s="0" t="s">
        <v>228</v>
      </c>
    </row>
    <row r="329" customFormat="false" ht="15" hidden="false" customHeight="false" outlineLevel="0" collapsed="false">
      <c r="A329" s="0" t="s">
        <v>1464</v>
      </c>
      <c r="B329" s="0" t="s">
        <v>47</v>
      </c>
      <c r="C329" s="0" t="s">
        <v>205</v>
      </c>
      <c r="D329" s="0" t="s">
        <v>198</v>
      </c>
      <c r="E329" s="0" t="s">
        <v>42</v>
      </c>
      <c r="F329" s="0" t="n">
        <v>5.81</v>
      </c>
      <c r="G329" s="0" t="s">
        <v>1174</v>
      </c>
      <c r="H329" s="0" t="s">
        <v>257</v>
      </c>
      <c r="I329" s="0" t="s">
        <v>1360</v>
      </c>
      <c r="J329" s="0" t="s">
        <v>1465</v>
      </c>
      <c r="K329" s="0" t="s">
        <v>1176</v>
      </c>
      <c r="L329" s="0" t="n">
        <v>3.4</v>
      </c>
      <c r="M329" s="0" t="n">
        <v>1</v>
      </c>
      <c r="N329" s="0" t="n">
        <v>4554.61</v>
      </c>
      <c r="O329" s="0" t="n">
        <v>3153.33</v>
      </c>
      <c r="P329" s="0" t="n">
        <v>768.85</v>
      </c>
      <c r="Q329" s="0" t="s">
        <v>21</v>
      </c>
      <c r="R329" s="0" t="s">
        <v>51</v>
      </c>
      <c r="S329" s="0" t="s">
        <v>254</v>
      </c>
    </row>
    <row r="330" customFormat="false" ht="15" hidden="false" customHeight="false" outlineLevel="0" collapsed="false">
      <c r="A330" s="0" t="s">
        <v>1466</v>
      </c>
      <c r="B330" s="0" t="s">
        <v>47</v>
      </c>
      <c r="C330" s="0" t="s">
        <v>206</v>
      </c>
      <c r="D330" s="0" t="s">
        <v>198</v>
      </c>
      <c r="E330" s="0" t="s">
        <v>44</v>
      </c>
      <c r="F330" s="0" t="n">
        <v>8</v>
      </c>
      <c r="G330" s="0" t="s">
        <v>741</v>
      </c>
      <c r="H330" s="0" t="s">
        <v>613</v>
      </c>
      <c r="I330" s="0" t="s">
        <v>756</v>
      </c>
      <c r="J330" s="0" t="s">
        <v>1467</v>
      </c>
      <c r="K330" s="0" t="s">
        <v>1468</v>
      </c>
      <c r="L330" s="0" t="n">
        <v>8.4</v>
      </c>
      <c r="M330" s="0" t="n">
        <v>1</v>
      </c>
      <c r="N330" s="0" t="n">
        <v>5715.57</v>
      </c>
      <c r="O330" s="0" t="n">
        <v>2997.73</v>
      </c>
      <c r="P330" s="0" t="n">
        <v>1035.03</v>
      </c>
      <c r="Q330" s="0" t="s">
        <v>22</v>
      </c>
      <c r="R330" s="0" t="s">
        <v>51</v>
      </c>
      <c r="S330" s="0" t="s">
        <v>222</v>
      </c>
    </row>
    <row r="331" customFormat="false" ht="15" hidden="false" customHeight="false" outlineLevel="0" collapsed="false">
      <c r="A331" s="0" t="s">
        <v>1469</v>
      </c>
      <c r="B331" s="0" t="s">
        <v>48</v>
      </c>
      <c r="C331" s="0" t="s">
        <v>198</v>
      </c>
      <c r="D331" s="0" t="s">
        <v>212</v>
      </c>
      <c r="E331" s="0" t="s">
        <v>44</v>
      </c>
      <c r="F331" s="0" t="n">
        <v>3.74</v>
      </c>
      <c r="G331" s="0" t="s">
        <v>342</v>
      </c>
      <c r="H331" s="0" t="s">
        <v>801</v>
      </c>
      <c r="I331" s="0" t="s">
        <v>292</v>
      </c>
      <c r="J331" s="0" t="s">
        <v>1470</v>
      </c>
      <c r="K331" s="0" t="s">
        <v>1471</v>
      </c>
      <c r="L331" s="0" t="n">
        <v>-0.3</v>
      </c>
      <c r="M331" s="0" t="n">
        <v>0</v>
      </c>
      <c r="N331" s="0" t="n">
        <v>1791.61</v>
      </c>
      <c r="O331" s="0" t="n">
        <v>3010.52</v>
      </c>
      <c r="P331" s="0" t="n">
        <v>556.18</v>
      </c>
      <c r="Q331" s="0" t="s">
        <v>21</v>
      </c>
      <c r="R331" s="0" t="s">
        <v>52</v>
      </c>
      <c r="S331" s="0" t="s">
        <v>222</v>
      </c>
    </row>
    <row r="332" customFormat="false" ht="15" hidden="false" customHeight="false" outlineLevel="0" collapsed="false">
      <c r="A332" s="0" t="s">
        <v>1472</v>
      </c>
      <c r="B332" s="0" t="s">
        <v>47</v>
      </c>
      <c r="C332" s="0" t="s">
        <v>206</v>
      </c>
      <c r="D332" s="0" t="s">
        <v>198</v>
      </c>
      <c r="E332" s="0" t="s">
        <v>44</v>
      </c>
      <c r="F332" s="0" t="n">
        <v>10.33</v>
      </c>
      <c r="G332" s="0" t="s">
        <v>615</v>
      </c>
      <c r="H332" s="0" t="s">
        <v>1304</v>
      </c>
      <c r="I332" s="0" t="s">
        <v>408</v>
      </c>
      <c r="J332" s="0" t="s">
        <v>1473</v>
      </c>
      <c r="K332" s="0" t="s">
        <v>665</v>
      </c>
      <c r="L332" s="0" t="n">
        <v>7.2</v>
      </c>
      <c r="M332" s="0" t="n">
        <v>1</v>
      </c>
      <c r="N332" s="0" t="n">
        <v>5208.03</v>
      </c>
      <c r="O332" s="0" t="n">
        <v>3065.7</v>
      </c>
      <c r="P332" s="0" t="n">
        <v>1286.52</v>
      </c>
      <c r="Q332" s="0" t="s">
        <v>22</v>
      </c>
      <c r="R332" s="0" t="s">
        <v>51</v>
      </c>
      <c r="S332" s="0" t="s">
        <v>272</v>
      </c>
    </row>
    <row r="333" customFormat="false" ht="15" hidden="false" customHeight="false" outlineLevel="0" collapsed="false">
      <c r="A333" s="0" t="s">
        <v>1474</v>
      </c>
      <c r="B333" s="0" t="s">
        <v>47</v>
      </c>
      <c r="C333" s="0" t="s">
        <v>205</v>
      </c>
      <c r="D333" s="0" t="s">
        <v>198</v>
      </c>
      <c r="E333" s="0" t="s">
        <v>44</v>
      </c>
      <c r="F333" s="0" t="n">
        <v>18.91</v>
      </c>
      <c r="G333" s="0" t="s">
        <v>362</v>
      </c>
      <c r="H333" s="0" t="s">
        <v>1047</v>
      </c>
      <c r="I333" s="0" t="s">
        <v>473</v>
      </c>
      <c r="J333" s="0" t="s">
        <v>1475</v>
      </c>
      <c r="K333" s="0" t="s">
        <v>1210</v>
      </c>
      <c r="L333" s="0" t="n">
        <v>-1</v>
      </c>
      <c r="M333" s="0" t="n">
        <v>0</v>
      </c>
      <c r="N333" s="0" t="n">
        <v>5421.63</v>
      </c>
      <c r="O333" s="0" t="n">
        <v>2239.23</v>
      </c>
      <c r="P333" s="0" t="n">
        <v>749.96</v>
      </c>
      <c r="Q333" s="0" t="s">
        <v>22</v>
      </c>
      <c r="R333" s="0" t="s">
        <v>52</v>
      </c>
      <c r="S333" s="0" t="s">
        <v>222</v>
      </c>
    </row>
    <row r="334" customFormat="false" ht="15" hidden="false" customHeight="false" outlineLevel="0" collapsed="false">
      <c r="A334" s="0" t="s">
        <v>1476</v>
      </c>
      <c r="B334" s="0" t="s">
        <v>48</v>
      </c>
      <c r="C334" s="0" t="s">
        <v>198</v>
      </c>
      <c r="D334" s="0" t="s">
        <v>207</v>
      </c>
      <c r="E334" s="0" t="s">
        <v>43</v>
      </c>
      <c r="F334" s="0" t="n">
        <v>10.79</v>
      </c>
      <c r="G334" s="0" t="s">
        <v>934</v>
      </c>
      <c r="H334" s="0" t="s">
        <v>352</v>
      </c>
      <c r="I334" s="0" t="s">
        <v>353</v>
      </c>
      <c r="J334" s="0" t="s">
        <v>1477</v>
      </c>
      <c r="K334" s="0" t="s">
        <v>1478</v>
      </c>
      <c r="L334" s="0" t="n">
        <v>3.4</v>
      </c>
      <c r="M334" s="0" t="n">
        <v>1</v>
      </c>
      <c r="N334" s="0" t="n">
        <v>5271.22</v>
      </c>
      <c r="O334" s="0" t="n">
        <v>4145.43</v>
      </c>
      <c r="P334" s="0" t="n">
        <v>1132.22</v>
      </c>
      <c r="Q334" s="0" t="s">
        <v>21</v>
      </c>
      <c r="R334" s="0" t="s">
        <v>52</v>
      </c>
      <c r="S334" s="0" t="s">
        <v>222</v>
      </c>
    </row>
    <row r="335" customFormat="false" ht="15" hidden="false" customHeight="false" outlineLevel="0" collapsed="false">
      <c r="A335" s="0" t="s">
        <v>1479</v>
      </c>
      <c r="B335" s="0" t="s">
        <v>47</v>
      </c>
      <c r="C335" s="0" t="s">
        <v>206</v>
      </c>
      <c r="D335" s="0" t="s">
        <v>198</v>
      </c>
      <c r="E335" s="0" t="s">
        <v>42</v>
      </c>
      <c r="F335" s="0" t="n">
        <v>8.1</v>
      </c>
      <c r="G335" s="0" t="s">
        <v>846</v>
      </c>
      <c r="H335" s="0" t="s">
        <v>517</v>
      </c>
      <c r="I335" s="0" t="s">
        <v>310</v>
      </c>
      <c r="J335" s="0" t="s">
        <v>1480</v>
      </c>
      <c r="K335" s="0" t="s">
        <v>1481</v>
      </c>
      <c r="L335" s="0" t="n">
        <v>3.6</v>
      </c>
      <c r="M335" s="0" t="n">
        <v>1</v>
      </c>
      <c r="N335" s="0" t="n">
        <v>4114.24</v>
      </c>
      <c r="O335" s="0" t="n">
        <v>4315.49</v>
      </c>
      <c r="P335" s="0" t="n">
        <v>848.89</v>
      </c>
      <c r="Q335" s="0" t="s">
        <v>21</v>
      </c>
      <c r="R335" s="0" t="s">
        <v>52</v>
      </c>
      <c r="S335" s="0" t="s">
        <v>228</v>
      </c>
    </row>
    <row r="336" customFormat="false" ht="15" hidden="false" customHeight="false" outlineLevel="0" collapsed="false">
      <c r="A336" s="0" t="s">
        <v>1482</v>
      </c>
      <c r="B336" s="0" t="s">
        <v>48</v>
      </c>
      <c r="C336" s="0" t="s">
        <v>198</v>
      </c>
      <c r="D336" s="0" t="s">
        <v>207</v>
      </c>
      <c r="E336" s="0" t="s">
        <v>44</v>
      </c>
      <c r="F336" s="0" t="n">
        <v>10.91</v>
      </c>
      <c r="G336" s="0" t="s">
        <v>343</v>
      </c>
      <c r="H336" s="0" t="s">
        <v>293</v>
      </c>
      <c r="I336" s="0" t="s">
        <v>604</v>
      </c>
      <c r="J336" s="0" t="s">
        <v>295</v>
      </c>
      <c r="K336" s="0" t="s">
        <v>1483</v>
      </c>
      <c r="L336" s="0" t="n">
        <v>3.3</v>
      </c>
      <c r="M336" s="0" t="n">
        <v>1</v>
      </c>
      <c r="N336" s="0" t="n">
        <v>3248.46</v>
      </c>
      <c r="O336" s="0" t="n">
        <v>2836.76</v>
      </c>
      <c r="P336" s="0" t="n">
        <v>911.09</v>
      </c>
      <c r="Q336" s="0" t="s">
        <v>22</v>
      </c>
      <c r="R336" s="0" t="s">
        <v>52</v>
      </c>
      <c r="S336" s="0" t="s">
        <v>254</v>
      </c>
    </row>
    <row r="337" customFormat="false" ht="15" hidden="false" customHeight="false" outlineLevel="0" collapsed="false">
      <c r="A337" s="0" t="s">
        <v>1484</v>
      </c>
      <c r="B337" s="0" t="s">
        <v>48</v>
      </c>
      <c r="C337" s="0" t="s">
        <v>198</v>
      </c>
      <c r="D337" s="0" t="s">
        <v>213</v>
      </c>
      <c r="E337" s="0" t="s">
        <v>44</v>
      </c>
      <c r="F337" s="0" t="n">
        <v>14.72</v>
      </c>
      <c r="G337" s="0" t="s">
        <v>1007</v>
      </c>
      <c r="H337" s="0" t="s">
        <v>532</v>
      </c>
      <c r="I337" s="0" t="s">
        <v>396</v>
      </c>
      <c r="J337" s="0" t="s">
        <v>1485</v>
      </c>
      <c r="K337" s="0" t="s">
        <v>1486</v>
      </c>
      <c r="L337" s="0" t="n">
        <v>3.8</v>
      </c>
      <c r="M337" s="0" t="n">
        <v>1</v>
      </c>
      <c r="N337" s="0" t="n">
        <v>10129.89</v>
      </c>
      <c r="O337" s="0" t="n">
        <v>3127.56</v>
      </c>
      <c r="P337" s="0" t="n">
        <v>1289.43</v>
      </c>
      <c r="Q337" s="0" t="s">
        <v>23</v>
      </c>
      <c r="R337" s="0" t="s">
        <v>52</v>
      </c>
      <c r="S337" s="0" t="s">
        <v>228</v>
      </c>
    </row>
    <row r="338" customFormat="false" ht="15" hidden="false" customHeight="false" outlineLevel="0" collapsed="false">
      <c r="A338" s="0" t="s">
        <v>1487</v>
      </c>
      <c r="B338" s="0" t="s">
        <v>47</v>
      </c>
      <c r="C338" s="0" t="s">
        <v>199</v>
      </c>
      <c r="D338" s="0" t="s">
        <v>198</v>
      </c>
      <c r="E338" s="0" t="s">
        <v>42</v>
      </c>
      <c r="F338" s="0" t="n">
        <v>6.64</v>
      </c>
      <c r="G338" s="0" t="s">
        <v>352</v>
      </c>
      <c r="H338" s="0" t="s">
        <v>571</v>
      </c>
      <c r="I338" s="0" t="s">
        <v>938</v>
      </c>
      <c r="J338" s="0" t="s">
        <v>1488</v>
      </c>
      <c r="K338" s="0" t="s">
        <v>1489</v>
      </c>
      <c r="L338" s="0" t="n">
        <v>3.7</v>
      </c>
      <c r="M338" s="0" t="n">
        <v>1</v>
      </c>
      <c r="N338" s="0" t="n">
        <v>2650.68</v>
      </c>
      <c r="O338" s="0" t="n">
        <v>1889.45</v>
      </c>
      <c r="P338" s="0" t="n">
        <v>1019.22</v>
      </c>
      <c r="Q338" s="0" t="s">
        <v>24</v>
      </c>
      <c r="R338" s="0" t="s">
        <v>52</v>
      </c>
      <c r="S338" s="0" t="s">
        <v>228</v>
      </c>
    </row>
    <row r="339" customFormat="false" ht="15" hidden="false" customHeight="false" outlineLevel="0" collapsed="false">
      <c r="A339" s="0" t="s">
        <v>1490</v>
      </c>
      <c r="B339" s="0" t="s">
        <v>47</v>
      </c>
      <c r="C339" s="0" t="s">
        <v>199</v>
      </c>
      <c r="D339" s="0" t="s">
        <v>198</v>
      </c>
      <c r="E339" s="0" t="s">
        <v>42</v>
      </c>
      <c r="F339" s="0" t="n">
        <v>12.55</v>
      </c>
      <c r="G339" s="0" t="s">
        <v>305</v>
      </c>
      <c r="H339" s="0" t="s">
        <v>845</v>
      </c>
      <c r="I339" s="0" t="s">
        <v>968</v>
      </c>
      <c r="J339" s="0" t="s">
        <v>490</v>
      </c>
      <c r="K339" s="0" t="s">
        <v>1491</v>
      </c>
      <c r="L339" s="0" t="n">
        <v>3</v>
      </c>
      <c r="M339" s="0" t="n">
        <v>1</v>
      </c>
      <c r="N339" s="0" t="n">
        <v>6383.09</v>
      </c>
      <c r="O339" s="0" t="n">
        <v>3465.2</v>
      </c>
      <c r="P339" s="0" t="n">
        <v>1056.88</v>
      </c>
      <c r="Q339" s="0" t="s">
        <v>24</v>
      </c>
      <c r="R339" s="0" t="s">
        <v>51</v>
      </c>
      <c r="S339" s="0" t="s">
        <v>228</v>
      </c>
    </row>
    <row r="340" customFormat="false" ht="15" hidden="false" customHeight="false" outlineLevel="0" collapsed="false">
      <c r="A340" s="0" t="s">
        <v>1492</v>
      </c>
      <c r="B340" s="0" t="s">
        <v>48</v>
      </c>
      <c r="C340" s="0" t="s">
        <v>198</v>
      </c>
      <c r="D340" s="0" t="s">
        <v>212</v>
      </c>
      <c r="E340" s="0" t="s">
        <v>43</v>
      </c>
      <c r="F340" s="0" t="n">
        <v>8.9</v>
      </c>
      <c r="G340" s="0" t="s">
        <v>648</v>
      </c>
      <c r="H340" s="0" t="s">
        <v>398</v>
      </c>
      <c r="I340" s="0" t="s">
        <v>315</v>
      </c>
      <c r="J340" s="0" t="s">
        <v>1493</v>
      </c>
      <c r="K340" s="0" t="s">
        <v>1494</v>
      </c>
      <c r="L340" s="0" t="n">
        <v>6.5</v>
      </c>
      <c r="M340" s="0" t="n">
        <v>1</v>
      </c>
      <c r="N340" s="0" t="n">
        <v>4478.97</v>
      </c>
      <c r="O340" s="0" t="n">
        <v>4482.11</v>
      </c>
      <c r="P340" s="0" t="n">
        <v>1131.42</v>
      </c>
      <c r="Q340" s="0" t="s">
        <v>25</v>
      </c>
      <c r="R340" s="0" t="s">
        <v>51</v>
      </c>
      <c r="S340" s="0" t="s">
        <v>228</v>
      </c>
    </row>
    <row r="341" customFormat="false" ht="15" hidden="false" customHeight="false" outlineLevel="0" collapsed="false">
      <c r="A341" s="0" t="s">
        <v>1495</v>
      </c>
      <c r="B341" s="0" t="s">
        <v>48</v>
      </c>
      <c r="C341" s="0" t="s">
        <v>198</v>
      </c>
      <c r="D341" s="0" t="s">
        <v>208</v>
      </c>
      <c r="E341" s="0" t="s">
        <v>43</v>
      </c>
      <c r="F341" s="0" t="n">
        <v>11.12</v>
      </c>
      <c r="G341" s="0" t="s">
        <v>450</v>
      </c>
      <c r="H341" s="0" t="s">
        <v>705</v>
      </c>
      <c r="I341" s="0" t="s">
        <v>466</v>
      </c>
      <c r="J341" s="0" t="s">
        <v>1496</v>
      </c>
      <c r="K341" s="0" t="s">
        <v>1497</v>
      </c>
      <c r="L341" s="0" t="n">
        <v>0.4</v>
      </c>
      <c r="M341" s="0" t="n">
        <v>1</v>
      </c>
      <c r="N341" s="0" t="n">
        <v>6969.02</v>
      </c>
      <c r="O341" s="0" t="n">
        <v>3049.14</v>
      </c>
      <c r="P341" s="0" t="n">
        <v>614.29</v>
      </c>
      <c r="Q341" s="0" t="s">
        <v>23</v>
      </c>
      <c r="R341" s="0" t="s">
        <v>52</v>
      </c>
      <c r="S341" s="0" t="s">
        <v>247</v>
      </c>
    </row>
    <row r="342" customFormat="false" ht="15" hidden="false" customHeight="false" outlineLevel="0" collapsed="false">
      <c r="A342" s="0" t="s">
        <v>1498</v>
      </c>
      <c r="B342" s="0" t="s">
        <v>47</v>
      </c>
      <c r="C342" s="0" t="s">
        <v>203</v>
      </c>
      <c r="D342" s="0" t="s">
        <v>198</v>
      </c>
      <c r="E342" s="0" t="s">
        <v>42</v>
      </c>
      <c r="F342" s="0" t="n">
        <v>15.53</v>
      </c>
      <c r="G342" s="0" t="s">
        <v>913</v>
      </c>
      <c r="H342" s="0" t="s">
        <v>1064</v>
      </c>
      <c r="I342" s="0" t="s">
        <v>832</v>
      </c>
      <c r="J342" s="0" t="s">
        <v>1499</v>
      </c>
      <c r="K342" s="0" t="s">
        <v>1500</v>
      </c>
      <c r="L342" s="0" t="n">
        <v>3.6</v>
      </c>
      <c r="M342" s="0" t="n">
        <v>1</v>
      </c>
      <c r="N342" s="0" t="n">
        <v>5012.04</v>
      </c>
      <c r="O342" s="0" t="n">
        <v>3242.71</v>
      </c>
      <c r="P342" s="0" t="n">
        <v>1128.43</v>
      </c>
      <c r="Q342" s="0" t="s">
        <v>25</v>
      </c>
      <c r="R342" s="0" t="s">
        <v>52</v>
      </c>
      <c r="S342" s="0" t="s">
        <v>228</v>
      </c>
    </row>
    <row r="343" customFormat="false" ht="15" hidden="false" customHeight="false" outlineLevel="0" collapsed="false">
      <c r="A343" s="0" t="s">
        <v>1501</v>
      </c>
      <c r="B343" s="0" t="s">
        <v>48</v>
      </c>
      <c r="C343" s="0" t="s">
        <v>198</v>
      </c>
      <c r="D343" s="0" t="s">
        <v>204</v>
      </c>
      <c r="E343" s="0" t="s">
        <v>42</v>
      </c>
      <c r="F343" s="0" t="n">
        <v>14.08</v>
      </c>
      <c r="G343" s="0" t="s">
        <v>515</v>
      </c>
      <c r="H343" s="0" t="s">
        <v>673</v>
      </c>
      <c r="I343" s="0" t="s">
        <v>846</v>
      </c>
      <c r="J343" s="0" t="s">
        <v>1502</v>
      </c>
      <c r="K343" s="0" t="s">
        <v>1503</v>
      </c>
      <c r="L343" s="0" t="n">
        <v>6</v>
      </c>
      <c r="M343" s="0" t="n">
        <v>1</v>
      </c>
      <c r="N343" s="0" t="n">
        <v>8420.6</v>
      </c>
      <c r="O343" s="0" t="n">
        <v>4285.55</v>
      </c>
      <c r="P343" s="0" t="n">
        <v>1343.33</v>
      </c>
      <c r="Q343" s="0" t="s">
        <v>23</v>
      </c>
      <c r="R343" s="0" t="s">
        <v>51</v>
      </c>
      <c r="S343" s="0" t="s">
        <v>228</v>
      </c>
    </row>
    <row r="344" customFormat="false" ht="15" hidden="false" customHeight="false" outlineLevel="0" collapsed="false">
      <c r="A344" s="0" t="s">
        <v>1504</v>
      </c>
      <c r="B344" s="0" t="s">
        <v>47</v>
      </c>
      <c r="C344" s="0" t="s">
        <v>205</v>
      </c>
      <c r="D344" s="0" t="s">
        <v>198</v>
      </c>
      <c r="E344" s="0" t="s">
        <v>42</v>
      </c>
      <c r="F344" s="0" t="n">
        <v>10.22</v>
      </c>
      <c r="G344" s="0" t="s">
        <v>714</v>
      </c>
      <c r="H344" s="0" t="s">
        <v>715</v>
      </c>
      <c r="I344" s="0" t="s">
        <v>577</v>
      </c>
      <c r="J344" s="0" t="s">
        <v>1505</v>
      </c>
      <c r="K344" s="0" t="s">
        <v>1506</v>
      </c>
      <c r="L344" s="0" t="n">
        <v>3</v>
      </c>
      <c r="M344" s="0" t="n">
        <v>1</v>
      </c>
      <c r="N344" s="0" t="n">
        <v>3665.58</v>
      </c>
      <c r="O344" s="0" t="n">
        <v>2638.96</v>
      </c>
      <c r="P344" s="0" t="n">
        <v>1147.77</v>
      </c>
      <c r="Q344" s="0" t="s">
        <v>24</v>
      </c>
      <c r="R344" s="0" t="s">
        <v>52</v>
      </c>
      <c r="S344" s="0" t="s">
        <v>247</v>
      </c>
    </row>
    <row r="345" customFormat="false" ht="15" hidden="false" customHeight="false" outlineLevel="0" collapsed="false">
      <c r="A345" s="0" t="s">
        <v>1507</v>
      </c>
      <c r="B345" s="0" t="s">
        <v>48</v>
      </c>
      <c r="C345" s="0" t="s">
        <v>198</v>
      </c>
      <c r="D345" s="0" t="s">
        <v>204</v>
      </c>
      <c r="E345" s="0" t="s">
        <v>42</v>
      </c>
      <c r="F345" s="0" t="n">
        <v>1.29</v>
      </c>
      <c r="G345" s="0" t="s">
        <v>310</v>
      </c>
      <c r="H345" s="0" t="s">
        <v>482</v>
      </c>
      <c r="I345" s="0" t="s">
        <v>381</v>
      </c>
      <c r="J345" s="0" t="s">
        <v>1508</v>
      </c>
      <c r="K345" s="0" t="s">
        <v>1509</v>
      </c>
      <c r="L345" s="0" t="n">
        <v>1.1</v>
      </c>
      <c r="M345" s="0" t="n">
        <v>1</v>
      </c>
      <c r="N345" s="0" t="n">
        <v>2168.68</v>
      </c>
      <c r="O345" s="0" t="n">
        <v>1266.26</v>
      </c>
      <c r="P345" s="0" t="n">
        <v>1148.32</v>
      </c>
      <c r="Q345" s="0" t="s">
        <v>21</v>
      </c>
      <c r="R345" s="0" t="s">
        <v>52</v>
      </c>
      <c r="S345" s="0" t="s">
        <v>247</v>
      </c>
    </row>
    <row r="346" customFormat="false" ht="15" hidden="false" customHeight="false" outlineLevel="0" collapsed="false">
      <c r="A346" s="0" t="s">
        <v>1510</v>
      </c>
      <c r="B346" s="0" t="s">
        <v>48</v>
      </c>
      <c r="C346" s="0" t="s">
        <v>198</v>
      </c>
      <c r="D346" s="0" t="s">
        <v>199</v>
      </c>
      <c r="E346" s="0" t="s">
        <v>43</v>
      </c>
      <c r="F346" s="0" t="n">
        <v>2.41</v>
      </c>
      <c r="G346" s="0" t="s">
        <v>376</v>
      </c>
      <c r="H346" s="0" t="s">
        <v>559</v>
      </c>
      <c r="I346" s="0" t="s">
        <v>657</v>
      </c>
      <c r="J346" s="0" t="s">
        <v>1511</v>
      </c>
      <c r="K346" s="0" t="s">
        <v>1512</v>
      </c>
      <c r="L346" s="0" t="n">
        <v>-1</v>
      </c>
      <c r="M346" s="0" t="n">
        <v>0</v>
      </c>
      <c r="N346" s="0" t="n">
        <v>2463.1</v>
      </c>
      <c r="O346" s="0" t="n">
        <v>3826.54</v>
      </c>
      <c r="P346" s="0" t="n">
        <v>874.48</v>
      </c>
      <c r="Q346" s="0" t="s">
        <v>21</v>
      </c>
      <c r="R346" s="0" t="s">
        <v>52</v>
      </c>
      <c r="S346" s="0" t="s">
        <v>222</v>
      </c>
    </row>
    <row r="347" customFormat="false" ht="15" hidden="false" customHeight="false" outlineLevel="0" collapsed="false">
      <c r="A347" s="0" t="s">
        <v>1513</v>
      </c>
      <c r="B347" s="0" t="s">
        <v>48</v>
      </c>
      <c r="C347" s="0" t="s">
        <v>198</v>
      </c>
      <c r="D347" s="0" t="s">
        <v>211</v>
      </c>
      <c r="E347" s="0" t="s">
        <v>44</v>
      </c>
      <c r="F347" s="0" t="n">
        <v>8.02</v>
      </c>
      <c r="G347" s="0" t="s">
        <v>391</v>
      </c>
      <c r="H347" s="0" t="s">
        <v>387</v>
      </c>
      <c r="I347" s="0" t="s">
        <v>236</v>
      </c>
      <c r="J347" s="0" t="s">
        <v>1514</v>
      </c>
      <c r="K347" s="0" t="s">
        <v>1515</v>
      </c>
      <c r="L347" s="0" t="n">
        <v>-0.1</v>
      </c>
      <c r="M347" s="0" t="n">
        <v>0</v>
      </c>
      <c r="N347" s="0" t="n">
        <v>3950.85</v>
      </c>
      <c r="O347" s="0" t="n">
        <v>2935.96</v>
      </c>
      <c r="P347" s="0" t="n">
        <v>505.31</v>
      </c>
      <c r="Q347" s="0" t="s">
        <v>25</v>
      </c>
      <c r="R347" s="0" t="s">
        <v>52</v>
      </c>
      <c r="S347" s="0" t="s">
        <v>247</v>
      </c>
    </row>
    <row r="348" customFormat="false" ht="15" hidden="false" customHeight="false" outlineLevel="0" collapsed="false">
      <c r="A348" s="0" t="s">
        <v>1516</v>
      </c>
      <c r="B348" s="0" t="s">
        <v>47</v>
      </c>
      <c r="C348" s="0" t="s">
        <v>206</v>
      </c>
      <c r="D348" s="0" t="s">
        <v>198</v>
      </c>
      <c r="E348" s="0" t="s">
        <v>42</v>
      </c>
      <c r="F348" s="0" t="n">
        <v>16.29</v>
      </c>
      <c r="G348" s="0" t="s">
        <v>800</v>
      </c>
      <c r="H348" s="0" t="s">
        <v>364</v>
      </c>
      <c r="I348" s="0" t="s">
        <v>1080</v>
      </c>
      <c r="J348" s="0" t="s">
        <v>1517</v>
      </c>
      <c r="K348" s="0" t="s">
        <v>1518</v>
      </c>
      <c r="L348" s="0" t="n">
        <v>-1</v>
      </c>
      <c r="M348" s="0" t="n">
        <v>0</v>
      </c>
      <c r="N348" s="0" t="n">
        <v>10715.14</v>
      </c>
      <c r="O348" s="0" t="n">
        <v>4212.01</v>
      </c>
      <c r="P348" s="0" t="n">
        <v>1018.01</v>
      </c>
      <c r="Q348" s="0" t="s">
        <v>21</v>
      </c>
      <c r="R348" s="0" t="s">
        <v>52</v>
      </c>
      <c r="S348" s="0" t="s">
        <v>272</v>
      </c>
    </row>
    <row r="349" customFormat="false" ht="15" hidden="false" customHeight="false" outlineLevel="0" collapsed="false">
      <c r="A349" s="0" t="s">
        <v>1519</v>
      </c>
      <c r="B349" s="0" t="s">
        <v>47</v>
      </c>
      <c r="C349" s="0" t="s">
        <v>206</v>
      </c>
      <c r="D349" s="0" t="s">
        <v>198</v>
      </c>
      <c r="E349" s="0" t="s">
        <v>44</v>
      </c>
      <c r="F349" s="0" t="n">
        <v>3.67</v>
      </c>
      <c r="G349" s="0" t="s">
        <v>867</v>
      </c>
      <c r="H349" s="0" t="s">
        <v>596</v>
      </c>
      <c r="I349" s="0" t="s">
        <v>831</v>
      </c>
      <c r="J349" s="0" t="s">
        <v>1520</v>
      </c>
      <c r="K349" s="0" t="s">
        <v>1521</v>
      </c>
      <c r="L349" s="0" t="n">
        <v>7.5</v>
      </c>
      <c r="M349" s="0" t="n">
        <v>1</v>
      </c>
      <c r="N349" s="0" t="n">
        <v>1799.02</v>
      </c>
      <c r="O349" s="0" t="n">
        <v>4561.64</v>
      </c>
      <c r="P349" s="0" t="n">
        <v>1249.98</v>
      </c>
      <c r="Q349" s="0" t="s">
        <v>24</v>
      </c>
      <c r="R349" s="0" t="s">
        <v>52</v>
      </c>
      <c r="S349" s="0" t="s">
        <v>222</v>
      </c>
    </row>
    <row r="350" customFormat="false" ht="15" hidden="false" customHeight="false" outlineLevel="0" collapsed="false">
      <c r="A350" s="0" t="s">
        <v>1522</v>
      </c>
      <c r="B350" s="0" t="s">
        <v>47</v>
      </c>
      <c r="C350" s="0" t="s">
        <v>205</v>
      </c>
      <c r="D350" s="0" t="s">
        <v>198</v>
      </c>
      <c r="E350" s="0" t="s">
        <v>42</v>
      </c>
      <c r="F350" s="0" t="n">
        <v>18.26</v>
      </c>
      <c r="G350" s="0" t="s">
        <v>1047</v>
      </c>
      <c r="H350" s="0" t="s">
        <v>1261</v>
      </c>
      <c r="I350" s="0" t="s">
        <v>954</v>
      </c>
      <c r="J350" s="0" t="s">
        <v>1523</v>
      </c>
      <c r="K350" s="0" t="s">
        <v>1524</v>
      </c>
      <c r="L350" s="0" t="n">
        <v>2.6</v>
      </c>
      <c r="M350" s="0" t="n">
        <v>1</v>
      </c>
      <c r="N350" s="0" t="n">
        <v>8936.41</v>
      </c>
      <c r="O350" s="0" t="n">
        <v>2659.88</v>
      </c>
      <c r="P350" s="0" t="n">
        <v>1212.78</v>
      </c>
      <c r="Q350" s="0" t="s">
        <v>23</v>
      </c>
      <c r="R350" s="0" t="s">
        <v>52</v>
      </c>
      <c r="S350" s="0" t="s">
        <v>254</v>
      </c>
    </row>
    <row r="351" customFormat="false" ht="15" hidden="false" customHeight="false" outlineLevel="0" collapsed="false">
      <c r="A351" s="0" t="s">
        <v>1525</v>
      </c>
      <c r="B351" s="0" t="s">
        <v>48</v>
      </c>
      <c r="C351" s="0" t="s">
        <v>198</v>
      </c>
      <c r="D351" s="0" t="s">
        <v>204</v>
      </c>
      <c r="E351" s="0" t="s">
        <v>43</v>
      </c>
      <c r="F351" s="0" t="n">
        <v>8.34</v>
      </c>
      <c r="G351" s="0" t="s">
        <v>978</v>
      </c>
      <c r="H351" s="0" t="s">
        <v>542</v>
      </c>
      <c r="I351" s="0" t="s">
        <v>230</v>
      </c>
      <c r="J351" s="0" t="s">
        <v>1526</v>
      </c>
      <c r="K351" s="0" t="s">
        <v>1527</v>
      </c>
      <c r="L351" s="0" t="n">
        <v>4.8</v>
      </c>
      <c r="M351" s="0" t="n">
        <v>1</v>
      </c>
      <c r="N351" s="0" t="n">
        <v>6791.73</v>
      </c>
      <c r="O351" s="0" t="n">
        <v>3897.38</v>
      </c>
      <c r="P351" s="0" t="n">
        <v>1245.75</v>
      </c>
      <c r="Q351" s="0" t="s">
        <v>25</v>
      </c>
      <c r="R351" s="0" t="s">
        <v>52</v>
      </c>
      <c r="S351" s="0" t="s">
        <v>228</v>
      </c>
    </row>
    <row r="352" customFormat="false" ht="15" hidden="false" customHeight="false" outlineLevel="0" collapsed="false">
      <c r="A352" s="0" t="s">
        <v>1528</v>
      </c>
      <c r="B352" s="0" t="s">
        <v>48</v>
      </c>
      <c r="C352" s="0" t="s">
        <v>198</v>
      </c>
      <c r="D352" s="0" t="s">
        <v>214</v>
      </c>
      <c r="E352" s="0" t="s">
        <v>43</v>
      </c>
      <c r="F352" s="0" t="n">
        <v>11.6</v>
      </c>
      <c r="G352" s="0" t="s">
        <v>541</v>
      </c>
      <c r="H352" s="0" t="s">
        <v>978</v>
      </c>
      <c r="I352" s="0" t="s">
        <v>478</v>
      </c>
      <c r="J352" s="0" t="s">
        <v>1529</v>
      </c>
      <c r="K352" s="0" t="s">
        <v>1530</v>
      </c>
      <c r="L352" s="0" t="n">
        <v>3.5</v>
      </c>
      <c r="M352" s="0" t="n">
        <v>1</v>
      </c>
      <c r="N352" s="0" t="n">
        <v>5480.8</v>
      </c>
      <c r="O352" s="0" t="n">
        <v>2056.25</v>
      </c>
      <c r="P352" s="0" t="n">
        <v>1439.07</v>
      </c>
      <c r="Q352" s="0" t="s">
        <v>22</v>
      </c>
      <c r="R352" s="0" t="s">
        <v>51</v>
      </c>
      <c r="S352" s="0" t="s">
        <v>222</v>
      </c>
    </row>
    <row r="353" customFormat="false" ht="15" hidden="false" customHeight="false" outlineLevel="0" collapsed="false">
      <c r="A353" s="0" t="s">
        <v>1531</v>
      </c>
      <c r="B353" s="0" t="s">
        <v>47</v>
      </c>
      <c r="C353" s="0" t="s">
        <v>206</v>
      </c>
      <c r="D353" s="0" t="s">
        <v>198</v>
      </c>
      <c r="E353" s="0" t="s">
        <v>43</v>
      </c>
      <c r="F353" s="0" t="n">
        <v>13.09</v>
      </c>
      <c r="G353" s="0" t="s">
        <v>906</v>
      </c>
      <c r="H353" s="0" t="s">
        <v>907</v>
      </c>
      <c r="I353" s="0" t="s">
        <v>715</v>
      </c>
      <c r="J353" s="0" t="s">
        <v>1532</v>
      </c>
      <c r="K353" s="0" t="s">
        <v>1533</v>
      </c>
      <c r="L353" s="0" t="n">
        <v>5.1</v>
      </c>
      <c r="M353" s="0" t="n">
        <v>1</v>
      </c>
      <c r="N353" s="0" t="n">
        <v>6048.24</v>
      </c>
      <c r="O353" s="0" t="n">
        <v>3381.21</v>
      </c>
      <c r="P353" s="0" t="n">
        <v>764.64</v>
      </c>
      <c r="Q353" s="0" t="s">
        <v>25</v>
      </c>
      <c r="R353" s="0" t="s">
        <v>51</v>
      </c>
      <c r="S353" s="0" t="s">
        <v>272</v>
      </c>
    </row>
    <row r="354" customFormat="false" ht="15" hidden="false" customHeight="false" outlineLevel="0" collapsed="false">
      <c r="A354" s="0" t="s">
        <v>1534</v>
      </c>
      <c r="B354" s="0" t="s">
        <v>47</v>
      </c>
      <c r="C354" s="0" t="s">
        <v>203</v>
      </c>
      <c r="D354" s="0" t="s">
        <v>198</v>
      </c>
      <c r="E354" s="0" t="s">
        <v>43</v>
      </c>
      <c r="F354" s="0" t="n">
        <v>13.58</v>
      </c>
      <c r="G354" s="0" t="s">
        <v>876</v>
      </c>
      <c r="H354" s="0" t="s">
        <v>605</v>
      </c>
      <c r="I354" s="0" t="s">
        <v>643</v>
      </c>
      <c r="J354" s="0" t="s">
        <v>1535</v>
      </c>
      <c r="K354" s="0" t="s">
        <v>1349</v>
      </c>
      <c r="L354" s="0" t="n">
        <v>4.2</v>
      </c>
      <c r="M354" s="0" t="n">
        <v>1</v>
      </c>
      <c r="N354" s="0" t="n">
        <v>4501.33</v>
      </c>
      <c r="O354" s="0" t="n">
        <v>2038.31</v>
      </c>
      <c r="P354" s="0" t="n">
        <v>533.68</v>
      </c>
      <c r="Q354" s="0" t="s">
        <v>25</v>
      </c>
      <c r="R354" s="0" t="s">
        <v>51</v>
      </c>
      <c r="S354" s="0" t="s">
        <v>228</v>
      </c>
    </row>
    <row r="355" customFormat="false" ht="15" hidden="false" customHeight="false" outlineLevel="0" collapsed="false">
      <c r="A355" s="0" t="s">
        <v>1536</v>
      </c>
      <c r="B355" s="0" t="s">
        <v>48</v>
      </c>
      <c r="C355" s="0" t="s">
        <v>198</v>
      </c>
      <c r="D355" s="0" t="s">
        <v>214</v>
      </c>
      <c r="E355" s="0" t="s">
        <v>44</v>
      </c>
      <c r="F355" s="0" t="n">
        <v>17.7</v>
      </c>
      <c r="G355" s="0" t="s">
        <v>305</v>
      </c>
      <c r="H355" s="0" t="s">
        <v>673</v>
      </c>
      <c r="I355" s="0" t="s">
        <v>854</v>
      </c>
      <c r="J355" s="0" t="s">
        <v>1537</v>
      </c>
      <c r="K355" s="0" t="s">
        <v>1538</v>
      </c>
      <c r="L355" s="0" t="n">
        <v>4.4</v>
      </c>
      <c r="M355" s="0" t="n">
        <v>1</v>
      </c>
      <c r="N355" s="0" t="n">
        <v>6413.92</v>
      </c>
      <c r="O355" s="0" t="n">
        <v>3056.8</v>
      </c>
      <c r="P355" s="0" t="n">
        <v>1236.23</v>
      </c>
      <c r="Q355" s="0" t="s">
        <v>24</v>
      </c>
      <c r="R355" s="0" t="s">
        <v>52</v>
      </c>
      <c r="S355" s="0" t="s">
        <v>222</v>
      </c>
    </row>
    <row r="356" customFormat="false" ht="15" hidden="false" customHeight="false" outlineLevel="0" collapsed="false">
      <c r="A356" s="0" t="s">
        <v>1539</v>
      </c>
      <c r="B356" s="0" t="s">
        <v>48</v>
      </c>
      <c r="C356" s="0" t="s">
        <v>198</v>
      </c>
      <c r="D356" s="0" t="s">
        <v>211</v>
      </c>
      <c r="E356" s="0" t="s">
        <v>44</v>
      </c>
      <c r="F356" s="0" t="n">
        <v>9.29</v>
      </c>
      <c r="G356" s="0" t="s">
        <v>912</v>
      </c>
      <c r="H356" s="0" t="s">
        <v>867</v>
      </c>
      <c r="I356" s="0" t="s">
        <v>424</v>
      </c>
      <c r="J356" s="0" t="s">
        <v>961</v>
      </c>
      <c r="K356" s="0" t="s">
        <v>1540</v>
      </c>
      <c r="L356" s="0" t="n">
        <v>3.8</v>
      </c>
      <c r="M356" s="0" t="n">
        <v>1</v>
      </c>
      <c r="N356" s="0" t="n">
        <v>4681.38</v>
      </c>
      <c r="O356" s="0" t="n">
        <v>2306.56</v>
      </c>
      <c r="P356" s="0" t="n">
        <v>1248.18</v>
      </c>
      <c r="Q356" s="0" t="s">
        <v>21</v>
      </c>
      <c r="R356" s="0" t="s">
        <v>51</v>
      </c>
      <c r="S356" s="0" t="s">
        <v>272</v>
      </c>
    </row>
    <row r="357" customFormat="false" ht="15" hidden="false" customHeight="false" outlineLevel="0" collapsed="false">
      <c r="A357" s="0" t="s">
        <v>1541</v>
      </c>
      <c r="B357" s="0" t="s">
        <v>48</v>
      </c>
      <c r="C357" s="0" t="s">
        <v>198</v>
      </c>
      <c r="D357" s="0" t="s">
        <v>199</v>
      </c>
      <c r="E357" s="0" t="s">
        <v>42</v>
      </c>
      <c r="F357" s="0" t="n">
        <v>16.33</v>
      </c>
      <c r="G357" s="0" t="s">
        <v>251</v>
      </c>
      <c r="H357" s="0" t="s">
        <v>723</v>
      </c>
      <c r="I357" s="0" t="s">
        <v>331</v>
      </c>
      <c r="J357" s="0" t="s">
        <v>1542</v>
      </c>
      <c r="K357" s="0" t="s">
        <v>1543</v>
      </c>
      <c r="L357" s="0" t="n">
        <v>4.7</v>
      </c>
      <c r="M357" s="0" t="n">
        <v>1</v>
      </c>
      <c r="N357" s="0" t="n">
        <v>4855.74</v>
      </c>
      <c r="O357" s="0" t="n">
        <v>1520.32</v>
      </c>
      <c r="P357" s="0" t="n">
        <v>522.43</v>
      </c>
      <c r="Q357" s="0" t="s">
        <v>23</v>
      </c>
      <c r="R357" s="0" t="s">
        <v>51</v>
      </c>
      <c r="S357" s="0" t="s">
        <v>254</v>
      </c>
    </row>
    <row r="358" customFormat="false" ht="15" hidden="false" customHeight="false" outlineLevel="0" collapsed="false">
      <c r="A358" s="0" t="s">
        <v>1544</v>
      </c>
      <c r="B358" s="0" t="s">
        <v>48</v>
      </c>
      <c r="C358" s="0" t="s">
        <v>198</v>
      </c>
      <c r="D358" s="0" t="s">
        <v>214</v>
      </c>
      <c r="E358" s="0" t="s">
        <v>43</v>
      </c>
      <c r="F358" s="0" t="n">
        <v>7.85</v>
      </c>
      <c r="G358" s="0" t="s">
        <v>342</v>
      </c>
      <c r="H358" s="0" t="s">
        <v>343</v>
      </c>
      <c r="I358" s="0" t="s">
        <v>1158</v>
      </c>
      <c r="J358" s="0" t="s">
        <v>956</v>
      </c>
      <c r="K358" s="0" t="s">
        <v>1545</v>
      </c>
      <c r="L358" s="0" t="n">
        <v>-1</v>
      </c>
      <c r="M358" s="0" t="n">
        <v>0</v>
      </c>
      <c r="N358" s="0" t="n">
        <v>3763.19</v>
      </c>
      <c r="O358" s="0" t="n">
        <v>3824.63</v>
      </c>
      <c r="P358" s="0" t="n">
        <v>808.96</v>
      </c>
      <c r="Q358" s="0" t="s">
        <v>24</v>
      </c>
      <c r="R358" s="0" t="s">
        <v>52</v>
      </c>
      <c r="S358" s="0" t="s">
        <v>222</v>
      </c>
    </row>
    <row r="359" customFormat="false" ht="15" hidden="false" customHeight="false" outlineLevel="0" collapsed="false">
      <c r="A359" s="0" t="s">
        <v>1546</v>
      </c>
      <c r="B359" s="0" t="s">
        <v>48</v>
      </c>
      <c r="C359" s="0" t="s">
        <v>198</v>
      </c>
      <c r="D359" s="0" t="s">
        <v>211</v>
      </c>
      <c r="E359" s="0" t="s">
        <v>43</v>
      </c>
      <c r="F359" s="0" t="n">
        <v>3.52</v>
      </c>
      <c r="G359" s="0" t="s">
        <v>325</v>
      </c>
      <c r="H359" s="0" t="s">
        <v>326</v>
      </c>
      <c r="I359" s="0" t="s">
        <v>624</v>
      </c>
      <c r="J359" s="0" t="s">
        <v>857</v>
      </c>
      <c r="K359" s="0" t="s">
        <v>1547</v>
      </c>
      <c r="L359" s="0" t="n">
        <v>4.1</v>
      </c>
      <c r="M359" s="0" t="n">
        <v>1</v>
      </c>
      <c r="N359" s="0" t="n">
        <v>3168.62</v>
      </c>
      <c r="O359" s="0" t="n">
        <v>3323.8</v>
      </c>
      <c r="P359" s="0" t="n">
        <v>1490.68</v>
      </c>
      <c r="Q359" s="0" t="s">
        <v>23</v>
      </c>
      <c r="R359" s="0" t="s">
        <v>52</v>
      </c>
      <c r="S359" s="0" t="s">
        <v>228</v>
      </c>
    </row>
    <row r="360" customFormat="false" ht="15" hidden="false" customHeight="false" outlineLevel="0" collapsed="false">
      <c r="A360" s="0" t="s">
        <v>1548</v>
      </c>
      <c r="B360" s="0" t="s">
        <v>48</v>
      </c>
      <c r="C360" s="0" t="s">
        <v>198</v>
      </c>
      <c r="D360" s="0" t="s">
        <v>213</v>
      </c>
      <c r="E360" s="0" t="s">
        <v>44</v>
      </c>
      <c r="F360" s="0" t="n">
        <v>15.38</v>
      </c>
      <c r="G360" s="0" t="s">
        <v>589</v>
      </c>
      <c r="H360" s="0" t="s">
        <v>609</v>
      </c>
      <c r="I360" s="0" t="s">
        <v>880</v>
      </c>
      <c r="J360" s="0" t="s">
        <v>1549</v>
      </c>
      <c r="K360" s="0" t="s">
        <v>1550</v>
      </c>
      <c r="L360" s="0" t="n">
        <v>7</v>
      </c>
      <c r="M360" s="0" t="n">
        <v>1</v>
      </c>
      <c r="N360" s="0" t="n">
        <v>12123.34</v>
      </c>
      <c r="O360" s="0" t="n">
        <v>2367.62</v>
      </c>
      <c r="P360" s="0" t="n">
        <v>1027.68</v>
      </c>
      <c r="Q360" s="0" t="s">
        <v>24</v>
      </c>
      <c r="R360" s="0" t="s">
        <v>52</v>
      </c>
      <c r="S360" s="0" t="s">
        <v>222</v>
      </c>
    </row>
    <row r="361" customFormat="false" ht="15" hidden="false" customHeight="false" outlineLevel="0" collapsed="false">
      <c r="A361" s="0" t="s">
        <v>1551</v>
      </c>
      <c r="B361" s="0" t="s">
        <v>48</v>
      </c>
      <c r="C361" s="0" t="s">
        <v>198</v>
      </c>
      <c r="D361" s="0" t="s">
        <v>204</v>
      </c>
      <c r="E361" s="0" t="s">
        <v>44</v>
      </c>
      <c r="F361" s="0" t="n">
        <v>5.02</v>
      </c>
      <c r="G361" s="0" t="s">
        <v>257</v>
      </c>
      <c r="H361" s="0" t="s">
        <v>445</v>
      </c>
      <c r="I361" s="0" t="s">
        <v>1552</v>
      </c>
      <c r="J361" s="0" t="s">
        <v>1553</v>
      </c>
      <c r="K361" s="0" t="s">
        <v>1554</v>
      </c>
      <c r="L361" s="0" t="n">
        <v>7.6</v>
      </c>
      <c r="M361" s="0" t="n">
        <v>1</v>
      </c>
      <c r="N361" s="0" t="n">
        <v>4181.92</v>
      </c>
      <c r="O361" s="0" t="n">
        <v>3372.63</v>
      </c>
      <c r="P361" s="0" t="n">
        <v>553.35</v>
      </c>
      <c r="Q361" s="0" t="s">
        <v>25</v>
      </c>
      <c r="R361" s="0" t="s">
        <v>51</v>
      </c>
      <c r="S361" s="0" t="s">
        <v>247</v>
      </c>
    </row>
    <row r="362" customFormat="false" ht="15" hidden="false" customHeight="false" outlineLevel="0" collapsed="false">
      <c r="A362" s="0" t="s">
        <v>1555</v>
      </c>
      <c r="B362" s="0" t="s">
        <v>47</v>
      </c>
      <c r="C362" s="0" t="s">
        <v>203</v>
      </c>
      <c r="D362" s="0" t="s">
        <v>198</v>
      </c>
      <c r="E362" s="0" t="s">
        <v>42</v>
      </c>
      <c r="F362" s="0" t="n">
        <v>9.64</v>
      </c>
      <c r="G362" s="0" t="s">
        <v>850</v>
      </c>
      <c r="H362" s="0" t="s">
        <v>424</v>
      </c>
      <c r="I362" s="0" t="s">
        <v>425</v>
      </c>
      <c r="J362" s="0" t="s">
        <v>1556</v>
      </c>
      <c r="K362" s="0" t="s">
        <v>1557</v>
      </c>
      <c r="L362" s="0" t="n">
        <v>0.4</v>
      </c>
      <c r="M362" s="0" t="n">
        <v>1</v>
      </c>
      <c r="N362" s="0" t="n">
        <v>6200.16</v>
      </c>
      <c r="O362" s="0" t="n">
        <v>2101.15</v>
      </c>
      <c r="P362" s="0" t="n">
        <v>656.21</v>
      </c>
      <c r="Q362" s="0" t="s">
        <v>21</v>
      </c>
      <c r="R362" s="0" t="s">
        <v>51</v>
      </c>
      <c r="S362" s="0" t="s">
        <v>272</v>
      </c>
    </row>
    <row r="363" customFormat="false" ht="15" hidden="false" customHeight="false" outlineLevel="0" collapsed="false">
      <c r="A363" s="0" t="s">
        <v>1558</v>
      </c>
      <c r="B363" s="0" t="s">
        <v>48</v>
      </c>
      <c r="C363" s="0" t="s">
        <v>198</v>
      </c>
      <c r="D363" s="0" t="s">
        <v>211</v>
      </c>
      <c r="E363" s="0" t="s">
        <v>42</v>
      </c>
      <c r="F363" s="0" t="n">
        <v>13.08</v>
      </c>
      <c r="G363" s="0" t="s">
        <v>681</v>
      </c>
      <c r="H363" s="0" t="s">
        <v>478</v>
      </c>
      <c r="I363" s="0" t="s">
        <v>268</v>
      </c>
      <c r="J363" s="0" t="s">
        <v>1559</v>
      </c>
      <c r="K363" s="0" t="s">
        <v>1560</v>
      </c>
      <c r="L363" s="0" t="n">
        <v>2.5</v>
      </c>
      <c r="M363" s="0" t="n">
        <v>1</v>
      </c>
      <c r="N363" s="0" t="n">
        <v>6846.79</v>
      </c>
      <c r="O363" s="0" t="n">
        <v>4349.47</v>
      </c>
      <c r="P363" s="0" t="n">
        <v>669.73</v>
      </c>
      <c r="Q363" s="0" t="s">
        <v>25</v>
      </c>
      <c r="R363" s="0" t="s">
        <v>51</v>
      </c>
      <c r="S363" s="0" t="s">
        <v>228</v>
      </c>
    </row>
    <row r="364" customFormat="false" ht="15" hidden="false" customHeight="false" outlineLevel="0" collapsed="false">
      <c r="A364" s="0" t="s">
        <v>1561</v>
      </c>
      <c r="B364" s="0" t="s">
        <v>48</v>
      </c>
      <c r="C364" s="0" t="s">
        <v>198</v>
      </c>
      <c r="D364" s="0" t="s">
        <v>212</v>
      </c>
      <c r="E364" s="0" t="s">
        <v>44</v>
      </c>
      <c r="F364" s="0" t="n">
        <v>1.36</v>
      </c>
      <c r="G364" s="0" t="s">
        <v>954</v>
      </c>
      <c r="H364" s="0" t="s">
        <v>1080</v>
      </c>
      <c r="I364" s="0" t="s">
        <v>1205</v>
      </c>
      <c r="J364" s="0" t="s">
        <v>1562</v>
      </c>
      <c r="K364" s="0" t="s">
        <v>1563</v>
      </c>
      <c r="L364" s="0" t="n">
        <v>-1</v>
      </c>
      <c r="M364" s="0" t="n">
        <v>0</v>
      </c>
      <c r="N364" s="0" t="n">
        <v>1955.52</v>
      </c>
      <c r="O364" s="0" t="n">
        <v>2953.98</v>
      </c>
      <c r="P364" s="0" t="n">
        <v>901.89</v>
      </c>
      <c r="Q364" s="0" t="s">
        <v>22</v>
      </c>
      <c r="R364" s="0" t="s">
        <v>52</v>
      </c>
      <c r="S364" s="0" t="s">
        <v>272</v>
      </c>
    </row>
    <row r="365" customFormat="false" ht="15" hidden="false" customHeight="false" outlineLevel="0" collapsed="false">
      <c r="A365" s="0" t="s">
        <v>1564</v>
      </c>
      <c r="B365" s="0" t="s">
        <v>47</v>
      </c>
      <c r="C365" s="0" t="s">
        <v>199</v>
      </c>
      <c r="D365" s="0" t="s">
        <v>198</v>
      </c>
      <c r="E365" s="0" t="s">
        <v>43</v>
      </c>
      <c r="F365" s="0" t="n">
        <v>3.92</v>
      </c>
      <c r="G365" s="0" t="s">
        <v>337</v>
      </c>
      <c r="H365" s="0" t="s">
        <v>338</v>
      </c>
      <c r="I365" s="0" t="s">
        <v>774</v>
      </c>
      <c r="J365" s="0" t="s">
        <v>1073</v>
      </c>
      <c r="K365" s="0" t="s">
        <v>1565</v>
      </c>
      <c r="L365" s="0" t="n">
        <v>-1</v>
      </c>
      <c r="M365" s="0" t="n">
        <v>0</v>
      </c>
      <c r="N365" s="0" t="n">
        <v>3000.82</v>
      </c>
      <c r="O365" s="0" t="n">
        <v>2419.7</v>
      </c>
      <c r="P365" s="0" t="n">
        <v>551.99</v>
      </c>
      <c r="Q365" s="0" t="s">
        <v>25</v>
      </c>
      <c r="R365" s="0" t="s">
        <v>52</v>
      </c>
      <c r="S365" s="0" t="s">
        <v>247</v>
      </c>
    </row>
    <row r="366" customFormat="false" ht="15" hidden="false" customHeight="false" outlineLevel="0" collapsed="false">
      <c r="A366" s="0" t="s">
        <v>1566</v>
      </c>
      <c r="B366" s="0" t="s">
        <v>48</v>
      </c>
      <c r="C366" s="0" t="s">
        <v>198</v>
      </c>
      <c r="D366" s="0" t="s">
        <v>201</v>
      </c>
      <c r="E366" s="0" t="s">
        <v>44</v>
      </c>
      <c r="F366" s="0" t="n">
        <v>1.6</v>
      </c>
      <c r="G366" s="0" t="s">
        <v>588</v>
      </c>
      <c r="H366" s="0" t="s">
        <v>648</v>
      </c>
      <c r="I366" s="0" t="s">
        <v>528</v>
      </c>
      <c r="J366" s="0" t="s">
        <v>1567</v>
      </c>
      <c r="K366" s="0" t="s">
        <v>1568</v>
      </c>
      <c r="L366" s="0" t="n">
        <v>-1</v>
      </c>
      <c r="M366" s="0" t="n">
        <v>0</v>
      </c>
      <c r="N366" s="0" t="n">
        <v>2286.54</v>
      </c>
      <c r="O366" s="0" t="n">
        <v>2501.76</v>
      </c>
      <c r="P366" s="0" t="n">
        <v>1300.07</v>
      </c>
      <c r="Q366" s="0" t="s">
        <v>24</v>
      </c>
      <c r="R366" s="0" t="s">
        <v>51</v>
      </c>
      <c r="S366" s="0" t="s">
        <v>254</v>
      </c>
    </row>
    <row r="367" customFormat="false" ht="15" hidden="false" customHeight="false" outlineLevel="0" collapsed="false">
      <c r="A367" s="0" t="s">
        <v>1569</v>
      </c>
      <c r="B367" s="0" t="s">
        <v>48</v>
      </c>
      <c r="C367" s="0" t="s">
        <v>198</v>
      </c>
      <c r="D367" s="0" t="s">
        <v>213</v>
      </c>
      <c r="E367" s="0" t="s">
        <v>44</v>
      </c>
      <c r="F367" s="0" t="n">
        <v>17.81</v>
      </c>
      <c r="G367" s="0" t="s">
        <v>705</v>
      </c>
      <c r="H367" s="0" t="s">
        <v>243</v>
      </c>
      <c r="I367" s="0" t="s">
        <v>1068</v>
      </c>
      <c r="J367" s="0" t="s">
        <v>1570</v>
      </c>
      <c r="K367" s="0" t="s">
        <v>1571</v>
      </c>
      <c r="L367" s="0" t="n">
        <v>3.9</v>
      </c>
      <c r="M367" s="0" t="n">
        <v>1</v>
      </c>
      <c r="N367" s="0" t="n">
        <v>10088.84</v>
      </c>
      <c r="O367" s="0" t="n">
        <v>3475.97</v>
      </c>
      <c r="P367" s="0" t="n">
        <v>1440.77</v>
      </c>
      <c r="Q367" s="0" t="s">
        <v>22</v>
      </c>
      <c r="R367" s="0" t="s">
        <v>51</v>
      </c>
      <c r="S367" s="0" t="s">
        <v>247</v>
      </c>
    </row>
    <row r="368" customFormat="false" ht="15" hidden="false" customHeight="false" outlineLevel="0" collapsed="false">
      <c r="A368" s="0" t="s">
        <v>1572</v>
      </c>
      <c r="B368" s="0" t="s">
        <v>48</v>
      </c>
      <c r="C368" s="0" t="s">
        <v>198</v>
      </c>
      <c r="D368" s="0" t="s">
        <v>199</v>
      </c>
      <c r="E368" s="0" t="s">
        <v>43</v>
      </c>
      <c r="F368" s="0" t="n">
        <v>15.74</v>
      </c>
      <c r="G368" s="0" t="s">
        <v>243</v>
      </c>
      <c r="H368" s="0" t="s">
        <v>1108</v>
      </c>
      <c r="I368" s="0" t="s">
        <v>467</v>
      </c>
      <c r="J368" s="0" t="s">
        <v>1573</v>
      </c>
      <c r="K368" s="0" t="s">
        <v>1574</v>
      </c>
      <c r="L368" s="0" t="n">
        <v>1.4</v>
      </c>
      <c r="M368" s="0" t="n">
        <v>1</v>
      </c>
      <c r="N368" s="0" t="n">
        <v>5610.14</v>
      </c>
      <c r="O368" s="0" t="n">
        <v>2899.8</v>
      </c>
      <c r="P368" s="0" t="n">
        <v>555.22</v>
      </c>
      <c r="Q368" s="0" t="s">
        <v>23</v>
      </c>
      <c r="R368" s="0" t="s">
        <v>52</v>
      </c>
      <c r="S368" s="0" t="s">
        <v>247</v>
      </c>
    </row>
    <row r="369" customFormat="false" ht="15" hidden="false" customHeight="false" outlineLevel="0" collapsed="false">
      <c r="A369" s="0" t="s">
        <v>1575</v>
      </c>
      <c r="B369" s="0" t="s">
        <v>47</v>
      </c>
      <c r="C369" s="0" t="s">
        <v>206</v>
      </c>
      <c r="D369" s="0" t="s">
        <v>198</v>
      </c>
      <c r="E369" s="0" t="s">
        <v>42</v>
      </c>
      <c r="F369" s="0" t="n">
        <v>18.91</v>
      </c>
      <c r="G369" s="0" t="s">
        <v>581</v>
      </c>
      <c r="H369" s="0" t="s">
        <v>492</v>
      </c>
      <c r="I369" s="0" t="s">
        <v>454</v>
      </c>
      <c r="J369" s="0" t="s">
        <v>1576</v>
      </c>
      <c r="K369" s="0" t="s">
        <v>1577</v>
      </c>
      <c r="L369" s="0" t="n">
        <v>-0.2</v>
      </c>
      <c r="M369" s="0" t="n">
        <v>0</v>
      </c>
      <c r="N369" s="0" t="n">
        <v>9502.64</v>
      </c>
      <c r="O369" s="0" t="n">
        <v>1457.73</v>
      </c>
      <c r="P369" s="0" t="n">
        <v>508.71</v>
      </c>
      <c r="Q369" s="0" t="s">
        <v>21</v>
      </c>
      <c r="R369" s="0" t="s">
        <v>51</v>
      </c>
      <c r="S369" s="0" t="s">
        <v>247</v>
      </c>
    </row>
    <row r="370" customFormat="false" ht="15" hidden="false" customHeight="false" outlineLevel="0" collapsed="false">
      <c r="A370" s="0" t="s">
        <v>1578</v>
      </c>
      <c r="B370" s="0" t="s">
        <v>47</v>
      </c>
      <c r="C370" s="0" t="s">
        <v>209</v>
      </c>
      <c r="D370" s="0" t="s">
        <v>198</v>
      </c>
      <c r="E370" s="0" t="s">
        <v>43</v>
      </c>
      <c r="F370" s="0" t="n">
        <v>3.96</v>
      </c>
      <c r="G370" s="0" t="s">
        <v>677</v>
      </c>
      <c r="H370" s="0" t="s">
        <v>304</v>
      </c>
      <c r="I370" s="0" t="s">
        <v>668</v>
      </c>
      <c r="J370" s="0" t="s">
        <v>1579</v>
      </c>
      <c r="K370" s="0" t="s">
        <v>1580</v>
      </c>
      <c r="L370" s="0" t="n">
        <v>0.5</v>
      </c>
      <c r="M370" s="0" t="n">
        <v>1</v>
      </c>
      <c r="N370" s="0" t="n">
        <v>2332.27</v>
      </c>
      <c r="O370" s="0" t="n">
        <v>2209.92</v>
      </c>
      <c r="P370" s="0" t="n">
        <v>1475.37</v>
      </c>
      <c r="Q370" s="0" t="s">
        <v>25</v>
      </c>
      <c r="R370" s="0" t="s">
        <v>52</v>
      </c>
      <c r="S370" s="0" t="s">
        <v>222</v>
      </c>
    </row>
    <row r="371" customFormat="false" ht="15" hidden="false" customHeight="false" outlineLevel="0" collapsed="false">
      <c r="A371" s="0" t="s">
        <v>1581</v>
      </c>
      <c r="B371" s="0" t="s">
        <v>47</v>
      </c>
      <c r="C371" s="0" t="s">
        <v>206</v>
      </c>
      <c r="D371" s="0" t="s">
        <v>198</v>
      </c>
      <c r="E371" s="0" t="s">
        <v>44</v>
      </c>
      <c r="F371" s="0" t="n">
        <v>4.23</v>
      </c>
      <c r="G371" s="0" t="s">
        <v>1582</v>
      </c>
      <c r="H371" s="0" t="s">
        <v>1270</v>
      </c>
      <c r="I371" s="0" t="s">
        <v>1139</v>
      </c>
      <c r="J371" s="0" t="s">
        <v>1583</v>
      </c>
      <c r="K371" s="0" t="s">
        <v>1584</v>
      </c>
      <c r="L371" s="0" t="n">
        <v>0.9</v>
      </c>
      <c r="M371" s="0" t="n">
        <v>1</v>
      </c>
      <c r="N371" s="0" t="n">
        <v>2663.21</v>
      </c>
      <c r="O371" s="0" t="n">
        <v>4215.22</v>
      </c>
      <c r="P371" s="0" t="n">
        <v>637.15</v>
      </c>
      <c r="Q371" s="0" t="s">
        <v>24</v>
      </c>
      <c r="R371" s="0" t="s">
        <v>52</v>
      </c>
      <c r="S371" s="0" t="s">
        <v>228</v>
      </c>
    </row>
    <row r="372" customFormat="false" ht="15" hidden="false" customHeight="false" outlineLevel="0" collapsed="false">
      <c r="A372" s="0" t="s">
        <v>1585</v>
      </c>
      <c r="B372" s="0" t="s">
        <v>48</v>
      </c>
      <c r="C372" s="0" t="s">
        <v>198</v>
      </c>
      <c r="D372" s="0" t="s">
        <v>199</v>
      </c>
      <c r="E372" s="0" t="s">
        <v>43</v>
      </c>
      <c r="F372" s="0" t="n">
        <v>12.03</v>
      </c>
      <c r="G372" s="0" t="s">
        <v>522</v>
      </c>
      <c r="H372" s="0" t="s">
        <v>507</v>
      </c>
      <c r="I372" s="0" t="s">
        <v>563</v>
      </c>
      <c r="J372" s="0" t="s">
        <v>625</v>
      </c>
      <c r="K372" s="0" t="s">
        <v>1586</v>
      </c>
      <c r="L372" s="0" t="n">
        <v>1.5</v>
      </c>
      <c r="M372" s="0" t="n">
        <v>1</v>
      </c>
      <c r="N372" s="0" t="n">
        <v>6207.05</v>
      </c>
      <c r="O372" s="0" t="n">
        <v>1227.91</v>
      </c>
      <c r="P372" s="0" t="n">
        <v>918.61</v>
      </c>
      <c r="Q372" s="0" t="s">
        <v>22</v>
      </c>
      <c r="R372" s="0" t="s">
        <v>51</v>
      </c>
      <c r="S372" s="0" t="s">
        <v>228</v>
      </c>
    </row>
    <row r="373" customFormat="false" ht="15" hidden="false" customHeight="false" outlineLevel="0" collapsed="false">
      <c r="A373" s="0" t="s">
        <v>1587</v>
      </c>
      <c r="B373" s="0" t="s">
        <v>47</v>
      </c>
      <c r="C373" s="0" t="s">
        <v>205</v>
      </c>
      <c r="D373" s="0" t="s">
        <v>198</v>
      </c>
      <c r="E373" s="0" t="s">
        <v>43</v>
      </c>
      <c r="F373" s="0" t="n">
        <v>9.71</v>
      </c>
      <c r="G373" s="0" t="s">
        <v>462</v>
      </c>
      <c r="H373" s="0" t="s">
        <v>636</v>
      </c>
      <c r="I373" s="0" t="s">
        <v>362</v>
      </c>
      <c r="J373" s="0" t="s">
        <v>1588</v>
      </c>
      <c r="K373" s="0" t="s">
        <v>1589</v>
      </c>
      <c r="L373" s="0" t="n">
        <v>5.1</v>
      </c>
      <c r="M373" s="0" t="n">
        <v>1</v>
      </c>
      <c r="N373" s="0" t="n">
        <v>7306.2</v>
      </c>
      <c r="O373" s="0" t="n">
        <v>2255.5</v>
      </c>
      <c r="P373" s="0" t="n">
        <v>1038.02</v>
      </c>
      <c r="Q373" s="0" t="s">
        <v>22</v>
      </c>
      <c r="R373" s="0" t="s">
        <v>51</v>
      </c>
      <c r="S373" s="0" t="s">
        <v>272</v>
      </c>
    </row>
    <row r="374" customFormat="false" ht="15" hidden="false" customHeight="false" outlineLevel="0" collapsed="false">
      <c r="A374" s="0" t="s">
        <v>1590</v>
      </c>
      <c r="B374" s="0" t="s">
        <v>48</v>
      </c>
      <c r="C374" s="0" t="s">
        <v>198</v>
      </c>
      <c r="D374" s="0" t="s">
        <v>207</v>
      </c>
      <c r="E374" s="0" t="s">
        <v>43</v>
      </c>
      <c r="F374" s="0" t="n">
        <v>16.96</v>
      </c>
      <c r="G374" s="0" t="s">
        <v>1174</v>
      </c>
      <c r="H374" s="0" t="s">
        <v>497</v>
      </c>
      <c r="I374" s="0" t="s">
        <v>860</v>
      </c>
      <c r="J374" s="0" t="s">
        <v>1591</v>
      </c>
      <c r="K374" s="0" t="s">
        <v>1592</v>
      </c>
      <c r="L374" s="0" t="n">
        <v>2</v>
      </c>
      <c r="M374" s="0" t="n">
        <v>1</v>
      </c>
      <c r="N374" s="0" t="n">
        <v>9347.82</v>
      </c>
      <c r="O374" s="0" t="n">
        <v>2932.72</v>
      </c>
      <c r="P374" s="0" t="n">
        <v>1338.23</v>
      </c>
      <c r="Q374" s="0" t="s">
        <v>22</v>
      </c>
      <c r="R374" s="0" t="s">
        <v>51</v>
      </c>
      <c r="S374" s="0" t="s">
        <v>222</v>
      </c>
    </row>
    <row r="375" customFormat="false" ht="15" hidden="false" customHeight="false" outlineLevel="0" collapsed="false">
      <c r="A375" s="0" t="s">
        <v>1593</v>
      </c>
      <c r="B375" s="0" t="s">
        <v>47</v>
      </c>
      <c r="C375" s="0" t="s">
        <v>206</v>
      </c>
      <c r="D375" s="0" t="s">
        <v>198</v>
      </c>
      <c r="E375" s="0" t="s">
        <v>44</v>
      </c>
      <c r="F375" s="0" t="n">
        <v>7.87</v>
      </c>
      <c r="G375" s="0" t="s">
        <v>251</v>
      </c>
      <c r="H375" s="0" t="s">
        <v>299</v>
      </c>
      <c r="I375" s="0" t="s">
        <v>687</v>
      </c>
      <c r="J375" s="0" t="s">
        <v>1594</v>
      </c>
      <c r="K375" s="0" t="s">
        <v>1595</v>
      </c>
      <c r="L375" s="0" t="n">
        <v>0.9</v>
      </c>
      <c r="M375" s="0" t="n">
        <v>1</v>
      </c>
      <c r="N375" s="0" t="n">
        <v>3885.11</v>
      </c>
      <c r="O375" s="0" t="n">
        <v>1785.68</v>
      </c>
      <c r="P375" s="0" t="n">
        <v>1451.44</v>
      </c>
      <c r="Q375" s="0" t="s">
        <v>23</v>
      </c>
      <c r="R375" s="0" t="s">
        <v>51</v>
      </c>
      <c r="S375" s="0" t="s">
        <v>228</v>
      </c>
    </row>
    <row r="376" customFormat="false" ht="15" hidden="false" customHeight="false" outlineLevel="0" collapsed="false">
      <c r="A376" s="0" t="s">
        <v>1596</v>
      </c>
      <c r="B376" s="0" t="s">
        <v>47</v>
      </c>
      <c r="C376" s="0" t="s">
        <v>206</v>
      </c>
      <c r="D376" s="0" t="s">
        <v>198</v>
      </c>
      <c r="E376" s="0" t="s">
        <v>44</v>
      </c>
      <c r="F376" s="0" t="n">
        <v>4.33</v>
      </c>
      <c r="G376" s="0" t="s">
        <v>1255</v>
      </c>
      <c r="H376" s="0" t="s">
        <v>338</v>
      </c>
      <c r="I376" s="0" t="s">
        <v>978</v>
      </c>
      <c r="J376" s="0" t="s">
        <v>1597</v>
      </c>
      <c r="K376" s="0" t="s">
        <v>739</v>
      </c>
      <c r="L376" s="0" t="n">
        <v>1.2</v>
      </c>
      <c r="M376" s="0" t="n">
        <v>1</v>
      </c>
      <c r="N376" s="0" t="n">
        <v>2740.29</v>
      </c>
      <c r="O376" s="0" t="n">
        <v>3646.67</v>
      </c>
      <c r="P376" s="0" t="n">
        <v>641.22</v>
      </c>
      <c r="Q376" s="0" t="s">
        <v>23</v>
      </c>
      <c r="R376" s="0" t="s">
        <v>52</v>
      </c>
      <c r="S376" s="0" t="s">
        <v>222</v>
      </c>
    </row>
    <row r="377" customFormat="false" ht="15" hidden="false" customHeight="false" outlineLevel="0" collapsed="false">
      <c r="A377" s="0" t="s">
        <v>1598</v>
      </c>
      <c r="B377" s="0" t="s">
        <v>47</v>
      </c>
      <c r="C377" s="0" t="s">
        <v>203</v>
      </c>
      <c r="D377" s="0" t="s">
        <v>198</v>
      </c>
      <c r="E377" s="0" t="s">
        <v>42</v>
      </c>
      <c r="F377" s="0" t="n">
        <v>11.85</v>
      </c>
      <c r="G377" s="0" t="s">
        <v>818</v>
      </c>
      <c r="H377" s="0" t="s">
        <v>368</v>
      </c>
      <c r="I377" s="0" t="s">
        <v>677</v>
      </c>
      <c r="J377" s="0" t="s">
        <v>1599</v>
      </c>
      <c r="K377" s="0" t="s">
        <v>1600</v>
      </c>
      <c r="L377" s="0" t="n">
        <v>5</v>
      </c>
      <c r="M377" s="0" t="n">
        <v>1</v>
      </c>
      <c r="N377" s="0" t="n">
        <v>5539.53</v>
      </c>
      <c r="O377" s="0" t="n">
        <v>2142.83</v>
      </c>
      <c r="P377" s="0" t="n">
        <v>1427.12</v>
      </c>
      <c r="Q377" s="0" t="s">
        <v>23</v>
      </c>
      <c r="R377" s="0" t="s">
        <v>52</v>
      </c>
      <c r="S377" s="0" t="s">
        <v>247</v>
      </c>
    </row>
    <row r="378" customFormat="false" ht="15" hidden="false" customHeight="false" outlineLevel="0" collapsed="false">
      <c r="A378" s="0" t="s">
        <v>1601</v>
      </c>
      <c r="B378" s="0" t="s">
        <v>48</v>
      </c>
      <c r="C378" s="0" t="s">
        <v>198</v>
      </c>
      <c r="D378" s="0" t="s">
        <v>212</v>
      </c>
      <c r="E378" s="0" t="s">
        <v>44</v>
      </c>
      <c r="F378" s="0" t="n">
        <v>19.43</v>
      </c>
      <c r="G378" s="0" t="s">
        <v>337</v>
      </c>
      <c r="H378" s="0" t="s">
        <v>1265</v>
      </c>
      <c r="I378" s="0" t="s">
        <v>978</v>
      </c>
      <c r="J378" s="0" t="s">
        <v>1602</v>
      </c>
      <c r="K378" s="0" t="s">
        <v>1603</v>
      </c>
      <c r="L378" s="0" t="n">
        <v>5.7</v>
      </c>
      <c r="M378" s="0" t="n">
        <v>1</v>
      </c>
      <c r="N378" s="0" t="n">
        <v>8788.05</v>
      </c>
      <c r="O378" s="0" t="n">
        <v>3691.06</v>
      </c>
      <c r="P378" s="0" t="n">
        <v>720.5</v>
      </c>
      <c r="Q378" s="0" t="s">
        <v>23</v>
      </c>
      <c r="R378" s="0" t="s">
        <v>51</v>
      </c>
      <c r="S378" s="0" t="s">
        <v>228</v>
      </c>
    </row>
    <row r="379" customFormat="false" ht="15" hidden="false" customHeight="false" outlineLevel="0" collapsed="false">
      <c r="A379" s="0" t="s">
        <v>1604</v>
      </c>
      <c r="B379" s="0" t="s">
        <v>47</v>
      </c>
      <c r="C379" s="0" t="s">
        <v>203</v>
      </c>
      <c r="D379" s="0" t="s">
        <v>198</v>
      </c>
      <c r="E379" s="0" t="s">
        <v>44</v>
      </c>
      <c r="F379" s="0" t="n">
        <v>5.15</v>
      </c>
      <c r="G379" s="0" t="s">
        <v>686</v>
      </c>
      <c r="H379" s="0" t="s">
        <v>300</v>
      </c>
      <c r="I379" s="0" t="s">
        <v>741</v>
      </c>
      <c r="J379" s="0" t="s">
        <v>1605</v>
      </c>
      <c r="K379" s="0" t="s">
        <v>1289</v>
      </c>
      <c r="L379" s="0" t="n">
        <v>-0.6</v>
      </c>
      <c r="M379" s="0" t="n">
        <v>0</v>
      </c>
      <c r="N379" s="0" t="n">
        <v>3652.38</v>
      </c>
      <c r="O379" s="0" t="n">
        <v>1214.06</v>
      </c>
      <c r="P379" s="0" t="n">
        <v>876.53</v>
      </c>
      <c r="Q379" s="0" t="s">
        <v>23</v>
      </c>
      <c r="R379" s="0" t="s">
        <v>51</v>
      </c>
      <c r="S379" s="0" t="s">
        <v>272</v>
      </c>
    </row>
    <row r="380" customFormat="false" ht="15" hidden="false" customHeight="false" outlineLevel="0" collapsed="false">
      <c r="A380" s="0" t="s">
        <v>1606</v>
      </c>
      <c r="B380" s="0" t="s">
        <v>48</v>
      </c>
      <c r="C380" s="0" t="s">
        <v>198</v>
      </c>
      <c r="D380" s="0" t="s">
        <v>204</v>
      </c>
      <c r="E380" s="0" t="s">
        <v>43</v>
      </c>
      <c r="F380" s="0" t="n">
        <v>5.41</v>
      </c>
      <c r="G380" s="0" t="s">
        <v>854</v>
      </c>
      <c r="H380" s="0" t="s">
        <v>517</v>
      </c>
      <c r="I380" s="0" t="s">
        <v>380</v>
      </c>
      <c r="J380" s="0" t="s">
        <v>1607</v>
      </c>
      <c r="K380" s="0" t="s">
        <v>1608</v>
      </c>
      <c r="L380" s="0" t="n">
        <v>1.9</v>
      </c>
      <c r="M380" s="0" t="n">
        <v>1</v>
      </c>
      <c r="N380" s="0" t="n">
        <v>5291.86</v>
      </c>
      <c r="O380" s="0" t="n">
        <v>3439.77</v>
      </c>
      <c r="P380" s="0" t="n">
        <v>1424.52</v>
      </c>
      <c r="Q380" s="0" t="s">
        <v>21</v>
      </c>
      <c r="R380" s="0" t="s">
        <v>52</v>
      </c>
      <c r="S380" s="0" t="s">
        <v>222</v>
      </c>
    </row>
    <row r="381" customFormat="false" ht="15" hidden="false" customHeight="false" outlineLevel="0" collapsed="false">
      <c r="A381" s="0" t="s">
        <v>1609</v>
      </c>
      <c r="B381" s="0" t="s">
        <v>48</v>
      </c>
      <c r="C381" s="0" t="s">
        <v>198</v>
      </c>
      <c r="D381" s="0" t="s">
        <v>212</v>
      </c>
      <c r="E381" s="0" t="s">
        <v>44</v>
      </c>
      <c r="F381" s="0" t="n">
        <v>15.93</v>
      </c>
      <c r="G381" s="0" t="s">
        <v>978</v>
      </c>
      <c r="H381" s="0" t="s">
        <v>542</v>
      </c>
      <c r="I381" s="0" t="s">
        <v>992</v>
      </c>
      <c r="J381" s="0" t="s">
        <v>1610</v>
      </c>
      <c r="K381" s="0" t="s">
        <v>1611</v>
      </c>
      <c r="L381" s="0" t="n">
        <v>-0.7</v>
      </c>
      <c r="M381" s="0" t="n">
        <v>0</v>
      </c>
      <c r="N381" s="0" t="n">
        <v>9283.24</v>
      </c>
      <c r="O381" s="0" t="n">
        <v>4041.7</v>
      </c>
      <c r="P381" s="0" t="n">
        <v>1012.92</v>
      </c>
      <c r="Q381" s="0" t="s">
        <v>24</v>
      </c>
      <c r="R381" s="0" t="s">
        <v>52</v>
      </c>
      <c r="S381" s="0" t="s">
        <v>254</v>
      </c>
    </row>
    <row r="382" customFormat="false" ht="15" hidden="false" customHeight="false" outlineLevel="0" collapsed="false">
      <c r="A382" s="0" t="s">
        <v>1612</v>
      </c>
      <c r="B382" s="0" t="s">
        <v>47</v>
      </c>
      <c r="C382" s="0" t="s">
        <v>206</v>
      </c>
      <c r="D382" s="0" t="s">
        <v>198</v>
      </c>
      <c r="E382" s="0" t="s">
        <v>43</v>
      </c>
      <c r="F382" s="0" t="n">
        <v>14.38</v>
      </c>
      <c r="G382" s="0" t="s">
        <v>407</v>
      </c>
      <c r="H382" s="0" t="s">
        <v>1019</v>
      </c>
      <c r="I382" s="0" t="s">
        <v>217</v>
      </c>
      <c r="J382" s="0" t="s">
        <v>1613</v>
      </c>
      <c r="K382" s="0" t="s">
        <v>1614</v>
      </c>
      <c r="L382" s="0" t="n">
        <v>0.2</v>
      </c>
      <c r="M382" s="0" t="n">
        <v>1</v>
      </c>
      <c r="N382" s="0" t="n">
        <v>6160.04</v>
      </c>
      <c r="O382" s="0" t="n">
        <v>2873.32</v>
      </c>
      <c r="P382" s="0" t="n">
        <v>1273.55</v>
      </c>
      <c r="Q382" s="0" t="s">
        <v>21</v>
      </c>
      <c r="R382" s="0" t="s">
        <v>51</v>
      </c>
      <c r="S382" s="0" t="s">
        <v>222</v>
      </c>
    </row>
    <row r="383" customFormat="false" ht="15" hidden="false" customHeight="false" outlineLevel="0" collapsed="false">
      <c r="A383" s="0" t="s">
        <v>1615</v>
      </c>
      <c r="B383" s="0" t="s">
        <v>48</v>
      </c>
      <c r="C383" s="0" t="s">
        <v>198</v>
      </c>
      <c r="D383" s="0" t="s">
        <v>212</v>
      </c>
      <c r="E383" s="0" t="s">
        <v>42</v>
      </c>
      <c r="F383" s="0" t="n">
        <v>3.34</v>
      </c>
      <c r="G383" s="0" t="s">
        <v>993</v>
      </c>
      <c r="H383" s="0" t="s">
        <v>232</v>
      </c>
      <c r="I383" s="0" t="s">
        <v>700</v>
      </c>
      <c r="J383" s="0" t="s">
        <v>1616</v>
      </c>
      <c r="K383" s="0" t="s">
        <v>1617</v>
      </c>
      <c r="L383" s="0" t="n">
        <v>-1</v>
      </c>
      <c r="M383" s="0" t="n">
        <v>0</v>
      </c>
      <c r="N383" s="0" t="n">
        <v>3890.81</v>
      </c>
      <c r="O383" s="0" t="n">
        <v>4184.03</v>
      </c>
      <c r="P383" s="0" t="n">
        <v>1253.73</v>
      </c>
      <c r="Q383" s="0" t="s">
        <v>25</v>
      </c>
      <c r="R383" s="0" t="s">
        <v>51</v>
      </c>
      <c r="S383" s="0" t="s">
        <v>272</v>
      </c>
    </row>
    <row r="384" customFormat="false" ht="15" hidden="false" customHeight="false" outlineLevel="0" collapsed="false">
      <c r="A384" s="0" t="s">
        <v>1618</v>
      </c>
      <c r="B384" s="0" t="s">
        <v>48</v>
      </c>
      <c r="C384" s="0" t="s">
        <v>198</v>
      </c>
      <c r="D384" s="0" t="s">
        <v>211</v>
      </c>
      <c r="E384" s="0" t="s">
        <v>44</v>
      </c>
      <c r="F384" s="0" t="n">
        <v>5.09</v>
      </c>
      <c r="G384" s="0" t="s">
        <v>714</v>
      </c>
      <c r="H384" s="0" t="s">
        <v>631</v>
      </c>
      <c r="I384" s="0" t="s">
        <v>1427</v>
      </c>
      <c r="J384" s="0" t="s">
        <v>1619</v>
      </c>
      <c r="K384" s="0" t="s">
        <v>1620</v>
      </c>
      <c r="L384" s="0" t="n">
        <v>2.7</v>
      </c>
      <c r="M384" s="0" t="n">
        <v>1</v>
      </c>
      <c r="N384" s="0" t="n">
        <v>4409.63</v>
      </c>
      <c r="O384" s="0" t="n">
        <v>3443.08</v>
      </c>
      <c r="P384" s="0" t="n">
        <v>699.84</v>
      </c>
      <c r="Q384" s="0" t="s">
        <v>22</v>
      </c>
      <c r="R384" s="0" t="s">
        <v>52</v>
      </c>
      <c r="S384" s="0" t="s">
        <v>228</v>
      </c>
    </row>
    <row r="385" customFormat="false" ht="15" hidden="false" customHeight="false" outlineLevel="0" collapsed="false">
      <c r="A385" s="0" t="s">
        <v>1621</v>
      </c>
      <c r="B385" s="0" t="s">
        <v>47</v>
      </c>
      <c r="C385" s="0" t="s">
        <v>209</v>
      </c>
      <c r="D385" s="0" t="s">
        <v>198</v>
      </c>
      <c r="E385" s="0" t="s">
        <v>43</v>
      </c>
      <c r="F385" s="0" t="n">
        <v>2.05</v>
      </c>
      <c r="G385" s="0" t="s">
        <v>1255</v>
      </c>
      <c r="H385" s="0" t="s">
        <v>338</v>
      </c>
      <c r="I385" s="0" t="s">
        <v>541</v>
      </c>
      <c r="J385" s="0" t="s">
        <v>1622</v>
      </c>
      <c r="K385" s="0" t="s">
        <v>1623</v>
      </c>
      <c r="L385" s="0" t="n">
        <v>-0.7</v>
      </c>
      <c r="M385" s="0" t="n">
        <v>0</v>
      </c>
      <c r="N385" s="0" t="n">
        <v>2184.7</v>
      </c>
      <c r="O385" s="0" t="n">
        <v>4716.58</v>
      </c>
      <c r="P385" s="0" t="n">
        <v>887.32</v>
      </c>
      <c r="Q385" s="0" t="s">
        <v>24</v>
      </c>
      <c r="R385" s="0" t="s">
        <v>52</v>
      </c>
      <c r="S385" s="0" t="s">
        <v>222</v>
      </c>
    </row>
    <row r="386" customFormat="false" ht="15" hidden="false" customHeight="false" outlineLevel="0" collapsed="false">
      <c r="A386" s="0" t="s">
        <v>1624</v>
      </c>
      <c r="B386" s="0" t="s">
        <v>47</v>
      </c>
      <c r="C386" s="0" t="s">
        <v>199</v>
      </c>
      <c r="D386" s="0" t="s">
        <v>198</v>
      </c>
      <c r="E386" s="0" t="s">
        <v>43</v>
      </c>
      <c r="F386" s="0" t="n">
        <v>2.26</v>
      </c>
      <c r="G386" s="0" t="s">
        <v>884</v>
      </c>
      <c r="H386" s="0" t="s">
        <v>1625</v>
      </c>
      <c r="I386" s="0" t="s">
        <v>386</v>
      </c>
      <c r="J386" s="0" t="s">
        <v>1626</v>
      </c>
      <c r="K386" s="0" t="s">
        <v>1627</v>
      </c>
      <c r="L386" s="0" t="n">
        <v>0.2</v>
      </c>
      <c r="M386" s="0" t="n">
        <v>1</v>
      </c>
      <c r="N386" s="0" t="n">
        <v>2168.93</v>
      </c>
      <c r="O386" s="0" t="n">
        <v>3671.47</v>
      </c>
      <c r="P386" s="0" t="n">
        <v>1433.21</v>
      </c>
      <c r="Q386" s="0" t="s">
        <v>24</v>
      </c>
      <c r="R386" s="0" t="s">
        <v>51</v>
      </c>
      <c r="S386" s="0" t="s">
        <v>222</v>
      </c>
    </row>
    <row r="387" customFormat="false" ht="15" hidden="false" customHeight="false" outlineLevel="0" collapsed="false">
      <c r="A387" s="0" t="s">
        <v>1628</v>
      </c>
      <c r="B387" s="0" t="s">
        <v>47</v>
      </c>
      <c r="C387" s="0" t="s">
        <v>199</v>
      </c>
      <c r="D387" s="0" t="s">
        <v>198</v>
      </c>
      <c r="E387" s="0" t="s">
        <v>42</v>
      </c>
      <c r="F387" s="0" t="n">
        <v>6.04</v>
      </c>
      <c r="G387" s="0" t="s">
        <v>230</v>
      </c>
      <c r="H387" s="0" t="s">
        <v>619</v>
      </c>
      <c r="I387" s="0" t="s">
        <v>700</v>
      </c>
      <c r="J387" s="0" t="s">
        <v>1629</v>
      </c>
      <c r="K387" s="0" t="s">
        <v>1617</v>
      </c>
      <c r="L387" s="0" t="n">
        <v>-1</v>
      </c>
      <c r="M387" s="0" t="n">
        <v>0</v>
      </c>
      <c r="N387" s="0" t="n">
        <v>4062.64</v>
      </c>
      <c r="O387" s="0" t="n">
        <v>3025.32</v>
      </c>
      <c r="P387" s="0" t="n">
        <v>850.41</v>
      </c>
      <c r="Q387" s="0" t="s">
        <v>23</v>
      </c>
      <c r="R387" s="0" t="s">
        <v>52</v>
      </c>
      <c r="S387" s="0" t="s">
        <v>228</v>
      </c>
    </row>
    <row r="388" customFormat="false" ht="15" hidden="false" customHeight="false" outlineLevel="0" collapsed="false">
      <c r="A388" s="0" t="s">
        <v>1630</v>
      </c>
      <c r="B388" s="0" t="s">
        <v>48</v>
      </c>
      <c r="C388" s="0" t="s">
        <v>198</v>
      </c>
      <c r="D388" s="0" t="s">
        <v>201</v>
      </c>
      <c r="E388" s="0" t="s">
        <v>43</v>
      </c>
      <c r="F388" s="0" t="n">
        <v>18.35</v>
      </c>
      <c r="G388" s="0" t="s">
        <v>1631</v>
      </c>
      <c r="H388" s="0" t="s">
        <v>632</v>
      </c>
      <c r="I388" s="0" t="s">
        <v>576</v>
      </c>
      <c r="J388" s="0" t="s">
        <v>1632</v>
      </c>
      <c r="K388" s="0" t="s">
        <v>378</v>
      </c>
      <c r="L388" s="0" t="n">
        <v>5</v>
      </c>
      <c r="M388" s="0" t="n">
        <v>1</v>
      </c>
      <c r="N388" s="0" t="n">
        <v>9585.48</v>
      </c>
      <c r="O388" s="0" t="n">
        <v>2112.52</v>
      </c>
      <c r="P388" s="0" t="n">
        <v>642.26</v>
      </c>
      <c r="Q388" s="0" t="s">
        <v>23</v>
      </c>
      <c r="R388" s="0" t="s">
        <v>52</v>
      </c>
      <c r="S388" s="0" t="s">
        <v>254</v>
      </c>
    </row>
    <row r="389" customFormat="false" ht="15" hidden="false" customHeight="false" outlineLevel="0" collapsed="false">
      <c r="A389" s="0" t="s">
        <v>1633</v>
      </c>
      <c r="B389" s="0" t="s">
        <v>47</v>
      </c>
      <c r="C389" s="0" t="s">
        <v>209</v>
      </c>
      <c r="D389" s="0" t="s">
        <v>198</v>
      </c>
      <c r="E389" s="0" t="s">
        <v>43</v>
      </c>
      <c r="F389" s="0" t="n">
        <v>6.95</v>
      </c>
      <c r="G389" s="0" t="s">
        <v>250</v>
      </c>
      <c r="H389" s="0" t="s">
        <v>1087</v>
      </c>
      <c r="I389" s="0" t="s">
        <v>251</v>
      </c>
      <c r="J389" s="0" t="s">
        <v>1288</v>
      </c>
      <c r="K389" s="0" t="s">
        <v>1634</v>
      </c>
      <c r="L389" s="0" t="n">
        <v>5.1</v>
      </c>
      <c r="M389" s="0" t="n">
        <v>1</v>
      </c>
      <c r="N389" s="0" t="n">
        <v>6475.36</v>
      </c>
      <c r="O389" s="0" t="n">
        <v>2811.25</v>
      </c>
      <c r="P389" s="0" t="n">
        <v>698.49</v>
      </c>
      <c r="Q389" s="0" t="s">
        <v>25</v>
      </c>
      <c r="R389" s="0" t="s">
        <v>52</v>
      </c>
      <c r="S389" s="0" t="s">
        <v>222</v>
      </c>
    </row>
    <row r="390" customFormat="false" ht="15" hidden="false" customHeight="false" outlineLevel="0" collapsed="false">
      <c r="A390" s="0" t="s">
        <v>1635</v>
      </c>
      <c r="B390" s="0" t="s">
        <v>48</v>
      </c>
      <c r="C390" s="0" t="s">
        <v>198</v>
      </c>
      <c r="D390" s="0" t="s">
        <v>213</v>
      </c>
      <c r="E390" s="0" t="s">
        <v>42</v>
      </c>
      <c r="F390" s="0" t="n">
        <v>4.13</v>
      </c>
      <c r="G390" s="0" t="s">
        <v>668</v>
      </c>
      <c r="H390" s="0" t="s">
        <v>845</v>
      </c>
      <c r="I390" s="0" t="s">
        <v>309</v>
      </c>
      <c r="J390" s="0" t="s">
        <v>1636</v>
      </c>
      <c r="K390" s="0" t="s">
        <v>1637</v>
      </c>
      <c r="L390" s="0" t="n">
        <v>2.3</v>
      </c>
      <c r="M390" s="0" t="n">
        <v>1</v>
      </c>
      <c r="N390" s="0" t="n">
        <v>1542.86</v>
      </c>
      <c r="O390" s="0" t="n">
        <v>4619.07</v>
      </c>
      <c r="P390" s="0" t="n">
        <v>1147.52</v>
      </c>
      <c r="Q390" s="0" t="s">
        <v>22</v>
      </c>
      <c r="R390" s="0" t="s">
        <v>52</v>
      </c>
      <c r="S390" s="0" t="s">
        <v>222</v>
      </c>
    </row>
    <row r="391" customFormat="false" ht="15" hidden="false" customHeight="false" outlineLevel="0" collapsed="false">
      <c r="A391" s="0" t="s">
        <v>1638</v>
      </c>
      <c r="B391" s="0" t="s">
        <v>47</v>
      </c>
      <c r="C391" s="0" t="s">
        <v>209</v>
      </c>
      <c r="D391" s="0" t="s">
        <v>198</v>
      </c>
      <c r="E391" s="0" t="s">
        <v>42</v>
      </c>
      <c r="F391" s="0" t="n">
        <v>6.19</v>
      </c>
      <c r="G391" s="0" t="s">
        <v>1243</v>
      </c>
      <c r="H391" s="0" t="s">
        <v>818</v>
      </c>
      <c r="I391" s="0" t="s">
        <v>369</v>
      </c>
      <c r="J391" s="0" t="s">
        <v>1639</v>
      </c>
      <c r="K391" s="0" t="s">
        <v>820</v>
      </c>
      <c r="L391" s="0" t="n">
        <v>-1</v>
      </c>
      <c r="M391" s="0" t="n">
        <v>0</v>
      </c>
      <c r="N391" s="0" t="n">
        <v>5377.47</v>
      </c>
      <c r="O391" s="0" t="n">
        <v>2849.56</v>
      </c>
      <c r="P391" s="0" t="n">
        <v>1364.96</v>
      </c>
      <c r="Q391" s="0" t="s">
        <v>22</v>
      </c>
      <c r="R391" s="0" t="s">
        <v>51</v>
      </c>
      <c r="S391" s="0" t="s">
        <v>254</v>
      </c>
    </row>
    <row r="392" customFormat="false" ht="15" hidden="false" customHeight="false" outlineLevel="0" collapsed="false">
      <c r="A392" s="0" t="s">
        <v>1640</v>
      </c>
      <c r="B392" s="0" t="s">
        <v>47</v>
      </c>
      <c r="C392" s="0" t="s">
        <v>199</v>
      </c>
      <c r="D392" s="0" t="s">
        <v>198</v>
      </c>
      <c r="E392" s="0" t="s">
        <v>42</v>
      </c>
      <c r="F392" s="0" t="n">
        <v>5.74</v>
      </c>
      <c r="G392" s="0" t="s">
        <v>461</v>
      </c>
      <c r="H392" s="0" t="s">
        <v>731</v>
      </c>
      <c r="I392" s="0" t="s">
        <v>982</v>
      </c>
      <c r="J392" s="0" t="s">
        <v>1641</v>
      </c>
      <c r="K392" s="0" t="s">
        <v>1642</v>
      </c>
      <c r="L392" s="0" t="n">
        <v>5.4</v>
      </c>
      <c r="M392" s="0" t="n">
        <v>1</v>
      </c>
      <c r="N392" s="0" t="n">
        <v>3808.89</v>
      </c>
      <c r="O392" s="0" t="n">
        <v>4760.88</v>
      </c>
      <c r="P392" s="0" t="n">
        <v>1103.8</v>
      </c>
      <c r="Q392" s="0" t="s">
        <v>22</v>
      </c>
      <c r="R392" s="0" t="s">
        <v>51</v>
      </c>
      <c r="S392" s="0" t="s">
        <v>254</v>
      </c>
    </row>
    <row r="393" customFormat="false" ht="15" hidden="false" customHeight="false" outlineLevel="0" collapsed="false">
      <c r="A393" s="0" t="s">
        <v>1643</v>
      </c>
      <c r="B393" s="0" t="s">
        <v>47</v>
      </c>
      <c r="C393" s="0" t="s">
        <v>199</v>
      </c>
      <c r="D393" s="0" t="s">
        <v>198</v>
      </c>
      <c r="E393" s="0" t="s">
        <v>44</v>
      </c>
      <c r="F393" s="0" t="n">
        <v>17.4</v>
      </c>
      <c r="G393" s="0" t="s">
        <v>294</v>
      </c>
      <c r="H393" s="0" t="s">
        <v>604</v>
      </c>
      <c r="I393" s="0" t="s">
        <v>643</v>
      </c>
      <c r="J393" s="0" t="s">
        <v>1644</v>
      </c>
      <c r="K393" s="0" t="s">
        <v>1085</v>
      </c>
      <c r="L393" s="0" t="n">
        <v>-1</v>
      </c>
      <c r="M393" s="0" t="n">
        <v>0</v>
      </c>
      <c r="N393" s="0" t="n">
        <v>6502.95</v>
      </c>
      <c r="O393" s="0" t="n">
        <v>4799.6</v>
      </c>
      <c r="P393" s="0" t="n">
        <v>637.09</v>
      </c>
      <c r="Q393" s="0" t="s">
        <v>24</v>
      </c>
      <c r="R393" s="0" t="s">
        <v>52</v>
      </c>
      <c r="S393" s="0" t="s">
        <v>254</v>
      </c>
    </row>
    <row r="394" customFormat="false" ht="15" hidden="false" customHeight="false" outlineLevel="0" collapsed="false">
      <c r="A394" s="0" t="s">
        <v>1645</v>
      </c>
      <c r="B394" s="0" t="s">
        <v>47</v>
      </c>
      <c r="C394" s="0" t="s">
        <v>205</v>
      </c>
      <c r="D394" s="0" t="s">
        <v>198</v>
      </c>
      <c r="E394" s="0" t="s">
        <v>44</v>
      </c>
      <c r="F394" s="0" t="n">
        <v>14.94</v>
      </c>
      <c r="G394" s="0" t="s">
        <v>232</v>
      </c>
      <c r="H394" s="0" t="s">
        <v>439</v>
      </c>
      <c r="I394" s="0" t="s">
        <v>695</v>
      </c>
      <c r="J394" s="0" t="s">
        <v>1646</v>
      </c>
      <c r="K394" s="0" t="s">
        <v>1647</v>
      </c>
      <c r="L394" s="0" t="n">
        <v>4.7</v>
      </c>
      <c r="M394" s="0" t="n">
        <v>1</v>
      </c>
      <c r="N394" s="0" t="n">
        <v>9172.1</v>
      </c>
      <c r="O394" s="0" t="n">
        <v>4726.22</v>
      </c>
      <c r="P394" s="0" t="n">
        <v>1320.98</v>
      </c>
      <c r="Q394" s="0" t="s">
        <v>25</v>
      </c>
      <c r="R394" s="0" t="s">
        <v>52</v>
      </c>
      <c r="S394" s="0" t="s">
        <v>222</v>
      </c>
    </row>
    <row r="395" customFormat="false" ht="15" hidden="false" customHeight="false" outlineLevel="0" collapsed="false">
      <c r="A395" s="0" t="s">
        <v>1648</v>
      </c>
      <c r="B395" s="0" t="s">
        <v>48</v>
      </c>
      <c r="C395" s="0" t="s">
        <v>198</v>
      </c>
      <c r="D395" s="0" t="s">
        <v>211</v>
      </c>
      <c r="E395" s="0" t="s">
        <v>42</v>
      </c>
      <c r="F395" s="0" t="n">
        <v>11.77</v>
      </c>
      <c r="G395" s="0" t="s">
        <v>440</v>
      </c>
      <c r="H395" s="0" t="s">
        <v>867</v>
      </c>
      <c r="I395" s="0" t="s">
        <v>596</v>
      </c>
      <c r="J395" s="0" t="s">
        <v>1649</v>
      </c>
      <c r="K395" s="0" t="s">
        <v>1650</v>
      </c>
      <c r="L395" s="0" t="n">
        <v>2.3</v>
      </c>
      <c r="M395" s="0" t="n">
        <v>1</v>
      </c>
      <c r="N395" s="0" t="n">
        <v>3640.44</v>
      </c>
      <c r="O395" s="0" t="n">
        <v>4306.2</v>
      </c>
      <c r="P395" s="0" t="n">
        <v>1300.98</v>
      </c>
      <c r="Q395" s="0" t="s">
        <v>25</v>
      </c>
      <c r="R395" s="0" t="s">
        <v>52</v>
      </c>
      <c r="S395" s="0" t="s">
        <v>272</v>
      </c>
    </row>
    <row r="396" customFormat="false" ht="15" hidden="false" customHeight="false" outlineLevel="0" collapsed="false">
      <c r="A396" s="0" t="s">
        <v>1651</v>
      </c>
      <c r="B396" s="0" t="s">
        <v>47</v>
      </c>
      <c r="C396" s="0" t="s">
        <v>203</v>
      </c>
      <c r="D396" s="0" t="s">
        <v>198</v>
      </c>
      <c r="E396" s="0" t="s">
        <v>42</v>
      </c>
      <c r="F396" s="0" t="n">
        <v>2.98</v>
      </c>
      <c r="G396" s="0" t="s">
        <v>338</v>
      </c>
      <c r="H396" s="0" t="s">
        <v>541</v>
      </c>
      <c r="I396" s="0" t="s">
        <v>681</v>
      </c>
      <c r="J396" s="0" t="s">
        <v>1652</v>
      </c>
      <c r="K396" s="0" t="s">
        <v>1653</v>
      </c>
      <c r="L396" s="0" t="n">
        <v>2.4</v>
      </c>
      <c r="M396" s="0" t="n">
        <v>1</v>
      </c>
      <c r="N396" s="0" t="n">
        <v>2736.62</v>
      </c>
      <c r="O396" s="0" t="n">
        <v>4453.86</v>
      </c>
      <c r="P396" s="0" t="n">
        <v>723.06</v>
      </c>
      <c r="Q396" s="0" t="s">
        <v>22</v>
      </c>
      <c r="R396" s="0" t="s">
        <v>51</v>
      </c>
      <c r="S396" s="0" t="s">
        <v>254</v>
      </c>
    </row>
    <row r="397" customFormat="false" ht="15" hidden="false" customHeight="false" outlineLevel="0" collapsed="false">
      <c r="A397" s="0" t="s">
        <v>1654</v>
      </c>
      <c r="B397" s="0" t="s">
        <v>47</v>
      </c>
      <c r="C397" s="0" t="s">
        <v>209</v>
      </c>
      <c r="D397" s="0" t="s">
        <v>198</v>
      </c>
      <c r="E397" s="0" t="s">
        <v>44</v>
      </c>
      <c r="F397" s="0" t="n">
        <v>17.59</v>
      </c>
      <c r="G397" s="0" t="s">
        <v>1080</v>
      </c>
      <c r="H397" s="0" t="s">
        <v>822</v>
      </c>
      <c r="I397" s="0" t="s">
        <v>1144</v>
      </c>
      <c r="J397" s="0" t="s">
        <v>1655</v>
      </c>
      <c r="K397" s="0" t="s">
        <v>1656</v>
      </c>
      <c r="L397" s="0" t="n">
        <v>0</v>
      </c>
      <c r="M397" s="0" t="n">
        <v>0</v>
      </c>
      <c r="N397" s="0" t="n">
        <v>13156.07</v>
      </c>
      <c r="O397" s="0" t="n">
        <v>2038.68</v>
      </c>
      <c r="P397" s="0" t="n">
        <v>1469.72</v>
      </c>
      <c r="Q397" s="0" t="s">
        <v>23</v>
      </c>
      <c r="R397" s="0" t="s">
        <v>52</v>
      </c>
      <c r="S397" s="0" t="s">
        <v>247</v>
      </c>
    </row>
    <row r="398" customFormat="false" ht="15" hidden="false" customHeight="false" outlineLevel="0" collapsed="false">
      <c r="A398" s="0" t="s">
        <v>1657</v>
      </c>
      <c r="B398" s="0" t="s">
        <v>47</v>
      </c>
      <c r="C398" s="0" t="s">
        <v>209</v>
      </c>
      <c r="D398" s="0" t="s">
        <v>198</v>
      </c>
      <c r="E398" s="0" t="s">
        <v>43</v>
      </c>
      <c r="F398" s="0" t="n">
        <v>9.19</v>
      </c>
      <c r="G398" s="0" t="s">
        <v>715</v>
      </c>
      <c r="H398" s="0" t="s">
        <v>908</v>
      </c>
      <c r="I398" s="0" t="s">
        <v>577</v>
      </c>
      <c r="J398" s="0" t="s">
        <v>1658</v>
      </c>
      <c r="K398" s="0" t="s">
        <v>634</v>
      </c>
      <c r="L398" s="0" t="n">
        <v>2.1</v>
      </c>
      <c r="M398" s="0" t="n">
        <v>1</v>
      </c>
      <c r="N398" s="0" t="n">
        <v>4258.14</v>
      </c>
      <c r="O398" s="0" t="n">
        <v>2011.43</v>
      </c>
      <c r="P398" s="0" t="n">
        <v>1077.63</v>
      </c>
      <c r="Q398" s="0" t="s">
        <v>21</v>
      </c>
      <c r="R398" s="0" t="s">
        <v>52</v>
      </c>
      <c r="S398" s="0" t="s">
        <v>228</v>
      </c>
    </row>
    <row r="399" customFormat="false" ht="15" hidden="false" customHeight="false" outlineLevel="0" collapsed="false">
      <c r="A399" s="0" t="s">
        <v>1659</v>
      </c>
      <c r="B399" s="0" t="s">
        <v>48</v>
      </c>
      <c r="C399" s="0" t="s">
        <v>198</v>
      </c>
      <c r="D399" s="0" t="s">
        <v>208</v>
      </c>
      <c r="E399" s="0" t="s">
        <v>43</v>
      </c>
      <c r="F399" s="0" t="n">
        <v>7.82</v>
      </c>
      <c r="G399" s="0" t="s">
        <v>604</v>
      </c>
      <c r="H399" s="0" t="s">
        <v>431</v>
      </c>
      <c r="I399" s="0" t="s">
        <v>1087</v>
      </c>
      <c r="J399" s="0" t="s">
        <v>1660</v>
      </c>
      <c r="K399" s="0" t="s">
        <v>1661</v>
      </c>
      <c r="L399" s="0" t="n">
        <v>0.6</v>
      </c>
      <c r="M399" s="0" t="n">
        <v>1</v>
      </c>
      <c r="N399" s="0" t="n">
        <v>4031.77</v>
      </c>
      <c r="O399" s="0" t="n">
        <v>1207.14</v>
      </c>
      <c r="P399" s="0" t="n">
        <v>1057.31</v>
      </c>
      <c r="Q399" s="0" t="s">
        <v>22</v>
      </c>
      <c r="R399" s="0" t="s">
        <v>51</v>
      </c>
      <c r="S399" s="0" t="s">
        <v>254</v>
      </c>
    </row>
    <row r="400" customFormat="false" ht="15" hidden="false" customHeight="false" outlineLevel="0" collapsed="false">
      <c r="A400" s="0" t="s">
        <v>1662</v>
      </c>
      <c r="B400" s="0" t="s">
        <v>47</v>
      </c>
      <c r="C400" s="0" t="s">
        <v>205</v>
      </c>
      <c r="D400" s="0" t="s">
        <v>198</v>
      </c>
      <c r="E400" s="0" t="s">
        <v>44</v>
      </c>
      <c r="F400" s="0" t="n">
        <v>3.96</v>
      </c>
      <c r="G400" s="0" t="s">
        <v>501</v>
      </c>
      <c r="H400" s="0" t="s">
        <v>249</v>
      </c>
      <c r="I400" s="0" t="s">
        <v>298</v>
      </c>
      <c r="J400" s="0" t="s">
        <v>1663</v>
      </c>
      <c r="K400" s="0" t="s">
        <v>1664</v>
      </c>
      <c r="L400" s="0" t="n">
        <v>0.6</v>
      </c>
      <c r="M400" s="0" t="n">
        <v>1</v>
      </c>
      <c r="N400" s="0" t="n">
        <v>2356.32</v>
      </c>
      <c r="O400" s="0" t="n">
        <v>4047.53</v>
      </c>
      <c r="P400" s="0" t="n">
        <v>1281.51</v>
      </c>
      <c r="Q400" s="0" t="s">
        <v>23</v>
      </c>
      <c r="R400" s="0" t="s">
        <v>51</v>
      </c>
      <c r="S400" s="0" t="s">
        <v>222</v>
      </c>
    </row>
    <row r="401" customFormat="false" ht="15" hidden="false" customHeight="false" outlineLevel="0" collapsed="false">
      <c r="A401" s="0" t="s">
        <v>1665</v>
      </c>
      <c r="B401" s="0" t="s">
        <v>48</v>
      </c>
      <c r="C401" s="0" t="s">
        <v>198</v>
      </c>
      <c r="D401" s="0" t="s">
        <v>208</v>
      </c>
      <c r="E401" s="0" t="s">
        <v>42</v>
      </c>
      <c r="F401" s="0" t="n">
        <v>6.24</v>
      </c>
      <c r="G401" s="0" t="s">
        <v>945</v>
      </c>
      <c r="H401" s="0" t="s">
        <v>677</v>
      </c>
      <c r="I401" s="0" t="s">
        <v>288</v>
      </c>
      <c r="J401" s="0" t="s">
        <v>1666</v>
      </c>
      <c r="K401" s="0" t="s">
        <v>1667</v>
      </c>
      <c r="L401" s="0" t="n">
        <v>3.7</v>
      </c>
      <c r="M401" s="0" t="n">
        <v>1</v>
      </c>
      <c r="N401" s="0" t="n">
        <v>2617.4</v>
      </c>
      <c r="O401" s="0" t="n">
        <v>3406.73</v>
      </c>
      <c r="P401" s="0" t="n">
        <v>1437.11</v>
      </c>
      <c r="Q401" s="0" t="s">
        <v>24</v>
      </c>
      <c r="R401" s="0" t="s">
        <v>51</v>
      </c>
      <c r="S401" s="0" t="s">
        <v>228</v>
      </c>
    </row>
    <row r="402" customFormat="false" ht="15" hidden="false" customHeight="false" outlineLevel="0" collapsed="false">
      <c r="A402" s="0" t="s">
        <v>1668</v>
      </c>
      <c r="B402" s="0" t="s">
        <v>48</v>
      </c>
      <c r="C402" s="0" t="s">
        <v>198</v>
      </c>
      <c r="D402" s="0" t="s">
        <v>212</v>
      </c>
      <c r="E402" s="0" t="s">
        <v>43</v>
      </c>
      <c r="F402" s="0" t="n">
        <v>6.92</v>
      </c>
      <c r="G402" s="0" t="s">
        <v>845</v>
      </c>
      <c r="H402" s="0" t="s">
        <v>516</v>
      </c>
      <c r="I402" s="0" t="s">
        <v>309</v>
      </c>
      <c r="J402" s="0" t="s">
        <v>518</v>
      </c>
      <c r="K402" s="0" t="s">
        <v>1669</v>
      </c>
      <c r="L402" s="0" t="n">
        <v>2.2</v>
      </c>
      <c r="M402" s="0" t="n">
        <v>1</v>
      </c>
      <c r="N402" s="0" t="n">
        <v>3959.12</v>
      </c>
      <c r="O402" s="0" t="n">
        <v>1956.57</v>
      </c>
      <c r="P402" s="0" t="n">
        <v>1012.3</v>
      </c>
      <c r="Q402" s="0" t="s">
        <v>22</v>
      </c>
      <c r="R402" s="0" t="s">
        <v>52</v>
      </c>
      <c r="S402" s="0" t="s">
        <v>247</v>
      </c>
    </row>
    <row r="403" customFormat="false" ht="15" hidden="false" customHeight="false" outlineLevel="0" collapsed="false">
      <c r="A403" s="0" t="s">
        <v>1670</v>
      </c>
      <c r="B403" s="0" t="s">
        <v>47</v>
      </c>
      <c r="C403" s="0" t="s">
        <v>206</v>
      </c>
      <c r="D403" s="0" t="s">
        <v>198</v>
      </c>
      <c r="E403" s="0" t="s">
        <v>42</v>
      </c>
      <c r="F403" s="0" t="n">
        <v>15.7</v>
      </c>
      <c r="G403" s="0" t="s">
        <v>391</v>
      </c>
      <c r="H403" s="0" t="s">
        <v>435</v>
      </c>
      <c r="I403" s="0" t="s">
        <v>793</v>
      </c>
      <c r="J403" s="0" t="s">
        <v>1671</v>
      </c>
      <c r="K403" s="0" t="s">
        <v>1672</v>
      </c>
      <c r="L403" s="0" t="n">
        <v>3.3</v>
      </c>
      <c r="M403" s="0" t="n">
        <v>1</v>
      </c>
      <c r="N403" s="0" t="n">
        <v>6678.78</v>
      </c>
      <c r="O403" s="0" t="n">
        <v>4760.73</v>
      </c>
      <c r="P403" s="0" t="n">
        <v>546.79</v>
      </c>
      <c r="Q403" s="0" t="s">
        <v>21</v>
      </c>
      <c r="R403" s="0" t="s">
        <v>52</v>
      </c>
      <c r="S403" s="0" t="s">
        <v>247</v>
      </c>
    </row>
    <row r="404" customFormat="false" ht="15" hidden="false" customHeight="false" outlineLevel="0" collapsed="false">
      <c r="A404" s="0" t="s">
        <v>1673</v>
      </c>
      <c r="B404" s="0" t="s">
        <v>47</v>
      </c>
      <c r="C404" s="0" t="s">
        <v>203</v>
      </c>
      <c r="D404" s="0" t="s">
        <v>198</v>
      </c>
      <c r="E404" s="0" t="s">
        <v>44</v>
      </c>
      <c r="F404" s="0" t="n">
        <v>7.07</v>
      </c>
      <c r="G404" s="0" t="s">
        <v>398</v>
      </c>
      <c r="H404" s="0" t="s">
        <v>609</v>
      </c>
      <c r="I404" s="0" t="s">
        <v>347</v>
      </c>
      <c r="J404" s="0" t="s">
        <v>1674</v>
      </c>
      <c r="K404" s="0" t="s">
        <v>1675</v>
      </c>
      <c r="L404" s="0" t="n">
        <v>1.1</v>
      </c>
      <c r="M404" s="0" t="n">
        <v>1</v>
      </c>
      <c r="N404" s="0" t="n">
        <v>4166.57</v>
      </c>
      <c r="O404" s="0" t="n">
        <v>2112.4</v>
      </c>
      <c r="P404" s="0" t="n">
        <v>716.96</v>
      </c>
      <c r="Q404" s="0" t="s">
        <v>23</v>
      </c>
      <c r="R404" s="0" t="s">
        <v>52</v>
      </c>
      <c r="S404" s="0" t="s">
        <v>247</v>
      </c>
    </row>
    <row r="405" customFormat="false" ht="15" hidden="false" customHeight="false" outlineLevel="0" collapsed="false">
      <c r="A405" s="0" t="s">
        <v>1676</v>
      </c>
      <c r="B405" s="0" t="s">
        <v>48</v>
      </c>
      <c r="C405" s="0" t="s">
        <v>198</v>
      </c>
      <c r="D405" s="0" t="s">
        <v>213</v>
      </c>
      <c r="E405" s="0" t="s">
        <v>44</v>
      </c>
      <c r="F405" s="0" t="n">
        <v>6.47</v>
      </c>
      <c r="G405" s="0" t="s">
        <v>572</v>
      </c>
      <c r="H405" s="0" t="s">
        <v>336</v>
      </c>
      <c r="I405" s="0" t="s">
        <v>1265</v>
      </c>
      <c r="J405" s="0" t="s">
        <v>1677</v>
      </c>
      <c r="K405" s="0" t="s">
        <v>1678</v>
      </c>
      <c r="L405" s="0" t="n">
        <v>-0.4</v>
      </c>
      <c r="M405" s="0" t="n">
        <v>0</v>
      </c>
      <c r="N405" s="0" t="n">
        <v>3164.18</v>
      </c>
      <c r="O405" s="0" t="n">
        <v>3840.46</v>
      </c>
      <c r="P405" s="0" t="n">
        <v>595.73</v>
      </c>
      <c r="Q405" s="0" t="s">
        <v>24</v>
      </c>
      <c r="R405" s="0" t="s">
        <v>51</v>
      </c>
      <c r="S405" s="0" t="s">
        <v>228</v>
      </c>
    </row>
    <row r="406" customFormat="false" ht="15" hidden="false" customHeight="false" outlineLevel="0" collapsed="false">
      <c r="A406" s="0" t="s">
        <v>1679</v>
      </c>
      <c r="B406" s="0" t="s">
        <v>48</v>
      </c>
      <c r="C406" s="0" t="s">
        <v>198</v>
      </c>
      <c r="D406" s="0" t="s">
        <v>214</v>
      </c>
      <c r="E406" s="0" t="s">
        <v>43</v>
      </c>
      <c r="F406" s="0" t="n">
        <v>7.04</v>
      </c>
      <c r="G406" s="0" t="s">
        <v>224</v>
      </c>
      <c r="H406" s="0" t="s">
        <v>256</v>
      </c>
      <c r="I406" s="0" t="s">
        <v>257</v>
      </c>
      <c r="J406" s="0" t="s">
        <v>1680</v>
      </c>
      <c r="K406" s="0" t="s">
        <v>1681</v>
      </c>
      <c r="L406" s="0" t="n">
        <v>-1</v>
      </c>
      <c r="M406" s="0" t="n">
        <v>0</v>
      </c>
      <c r="N406" s="0" t="n">
        <v>4045.64</v>
      </c>
      <c r="O406" s="0" t="n">
        <v>4009.59</v>
      </c>
      <c r="P406" s="0" t="n">
        <v>1031.29</v>
      </c>
      <c r="Q406" s="0" t="s">
        <v>21</v>
      </c>
      <c r="R406" s="0" t="s">
        <v>52</v>
      </c>
      <c r="S406" s="0" t="s">
        <v>247</v>
      </c>
    </row>
    <row r="407" customFormat="false" ht="15" hidden="false" customHeight="false" outlineLevel="0" collapsed="false">
      <c r="A407" s="0" t="s">
        <v>1682</v>
      </c>
      <c r="B407" s="0" t="s">
        <v>47</v>
      </c>
      <c r="C407" s="0" t="s">
        <v>205</v>
      </c>
      <c r="D407" s="0" t="s">
        <v>198</v>
      </c>
      <c r="E407" s="0" t="s">
        <v>43</v>
      </c>
      <c r="F407" s="0" t="n">
        <v>13.87</v>
      </c>
      <c r="G407" s="0" t="s">
        <v>648</v>
      </c>
      <c r="H407" s="0" t="s">
        <v>398</v>
      </c>
      <c r="I407" s="0" t="s">
        <v>609</v>
      </c>
      <c r="J407" s="0" t="s">
        <v>1683</v>
      </c>
      <c r="K407" s="0" t="s">
        <v>1443</v>
      </c>
      <c r="L407" s="0" t="n">
        <v>0</v>
      </c>
      <c r="M407" s="0" t="n">
        <v>0</v>
      </c>
      <c r="N407" s="0" t="n">
        <v>6062.36</v>
      </c>
      <c r="O407" s="0" t="n">
        <v>3161.19</v>
      </c>
      <c r="P407" s="0" t="n">
        <v>1344.67</v>
      </c>
      <c r="Q407" s="0" t="s">
        <v>24</v>
      </c>
      <c r="R407" s="0" t="s">
        <v>51</v>
      </c>
      <c r="S407" s="0" t="s">
        <v>254</v>
      </c>
    </row>
    <row r="408" customFormat="false" ht="15" hidden="false" customHeight="false" outlineLevel="0" collapsed="false">
      <c r="A408" s="0" t="s">
        <v>1684</v>
      </c>
      <c r="B408" s="0" t="s">
        <v>47</v>
      </c>
      <c r="C408" s="0" t="s">
        <v>205</v>
      </c>
      <c r="D408" s="0" t="s">
        <v>198</v>
      </c>
      <c r="E408" s="0" t="s">
        <v>44</v>
      </c>
      <c r="F408" s="0" t="n">
        <v>9.19</v>
      </c>
      <c r="G408" s="0" t="s">
        <v>558</v>
      </c>
      <c r="H408" s="0" t="s">
        <v>532</v>
      </c>
      <c r="I408" s="0" t="s">
        <v>1685</v>
      </c>
      <c r="J408" s="0" t="s">
        <v>1686</v>
      </c>
      <c r="K408" s="0" t="s">
        <v>1687</v>
      </c>
      <c r="L408" s="0" t="n">
        <v>1.8</v>
      </c>
      <c r="M408" s="0" t="n">
        <v>1</v>
      </c>
      <c r="N408" s="0" t="n">
        <v>4430.3</v>
      </c>
      <c r="O408" s="0" t="n">
        <v>2300.84</v>
      </c>
      <c r="P408" s="0" t="n">
        <v>539.27</v>
      </c>
      <c r="Q408" s="0" t="s">
        <v>24</v>
      </c>
      <c r="R408" s="0" t="s">
        <v>52</v>
      </c>
      <c r="S408" s="0" t="s">
        <v>254</v>
      </c>
    </row>
    <row r="409" customFormat="false" ht="15" hidden="false" customHeight="false" outlineLevel="0" collapsed="false">
      <c r="A409" s="0" t="s">
        <v>1688</v>
      </c>
      <c r="B409" s="0" t="s">
        <v>47</v>
      </c>
      <c r="C409" s="0" t="s">
        <v>205</v>
      </c>
      <c r="D409" s="0" t="s">
        <v>198</v>
      </c>
      <c r="E409" s="0" t="s">
        <v>43</v>
      </c>
      <c r="F409" s="0" t="n">
        <v>6.17</v>
      </c>
      <c r="G409" s="0" t="s">
        <v>748</v>
      </c>
      <c r="H409" s="0" t="s">
        <v>884</v>
      </c>
      <c r="I409" s="0" t="s">
        <v>1370</v>
      </c>
      <c r="J409" s="0" t="s">
        <v>1689</v>
      </c>
      <c r="K409" s="0" t="s">
        <v>1690</v>
      </c>
      <c r="L409" s="0" t="n">
        <v>5.7</v>
      </c>
      <c r="M409" s="0" t="n">
        <v>1</v>
      </c>
      <c r="N409" s="0" t="n">
        <v>3884.3</v>
      </c>
      <c r="O409" s="0" t="n">
        <v>2383.22</v>
      </c>
      <c r="P409" s="0" t="n">
        <v>1171.09</v>
      </c>
      <c r="Q409" s="0" t="s">
        <v>25</v>
      </c>
      <c r="R409" s="0" t="s">
        <v>52</v>
      </c>
      <c r="S409" s="0" t="s">
        <v>222</v>
      </c>
    </row>
    <row r="410" customFormat="false" ht="15" hidden="false" customHeight="false" outlineLevel="0" collapsed="false">
      <c r="A410" s="0" t="s">
        <v>1691</v>
      </c>
      <c r="B410" s="0" t="s">
        <v>48</v>
      </c>
      <c r="C410" s="0" t="s">
        <v>198</v>
      </c>
      <c r="D410" s="0" t="s">
        <v>207</v>
      </c>
      <c r="E410" s="0" t="s">
        <v>42</v>
      </c>
      <c r="F410" s="0" t="n">
        <v>16.3</v>
      </c>
      <c r="G410" s="0" t="s">
        <v>709</v>
      </c>
      <c r="H410" s="0" t="s">
        <v>710</v>
      </c>
      <c r="I410" s="0" t="s">
        <v>224</v>
      </c>
      <c r="J410" s="0" t="s">
        <v>1692</v>
      </c>
      <c r="K410" s="0" t="s">
        <v>1693</v>
      </c>
      <c r="L410" s="0" t="n">
        <v>6.5</v>
      </c>
      <c r="M410" s="0" t="n">
        <v>1</v>
      </c>
      <c r="N410" s="0" t="n">
        <v>9098.11</v>
      </c>
      <c r="O410" s="0" t="n">
        <v>3752.18</v>
      </c>
      <c r="P410" s="0" t="n">
        <v>620.39</v>
      </c>
      <c r="Q410" s="0" t="s">
        <v>23</v>
      </c>
      <c r="R410" s="0" t="s">
        <v>51</v>
      </c>
      <c r="S410" s="0" t="s">
        <v>272</v>
      </c>
    </row>
    <row r="411" customFormat="false" ht="15" hidden="false" customHeight="false" outlineLevel="0" collapsed="false">
      <c r="A411" s="0" t="s">
        <v>1694</v>
      </c>
      <c r="B411" s="0" t="s">
        <v>48</v>
      </c>
      <c r="C411" s="0" t="s">
        <v>198</v>
      </c>
      <c r="D411" s="0" t="s">
        <v>201</v>
      </c>
      <c r="E411" s="0" t="s">
        <v>43</v>
      </c>
      <c r="F411" s="0" t="n">
        <v>18.83</v>
      </c>
      <c r="G411" s="0" t="s">
        <v>415</v>
      </c>
      <c r="H411" s="0" t="s">
        <v>368</v>
      </c>
      <c r="I411" s="0" t="s">
        <v>370</v>
      </c>
      <c r="J411" s="0" t="s">
        <v>1695</v>
      </c>
      <c r="K411" s="0" t="s">
        <v>1132</v>
      </c>
      <c r="L411" s="0" t="n">
        <v>1.3</v>
      </c>
      <c r="M411" s="0" t="n">
        <v>1</v>
      </c>
      <c r="N411" s="0" t="n">
        <v>10919.15</v>
      </c>
      <c r="O411" s="0" t="n">
        <v>4105.16</v>
      </c>
      <c r="P411" s="0" t="n">
        <v>630.5</v>
      </c>
      <c r="Q411" s="0" t="s">
        <v>24</v>
      </c>
      <c r="R411" s="0" t="s">
        <v>51</v>
      </c>
      <c r="S411" s="0" t="s">
        <v>222</v>
      </c>
    </row>
    <row r="412" customFormat="false" ht="15" hidden="false" customHeight="false" outlineLevel="0" collapsed="false">
      <c r="A412" s="0" t="s">
        <v>1696</v>
      </c>
      <c r="B412" s="0" t="s">
        <v>47</v>
      </c>
      <c r="C412" s="0" t="s">
        <v>209</v>
      </c>
      <c r="D412" s="0" t="s">
        <v>198</v>
      </c>
      <c r="E412" s="0" t="s">
        <v>43</v>
      </c>
      <c r="F412" s="0" t="n">
        <v>11.74</v>
      </c>
      <c r="G412" s="0" t="s">
        <v>589</v>
      </c>
      <c r="H412" s="0" t="s">
        <v>949</v>
      </c>
      <c r="I412" s="0" t="s">
        <v>880</v>
      </c>
      <c r="J412" s="0" t="s">
        <v>951</v>
      </c>
      <c r="K412" s="0" t="s">
        <v>1697</v>
      </c>
      <c r="L412" s="0" t="n">
        <v>1.4</v>
      </c>
      <c r="M412" s="0" t="n">
        <v>1</v>
      </c>
      <c r="N412" s="0" t="n">
        <v>5173.22</v>
      </c>
      <c r="O412" s="0" t="n">
        <v>1638.5</v>
      </c>
      <c r="P412" s="0" t="n">
        <v>835.62</v>
      </c>
      <c r="Q412" s="0" t="s">
        <v>25</v>
      </c>
      <c r="R412" s="0" t="s">
        <v>52</v>
      </c>
      <c r="S412" s="0" t="s">
        <v>247</v>
      </c>
    </row>
    <row r="413" customFormat="false" ht="15" hidden="false" customHeight="false" outlineLevel="0" collapsed="false">
      <c r="A413" s="0" t="s">
        <v>1698</v>
      </c>
      <c r="B413" s="0" t="s">
        <v>47</v>
      </c>
      <c r="C413" s="0" t="s">
        <v>206</v>
      </c>
      <c r="D413" s="0" t="s">
        <v>198</v>
      </c>
      <c r="E413" s="0" t="s">
        <v>44</v>
      </c>
      <c r="F413" s="0" t="n">
        <v>2.46</v>
      </c>
      <c r="G413" s="0" t="s">
        <v>727</v>
      </c>
      <c r="H413" s="0" t="s">
        <v>845</v>
      </c>
      <c r="I413" s="0" t="s">
        <v>309</v>
      </c>
      <c r="J413" s="0" t="s">
        <v>1699</v>
      </c>
      <c r="K413" s="0" t="s">
        <v>1700</v>
      </c>
      <c r="L413" s="0" t="n">
        <v>-0.3</v>
      </c>
      <c r="M413" s="0" t="n">
        <v>0</v>
      </c>
      <c r="N413" s="0" t="n">
        <v>1531.53</v>
      </c>
      <c r="O413" s="0" t="n">
        <v>4473.64</v>
      </c>
      <c r="P413" s="0" t="n">
        <v>1426.46</v>
      </c>
      <c r="Q413" s="0" t="s">
        <v>24</v>
      </c>
      <c r="R413" s="0" t="s">
        <v>51</v>
      </c>
      <c r="S413" s="0" t="s">
        <v>272</v>
      </c>
    </row>
    <row r="414" customFormat="false" ht="15" hidden="false" customHeight="false" outlineLevel="0" collapsed="false">
      <c r="A414" s="0" t="s">
        <v>1701</v>
      </c>
      <c r="B414" s="0" t="s">
        <v>47</v>
      </c>
      <c r="C414" s="0" t="s">
        <v>203</v>
      </c>
      <c r="D414" s="0" t="s">
        <v>198</v>
      </c>
      <c r="E414" s="0" t="s">
        <v>43</v>
      </c>
      <c r="F414" s="0" t="n">
        <v>8.97</v>
      </c>
      <c r="G414" s="0" t="s">
        <v>387</v>
      </c>
      <c r="H414" s="0" t="s">
        <v>435</v>
      </c>
      <c r="I414" s="0" t="s">
        <v>420</v>
      </c>
      <c r="J414" s="0" t="s">
        <v>1702</v>
      </c>
      <c r="K414" s="0" t="s">
        <v>1703</v>
      </c>
      <c r="L414" s="0" t="n">
        <v>-0.1</v>
      </c>
      <c r="M414" s="0" t="n">
        <v>0</v>
      </c>
      <c r="N414" s="0" t="n">
        <v>3517.18</v>
      </c>
      <c r="O414" s="0" t="n">
        <v>2590.74</v>
      </c>
      <c r="P414" s="0" t="n">
        <v>1473.8</v>
      </c>
      <c r="Q414" s="0" t="s">
        <v>23</v>
      </c>
      <c r="R414" s="0" t="s">
        <v>52</v>
      </c>
      <c r="S414" s="0" t="s">
        <v>228</v>
      </c>
    </row>
    <row r="415" customFormat="false" ht="15" hidden="false" customHeight="false" outlineLevel="0" collapsed="false">
      <c r="A415" s="0" t="s">
        <v>1704</v>
      </c>
      <c r="B415" s="0" t="s">
        <v>48</v>
      </c>
      <c r="C415" s="0" t="s">
        <v>198</v>
      </c>
      <c r="D415" s="0" t="s">
        <v>201</v>
      </c>
      <c r="E415" s="0" t="s">
        <v>42</v>
      </c>
      <c r="F415" s="0" t="n">
        <v>11.34</v>
      </c>
      <c r="G415" s="0" t="s">
        <v>517</v>
      </c>
      <c r="H415" s="0" t="s">
        <v>482</v>
      </c>
      <c r="I415" s="0" t="s">
        <v>381</v>
      </c>
      <c r="J415" s="0" t="s">
        <v>1705</v>
      </c>
      <c r="K415" s="0" t="s">
        <v>1706</v>
      </c>
      <c r="L415" s="0" t="n">
        <v>5.1</v>
      </c>
      <c r="M415" s="0" t="n">
        <v>1</v>
      </c>
      <c r="N415" s="0" t="n">
        <v>4264.92</v>
      </c>
      <c r="O415" s="0" t="n">
        <v>1887.13</v>
      </c>
      <c r="P415" s="0" t="n">
        <v>817.55</v>
      </c>
      <c r="Q415" s="0" t="s">
        <v>24</v>
      </c>
      <c r="R415" s="0" t="s">
        <v>51</v>
      </c>
      <c r="S415" s="0" t="s">
        <v>272</v>
      </c>
    </row>
    <row r="416" customFormat="false" ht="15" hidden="false" customHeight="false" outlineLevel="0" collapsed="false">
      <c r="A416" s="0" t="s">
        <v>1707</v>
      </c>
      <c r="B416" s="0" t="s">
        <v>48</v>
      </c>
      <c r="C416" s="0" t="s">
        <v>198</v>
      </c>
      <c r="D416" s="0" t="s">
        <v>207</v>
      </c>
      <c r="E416" s="0" t="s">
        <v>43</v>
      </c>
      <c r="F416" s="0" t="n">
        <v>5.93</v>
      </c>
      <c r="G416" s="0" t="s">
        <v>550</v>
      </c>
      <c r="H416" s="0" t="s">
        <v>320</v>
      </c>
      <c r="I416" s="0" t="s">
        <v>789</v>
      </c>
      <c r="J416" s="0" t="s">
        <v>1708</v>
      </c>
      <c r="K416" s="0" t="s">
        <v>1375</v>
      </c>
      <c r="L416" s="0" t="n">
        <v>-1</v>
      </c>
      <c r="M416" s="0" t="n">
        <v>0</v>
      </c>
      <c r="N416" s="0" t="n">
        <v>2685.89</v>
      </c>
      <c r="O416" s="0" t="n">
        <v>2327.99</v>
      </c>
      <c r="P416" s="0" t="n">
        <v>1162.8</v>
      </c>
      <c r="Q416" s="0" t="s">
        <v>25</v>
      </c>
      <c r="R416" s="0" t="s">
        <v>51</v>
      </c>
      <c r="S416" s="0" t="s">
        <v>228</v>
      </c>
    </row>
    <row r="417" customFormat="false" ht="15" hidden="false" customHeight="false" outlineLevel="0" collapsed="false">
      <c r="A417" s="0" t="s">
        <v>1709</v>
      </c>
      <c r="B417" s="0" t="s">
        <v>47</v>
      </c>
      <c r="C417" s="0" t="s">
        <v>205</v>
      </c>
      <c r="D417" s="0" t="s">
        <v>198</v>
      </c>
      <c r="E417" s="0" t="s">
        <v>44</v>
      </c>
      <c r="F417" s="0" t="n">
        <v>17.54</v>
      </c>
      <c r="G417" s="0" t="s">
        <v>1047</v>
      </c>
      <c r="H417" s="0" t="s">
        <v>1261</v>
      </c>
      <c r="I417" s="0" t="s">
        <v>342</v>
      </c>
      <c r="J417" s="0" t="s">
        <v>1710</v>
      </c>
      <c r="K417" s="0" t="s">
        <v>1711</v>
      </c>
      <c r="L417" s="0" t="n">
        <v>0.2</v>
      </c>
      <c r="M417" s="0" t="n">
        <v>1</v>
      </c>
      <c r="N417" s="0" t="n">
        <v>6661.44</v>
      </c>
      <c r="O417" s="0" t="n">
        <v>3287.98</v>
      </c>
      <c r="P417" s="0" t="n">
        <v>1305.43</v>
      </c>
      <c r="Q417" s="0" t="s">
        <v>24</v>
      </c>
      <c r="R417" s="0" t="s">
        <v>51</v>
      </c>
      <c r="S417" s="0" t="s">
        <v>247</v>
      </c>
    </row>
    <row r="418" customFormat="false" ht="15" hidden="false" customHeight="false" outlineLevel="0" collapsed="false">
      <c r="A418" s="0" t="s">
        <v>1712</v>
      </c>
      <c r="B418" s="0" t="s">
        <v>48</v>
      </c>
      <c r="C418" s="0" t="s">
        <v>198</v>
      </c>
      <c r="D418" s="0" t="s">
        <v>204</v>
      </c>
      <c r="E418" s="0" t="s">
        <v>42</v>
      </c>
      <c r="F418" s="0" t="n">
        <v>15.44</v>
      </c>
      <c r="G418" s="0" t="s">
        <v>467</v>
      </c>
      <c r="H418" s="0" t="s">
        <v>413</v>
      </c>
      <c r="I418" s="0" t="s">
        <v>1000</v>
      </c>
      <c r="J418" s="0" t="s">
        <v>1713</v>
      </c>
      <c r="K418" s="0" t="s">
        <v>1714</v>
      </c>
      <c r="L418" s="0" t="n">
        <v>-1</v>
      </c>
      <c r="M418" s="0" t="n">
        <v>0</v>
      </c>
      <c r="N418" s="0" t="n">
        <v>3586.03</v>
      </c>
      <c r="O418" s="0" t="n">
        <v>2567.64</v>
      </c>
      <c r="P418" s="0" t="n">
        <v>1197.16</v>
      </c>
      <c r="Q418" s="0" t="s">
        <v>25</v>
      </c>
      <c r="R418" s="0" t="s">
        <v>51</v>
      </c>
      <c r="S418" s="0" t="s">
        <v>247</v>
      </c>
    </row>
    <row r="419" customFormat="false" ht="15" hidden="false" customHeight="false" outlineLevel="0" collapsed="false">
      <c r="A419" s="0" t="s">
        <v>1715</v>
      </c>
      <c r="B419" s="0" t="s">
        <v>48</v>
      </c>
      <c r="C419" s="0" t="s">
        <v>198</v>
      </c>
      <c r="D419" s="0" t="s">
        <v>208</v>
      </c>
      <c r="E419" s="0" t="s">
        <v>42</v>
      </c>
      <c r="F419" s="0" t="n">
        <v>4.68</v>
      </c>
      <c r="G419" s="0" t="s">
        <v>439</v>
      </c>
      <c r="H419" s="0" t="s">
        <v>701</v>
      </c>
      <c r="I419" s="0" t="s">
        <v>696</v>
      </c>
      <c r="J419" s="0" t="s">
        <v>1716</v>
      </c>
      <c r="K419" s="0" t="s">
        <v>1717</v>
      </c>
      <c r="L419" s="0" t="n">
        <v>1.3</v>
      </c>
      <c r="M419" s="0" t="n">
        <v>1</v>
      </c>
      <c r="N419" s="0" t="n">
        <v>2102.06</v>
      </c>
      <c r="O419" s="0" t="n">
        <v>1444.55</v>
      </c>
      <c r="P419" s="0" t="n">
        <v>1148.11</v>
      </c>
      <c r="Q419" s="0" t="s">
        <v>23</v>
      </c>
      <c r="R419" s="0" t="s">
        <v>51</v>
      </c>
      <c r="S419" s="0" t="s">
        <v>254</v>
      </c>
    </row>
    <row r="420" customFormat="false" ht="15" hidden="false" customHeight="false" outlineLevel="0" collapsed="false">
      <c r="A420" s="0" t="s">
        <v>1718</v>
      </c>
      <c r="B420" s="0" t="s">
        <v>47</v>
      </c>
      <c r="C420" s="0" t="s">
        <v>206</v>
      </c>
      <c r="D420" s="0" t="s">
        <v>198</v>
      </c>
      <c r="E420" s="0" t="s">
        <v>44</v>
      </c>
      <c r="F420" s="0" t="n">
        <v>17.63</v>
      </c>
      <c r="G420" s="0" t="s">
        <v>801</v>
      </c>
      <c r="H420" s="0" t="s">
        <v>343</v>
      </c>
      <c r="I420" s="0" t="s">
        <v>1158</v>
      </c>
      <c r="J420" s="0" t="s">
        <v>956</v>
      </c>
      <c r="K420" s="0" t="s">
        <v>1719</v>
      </c>
      <c r="L420" s="0" t="n">
        <v>3.4</v>
      </c>
      <c r="M420" s="0" t="n">
        <v>1</v>
      </c>
      <c r="N420" s="0" t="n">
        <v>7991.15</v>
      </c>
      <c r="O420" s="0" t="n">
        <v>1324.92</v>
      </c>
      <c r="P420" s="0" t="n">
        <v>1492.58</v>
      </c>
      <c r="Q420" s="0" t="s">
        <v>23</v>
      </c>
      <c r="R420" s="0" t="s">
        <v>51</v>
      </c>
      <c r="S420" s="0" t="s">
        <v>222</v>
      </c>
    </row>
    <row r="421" customFormat="false" ht="15" hidden="false" customHeight="false" outlineLevel="0" collapsed="false">
      <c r="A421" s="0" t="s">
        <v>1720</v>
      </c>
      <c r="B421" s="0" t="s">
        <v>47</v>
      </c>
      <c r="C421" s="0" t="s">
        <v>203</v>
      </c>
      <c r="D421" s="0" t="s">
        <v>198</v>
      </c>
      <c r="E421" s="0" t="s">
        <v>42</v>
      </c>
      <c r="F421" s="0" t="n">
        <v>3.97</v>
      </c>
      <c r="G421" s="0" t="s">
        <v>1174</v>
      </c>
      <c r="H421" s="0" t="s">
        <v>497</v>
      </c>
      <c r="I421" s="0" t="s">
        <v>1721</v>
      </c>
      <c r="J421" s="0" t="s">
        <v>1722</v>
      </c>
      <c r="K421" s="0" t="s">
        <v>1723</v>
      </c>
      <c r="L421" s="0" t="n">
        <v>8.2</v>
      </c>
      <c r="M421" s="0" t="n">
        <v>1</v>
      </c>
      <c r="N421" s="0" t="n">
        <v>2989.1</v>
      </c>
      <c r="O421" s="0" t="n">
        <v>4940.7</v>
      </c>
      <c r="P421" s="0" t="n">
        <v>1268.01</v>
      </c>
      <c r="Q421" s="0" t="s">
        <v>21</v>
      </c>
      <c r="R421" s="0" t="s">
        <v>51</v>
      </c>
      <c r="S421" s="0" t="s">
        <v>228</v>
      </c>
    </row>
    <row r="422" customFormat="false" ht="15" hidden="false" customHeight="false" outlineLevel="0" collapsed="false">
      <c r="A422" s="0" t="s">
        <v>1724</v>
      </c>
      <c r="B422" s="0" t="s">
        <v>48</v>
      </c>
      <c r="C422" s="0" t="s">
        <v>198</v>
      </c>
      <c r="D422" s="0" t="s">
        <v>199</v>
      </c>
      <c r="E422" s="0" t="s">
        <v>43</v>
      </c>
      <c r="F422" s="0" t="n">
        <v>9.25</v>
      </c>
      <c r="G422" s="0" t="s">
        <v>528</v>
      </c>
      <c r="H422" s="0" t="s">
        <v>949</v>
      </c>
      <c r="I422" s="0" t="s">
        <v>347</v>
      </c>
      <c r="J422" s="0" t="s">
        <v>951</v>
      </c>
      <c r="K422" s="0" t="s">
        <v>1725</v>
      </c>
      <c r="L422" s="0" t="n">
        <v>8.7</v>
      </c>
      <c r="M422" s="0" t="n">
        <v>1</v>
      </c>
      <c r="N422" s="0" t="n">
        <v>6979.96</v>
      </c>
      <c r="O422" s="0" t="n">
        <v>4293.09</v>
      </c>
      <c r="P422" s="0" t="n">
        <v>1056.19</v>
      </c>
      <c r="Q422" s="0" t="s">
        <v>22</v>
      </c>
      <c r="R422" s="0" t="s">
        <v>52</v>
      </c>
      <c r="S422" s="0" t="s">
        <v>247</v>
      </c>
    </row>
    <row r="423" customFormat="false" ht="15" hidden="false" customHeight="false" outlineLevel="0" collapsed="false">
      <c r="A423" s="0" t="s">
        <v>1726</v>
      </c>
      <c r="B423" s="0" t="s">
        <v>47</v>
      </c>
      <c r="C423" s="0" t="s">
        <v>199</v>
      </c>
      <c r="D423" s="0" t="s">
        <v>198</v>
      </c>
      <c r="E423" s="0" t="s">
        <v>42</v>
      </c>
      <c r="F423" s="0" t="n">
        <v>15.81</v>
      </c>
      <c r="G423" s="0" t="s">
        <v>261</v>
      </c>
      <c r="H423" s="0" t="s">
        <v>263</v>
      </c>
      <c r="I423" s="0" t="s">
        <v>1370</v>
      </c>
      <c r="J423" s="0" t="s">
        <v>1727</v>
      </c>
      <c r="K423" s="0" t="s">
        <v>1728</v>
      </c>
      <c r="L423" s="0" t="n">
        <v>2</v>
      </c>
      <c r="M423" s="0" t="n">
        <v>1</v>
      </c>
      <c r="N423" s="0" t="n">
        <v>6084.16</v>
      </c>
      <c r="O423" s="0" t="n">
        <v>3608.37</v>
      </c>
      <c r="P423" s="0" t="n">
        <v>1280.92</v>
      </c>
      <c r="Q423" s="0" t="s">
        <v>21</v>
      </c>
      <c r="R423" s="0" t="s">
        <v>51</v>
      </c>
      <c r="S423" s="0" t="s">
        <v>222</v>
      </c>
    </row>
    <row r="424" customFormat="false" ht="15" hidden="false" customHeight="false" outlineLevel="0" collapsed="false">
      <c r="A424" s="0" t="s">
        <v>1729</v>
      </c>
      <c r="B424" s="0" t="s">
        <v>48</v>
      </c>
      <c r="C424" s="0" t="s">
        <v>198</v>
      </c>
      <c r="D424" s="0" t="s">
        <v>213</v>
      </c>
      <c r="E424" s="0" t="s">
        <v>43</v>
      </c>
      <c r="F424" s="0" t="n">
        <v>16.04</v>
      </c>
      <c r="G424" s="0" t="s">
        <v>478</v>
      </c>
      <c r="H424" s="0" t="s">
        <v>230</v>
      </c>
      <c r="I424" s="0" t="s">
        <v>993</v>
      </c>
      <c r="J424" s="0" t="s">
        <v>1730</v>
      </c>
      <c r="K424" s="0" t="s">
        <v>234</v>
      </c>
      <c r="L424" s="0" t="n">
        <v>4.7</v>
      </c>
      <c r="M424" s="0" t="n">
        <v>1</v>
      </c>
      <c r="N424" s="0" t="n">
        <v>7025.8</v>
      </c>
      <c r="O424" s="0" t="n">
        <v>4775.71</v>
      </c>
      <c r="P424" s="0" t="n">
        <v>1265.83</v>
      </c>
      <c r="Q424" s="0" t="s">
        <v>25</v>
      </c>
      <c r="R424" s="0" t="s">
        <v>51</v>
      </c>
      <c r="S424" s="0" t="s">
        <v>254</v>
      </c>
    </row>
    <row r="425" customFormat="false" ht="15" hidden="false" customHeight="false" outlineLevel="0" collapsed="false">
      <c r="A425" s="0" t="s">
        <v>1731</v>
      </c>
      <c r="B425" s="0" t="s">
        <v>48</v>
      </c>
      <c r="C425" s="0" t="s">
        <v>198</v>
      </c>
      <c r="D425" s="0" t="s">
        <v>211</v>
      </c>
      <c r="E425" s="0" t="s">
        <v>43</v>
      </c>
      <c r="F425" s="0" t="n">
        <v>1.1</v>
      </c>
      <c r="G425" s="0" t="s">
        <v>1732</v>
      </c>
      <c r="H425" s="0" t="s">
        <v>1228</v>
      </c>
      <c r="I425" s="0" t="s">
        <v>1417</v>
      </c>
      <c r="J425" s="0" t="s">
        <v>1733</v>
      </c>
      <c r="K425" s="0" t="s">
        <v>1734</v>
      </c>
      <c r="L425" s="0" t="n">
        <v>3.4</v>
      </c>
      <c r="M425" s="0" t="n">
        <v>1</v>
      </c>
      <c r="N425" s="0" t="n">
        <v>1379.14</v>
      </c>
      <c r="O425" s="0" t="n">
        <v>4772.25</v>
      </c>
      <c r="P425" s="0" t="n">
        <v>823.82</v>
      </c>
      <c r="Q425" s="0" t="s">
        <v>22</v>
      </c>
      <c r="R425" s="0" t="s">
        <v>51</v>
      </c>
      <c r="S425" s="0" t="s">
        <v>228</v>
      </c>
    </row>
    <row r="426" customFormat="false" ht="15" hidden="false" customHeight="false" outlineLevel="0" collapsed="false">
      <c r="A426" s="0" t="s">
        <v>1735</v>
      </c>
      <c r="B426" s="0" t="s">
        <v>48</v>
      </c>
      <c r="C426" s="0" t="s">
        <v>198</v>
      </c>
      <c r="D426" s="0" t="s">
        <v>212</v>
      </c>
      <c r="E426" s="0" t="s">
        <v>42</v>
      </c>
      <c r="F426" s="0" t="n">
        <v>13.56</v>
      </c>
      <c r="G426" s="0" t="s">
        <v>695</v>
      </c>
      <c r="H426" s="0" t="s">
        <v>440</v>
      </c>
      <c r="I426" s="0" t="s">
        <v>913</v>
      </c>
      <c r="J426" s="0" t="s">
        <v>1736</v>
      </c>
      <c r="K426" s="0" t="s">
        <v>1737</v>
      </c>
      <c r="L426" s="0" t="n">
        <v>5.2</v>
      </c>
      <c r="M426" s="0" t="n">
        <v>1</v>
      </c>
      <c r="N426" s="0" t="n">
        <v>6251.19</v>
      </c>
      <c r="O426" s="0" t="n">
        <v>1733.81</v>
      </c>
      <c r="P426" s="0" t="n">
        <v>1094.14</v>
      </c>
      <c r="Q426" s="0" t="s">
        <v>22</v>
      </c>
      <c r="R426" s="0" t="s">
        <v>52</v>
      </c>
      <c r="S426" s="0" t="s">
        <v>254</v>
      </c>
    </row>
    <row r="427" customFormat="false" ht="15" hidden="false" customHeight="false" outlineLevel="0" collapsed="false">
      <c r="A427" s="0" t="s">
        <v>1738</v>
      </c>
      <c r="B427" s="0" t="s">
        <v>48</v>
      </c>
      <c r="C427" s="0" t="s">
        <v>198</v>
      </c>
      <c r="D427" s="0" t="s">
        <v>214</v>
      </c>
      <c r="E427" s="0" t="s">
        <v>42</v>
      </c>
      <c r="F427" s="0" t="n">
        <v>8.82</v>
      </c>
      <c r="G427" s="0" t="s">
        <v>705</v>
      </c>
      <c r="H427" s="0" t="s">
        <v>243</v>
      </c>
      <c r="I427" s="0" t="s">
        <v>691</v>
      </c>
      <c r="J427" s="0" t="s">
        <v>1739</v>
      </c>
      <c r="K427" s="0" t="s">
        <v>1740</v>
      </c>
      <c r="L427" s="0" t="n">
        <v>3</v>
      </c>
      <c r="M427" s="0" t="n">
        <v>1</v>
      </c>
      <c r="N427" s="0" t="n">
        <v>2825.82</v>
      </c>
      <c r="O427" s="0" t="n">
        <v>3525.5</v>
      </c>
      <c r="P427" s="0" t="n">
        <v>926.4</v>
      </c>
      <c r="Q427" s="0" t="s">
        <v>23</v>
      </c>
      <c r="R427" s="0" t="s">
        <v>52</v>
      </c>
      <c r="S427" s="0" t="s">
        <v>272</v>
      </c>
    </row>
    <row r="428" customFormat="false" ht="15" hidden="false" customHeight="false" outlineLevel="0" collapsed="false">
      <c r="A428" s="0" t="s">
        <v>1741</v>
      </c>
      <c r="B428" s="0" t="s">
        <v>47</v>
      </c>
      <c r="C428" s="0" t="s">
        <v>209</v>
      </c>
      <c r="D428" s="0" t="s">
        <v>198</v>
      </c>
      <c r="E428" s="0" t="s">
        <v>43</v>
      </c>
      <c r="F428" s="0" t="n">
        <v>11.41</v>
      </c>
      <c r="G428" s="0" t="s">
        <v>1000</v>
      </c>
      <c r="H428" s="0" t="s">
        <v>415</v>
      </c>
      <c r="I428" s="0" t="s">
        <v>1244</v>
      </c>
      <c r="J428" s="0" t="s">
        <v>1742</v>
      </c>
      <c r="K428" s="0" t="s">
        <v>1743</v>
      </c>
      <c r="L428" s="0" t="n">
        <v>2.6</v>
      </c>
      <c r="M428" s="0" t="n">
        <v>1</v>
      </c>
      <c r="N428" s="0" t="n">
        <v>3548.04</v>
      </c>
      <c r="O428" s="0" t="n">
        <v>3186.79</v>
      </c>
      <c r="P428" s="0" t="n">
        <v>1339.82</v>
      </c>
      <c r="Q428" s="0" t="s">
        <v>21</v>
      </c>
      <c r="R428" s="0" t="s">
        <v>52</v>
      </c>
      <c r="S428" s="0" t="s">
        <v>247</v>
      </c>
    </row>
    <row r="429" customFormat="false" ht="15" hidden="false" customHeight="false" outlineLevel="0" collapsed="false">
      <c r="A429" s="0" t="s">
        <v>1744</v>
      </c>
      <c r="B429" s="0" t="s">
        <v>47</v>
      </c>
      <c r="C429" s="0" t="s">
        <v>205</v>
      </c>
      <c r="D429" s="0" t="s">
        <v>198</v>
      </c>
      <c r="E429" s="0" t="s">
        <v>44</v>
      </c>
      <c r="F429" s="0" t="n">
        <v>3.42</v>
      </c>
      <c r="G429" s="0" t="s">
        <v>1205</v>
      </c>
      <c r="H429" s="0" t="s">
        <v>876</v>
      </c>
      <c r="I429" s="0" t="s">
        <v>430</v>
      </c>
      <c r="J429" s="0" t="s">
        <v>1745</v>
      </c>
      <c r="K429" s="0" t="s">
        <v>1746</v>
      </c>
      <c r="L429" s="0" t="n">
        <v>4.8</v>
      </c>
      <c r="M429" s="0" t="n">
        <v>1</v>
      </c>
      <c r="N429" s="0" t="n">
        <v>2318.12</v>
      </c>
      <c r="O429" s="0" t="n">
        <v>3791.33</v>
      </c>
      <c r="P429" s="0" t="n">
        <v>1400.26</v>
      </c>
      <c r="Q429" s="0" t="s">
        <v>24</v>
      </c>
      <c r="R429" s="0" t="s">
        <v>51</v>
      </c>
      <c r="S429" s="0" t="s">
        <v>247</v>
      </c>
    </row>
    <row r="430" customFormat="false" ht="15" hidden="false" customHeight="false" outlineLevel="0" collapsed="false">
      <c r="A430" s="0" t="s">
        <v>1747</v>
      </c>
      <c r="B430" s="0" t="s">
        <v>47</v>
      </c>
      <c r="C430" s="0" t="s">
        <v>203</v>
      </c>
      <c r="D430" s="0" t="s">
        <v>198</v>
      </c>
      <c r="E430" s="0" t="s">
        <v>44</v>
      </c>
      <c r="F430" s="0" t="n">
        <v>16.05</v>
      </c>
      <c r="G430" s="0" t="s">
        <v>850</v>
      </c>
      <c r="H430" s="0" t="s">
        <v>424</v>
      </c>
      <c r="I430" s="0" t="s">
        <v>425</v>
      </c>
      <c r="J430" s="0" t="s">
        <v>1748</v>
      </c>
      <c r="K430" s="0" t="s">
        <v>1749</v>
      </c>
      <c r="L430" s="0" t="n">
        <v>-1</v>
      </c>
      <c r="M430" s="0" t="n">
        <v>0</v>
      </c>
      <c r="N430" s="0" t="n">
        <v>5257.42</v>
      </c>
      <c r="O430" s="0" t="n">
        <v>3647.34</v>
      </c>
      <c r="P430" s="0" t="n">
        <v>1133.71</v>
      </c>
      <c r="Q430" s="0" t="s">
        <v>25</v>
      </c>
      <c r="R430" s="0" t="s">
        <v>52</v>
      </c>
      <c r="S430" s="0" t="s">
        <v>272</v>
      </c>
    </row>
    <row r="431" customFormat="false" ht="15" hidden="false" customHeight="false" outlineLevel="0" collapsed="false">
      <c r="A431" s="0" t="s">
        <v>1750</v>
      </c>
      <c r="B431" s="0" t="s">
        <v>48</v>
      </c>
      <c r="C431" s="0" t="s">
        <v>198</v>
      </c>
      <c r="D431" s="0" t="s">
        <v>211</v>
      </c>
      <c r="E431" s="0" t="s">
        <v>43</v>
      </c>
      <c r="F431" s="0" t="n">
        <v>12.28</v>
      </c>
      <c r="G431" s="0" t="s">
        <v>261</v>
      </c>
      <c r="H431" s="0" t="s">
        <v>1417</v>
      </c>
      <c r="I431" s="0" t="s">
        <v>1625</v>
      </c>
      <c r="J431" s="0" t="s">
        <v>1751</v>
      </c>
      <c r="K431" s="0" t="s">
        <v>1752</v>
      </c>
      <c r="L431" s="0" t="n">
        <v>3.5</v>
      </c>
      <c r="M431" s="0" t="n">
        <v>1</v>
      </c>
      <c r="N431" s="0" t="n">
        <v>5815.52</v>
      </c>
      <c r="O431" s="0" t="n">
        <v>1505.08</v>
      </c>
      <c r="P431" s="0" t="n">
        <v>1313.43</v>
      </c>
      <c r="Q431" s="0" t="s">
        <v>23</v>
      </c>
      <c r="R431" s="0" t="s">
        <v>51</v>
      </c>
      <c r="S431" s="0" t="s">
        <v>247</v>
      </c>
    </row>
    <row r="432" customFormat="false" ht="15" hidden="false" customHeight="false" outlineLevel="0" collapsed="false">
      <c r="A432" s="0" t="s">
        <v>1753</v>
      </c>
      <c r="B432" s="0" t="s">
        <v>47</v>
      </c>
      <c r="C432" s="0" t="s">
        <v>209</v>
      </c>
      <c r="D432" s="0" t="s">
        <v>198</v>
      </c>
      <c r="E432" s="0" t="s">
        <v>42</v>
      </c>
      <c r="F432" s="0" t="n">
        <v>18.56</v>
      </c>
      <c r="G432" s="0" t="s">
        <v>347</v>
      </c>
      <c r="H432" s="0" t="s">
        <v>950</v>
      </c>
      <c r="I432" s="0" t="s">
        <v>276</v>
      </c>
      <c r="J432" s="0" t="s">
        <v>1754</v>
      </c>
      <c r="K432" s="0" t="s">
        <v>1755</v>
      </c>
      <c r="L432" s="0" t="n">
        <v>1.4</v>
      </c>
      <c r="M432" s="0" t="n">
        <v>1</v>
      </c>
      <c r="N432" s="0" t="n">
        <v>6374.77</v>
      </c>
      <c r="O432" s="0" t="n">
        <v>4564.8</v>
      </c>
      <c r="P432" s="0" t="n">
        <v>513.63</v>
      </c>
      <c r="Q432" s="0" t="s">
        <v>24</v>
      </c>
      <c r="R432" s="0" t="s">
        <v>52</v>
      </c>
      <c r="S432" s="0" t="s">
        <v>247</v>
      </c>
    </row>
    <row r="433" customFormat="false" ht="15" hidden="false" customHeight="false" outlineLevel="0" collapsed="false">
      <c r="A433" s="0" t="s">
        <v>1756</v>
      </c>
      <c r="B433" s="0" t="s">
        <v>47</v>
      </c>
      <c r="C433" s="0" t="s">
        <v>199</v>
      </c>
      <c r="D433" s="0" t="s">
        <v>198</v>
      </c>
      <c r="E433" s="0" t="s">
        <v>44</v>
      </c>
      <c r="F433" s="0" t="n">
        <v>7.13</v>
      </c>
      <c r="G433" s="0" t="s">
        <v>572</v>
      </c>
      <c r="H433" s="0" t="s">
        <v>336</v>
      </c>
      <c r="I433" s="0" t="s">
        <v>338</v>
      </c>
      <c r="J433" s="0" t="s">
        <v>1757</v>
      </c>
      <c r="K433" s="0" t="s">
        <v>1758</v>
      </c>
      <c r="L433" s="0" t="n">
        <v>-0.6</v>
      </c>
      <c r="M433" s="0" t="n">
        <v>0</v>
      </c>
      <c r="N433" s="0" t="n">
        <v>5984.85</v>
      </c>
      <c r="O433" s="0" t="n">
        <v>3212.45</v>
      </c>
      <c r="P433" s="0" t="n">
        <v>1312.26</v>
      </c>
      <c r="Q433" s="0" t="s">
        <v>24</v>
      </c>
      <c r="R433" s="0" t="s">
        <v>52</v>
      </c>
      <c r="S433" s="0" t="s">
        <v>247</v>
      </c>
    </row>
    <row r="434" customFormat="false" ht="15" hidden="false" customHeight="false" outlineLevel="0" collapsed="false">
      <c r="A434" s="0" t="s">
        <v>1759</v>
      </c>
      <c r="B434" s="0" t="s">
        <v>47</v>
      </c>
      <c r="C434" s="0" t="s">
        <v>199</v>
      </c>
      <c r="D434" s="0" t="s">
        <v>198</v>
      </c>
      <c r="E434" s="0" t="s">
        <v>43</v>
      </c>
      <c r="F434" s="0" t="n">
        <v>8.3</v>
      </c>
      <c r="G434" s="0" t="s">
        <v>696</v>
      </c>
      <c r="H434" s="0" t="s">
        <v>913</v>
      </c>
      <c r="I434" s="0" t="s">
        <v>1064</v>
      </c>
      <c r="J434" s="0" t="s">
        <v>1760</v>
      </c>
      <c r="K434" s="0" t="s">
        <v>1761</v>
      </c>
      <c r="L434" s="0" t="n">
        <v>1</v>
      </c>
      <c r="M434" s="0" t="n">
        <v>1</v>
      </c>
      <c r="N434" s="0" t="n">
        <v>2573.32</v>
      </c>
      <c r="O434" s="0" t="n">
        <v>4318.89</v>
      </c>
      <c r="P434" s="0" t="n">
        <v>1476.79</v>
      </c>
      <c r="Q434" s="0" t="s">
        <v>24</v>
      </c>
      <c r="R434" s="0" t="s">
        <v>52</v>
      </c>
      <c r="S434" s="0" t="s">
        <v>228</v>
      </c>
    </row>
    <row r="435" customFormat="false" ht="15" hidden="false" customHeight="false" outlineLevel="0" collapsed="false">
      <c r="A435" s="0" t="s">
        <v>1762</v>
      </c>
      <c r="B435" s="0" t="s">
        <v>47</v>
      </c>
      <c r="C435" s="0" t="s">
        <v>203</v>
      </c>
      <c r="D435" s="0" t="s">
        <v>198</v>
      </c>
      <c r="E435" s="0" t="s">
        <v>43</v>
      </c>
      <c r="F435" s="0" t="n">
        <v>8.69</v>
      </c>
      <c r="G435" s="0" t="s">
        <v>550</v>
      </c>
      <c r="H435" s="0" t="s">
        <v>320</v>
      </c>
      <c r="I435" s="0" t="s">
        <v>789</v>
      </c>
      <c r="J435" s="0" t="s">
        <v>1763</v>
      </c>
      <c r="K435" s="0" t="s">
        <v>552</v>
      </c>
      <c r="L435" s="0" t="n">
        <v>1.4</v>
      </c>
      <c r="M435" s="0" t="n">
        <v>1</v>
      </c>
      <c r="N435" s="0" t="n">
        <v>4041.97</v>
      </c>
      <c r="O435" s="0" t="n">
        <v>2905.85</v>
      </c>
      <c r="P435" s="0" t="n">
        <v>818.3</v>
      </c>
      <c r="Q435" s="0" t="s">
        <v>23</v>
      </c>
      <c r="R435" s="0" t="s">
        <v>51</v>
      </c>
      <c r="S435" s="0" t="s">
        <v>247</v>
      </c>
    </row>
    <row r="436" customFormat="false" ht="15" hidden="false" customHeight="false" outlineLevel="0" collapsed="false">
      <c r="A436" s="0" t="s">
        <v>1764</v>
      </c>
      <c r="B436" s="0" t="s">
        <v>47</v>
      </c>
      <c r="C436" s="0" t="s">
        <v>206</v>
      </c>
      <c r="D436" s="0" t="s">
        <v>198</v>
      </c>
      <c r="E436" s="0" t="s">
        <v>42</v>
      </c>
      <c r="F436" s="0" t="n">
        <v>10.29</v>
      </c>
      <c r="G436" s="0" t="s">
        <v>251</v>
      </c>
      <c r="H436" s="0" t="s">
        <v>685</v>
      </c>
      <c r="I436" s="0" t="s">
        <v>687</v>
      </c>
      <c r="J436" s="0" t="s">
        <v>1765</v>
      </c>
      <c r="K436" s="0" t="s">
        <v>1766</v>
      </c>
      <c r="L436" s="0" t="n">
        <v>6</v>
      </c>
      <c r="M436" s="0" t="n">
        <v>1</v>
      </c>
      <c r="N436" s="0" t="n">
        <v>6226.21</v>
      </c>
      <c r="O436" s="0" t="n">
        <v>3802.45</v>
      </c>
      <c r="P436" s="0" t="n">
        <v>1253.47</v>
      </c>
      <c r="Q436" s="0" t="s">
        <v>21</v>
      </c>
      <c r="R436" s="0" t="s">
        <v>52</v>
      </c>
      <c r="S436" s="0" t="s">
        <v>272</v>
      </c>
    </row>
    <row r="437" customFormat="false" ht="15" hidden="false" customHeight="false" outlineLevel="0" collapsed="false">
      <c r="A437" s="0" t="s">
        <v>1767</v>
      </c>
      <c r="B437" s="0" t="s">
        <v>47</v>
      </c>
      <c r="C437" s="0" t="s">
        <v>203</v>
      </c>
      <c r="D437" s="0" t="s">
        <v>198</v>
      </c>
      <c r="E437" s="0" t="s">
        <v>43</v>
      </c>
      <c r="F437" s="0" t="n">
        <v>17.58</v>
      </c>
      <c r="G437" s="0" t="s">
        <v>521</v>
      </c>
      <c r="H437" s="0" t="s">
        <v>507</v>
      </c>
      <c r="I437" s="0" t="s">
        <v>624</v>
      </c>
      <c r="J437" s="0" t="s">
        <v>1768</v>
      </c>
      <c r="K437" s="0" t="s">
        <v>1769</v>
      </c>
      <c r="L437" s="0" t="n">
        <v>-0.3</v>
      </c>
      <c r="M437" s="0" t="n">
        <v>0</v>
      </c>
      <c r="N437" s="0" t="n">
        <v>4499.18</v>
      </c>
      <c r="O437" s="0" t="n">
        <v>2138.17</v>
      </c>
      <c r="P437" s="0" t="n">
        <v>943.03</v>
      </c>
      <c r="Q437" s="0" t="s">
        <v>22</v>
      </c>
      <c r="R437" s="0" t="s">
        <v>51</v>
      </c>
      <c r="S437" s="0" t="s">
        <v>228</v>
      </c>
    </row>
    <row r="438" customFormat="false" ht="15" hidden="false" customHeight="false" outlineLevel="0" collapsed="false">
      <c r="A438" s="0" t="s">
        <v>1770</v>
      </c>
      <c r="B438" s="0" t="s">
        <v>47</v>
      </c>
      <c r="C438" s="0" t="s">
        <v>203</v>
      </c>
      <c r="D438" s="0" t="s">
        <v>198</v>
      </c>
      <c r="E438" s="0" t="s">
        <v>43</v>
      </c>
      <c r="F438" s="0" t="n">
        <v>12.73</v>
      </c>
      <c r="G438" s="0" t="s">
        <v>250</v>
      </c>
      <c r="H438" s="0" t="s">
        <v>1087</v>
      </c>
      <c r="I438" s="0" t="s">
        <v>685</v>
      </c>
      <c r="J438" s="0" t="s">
        <v>1771</v>
      </c>
      <c r="K438" s="0" t="s">
        <v>893</v>
      </c>
      <c r="L438" s="0" t="n">
        <v>5.7</v>
      </c>
      <c r="M438" s="0" t="n">
        <v>1</v>
      </c>
      <c r="N438" s="0" t="n">
        <v>6501.2</v>
      </c>
      <c r="O438" s="0" t="n">
        <v>3165.5</v>
      </c>
      <c r="P438" s="0" t="n">
        <v>586.03</v>
      </c>
      <c r="Q438" s="0" t="s">
        <v>25</v>
      </c>
      <c r="R438" s="0" t="s">
        <v>52</v>
      </c>
      <c r="S438" s="0" t="s">
        <v>247</v>
      </c>
    </row>
    <row r="439" customFormat="false" ht="15" hidden="false" customHeight="false" outlineLevel="0" collapsed="false">
      <c r="A439" s="0" t="s">
        <v>1772</v>
      </c>
      <c r="B439" s="0" t="s">
        <v>47</v>
      </c>
      <c r="C439" s="0" t="s">
        <v>209</v>
      </c>
      <c r="D439" s="0" t="s">
        <v>198</v>
      </c>
      <c r="E439" s="0" t="s">
        <v>43</v>
      </c>
      <c r="F439" s="0" t="n">
        <v>2.08</v>
      </c>
      <c r="G439" s="0" t="s">
        <v>321</v>
      </c>
      <c r="H439" s="0" t="s">
        <v>450</v>
      </c>
      <c r="I439" s="0" t="s">
        <v>243</v>
      </c>
      <c r="J439" s="0" t="s">
        <v>1773</v>
      </c>
      <c r="K439" s="0" t="s">
        <v>1774</v>
      </c>
      <c r="L439" s="0" t="n">
        <v>10.1</v>
      </c>
      <c r="M439" s="0" t="n">
        <v>1</v>
      </c>
      <c r="N439" s="0" t="n">
        <v>2325.17</v>
      </c>
      <c r="O439" s="0" t="n">
        <v>3092.85</v>
      </c>
      <c r="P439" s="0" t="n">
        <v>771.79</v>
      </c>
      <c r="Q439" s="0" t="s">
        <v>25</v>
      </c>
      <c r="R439" s="0" t="s">
        <v>52</v>
      </c>
      <c r="S439" s="0" t="s">
        <v>247</v>
      </c>
    </row>
    <row r="440" customFormat="false" ht="15" hidden="false" customHeight="false" outlineLevel="0" collapsed="false">
      <c r="A440" s="0" t="s">
        <v>1775</v>
      </c>
      <c r="B440" s="0" t="s">
        <v>47</v>
      </c>
      <c r="C440" s="0" t="s">
        <v>203</v>
      </c>
      <c r="D440" s="0" t="s">
        <v>198</v>
      </c>
      <c r="E440" s="0" t="s">
        <v>43</v>
      </c>
      <c r="F440" s="0" t="n">
        <v>8.58</v>
      </c>
      <c r="G440" s="0" t="s">
        <v>681</v>
      </c>
      <c r="H440" s="0" t="s">
        <v>992</v>
      </c>
      <c r="I440" s="0" t="s">
        <v>993</v>
      </c>
      <c r="J440" s="0" t="s">
        <v>1776</v>
      </c>
      <c r="K440" s="0" t="s">
        <v>1777</v>
      </c>
      <c r="L440" s="0" t="n">
        <v>6.8</v>
      </c>
      <c r="M440" s="0" t="n">
        <v>1</v>
      </c>
      <c r="N440" s="0" t="n">
        <v>4174.36</v>
      </c>
      <c r="O440" s="0" t="n">
        <v>4986.26</v>
      </c>
      <c r="P440" s="0" t="n">
        <v>1200.43</v>
      </c>
      <c r="Q440" s="0" t="s">
        <v>21</v>
      </c>
      <c r="R440" s="0" t="s">
        <v>52</v>
      </c>
      <c r="S440" s="0" t="s">
        <v>222</v>
      </c>
    </row>
    <row r="441" customFormat="false" ht="15" hidden="false" customHeight="false" outlineLevel="0" collapsed="false">
      <c r="A441" s="0" t="s">
        <v>1778</v>
      </c>
      <c r="B441" s="0" t="s">
        <v>48</v>
      </c>
      <c r="C441" s="0" t="s">
        <v>198</v>
      </c>
      <c r="D441" s="0" t="s">
        <v>204</v>
      </c>
      <c r="E441" s="0" t="s">
        <v>42</v>
      </c>
      <c r="F441" s="0" t="n">
        <v>15.64</v>
      </c>
      <c r="G441" s="0" t="s">
        <v>1631</v>
      </c>
      <c r="H441" s="0" t="s">
        <v>908</v>
      </c>
      <c r="I441" s="0" t="s">
        <v>557</v>
      </c>
      <c r="J441" s="0" t="s">
        <v>1779</v>
      </c>
      <c r="K441" s="0" t="s">
        <v>1780</v>
      </c>
      <c r="L441" s="0" t="n">
        <v>3.7</v>
      </c>
      <c r="M441" s="0" t="n">
        <v>1</v>
      </c>
      <c r="N441" s="0" t="n">
        <v>10944.7</v>
      </c>
      <c r="O441" s="0" t="n">
        <v>4900.72</v>
      </c>
      <c r="P441" s="0" t="n">
        <v>1333.2</v>
      </c>
      <c r="Q441" s="0" t="s">
        <v>22</v>
      </c>
      <c r="R441" s="0" t="s">
        <v>51</v>
      </c>
      <c r="S441" s="0" t="s">
        <v>254</v>
      </c>
    </row>
    <row r="442" customFormat="false" ht="15" hidden="false" customHeight="false" outlineLevel="0" collapsed="false">
      <c r="A442" s="0" t="s">
        <v>1781</v>
      </c>
      <c r="B442" s="0" t="s">
        <v>47</v>
      </c>
      <c r="C442" s="0" t="s">
        <v>205</v>
      </c>
      <c r="D442" s="0" t="s">
        <v>198</v>
      </c>
      <c r="E442" s="0" t="s">
        <v>43</v>
      </c>
      <c r="F442" s="0" t="n">
        <v>6.76</v>
      </c>
      <c r="G442" s="0" t="s">
        <v>409</v>
      </c>
      <c r="H442" s="0" t="s">
        <v>256</v>
      </c>
      <c r="I442" s="0" t="s">
        <v>219</v>
      </c>
      <c r="J442" s="0" t="s">
        <v>1782</v>
      </c>
      <c r="K442" s="0" t="s">
        <v>221</v>
      </c>
      <c r="L442" s="0" t="n">
        <v>-1</v>
      </c>
      <c r="M442" s="0" t="n">
        <v>0</v>
      </c>
      <c r="N442" s="0" t="n">
        <v>4144.06</v>
      </c>
      <c r="O442" s="0" t="n">
        <v>1481.79</v>
      </c>
      <c r="P442" s="0" t="n">
        <v>1084.54</v>
      </c>
      <c r="Q442" s="0" t="s">
        <v>24</v>
      </c>
      <c r="R442" s="0" t="s">
        <v>52</v>
      </c>
      <c r="S442" s="0" t="s">
        <v>228</v>
      </c>
    </row>
    <row r="443" customFormat="false" ht="15" hidden="false" customHeight="false" outlineLevel="0" collapsed="false">
      <c r="A443" s="0" t="s">
        <v>1783</v>
      </c>
      <c r="B443" s="0" t="s">
        <v>47</v>
      </c>
      <c r="C443" s="0" t="s">
        <v>205</v>
      </c>
      <c r="D443" s="0" t="s">
        <v>198</v>
      </c>
      <c r="E443" s="0" t="s">
        <v>44</v>
      </c>
      <c r="F443" s="0" t="n">
        <v>19.42</v>
      </c>
      <c r="G443" s="0" t="s">
        <v>558</v>
      </c>
      <c r="H443" s="0" t="s">
        <v>1332</v>
      </c>
      <c r="I443" s="0" t="s">
        <v>1251</v>
      </c>
      <c r="J443" s="0" t="s">
        <v>1784</v>
      </c>
      <c r="K443" s="0" t="s">
        <v>1785</v>
      </c>
      <c r="L443" s="0" t="n">
        <v>5.3</v>
      </c>
      <c r="M443" s="0" t="n">
        <v>1</v>
      </c>
      <c r="N443" s="0" t="n">
        <v>7152.92</v>
      </c>
      <c r="O443" s="0" t="n">
        <v>3632.41</v>
      </c>
      <c r="P443" s="0" t="n">
        <v>1497.75</v>
      </c>
      <c r="Q443" s="0" t="s">
        <v>21</v>
      </c>
      <c r="R443" s="0" t="s">
        <v>52</v>
      </c>
      <c r="S443" s="0" t="s">
        <v>228</v>
      </c>
    </row>
    <row r="444" customFormat="false" ht="15" hidden="false" customHeight="false" outlineLevel="0" collapsed="false">
      <c r="A444" s="0" t="s">
        <v>1786</v>
      </c>
      <c r="B444" s="0" t="s">
        <v>47</v>
      </c>
      <c r="C444" s="0" t="s">
        <v>205</v>
      </c>
      <c r="D444" s="0" t="s">
        <v>198</v>
      </c>
      <c r="E444" s="0" t="s">
        <v>42</v>
      </c>
      <c r="F444" s="0" t="n">
        <v>9.58</v>
      </c>
      <c r="G444" s="0" t="s">
        <v>576</v>
      </c>
      <c r="H444" s="0" t="s">
        <v>1427</v>
      </c>
      <c r="I444" s="0" t="s">
        <v>577</v>
      </c>
      <c r="J444" s="0" t="s">
        <v>1787</v>
      </c>
      <c r="K444" s="0" t="s">
        <v>1788</v>
      </c>
      <c r="L444" s="0" t="n">
        <v>-1</v>
      </c>
      <c r="M444" s="0" t="n">
        <v>0</v>
      </c>
      <c r="N444" s="0" t="n">
        <v>5251.11</v>
      </c>
      <c r="O444" s="0" t="n">
        <v>2587.79</v>
      </c>
      <c r="P444" s="0" t="n">
        <v>955.38</v>
      </c>
      <c r="Q444" s="0" t="s">
        <v>25</v>
      </c>
      <c r="R444" s="0" t="s">
        <v>52</v>
      </c>
      <c r="S444" s="0" t="s">
        <v>247</v>
      </c>
    </row>
    <row r="445" customFormat="false" ht="15" hidden="false" customHeight="false" outlineLevel="0" collapsed="false">
      <c r="A445" s="0" t="s">
        <v>1789</v>
      </c>
      <c r="B445" s="0" t="s">
        <v>47</v>
      </c>
      <c r="C445" s="0" t="s">
        <v>203</v>
      </c>
      <c r="D445" s="0" t="s">
        <v>198</v>
      </c>
      <c r="E445" s="0" t="s">
        <v>44</v>
      </c>
      <c r="F445" s="0" t="n">
        <v>8.88</v>
      </c>
      <c r="G445" s="0" t="s">
        <v>731</v>
      </c>
      <c r="H445" s="0" t="s">
        <v>636</v>
      </c>
      <c r="I445" s="0" t="s">
        <v>982</v>
      </c>
      <c r="J445" s="0" t="s">
        <v>1790</v>
      </c>
      <c r="K445" s="0" t="s">
        <v>1791</v>
      </c>
      <c r="L445" s="0" t="n">
        <v>-1</v>
      </c>
      <c r="M445" s="0" t="n">
        <v>0</v>
      </c>
      <c r="N445" s="0" t="n">
        <v>3203.91</v>
      </c>
      <c r="O445" s="0" t="n">
        <v>3101.03</v>
      </c>
      <c r="P445" s="0" t="n">
        <v>611.21</v>
      </c>
      <c r="Q445" s="0" t="s">
        <v>21</v>
      </c>
      <c r="R445" s="0" t="s">
        <v>52</v>
      </c>
      <c r="S445" s="0" t="s">
        <v>228</v>
      </c>
    </row>
    <row r="446" customFormat="false" ht="15" hidden="false" customHeight="false" outlineLevel="0" collapsed="false">
      <c r="A446" s="0" t="s">
        <v>1792</v>
      </c>
      <c r="B446" s="0" t="s">
        <v>48</v>
      </c>
      <c r="C446" s="0" t="s">
        <v>198</v>
      </c>
      <c r="D446" s="0" t="s">
        <v>213</v>
      </c>
      <c r="E446" s="0" t="s">
        <v>44</v>
      </c>
      <c r="F446" s="0" t="n">
        <v>17.5</v>
      </c>
      <c r="G446" s="0" t="s">
        <v>311</v>
      </c>
      <c r="H446" s="0" t="s">
        <v>381</v>
      </c>
      <c r="I446" s="0" t="s">
        <v>483</v>
      </c>
      <c r="J446" s="0" t="s">
        <v>1793</v>
      </c>
      <c r="K446" s="0" t="s">
        <v>1794</v>
      </c>
      <c r="L446" s="0" t="n">
        <v>3.5</v>
      </c>
      <c r="M446" s="0" t="n">
        <v>1</v>
      </c>
      <c r="N446" s="0" t="n">
        <v>7760.87</v>
      </c>
      <c r="O446" s="0" t="n">
        <v>1167.86</v>
      </c>
      <c r="P446" s="0" t="n">
        <v>863.65</v>
      </c>
      <c r="Q446" s="0" t="s">
        <v>21</v>
      </c>
      <c r="R446" s="0" t="s">
        <v>52</v>
      </c>
      <c r="S446" s="0" t="s">
        <v>247</v>
      </c>
    </row>
    <row r="447" customFormat="false" ht="15" hidden="false" customHeight="false" outlineLevel="0" collapsed="false">
      <c r="A447" s="0" t="s">
        <v>1795</v>
      </c>
      <c r="B447" s="0" t="s">
        <v>47</v>
      </c>
      <c r="C447" s="0" t="s">
        <v>206</v>
      </c>
      <c r="D447" s="0" t="s">
        <v>198</v>
      </c>
      <c r="E447" s="0" t="s">
        <v>43</v>
      </c>
      <c r="F447" s="0" t="n">
        <v>2.87</v>
      </c>
      <c r="G447" s="0" t="s">
        <v>450</v>
      </c>
      <c r="H447" s="0" t="s">
        <v>242</v>
      </c>
      <c r="I447" s="0" t="s">
        <v>691</v>
      </c>
      <c r="J447" s="0" t="s">
        <v>1796</v>
      </c>
      <c r="K447" s="0" t="s">
        <v>1797</v>
      </c>
      <c r="L447" s="0" t="n">
        <v>-0.2</v>
      </c>
      <c r="M447" s="0" t="n">
        <v>0</v>
      </c>
      <c r="N447" s="0" t="n">
        <v>2588.38</v>
      </c>
      <c r="O447" s="0" t="n">
        <v>3371.08</v>
      </c>
      <c r="P447" s="0" t="n">
        <v>648.36</v>
      </c>
      <c r="Q447" s="0" t="s">
        <v>22</v>
      </c>
      <c r="R447" s="0" t="s">
        <v>51</v>
      </c>
      <c r="S447" s="0" t="s">
        <v>228</v>
      </c>
    </row>
    <row r="448" customFormat="false" ht="15" hidden="false" customHeight="false" outlineLevel="0" collapsed="false">
      <c r="A448" s="0" t="s">
        <v>1798</v>
      </c>
      <c r="B448" s="0" t="s">
        <v>47</v>
      </c>
      <c r="C448" s="0" t="s">
        <v>203</v>
      </c>
      <c r="D448" s="0" t="s">
        <v>198</v>
      </c>
      <c r="E448" s="0" t="s">
        <v>42</v>
      </c>
      <c r="F448" s="0" t="n">
        <v>4.27</v>
      </c>
      <c r="G448" s="0" t="s">
        <v>300</v>
      </c>
      <c r="H448" s="0" t="s">
        <v>1799</v>
      </c>
      <c r="I448" s="0" t="s">
        <v>332</v>
      </c>
      <c r="J448" s="0" t="s">
        <v>1800</v>
      </c>
      <c r="K448" s="0" t="s">
        <v>1801</v>
      </c>
      <c r="L448" s="0" t="n">
        <v>7.9</v>
      </c>
      <c r="M448" s="0" t="n">
        <v>1</v>
      </c>
      <c r="N448" s="0" t="n">
        <v>2583.86</v>
      </c>
      <c r="O448" s="0" t="n">
        <v>2879.66</v>
      </c>
      <c r="P448" s="0" t="n">
        <v>1002.49</v>
      </c>
      <c r="Q448" s="0" t="s">
        <v>25</v>
      </c>
      <c r="R448" s="0" t="s">
        <v>52</v>
      </c>
      <c r="S448" s="0" t="s">
        <v>247</v>
      </c>
    </row>
    <row r="449" customFormat="false" ht="15" hidden="false" customHeight="false" outlineLevel="0" collapsed="false">
      <c r="A449" s="0" t="s">
        <v>1802</v>
      </c>
      <c r="B449" s="0" t="s">
        <v>48</v>
      </c>
      <c r="C449" s="0" t="s">
        <v>198</v>
      </c>
      <c r="D449" s="0" t="s">
        <v>208</v>
      </c>
      <c r="E449" s="0" t="s">
        <v>44</v>
      </c>
      <c r="F449" s="0" t="n">
        <v>4.81</v>
      </c>
      <c r="G449" s="0" t="s">
        <v>1195</v>
      </c>
      <c r="H449" s="0" t="s">
        <v>888</v>
      </c>
      <c r="I449" s="0" t="s">
        <v>632</v>
      </c>
      <c r="J449" s="0" t="s">
        <v>1803</v>
      </c>
      <c r="K449" s="0" t="s">
        <v>1804</v>
      </c>
      <c r="L449" s="0" t="n">
        <v>-1</v>
      </c>
      <c r="M449" s="0" t="n">
        <v>0</v>
      </c>
      <c r="N449" s="0" t="n">
        <v>2518.1</v>
      </c>
      <c r="O449" s="0" t="n">
        <v>1780.79</v>
      </c>
      <c r="P449" s="0" t="n">
        <v>1178.49</v>
      </c>
      <c r="Q449" s="0" t="s">
        <v>24</v>
      </c>
      <c r="R449" s="0" t="s">
        <v>51</v>
      </c>
      <c r="S449" s="0" t="s">
        <v>247</v>
      </c>
    </row>
    <row r="450" customFormat="false" ht="15" hidden="false" customHeight="false" outlineLevel="0" collapsed="false">
      <c r="A450" s="0" t="s">
        <v>1805</v>
      </c>
      <c r="B450" s="0" t="s">
        <v>47</v>
      </c>
      <c r="C450" s="0" t="s">
        <v>209</v>
      </c>
      <c r="D450" s="0" t="s">
        <v>198</v>
      </c>
      <c r="E450" s="0" t="s">
        <v>42</v>
      </c>
      <c r="F450" s="0" t="n">
        <v>7.14</v>
      </c>
      <c r="G450" s="0" t="s">
        <v>1174</v>
      </c>
      <c r="H450" s="0" t="s">
        <v>257</v>
      </c>
      <c r="I450" s="0" t="s">
        <v>1806</v>
      </c>
      <c r="J450" s="0" t="s">
        <v>1807</v>
      </c>
      <c r="K450" s="0" t="s">
        <v>1808</v>
      </c>
      <c r="L450" s="0" t="n">
        <v>1.7</v>
      </c>
      <c r="M450" s="0" t="n">
        <v>1</v>
      </c>
      <c r="N450" s="0" t="n">
        <v>4989.82</v>
      </c>
      <c r="O450" s="0" t="n">
        <v>1041.97</v>
      </c>
      <c r="P450" s="0" t="n">
        <v>1395.07</v>
      </c>
      <c r="Q450" s="0" t="s">
        <v>24</v>
      </c>
      <c r="R450" s="0" t="s">
        <v>52</v>
      </c>
      <c r="S450" s="0" t="s">
        <v>272</v>
      </c>
    </row>
    <row r="451" customFormat="false" ht="15" hidden="false" customHeight="false" outlineLevel="0" collapsed="false">
      <c r="A451" s="0" t="s">
        <v>1809</v>
      </c>
      <c r="B451" s="0" t="s">
        <v>47</v>
      </c>
      <c r="C451" s="0" t="s">
        <v>206</v>
      </c>
      <c r="D451" s="0" t="s">
        <v>198</v>
      </c>
      <c r="E451" s="0" t="s">
        <v>44</v>
      </c>
      <c r="F451" s="0" t="n">
        <v>3.83</v>
      </c>
      <c r="G451" s="0" t="s">
        <v>342</v>
      </c>
      <c r="H451" s="0" t="s">
        <v>343</v>
      </c>
      <c r="I451" s="0" t="s">
        <v>1205</v>
      </c>
      <c r="J451" s="0" t="s">
        <v>956</v>
      </c>
      <c r="K451" s="0" t="s">
        <v>1810</v>
      </c>
      <c r="L451" s="0" t="n">
        <v>0.5</v>
      </c>
      <c r="M451" s="0" t="n">
        <v>1</v>
      </c>
      <c r="N451" s="0" t="n">
        <v>2555.14</v>
      </c>
      <c r="O451" s="0" t="n">
        <v>2121.34</v>
      </c>
      <c r="P451" s="0" t="n">
        <v>632.18</v>
      </c>
      <c r="Q451" s="0" t="s">
        <v>22</v>
      </c>
      <c r="R451" s="0" t="s">
        <v>52</v>
      </c>
      <c r="S451" s="0" t="s">
        <v>228</v>
      </c>
    </row>
    <row r="452" customFormat="false" ht="15" hidden="false" customHeight="false" outlineLevel="0" collapsed="false">
      <c r="A452" s="0" t="s">
        <v>1811</v>
      </c>
      <c r="B452" s="0" t="s">
        <v>47</v>
      </c>
      <c r="C452" s="0" t="s">
        <v>203</v>
      </c>
      <c r="D452" s="0" t="s">
        <v>198</v>
      </c>
      <c r="E452" s="0" t="s">
        <v>42</v>
      </c>
      <c r="F452" s="0" t="n">
        <v>9.36</v>
      </c>
      <c r="G452" s="0" t="s">
        <v>620</v>
      </c>
      <c r="H452" s="0" t="s">
        <v>695</v>
      </c>
      <c r="I452" s="0" t="s">
        <v>866</v>
      </c>
      <c r="J452" s="0" t="s">
        <v>1812</v>
      </c>
      <c r="K452" s="0" t="s">
        <v>1813</v>
      </c>
      <c r="L452" s="0" t="n">
        <v>4.5</v>
      </c>
      <c r="M452" s="0" t="n">
        <v>1</v>
      </c>
      <c r="N452" s="0" t="n">
        <v>7146.41</v>
      </c>
      <c r="O452" s="0" t="n">
        <v>4341.49</v>
      </c>
      <c r="P452" s="0" t="n">
        <v>696.89</v>
      </c>
      <c r="Q452" s="0" t="s">
        <v>23</v>
      </c>
      <c r="R452" s="0" t="s">
        <v>52</v>
      </c>
      <c r="S452" s="0" t="s">
        <v>228</v>
      </c>
    </row>
    <row r="453" customFormat="false" ht="15" hidden="false" customHeight="false" outlineLevel="0" collapsed="false">
      <c r="A453" s="0" t="s">
        <v>1814</v>
      </c>
      <c r="B453" s="0" t="s">
        <v>47</v>
      </c>
      <c r="C453" s="0" t="s">
        <v>199</v>
      </c>
      <c r="D453" s="0" t="s">
        <v>198</v>
      </c>
      <c r="E453" s="0" t="s">
        <v>43</v>
      </c>
      <c r="F453" s="0" t="n">
        <v>9.38</v>
      </c>
      <c r="G453" s="0" t="s">
        <v>369</v>
      </c>
      <c r="H453" s="0" t="s">
        <v>945</v>
      </c>
      <c r="I453" s="0" t="s">
        <v>287</v>
      </c>
      <c r="J453" s="0" t="s">
        <v>1815</v>
      </c>
      <c r="K453" s="0" t="s">
        <v>1816</v>
      </c>
      <c r="L453" s="0" t="n">
        <v>2.6</v>
      </c>
      <c r="M453" s="0" t="n">
        <v>1</v>
      </c>
      <c r="N453" s="0" t="n">
        <v>2922.63</v>
      </c>
      <c r="O453" s="0" t="n">
        <v>4741.51</v>
      </c>
      <c r="P453" s="0" t="n">
        <v>966.12</v>
      </c>
      <c r="Q453" s="0" t="s">
        <v>25</v>
      </c>
      <c r="R453" s="0" t="s">
        <v>52</v>
      </c>
      <c r="S453" s="0" t="s">
        <v>222</v>
      </c>
    </row>
    <row r="454" customFormat="false" ht="15" hidden="false" customHeight="false" outlineLevel="0" collapsed="false">
      <c r="A454" s="0" t="s">
        <v>1817</v>
      </c>
      <c r="B454" s="0" t="s">
        <v>48</v>
      </c>
      <c r="C454" s="0" t="s">
        <v>198</v>
      </c>
      <c r="D454" s="0" t="s">
        <v>201</v>
      </c>
      <c r="E454" s="0" t="s">
        <v>42</v>
      </c>
      <c r="F454" s="0" t="n">
        <v>9.46</v>
      </c>
      <c r="G454" s="0" t="s">
        <v>261</v>
      </c>
      <c r="H454" s="0" t="s">
        <v>884</v>
      </c>
      <c r="I454" s="0" t="s">
        <v>1370</v>
      </c>
      <c r="J454" s="0" t="s">
        <v>1818</v>
      </c>
      <c r="K454" s="0" t="s">
        <v>1819</v>
      </c>
      <c r="L454" s="0" t="n">
        <v>1.3</v>
      </c>
      <c r="M454" s="0" t="n">
        <v>1</v>
      </c>
      <c r="N454" s="0" t="n">
        <v>4195.46</v>
      </c>
      <c r="O454" s="0" t="n">
        <v>1238.35</v>
      </c>
      <c r="P454" s="0" t="n">
        <v>1104.36</v>
      </c>
      <c r="Q454" s="0" t="s">
        <v>24</v>
      </c>
      <c r="R454" s="0" t="s">
        <v>52</v>
      </c>
      <c r="S454" s="0" t="s">
        <v>254</v>
      </c>
    </row>
    <row r="455" customFormat="false" ht="15" hidden="false" customHeight="false" outlineLevel="0" collapsed="false">
      <c r="A455" s="0" t="s">
        <v>1820</v>
      </c>
      <c r="B455" s="0" t="s">
        <v>47</v>
      </c>
      <c r="C455" s="0" t="s">
        <v>199</v>
      </c>
      <c r="D455" s="0" t="s">
        <v>198</v>
      </c>
      <c r="E455" s="0" t="s">
        <v>44</v>
      </c>
      <c r="F455" s="0" t="n">
        <v>15.51</v>
      </c>
      <c r="G455" s="0" t="s">
        <v>933</v>
      </c>
      <c r="H455" s="0" t="s">
        <v>624</v>
      </c>
      <c r="I455" s="0" t="s">
        <v>570</v>
      </c>
      <c r="J455" s="0" t="s">
        <v>1821</v>
      </c>
      <c r="K455" s="0" t="s">
        <v>1822</v>
      </c>
      <c r="L455" s="0" t="n">
        <v>1.9</v>
      </c>
      <c r="M455" s="0" t="n">
        <v>1</v>
      </c>
      <c r="N455" s="0" t="n">
        <v>5669.9</v>
      </c>
      <c r="O455" s="0" t="n">
        <v>1571.84</v>
      </c>
      <c r="P455" s="0" t="n">
        <v>1242.29</v>
      </c>
      <c r="Q455" s="0" t="s">
        <v>25</v>
      </c>
      <c r="R455" s="0" t="s">
        <v>51</v>
      </c>
      <c r="S455" s="0" t="s">
        <v>254</v>
      </c>
    </row>
    <row r="456" customFormat="false" ht="15" hidden="false" customHeight="false" outlineLevel="0" collapsed="false">
      <c r="A456" s="0" t="s">
        <v>1823</v>
      </c>
      <c r="B456" s="0" t="s">
        <v>47</v>
      </c>
      <c r="C456" s="0" t="s">
        <v>203</v>
      </c>
      <c r="D456" s="0" t="s">
        <v>198</v>
      </c>
      <c r="E456" s="0" t="s">
        <v>42</v>
      </c>
      <c r="F456" s="0" t="n">
        <v>5.64</v>
      </c>
      <c r="G456" s="0" t="s">
        <v>681</v>
      </c>
      <c r="H456" s="0" t="s">
        <v>267</v>
      </c>
      <c r="I456" s="0" t="s">
        <v>993</v>
      </c>
      <c r="J456" s="0" t="s">
        <v>1824</v>
      </c>
      <c r="K456" s="0" t="s">
        <v>871</v>
      </c>
      <c r="L456" s="0" t="n">
        <v>-0.5</v>
      </c>
      <c r="M456" s="0" t="n">
        <v>0</v>
      </c>
      <c r="N456" s="0" t="n">
        <v>2516.49</v>
      </c>
      <c r="O456" s="0" t="n">
        <v>1284.62</v>
      </c>
      <c r="P456" s="0" t="n">
        <v>1073.87</v>
      </c>
      <c r="Q456" s="0" t="s">
        <v>22</v>
      </c>
      <c r="R456" s="0" t="s">
        <v>51</v>
      </c>
      <c r="S456" s="0" t="s">
        <v>247</v>
      </c>
    </row>
    <row r="457" customFormat="false" ht="15" hidden="false" customHeight="false" outlineLevel="0" collapsed="false">
      <c r="A457" s="0" t="s">
        <v>1825</v>
      </c>
      <c r="B457" s="0" t="s">
        <v>48</v>
      </c>
      <c r="C457" s="0" t="s">
        <v>198</v>
      </c>
      <c r="D457" s="0" t="s">
        <v>204</v>
      </c>
      <c r="E457" s="0" t="s">
        <v>43</v>
      </c>
      <c r="F457" s="0" t="n">
        <v>11.75</v>
      </c>
      <c r="G457" s="0" t="s">
        <v>300</v>
      </c>
      <c r="H457" s="0" t="s">
        <v>1799</v>
      </c>
      <c r="I457" s="0" t="s">
        <v>1303</v>
      </c>
      <c r="J457" s="0" t="s">
        <v>1826</v>
      </c>
      <c r="K457" s="0" t="s">
        <v>743</v>
      </c>
      <c r="L457" s="0" t="n">
        <v>0.1</v>
      </c>
      <c r="M457" s="0" t="n">
        <v>1</v>
      </c>
      <c r="N457" s="0" t="n">
        <v>3058.92</v>
      </c>
      <c r="O457" s="0" t="n">
        <v>1176.26</v>
      </c>
      <c r="P457" s="0" t="n">
        <v>685.28</v>
      </c>
      <c r="Q457" s="0" t="s">
        <v>21</v>
      </c>
      <c r="R457" s="0" t="s">
        <v>52</v>
      </c>
      <c r="S457" s="0" t="s">
        <v>272</v>
      </c>
    </row>
    <row r="458" customFormat="false" ht="15" hidden="false" customHeight="false" outlineLevel="0" collapsed="false">
      <c r="A458" s="0" t="s">
        <v>1827</v>
      </c>
      <c r="B458" s="0" t="s">
        <v>47</v>
      </c>
      <c r="C458" s="0" t="s">
        <v>209</v>
      </c>
      <c r="D458" s="0" t="s">
        <v>198</v>
      </c>
      <c r="E458" s="0" t="s">
        <v>44</v>
      </c>
      <c r="F458" s="0" t="n">
        <v>11.28</v>
      </c>
      <c r="G458" s="0" t="s">
        <v>620</v>
      </c>
      <c r="H458" s="0" t="s">
        <v>701</v>
      </c>
      <c r="I458" s="0" t="s">
        <v>866</v>
      </c>
      <c r="J458" s="0" t="s">
        <v>1828</v>
      </c>
      <c r="K458" s="0" t="s">
        <v>1829</v>
      </c>
      <c r="L458" s="0" t="n">
        <v>-1</v>
      </c>
      <c r="M458" s="0" t="n">
        <v>0</v>
      </c>
      <c r="N458" s="0" t="n">
        <v>3232.03</v>
      </c>
      <c r="O458" s="0" t="n">
        <v>1507.78</v>
      </c>
      <c r="P458" s="0" t="n">
        <v>623.28</v>
      </c>
      <c r="Q458" s="0" t="s">
        <v>21</v>
      </c>
      <c r="R458" s="0" t="s">
        <v>52</v>
      </c>
      <c r="S458" s="0" t="s">
        <v>254</v>
      </c>
    </row>
    <row r="459" customFormat="false" ht="15" hidden="false" customHeight="false" outlineLevel="0" collapsed="false">
      <c r="A459" s="0" t="s">
        <v>1830</v>
      </c>
      <c r="B459" s="0" t="s">
        <v>48</v>
      </c>
      <c r="C459" s="0" t="s">
        <v>198</v>
      </c>
      <c r="D459" s="0" t="s">
        <v>207</v>
      </c>
      <c r="E459" s="0" t="s">
        <v>44</v>
      </c>
      <c r="F459" s="0" t="n">
        <v>10.85</v>
      </c>
      <c r="G459" s="0" t="s">
        <v>305</v>
      </c>
      <c r="H459" s="0" t="s">
        <v>515</v>
      </c>
      <c r="I459" s="0" t="s">
        <v>854</v>
      </c>
      <c r="J459" s="0" t="s">
        <v>1831</v>
      </c>
      <c r="K459" s="0" t="s">
        <v>1832</v>
      </c>
      <c r="L459" s="0" t="n">
        <v>8.8</v>
      </c>
      <c r="M459" s="0" t="n">
        <v>1</v>
      </c>
      <c r="N459" s="0" t="n">
        <v>7903.4</v>
      </c>
      <c r="O459" s="0" t="n">
        <v>1570.23</v>
      </c>
      <c r="P459" s="0" t="n">
        <v>882.14</v>
      </c>
      <c r="Q459" s="0" t="s">
        <v>21</v>
      </c>
      <c r="R459" s="0" t="s">
        <v>52</v>
      </c>
      <c r="S459" s="0" t="s">
        <v>272</v>
      </c>
    </row>
    <row r="460" customFormat="false" ht="15" hidden="false" customHeight="false" outlineLevel="0" collapsed="false">
      <c r="A460" s="0" t="s">
        <v>1833</v>
      </c>
      <c r="B460" s="0" t="s">
        <v>47</v>
      </c>
      <c r="C460" s="0" t="s">
        <v>203</v>
      </c>
      <c r="D460" s="0" t="s">
        <v>198</v>
      </c>
      <c r="E460" s="0" t="s">
        <v>44</v>
      </c>
      <c r="F460" s="0" t="n">
        <v>11.54</v>
      </c>
      <c r="G460" s="0" t="s">
        <v>237</v>
      </c>
      <c r="H460" s="0" t="s">
        <v>492</v>
      </c>
      <c r="I460" s="0" t="s">
        <v>550</v>
      </c>
      <c r="J460" s="0" t="s">
        <v>1834</v>
      </c>
      <c r="K460" s="0" t="s">
        <v>1835</v>
      </c>
      <c r="L460" s="0" t="n">
        <v>1.5</v>
      </c>
      <c r="M460" s="0" t="n">
        <v>1</v>
      </c>
      <c r="N460" s="0" t="n">
        <v>5958.76</v>
      </c>
      <c r="O460" s="0" t="n">
        <v>3318.48</v>
      </c>
      <c r="P460" s="0" t="n">
        <v>522.22</v>
      </c>
      <c r="Q460" s="0" t="s">
        <v>23</v>
      </c>
      <c r="R460" s="0" t="s">
        <v>52</v>
      </c>
      <c r="S460" s="0" t="s">
        <v>272</v>
      </c>
    </row>
    <row r="461" customFormat="false" ht="15" hidden="false" customHeight="false" outlineLevel="0" collapsed="false">
      <c r="A461" s="0" t="s">
        <v>1836</v>
      </c>
      <c r="B461" s="0" t="s">
        <v>48</v>
      </c>
      <c r="C461" s="0" t="s">
        <v>198</v>
      </c>
      <c r="D461" s="0" t="s">
        <v>208</v>
      </c>
      <c r="E461" s="0" t="s">
        <v>43</v>
      </c>
      <c r="F461" s="0" t="n">
        <v>19.78</v>
      </c>
      <c r="G461" s="0" t="s">
        <v>511</v>
      </c>
      <c r="H461" s="0" t="s">
        <v>435</v>
      </c>
      <c r="I461" s="0" t="s">
        <v>581</v>
      </c>
      <c r="J461" s="0" t="s">
        <v>1837</v>
      </c>
      <c r="K461" s="0" t="s">
        <v>1838</v>
      </c>
      <c r="L461" s="0" t="n">
        <v>0.7</v>
      </c>
      <c r="M461" s="0" t="n">
        <v>1</v>
      </c>
      <c r="N461" s="0" t="n">
        <v>4982.2</v>
      </c>
      <c r="O461" s="0" t="n">
        <v>3470.12</v>
      </c>
      <c r="P461" s="0" t="n">
        <v>707.78</v>
      </c>
      <c r="Q461" s="0" t="s">
        <v>21</v>
      </c>
      <c r="R461" s="0" t="s">
        <v>51</v>
      </c>
      <c r="S461" s="0" t="s">
        <v>222</v>
      </c>
    </row>
    <row r="462" customFormat="false" ht="15" hidden="false" customHeight="false" outlineLevel="0" collapsed="false">
      <c r="A462" s="0" t="s">
        <v>1839</v>
      </c>
      <c r="B462" s="0" t="s">
        <v>48</v>
      </c>
      <c r="C462" s="0" t="s">
        <v>198</v>
      </c>
      <c r="D462" s="0" t="s">
        <v>199</v>
      </c>
      <c r="E462" s="0" t="s">
        <v>42</v>
      </c>
      <c r="F462" s="0" t="n">
        <v>12.17</v>
      </c>
      <c r="G462" s="0" t="s">
        <v>280</v>
      </c>
      <c r="H462" s="0" t="s">
        <v>281</v>
      </c>
      <c r="I462" s="0" t="s">
        <v>1108</v>
      </c>
      <c r="J462" s="0" t="s">
        <v>1840</v>
      </c>
      <c r="K462" s="0" t="s">
        <v>1841</v>
      </c>
      <c r="L462" s="0" t="n">
        <v>1.5</v>
      </c>
      <c r="M462" s="0" t="n">
        <v>1</v>
      </c>
      <c r="N462" s="0" t="n">
        <v>8062.68</v>
      </c>
      <c r="O462" s="0" t="n">
        <v>2299.69</v>
      </c>
      <c r="P462" s="0" t="n">
        <v>1187.3</v>
      </c>
      <c r="Q462" s="0" t="s">
        <v>25</v>
      </c>
      <c r="R462" s="0" t="s">
        <v>51</v>
      </c>
      <c r="S462" s="0" t="s">
        <v>247</v>
      </c>
    </row>
    <row r="463" customFormat="false" ht="15" hidden="false" customHeight="false" outlineLevel="0" collapsed="false">
      <c r="A463" s="0" t="s">
        <v>1842</v>
      </c>
      <c r="B463" s="0" t="s">
        <v>47</v>
      </c>
      <c r="C463" s="0" t="s">
        <v>203</v>
      </c>
      <c r="D463" s="0" t="s">
        <v>198</v>
      </c>
      <c r="E463" s="0" t="s">
        <v>43</v>
      </c>
      <c r="F463" s="0" t="n">
        <v>19.27</v>
      </c>
      <c r="G463" s="0" t="s">
        <v>731</v>
      </c>
      <c r="H463" s="0" t="s">
        <v>1051</v>
      </c>
      <c r="I463" s="0" t="s">
        <v>402</v>
      </c>
      <c r="J463" s="0" t="s">
        <v>1843</v>
      </c>
      <c r="K463" s="0" t="s">
        <v>1844</v>
      </c>
      <c r="L463" s="0" t="n">
        <v>0.9</v>
      </c>
      <c r="M463" s="0" t="n">
        <v>1</v>
      </c>
      <c r="N463" s="0" t="n">
        <v>11217.19</v>
      </c>
      <c r="O463" s="0" t="n">
        <v>1066.7</v>
      </c>
      <c r="P463" s="0" t="n">
        <v>694.77</v>
      </c>
      <c r="Q463" s="0" t="s">
        <v>24</v>
      </c>
      <c r="R463" s="0" t="s">
        <v>51</v>
      </c>
      <c r="S463" s="0" t="s">
        <v>222</v>
      </c>
    </row>
    <row r="464" customFormat="false" ht="15" hidden="false" customHeight="false" outlineLevel="0" collapsed="false">
      <c r="A464" s="0" t="s">
        <v>1845</v>
      </c>
      <c r="B464" s="0" t="s">
        <v>48</v>
      </c>
      <c r="C464" s="0" t="s">
        <v>198</v>
      </c>
      <c r="D464" s="0" t="s">
        <v>212</v>
      </c>
      <c r="E464" s="0" t="s">
        <v>44</v>
      </c>
      <c r="F464" s="0" t="n">
        <v>16.4</v>
      </c>
      <c r="G464" s="0" t="s">
        <v>846</v>
      </c>
      <c r="H464" s="0" t="s">
        <v>310</v>
      </c>
      <c r="I464" s="0" t="s">
        <v>784</v>
      </c>
      <c r="J464" s="0" t="s">
        <v>1846</v>
      </c>
      <c r="K464" s="0" t="s">
        <v>1847</v>
      </c>
      <c r="L464" s="0" t="n">
        <v>3.3</v>
      </c>
      <c r="M464" s="0" t="n">
        <v>1</v>
      </c>
      <c r="N464" s="0" t="n">
        <v>7602.49</v>
      </c>
      <c r="O464" s="0" t="n">
        <v>4560.55</v>
      </c>
      <c r="P464" s="0" t="n">
        <v>1152.28</v>
      </c>
      <c r="Q464" s="0" t="s">
        <v>23</v>
      </c>
      <c r="R464" s="0" t="s">
        <v>51</v>
      </c>
      <c r="S464" s="0" t="s">
        <v>254</v>
      </c>
    </row>
    <row r="465" customFormat="false" ht="15" hidden="false" customHeight="false" outlineLevel="0" collapsed="false">
      <c r="A465" s="0" t="s">
        <v>1848</v>
      </c>
      <c r="B465" s="0" t="s">
        <v>47</v>
      </c>
      <c r="C465" s="0" t="s">
        <v>203</v>
      </c>
      <c r="D465" s="0" t="s">
        <v>198</v>
      </c>
      <c r="E465" s="0" t="s">
        <v>43</v>
      </c>
      <c r="F465" s="0" t="n">
        <v>9.73</v>
      </c>
      <c r="G465" s="0" t="s">
        <v>850</v>
      </c>
      <c r="H465" s="0" t="s">
        <v>424</v>
      </c>
      <c r="I465" s="0" t="s">
        <v>831</v>
      </c>
      <c r="J465" s="0" t="s">
        <v>1849</v>
      </c>
      <c r="K465" s="0" t="s">
        <v>1850</v>
      </c>
      <c r="L465" s="0" t="n">
        <v>3.4</v>
      </c>
      <c r="M465" s="0" t="n">
        <v>1</v>
      </c>
      <c r="N465" s="0" t="n">
        <v>3876.47</v>
      </c>
      <c r="O465" s="0" t="n">
        <v>4075.68</v>
      </c>
      <c r="P465" s="0" t="n">
        <v>1494.08</v>
      </c>
      <c r="Q465" s="0" t="s">
        <v>25</v>
      </c>
      <c r="R465" s="0" t="s">
        <v>51</v>
      </c>
      <c r="S465" s="0" t="s">
        <v>247</v>
      </c>
    </row>
    <row r="466" customFormat="false" ht="15" hidden="false" customHeight="false" outlineLevel="0" collapsed="false">
      <c r="A466" s="0" t="s">
        <v>1851</v>
      </c>
      <c r="B466" s="0" t="s">
        <v>48</v>
      </c>
      <c r="C466" s="0" t="s">
        <v>198</v>
      </c>
      <c r="D466" s="0" t="s">
        <v>208</v>
      </c>
      <c r="E466" s="0" t="s">
        <v>42</v>
      </c>
      <c r="F466" s="0" t="n">
        <v>1.21</v>
      </c>
      <c r="G466" s="0" t="s">
        <v>731</v>
      </c>
      <c r="H466" s="0" t="s">
        <v>982</v>
      </c>
      <c r="I466" s="0" t="s">
        <v>403</v>
      </c>
      <c r="J466" s="0" t="s">
        <v>1852</v>
      </c>
      <c r="K466" s="0" t="s">
        <v>733</v>
      </c>
      <c r="L466" s="0" t="n">
        <v>0.3</v>
      </c>
      <c r="M466" s="0" t="n">
        <v>1</v>
      </c>
      <c r="N466" s="0" t="n">
        <v>1549.28</v>
      </c>
      <c r="O466" s="0" t="n">
        <v>2431.24</v>
      </c>
      <c r="P466" s="0" t="n">
        <v>1093.78</v>
      </c>
      <c r="Q466" s="0" t="s">
        <v>23</v>
      </c>
      <c r="R466" s="0" t="s">
        <v>51</v>
      </c>
      <c r="S466" s="0" t="s">
        <v>247</v>
      </c>
    </row>
    <row r="467" customFormat="false" ht="15" hidden="false" customHeight="false" outlineLevel="0" collapsed="false">
      <c r="A467" s="0" t="s">
        <v>1853</v>
      </c>
      <c r="B467" s="0" t="s">
        <v>47</v>
      </c>
      <c r="C467" s="0" t="s">
        <v>203</v>
      </c>
      <c r="D467" s="0" t="s">
        <v>198</v>
      </c>
      <c r="E467" s="0" t="s">
        <v>43</v>
      </c>
      <c r="F467" s="0" t="n">
        <v>11.94</v>
      </c>
      <c r="G467" s="0" t="s">
        <v>414</v>
      </c>
      <c r="H467" s="0" t="s">
        <v>468</v>
      </c>
      <c r="I467" s="0" t="s">
        <v>415</v>
      </c>
      <c r="J467" s="0" t="s">
        <v>1854</v>
      </c>
      <c r="K467" s="0" t="s">
        <v>1855</v>
      </c>
      <c r="L467" s="0" t="n">
        <v>-1</v>
      </c>
      <c r="M467" s="0" t="n">
        <v>0</v>
      </c>
      <c r="N467" s="0" t="n">
        <v>3556.97</v>
      </c>
      <c r="O467" s="0" t="n">
        <v>4309.99</v>
      </c>
      <c r="P467" s="0" t="n">
        <v>754.54</v>
      </c>
      <c r="Q467" s="0" t="s">
        <v>21</v>
      </c>
      <c r="R467" s="0" t="s">
        <v>52</v>
      </c>
      <c r="S467" s="0" t="s">
        <v>228</v>
      </c>
    </row>
    <row r="468" customFormat="false" ht="15" hidden="false" customHeight="false" outlineLevel="0" collapsed="false">
      <c r="A468" s="0" t="s">
        <v>1856</v>
      </c>
      <c r="B468" s="0" t="s">
        <v>48</v>
      </c>
      <c r="C468" s="0" t="s">
        <v>198</v>
      </c>
      <c r="D468" s="0" t="s">
        <v>213</v>
      </c>
      <c r="E468" s="0" t="s">
        <v>42</v>
      </c>
      <c r="F468" s="0" t="n">
        <v>9.99</v>
      </c>
      <c r="G468" s="0" t="s">
        <v>511</v>
      </c>
      <c r="H468" s="0" t="s">
        <v>387</v>
      </c>
      <c r="I468" s="0" t="s">
        <v>236</v>
      </c>
      <c r="J468" s="0" t="s">
        <v>1857</v>
      </c>
      <c r="K468" s="0" t="s">
        <v>1858</v>
      </c>
      <c r="L468" s="0" t="n">
        <v>3.8</v>
      </c>
      <c r="M468" s="0" t="n">
        <v>1</v>
      </c>
      <c r="N468" s="0" t="n">
        <v>4155.44</v>
      </c>
      <c r="O468" s="0" t="n">
        <v>1522.02</v>
      </c>
      <c r="P468" s="0" t="n">
        <v>940.54</v>
      </c>
      <c r="Q468" s="0" t="s">
        <v>24</v>
      </c>
      <c r="R468" s="0" t="s">
        <v>52</v>
      </c>
      <c r="S468" s="0" t="s">
        <v>228</v>
      </c>
    </row>
    <row r="469" customFormat="false" ht="15" hidden="false" customHeight="false" outlineLevel="0" collapsed="false">
      <c r="A469" s="0" t="s">
        <v>1859</v>
      </c>
      <c r="B469" s="0" t="s">
        <v>47</v>
      </c>
      <c r="C469" s="0" t="s">
        <v>205</v>
      </c>
      <c r="D469" s="0" t="s">
        <v>198</v>
      </c>
      <c r="E469" s="0" t="s">
        <v>44</v>
      </c>
      <c r="F469" s="0" t="n">
        <v>7.03</v>
      </c>
      <c r="G469" s="0" t="s">
        <v>1270</v>
      </c>
      <c r="H469" s="0" t="s">
        <v>614</v>
      </c>
      <c r="I469" s="0" t="s">
        <v>1304</v>
      </c>
      <c r="J469" s="0" t="s">
        <v>1860</v>
      </c>
      <c r="K469" s="0" t="s">
        <v>1861</v>
      </c>
      <c r="L469" s="0" t="n">
        <v>7.3</v>
      </c>
      <c r="M469" s="0" t="n">
        <v>1</v>
      </c>
      <c r="N469" s="0" t="n">
        <v>2856.55</v>
      </c>
      <c r="O469" s="0" t="n">
        <v>2662.06</v>
      </c>
      <c r="P469" s="0" t="n">
        <v>1408.02</v>
      </c>
      <c r="Q469" s="0" t="s">
        <v>22</v>
      </c>
      <c r="R469" s="0" t="s">
        <v>51</v>
      </c>
      <c r="S469" s="0" t="s">
        <v>247</v>
      </c>
    </row>
    <row r="470" customFormat="false" ht="15" hidden="false" customHeight="false" outlineLevel="0" collapsed="false">
      <c r="A470" s="0" t="s">
        <v>1862</v>
      </c>
      <c r="B470" s="0" t="s">
        <v>48</v>
      </c>
      <c r="C470" s="0" t="s">
        <v>198</v>
      </c>
      <c r="D470" s="0" t="s">
        <v>208</v>
      </c>
      <c r="E470" s="0" t="s">
        <v>42</v>
      </c>
      <c r="F470" s="0" t="n">
        <v>5.61</v>
      </c>
      <c r="G470" s="0" t="s">
        <v>320</v>
      </c>
      <c r="H470" s="0" t="s">
        <v>454</v>
      </c>
      <c r="I470" s="0" t="s">
        <v>789</v>
      </c>
      <c r="J470" s="0" t="s">
        <v>1863</v>
      </c>
      <c r="K470" s="0" t="s">
        <v>1864</v>
      </c>
      <c r="L470" s="0" t="n">
        <v>-0.7</v>
      </c>
      <c r="M470" s="0" t="n">
        <v>0</v>
      </c>
      <c r="N470" s="0" t="n">
        <v>3501.06</v>
      </c>
      <c r="O470" s="0" t="n">
        <v>1501.5</v>
      </c>
      <c r="P470" s="0" t="n">
        <v>753.61</v>
      </c>
      <c r="Q470" s="0" t="s">
        <v>25</v>
      </c>
      <c r="R470" s="0" t="s">
        <v>52</v>
      </c>
      <c r="S470" s="0" t="s">
        <v>272</v>
      </c>
    </row>
    <row r="471" customFormat="false" ht="15" hidden="false" customHeight="false" outlineLevel="0" collapsed="false">
      <c r="A471" s="0" t="s">
        <v>1865</v>
      </c>
      <c r="B471" s="0" t="s">
        <v>47</v>
      </c>
      <c r="C471" s="0" t="s">
        <v>199</v>
      </c>
      <c r="D471" s="0" t="s">
        <v>198</v>
      </c>
      <c r="E471" s="0" t="s">
        <v>43</v>
      </c>
      <c r="F471" s="0" t="n">
        <v>13.2</v>
      </c>
      <c r="G471" s="0" t="s">
        <v>517</v>
      </c>
      <c r="H471" s="0" t="s">
        <v>310</v>
      </c>
      <c r="I471" s="0" t="s">
        <v>380</v>
      </c>
      <c r="J471" s="0" t="s">
        <v>1866</v>
      </c>
      <c r="K471" s="0" t="s">
        <v>1867</v>
      </c>
      <c r="L471" s="0" t="n">
        <v>1.8</v>
      </c>
      <c r="M471" s="0" t="n">
        <v>1</v>
      </c>
      <c r="N471" s="0" t="n">
        <v>8728.42</v>
      </c>
      <c r="O471" s="0" t="n">
        <v>4240.64</v>
      </c>
      <c r="P471" s="0" t="n">
        <v>929.67</v>
      </c>
      <c r="Q471" s="0" t="s">
        <v>21</v>
      </c>
      <c r="R471" s="0" t="s">
        <v>51</v>
      </c>
      <c r="S471" s="0" t="s">
        <v>228</v>
      </c>
    </row>
    <row r="472" customFormat="false" ht="15" hidden="false" customHeight="false" outlineLevel="0" collapsed="false">
      <c r="A472" s="0" t="s">
        <v>1868</v>
      </c>
      <c r="B472" s="0" t="s">
        <v>47</v>
      </c>
      <c r="C472" s="0" t="s">
        <v>206</v>
      </c>
      <c r="D472" s="0" t="s">
        <v>198</v>
      </c>
      <c r="E472" s="0" t="s">
        <v>43</v>
      </c>
      <c r="F472" s="0" t="n">
        <v>15.25</v>
      </c>
      <c r="G472" s="0" t="s">
        <v>1270</v>
      </c>
      <c r="H472" s="0" t="s">
        <v>1139</v>
      </c>
      <c r="I472" s="0" t="s">
        <v>407</v>
      </c>
      <c r="J472" s="0" t="s">
        <v>1869</v>
      </c>
      <c r="K472" s="0" t="s">
        <v>1870</v>
      </c>
      <c r="L472" s="0" t="n">
        <v>0.8</v>
      </c>
      <c r="M472" s="0" t="n">
        <v>1</v>
      </c>
      <c r="N472" s="0" t="n">
        <v>5254.42</v>
      </c>
      <c r="O472" s="0" t="n">
        <v>3220.54</v>
      </c>
      <c r="P472" s="0" t="n">
        <v>1087.99</v>
      </c>
      <c r="Q472" s="0" t="s">
        <v>22</v>
      </c>
      <c r="R472" s="0" t="s">
        <v>52</v>
      </c>
      <c r="S472" s="0" t="s">
        <v>254</v>
      </c>
    </row>
    <row r="473" customFormat="false" ht="15" hidden="false" customHeight="false" outlineLevel="0" collapsed="false">
      <c r="A473" s="0" t="s">
        <v>1871</v>
      </c>
      <c r="B473" s="0" t="s">
        <v>47</v>
      </c>
      <c r="C473" s="0" t="s">
        <v>206</v>
      </c>
      <c r="D473" s="0" t="s">
        <v>198</v>
      </c>
      <c r="E473" s="0" t="s">
        <v>42</v>
      </c>
      <c r="F473" s="0" t="n">
        <v>9.1</v>
      </c>
      <c r="G473" s="0" t="s">
        <v>231</v>
      </c>
      <c r="H473" s="0" t="s">
        <v>268</v>
      </c>
      <c r="I473" s="0" t="s">
        <v>269</v>
      </c>
      <c r="J473" s="0" t="s">
        <v>1872</v>
      </c>
      <c r="K473" s="0" t="s">
        <v>1873</v>
      </c>
      <c r="L473" s="0" t="n">
        <v>0.8</v>
      </c>
      <c r="M473" s="0" t="n">
        <v>1</v>
      </c>
      <c r="N473" s="0" t="n">
        <v>4021.77</v>
      </c>
      <c r="O473" s="0" t="n">
        <v>2133.14</v>
      </c>
      <c r="P473" s="0" t="n">
        <v>900.31</v>
      </c>
      <c r="Q473" s="0" t="s">
        <v>25</v>
      </c>
      <c r="R473" s="0" t="s">
        <v>51</v>
      </c>
      <c r="S473" s="0" t="s">
        <v>254</v>
      </c>
    </row>
    <row r="474" customFormat="false" ht="15" hidden="false" customHeight="false" outlineLevel="0" collapsed="false">
      <c r="A474" s="0" t="s">
        <v>1874</v>
      </c>
      <c r="B474" s="0" t="s">
        <v>47</v>
      </c>
      <c r="C474" s="0" t="s">
        <v>209</v>
      </c>
      <c r="D474" s="0" t="s">
        <v>198</v>
      </c>
      <c r="E474" s="0" t="s">
        <v>44</v>
      </c>
      <c r="F474" s="0" t="n">
        <v>16.43</v>
      </c>
      <c r="G474" s="0" t="s">
        <v>261</v>
      </c>
      <c r="H474" s="0" t="s">
        <v>1417</v>
      </c>
      <c r="I474" s="0" t="s">
        <v>1625</v>
      </c>
      <c r="J474" s="0" t="s">
        <v>1875</v>
      </c>
      <c r="K474" s="0" t="s">
        <v>1876</v>
      </c>
      <c r="L474" s="0" t="n">
        <v>-1</v>
      </c>
      <c r="M474" s="0" t="n">
        <v>0</v>
      </c>
      <c r="N474" s="0" t="n">
        <v>3980.27</v>
      </c>
      <c r="O474" s="0" t="n">
        <v>4544.69</v>
      </c>
      <c r="P474" s="0" t="n">
        <v>958.52</v>
      </c>
      <c r="Q474" s="0" t="s">
        <v>24</v>
      </c>
      <c r="R474" s="0" t="s">
        <v>51</v>
      </c>
      <c r="S474" s="0" t="s">
        <v>247</v>
      </c>
    </row>
    <row r="475" customFormat="false" ht="15" hidden="false" customHeight="false" outlineLevel="0" collapsed="false">
      <c r="A475" s="0" t="s">
        <v>1877</v>
      </c>
      <c r="B475" s="0" t="s">
        <v>48</v>
      </c>
      <c r="C475" s="0" t="s">
        <v>198</v>
      </c>
      <c r="D475" s="0" t="s">
        <v>204</v>
      </c>
      <c r="E475" s="0" t="s">
        <v>43</v>
      </c>
      <c r="F475" s="0" t="n">
        <v>11.73</v>
      </c>
      <c r="G475" s="0" t="s">
        <v>866</v>
      </c>
      <c r="H475" s="0" t="s">
        <v>867</v>
      </c>
      <c r="I475" s="0" t="s">
        <v>1064</v>
      </c>
      <c r="J475" s="0" t="s">
        <v>1878</v>
      </c>
      <c r="K475" s="0" t="s">
        <v>1879</v>
      </c>
      <c r="L475" s="0" t="n">
        <v>-1</v>
      </c>
      <c r="M475" s="0" t="n">
        <v>0</v>
      </c>
      <c r="N475" s="0" t="n">
        <v>8938.72</v>
      </c>
      <c r="O475" s="0" t="n">
        <v>2148.88</v>
      </c>
      <c r="P475" s="0" t="n">
        <v>1379.75</v>
      </c>
      <c r="Q475" s="0" t="s">
        <v>25</v>
      </c>
      <c r="R475" s="0" t="s">
        <v>52</v>
      </c>
      <c r="S475" s="0" t="s">
        <v>228</v>
      </c>
    </row>
    <row r="476" customFormat="false" ht="15" hidden="false" customHeight="false" outlineLevel="0" collapsed="false">
      <c r="A476" s="0" t="s">
        <v>1880</v>
      </c>
      <c r="B476" s="0" t="s">
        <v>47</v>
      </c>
      <c r="C476" s="0" t="s">
        <v>203</v>
      </c>
      <c r="D476" s="0" t="s">
        <v>198</v>
      </c>
      <c r="E476" s="0" t="s">
        <v>44</v>
      </c>
      <c r="F476" s="0" t="n">
        <v>1.94</v>
      </c>
      <c r="G476" s="0" t="s">
        <v>488</v>
      </c>
      <c r="H476" s="0" t="s">
        <v>305</v>
      </c>
      <c r="I476" s="0" t="s">
        <v>854</v>
      </c>
      <c r="J476" s="0" t="s">
        <v>1881</v>
      </c>
      <c r="K476" s="0" t="s">
        <v>1882</v>
      </c>
      <c r="L476" s="0" t="n">
        <v>-1</v>
      </c>
      <c r="M476" s="0" t="n">
        <v>0</v>
      </c>
      <c r="N476" s="0" t="n">
        <v>2436.47</v>
      </c>
      <c r="O476" s="0" t="n">
        <v>2250.39</v>
      </c>
      <c r="P476" s="0" t="n">
        <v>910.68</v>
      </c>
      <c r="Q476" s="0" t="s">
        <v>24</v>
      </c>
      <c r="R476" s="0" t="s">
        <v>52</v>
      </c>
      <c r="S476" s="0" t="s">
        <v>254</v>
      </c>
    </row>
    <row r="477" customFormat="false" ht="15" hidden="false" customHeight="false" outlineLevel="0" collapsed="false">
      <c r="A477" s="0" t="s">
        <v>1883</v>
      </c>
      <c r="B477" s="0" t="s">
        <v>47</v>
      </c>
      <c r="C477" s="0" t="s">
        <v>199</v>
      </c>
      <c r="D477" s="0" t="s">
        <v>198</v>
      </c>
      <c r="E477" s="0" t="s">
        <v>42</v>
      </c>
      <c r="F477" s="0" t="n">
        <v>4.98</v>
      </c>
      <c r="G477" s="0" t="s">
        <v>256</v>
      </c>
      <c r="H477" s="0" t="s">
        <v>496</v>
      </c>
      <c r="I477" s="0" t="s">
        <v>1360</v>
      </c>
      <c r="J477" s="0" t="s">
        <v>1884</v>
      </c>
      <c r="K477" s="0" t="s">
        <v>1885</v>
      </c>
      <c r="L477" s="0" t="n">
        <v>-1</v>
      </c>
      <c r="M477" s="0" t="n">
        <v>0</v>
      </c>
      <c r="N477" s="0" t="n">
        <v>3628.67</v>
      </c>
      <c r="O477" s="0" t="n">
        <v>1605.48</v>
      </c>
      <c r="P477" s="0" t="n">
        <v>651.89</v>
      </c>
      <c r="Q477" s="0" t="s">
        <v>23</v>
      </c>
      <c r="R477" s="0" t="s">
        <v>51</v>
      </c>
      <c r="S477" s="0" t="s">
        <v>247</v>
      </c>
    </row>
    <row r="478" customFormat="false" ht="15" hidden="false" customHeight="false" outlineLevel="0" collapsed="false">
      <c r="A478" s="0" t="s">
        <v>1886</v>
      </c>
      <c r="B478" s="0" t="s">
        <v>47</v>
      </c>
      <c r="C478" s="0" t="s">
        <v>209</v>
      </c>
      <c r="D478" s="0" t="s">
        <v>198</v>
      </c>
      <c r="E478" s="0" t="s">
        <v>42</v>
      </c>
      <c r="F478" s="0" t="n">
        <v>7.24</v>
      </c>
      <c r="G478" s="0" t="s">
        <v>435</v>
      </c>
      <c r="H478" s="0" t="s">
        <v>392</v>
      </c>
      <c r="I478" s="0" t="s">
        <v>236</v>
      </c>
      <c r="J478" s="0" t="s">
        <v>1887</v>
      </c>
      <c r="K478" s="0" t="s">
        <v>1888</v>
      </c>
      <c r="L478" s="0" t="n">
        <v>3.6</v>
      </c>
      <c r="M478" s="0" t="n">
        <v>1</v>
      </c>
      <c r="N478" s="0" t="n">
        <v>4254.03</v>
      </c>
      <c r="O478" s="0" t="n">
        <v>1588.91</v>
      </c>
      <c r="P478" s="0" t="n">
        <v>706.58</v>
      </c>
      <c r="Q478" s="0" t="s">
        <v>21</v>
      </c>
      <c r="R478" s="0" t="s">
        <v>51</v>
      </c>
      <c r="S478" s="0" t="s">
        <v>254</v>
      </c>
    </row>
    <row r="479" customFormat="false" ht="15" hidden="false" customHeight="false" outlineLevel="0" collapsed="false">
      <c r="A479" s="0" t="s">
        <v>1889</v>
      </c>
      <c r="B479" s="0" t="s">
        <v>47</v>
      </c>
      <c r="C479" s="0" t="s">
        <v>203</v>
      </c>
      <c r="D479" s="0" t="s">
        <v>198</v>
      </c>
      <c r="E479" s="0" t="s">
        <v>42</v>
      </c>
      <c r="F479" s="0" t="n">
        <v>6.95</v>
      </c>
      <c r="G479" s="0" t="s">
        <v>1167</v>
      </c>
      <c r="H479" s="0" t="s">
        <v>439</v>
      </c>
      <c r="I479" s="0" t="s">
        <v>440</v>
      </c>
      <c r="J479" s="0" t="s">
        <v>1890</v>
      </c>
      <c r="K479" s="0" t="s">
        <v>1891</v>
      </c>
      <c r="L479" s="0" t="n">
        <v>6.9</v>
      </c>
      <c r="M479" s="0" t="n">
        <v>1</v>
      </c>
      <c r="N479" s="0" t="n">
        <v>5030.69</v>
      </c>
      <c r="O479" s="0" t="n">
        <v>4248.31</v>
      </c>
      <c r="P479" s="0" t="n">
        <v>1325.21</v>
      </c>
      <c r="Q479" s="0" t="s">
        <v>22</v>
      </c>
      <c r="R479" s="0" t="s">
        <v>51</v>
      </c>
      <c r="S479" s="0" t="s">
        <v>228</v>
      </c>
    </row>
    <row r="480" customFormat="false" ht="15" hidden="false" customHeight="false" outlineLevel="0" collapsed="false">
      <c r="A480" s="0" t="s">
        <v>1892</v>
      </c>
      <c r="B480" s="0" t="s">
        <v>47</v>
      </c>
      <c r="C480" s="0" t="s">
        <v>206</v>
      </c>
      <c r="D480" s="0" t="s">
        <v>198</v>
      </c>
      <c r="E480" s="0" t="s">
        <v>44</v>
      </c>
      <c r="F480" s="0" t="n">
        <v>16.11</v>
      </c>
      <c r="G480" s="0" t="s">
        <v>906</v>
      </c>
      <c r="H480" s="0" t="s">
        <v>1631</v>
      </c>
      <c r="I480" s="0" t="s">
        <v>632</v>
      </c>
      <c r="J480" s="0" t="s">
        <v>1893</v>
      </c>
      <c r="K480" s="0" t="s">
        <v>1894</v>
      </c>
      <c r="L480" s="0" t="n">
        <v>5.7</v>
      </c>
      <c r="M480" s="0" t="n">
        <v>1</v>
      </c>
      <c r="N480" s="0" t="n">
        <v>4945.4</v>
      </c>
      <c r="O480" s="0" t="n">
        <v>2944.69</v>
      </c>
      <c r="P480" s="0" t="n">
        <v>609.01</v>
      </c>
      <c r="Q480" s="0" t="s">
        <v>22</v>
      </c>
      <c r="R480" s="0" t="s">
        <v>51</v>
      </c>
      <c r="S480" s="0" t="s">
        <v>254</v>
      </c>
    </row>
    <row r="481" customFormat="false" ht="15" hidden="false" customHeight="false" outlineLevel="0" collapsed="false">
      <c r="A481" s="0" t="s">
        <v>1895</v>
      </c>
      <c r="B481" s="0" t="s">
        <v>47</v>
      </c>
      <c r="C481" s="0" t="s">
        <v>203</v>
      </c>
      <c r="D481" s="0" t="s">
        <v>198</v>
      </c>
      <c r="E481" s="0" t="s">
        <v>43</v>
      </c>
      <c r="F481" s="0" t="n">
        <v>5.72</v>
      </c>
      <c r="G481" s="0" t="s">
        <v>483</v>
      </c>
      <c r="H481" s="0" t="s">
        <v>907</v>
      </c>
      <c r="I481" s="0" t="s">
        <v>631</v>
      </c>
      <c r="J481" s="0" t="s">
        <v>909</v>
      </c>
      <c r="K481" s="0" t="s">
        <v>1896</v>
      </c>
      <c r="L481" s="0" t="n">
        <v>6.1</v>
      </c>
      <c r="M481" s="0" t="n">
        <v>1</v>
      </c>
      <c r="N481" s="0" t="n">
        <v>3731.14</v>
      </c>
      <c r="O481" s="0" t="n">
        <v>4428.92</v>
      </c>
      <c r="P481" s="0" t="n">
        <v>1264.65</v>
      </c>
      <c r="Q481" s="0" t="s">
        <v>25</v>
      </c>
      <c r="R481" s="0" t="s">
        <v>52</v>
      </c>
      <c r="S481" s="0" t="s">
        <v>272</v>
      </c>
    </row>
    <row r="482" customFormat="false" ht="15" hidden="false" customHeight="false" outlineLevel="0" collapsed="false">
      <c r="A482" s="0" t="s">
        <v>1897</v>
      </c>
      <c r="B482" s="0" t="s">
        <v>47</v>
      </c>
      <c r="C482" s="0" t="s">
        <v>205</v>
      </c>
      <c r="D482" s="0" t="s">
        <v>198</v>
      </c>
      <c r="E482" s="0" t="s">
        <v>43</v>
      </c>
      <c r="F482" s="0" t="n">
        <v>3.79</v>
      </c>
      <c r="G482" s="0" t="s">
        <v>1064</v>
      </c>
      <c r="H482" s="0" t="s">
        <v>426</v>
      </c>
      <c r="I482" s="0" t="s">
        <v>462</v>
      </c>
      <c r="J482" s="0" t="s">
        <v>1898</v>
      </c>
      <c r="K482" s="0" t="s">
        <v>1899</v>
      </c>
      <c r="L482" s="0" t="n">
        <v>0.8</v>
      </c>
      <c r="M482" s="0" t="n">
        <v>1</v>
      </c>
      <c r="N482" s="0" t="n">
        <v>2884.46</v>
      </c>
      <c r="O482" s="0" t="n">
        <v>1479.81</v>
      </c>
      <c r="P482" s="0" t="n">
        <v>812.06</v>
      </c>
      <c r="Q482" s="0" t="s">
        <v>24</v>
      </c>
      <c r="R482" s="0" t="s">
        <v>51</v>
      </c>
      <c r="S482" s="0" t="s">
        <v>222</v>
      </c>
    </row>
    <row r="483" customFormat="false" ht="15" hidden="false" customHeight="false" outlineLevel="0" collapsed="false">
      <c r="A483" s="0" t="s">
        <v>1900</v>
      </c>
      <c r="B483" s="0" t="s">
        <v>47</v>
      </c>
      <c r="C483" s="0" t="s">
        <v>206</v>
      </c>
      <c r="D483" s="0" t="s">
        <v>198</v>
      </c>
      <c r="E483" s="0" t="s">
        <v>42</v>
      </c>
      <c r="F483" s="0" t="n">
        <v>16.25</v>
      </c>
      <c r="G483" s="0" t="s">
        <v>298</v>
      </c>
      <c r="H483" s="0" t="s">
        <v>299</v>
      </c>
      <c r="I483" s="0" t="s">
        <v>686</v>
      </c>
      <c r="J483" s="0" t="s">
        <v>1901</v>
      </c>
      <c r="K483" s="0" t="s">
        <v>1902</v>
      </c>
      <c r="L483" s="0" t="n">
        <v>1.5</v>
      </c>
      <c r="M483" s="0" t="n">
        <v>1</v>
      </c>
      <c r="N483" s="0" t="n">
        <v>7312.22</v>
      </c>
      <c r="O483" s="0" t="n">
        <v>4774.3</v>
      </c>
      <c r="P483" s="0" t="n">
        <v>1371.25</v>
      </c>
      <c r="Q483" s="0" t="s">
        <v>21</v>
      </c>
      <c r="R483" s="0" t="s">
        <v>52</v>
      </c>
      <c r="S483" s="0" t="s">
        <v>222</v>
      </c>
    </row>
    <row r="484" customFormat="false" ht="15" hidden="false" customHeight="false" outlineLevel="0" collapsed="false">
      <c r="A484" s="0" t="s">
        <v>1903</v>
      </c>
      <c r="B484" s="0" t="s">
        <v>48</v>
      </c>
      <c r="C484" s="0" t="s">
        <v>198</v>
      </c>
      <c r="D484" s="0" t="s">
        <v>199</v>
      </c>
      <c r="E484" s="0" t="s">
        <v>43</v>
      </c>
      <c r="F484" s="0" t="n">
        <v>6.5</v>
      </c>
      <c r="G484" s="0" t="s">
        <v>364</v>
      </c>
      <c r="H484" s="0" t="s">
        <v>343</v>
      </c>
      <c r="I484" s="0" t="s">
        <v>876</v>
      </c>
      <c r="J484" s="0" t="s">
        <v>1904</v>
      </c>
      <c r="K484" s="0" t="s">
        <v>1905</v>
      </c>
      <c r="L484" s="0" t="n">
        <v>5.1</v>
      </c>
      <c r="M484" s="0" t="n">
        <v>1</v>
      </c>
      <c r="N484" s="0" t="n">
        <v>4407.1</v>
      </c>
      <c r="O484" s="0" t="n">
        <v>3553.4</v>
      </c>
      <c r="P484" s="0" t="n">
        <v>807.15</v>
      </c>
      <c r="Q484" s="0" t="s">
        <v>23</v>
      </c>
      <c r="R484" s="0" t="s">
        <v>52</v>
      </c>
      <c r="S484" s="0" t="s">
        <v>228</v>
      </c>
    </row>
    <row r="485" customFormat="false" ht="15" hidden="false" customHeight="false" outlineLevel="0" collapsed="false">
      <c r="A485" s="0" t="s">
        <v>1906</v>
      </c>
      <c r="B485" s="0" t="s">
        <v>47</v>
      </c>
      <c r="C485" s="0" t="s">
        <v>206</v>
      </c>
      <c r="D485" s="0" t="s">
        <v>198</v>
      </c>
      <c r="E485" s="0" t="s">
        <v>43</v>
      </c>
      <c r="F485" s="0" t="n">
        <v>17.33</v>
      </c>
      <c r="G485" s="0" t="s">
        <v>1907</v>
      </c>
      <c r="H485" s="0" t="s">
        <v>218</v>
      </c>
      <c r="I485" s="0" t="s">
        <v>1105</v>
      </c>
      <c r="J485" s="0" t="s">
        <v>220</v>
      </c>
      <c r="K485" s="0" t="s">
        <v>1908</v>
      </c>
      <c r="L485" s="0" t="n">
        <v>4.6</v>
      </c>
      <c r="M485" s="0" t="n">
        <v>1</v>
      </c>
      <c r="N485" s="0" t="n">
        <v>7399.84</v>
      </c>
      <c r="O485" s="0" t="n">
        <v>3195.64</v>
      </c>
      <c r="P485" s="0" t="n">
        <v>689.2</v>
      </c>
      <c r="Q485" s="0" t="s">
        <v>21</v>
      </c>
      <c r="R485" s="0" t="s">
        <v>52</v>
      </c>
      <c r="S485" s="0" t="s">
        <v>247</v>
      </c>
    </row>
    <row r="486" customFormat="false" ht="15" hidden="false" customHeight="false" outlineLevel="0" collapsed="false">
      <c r="A486" s="0" t="s">
        <v>1909</v>
      </c>
      <c r="B486" s="0" t="s">
        <v>47</v>
      </c>
      <c r="C486" s="0" t="s">
        <v>206</v>
      </c>
      <c r="D486" s="0" t="s">
        <v>198</v>
      </c>
      <c r="E486" s="0" t="s">
        <v>42</v>
      </c>
      <c r="F486" s="0" t="n">
        <v>14.69</v>
      </c>
      <c r="G486" s="0" t="s">
        <v>325</v>
      </c>
      <c r="H486" s="0" t="s">
        <v>563</v>
      </c>
      <c r="I486" s="0" t="s">
        <v>934</v>
      </c>
      <c r="J486" s="0" t="s">
        <v>1910</v>
      </c>
      <c r="K486" s="0" t="s">
        <v>1911</v>
      </c>
      <c r="L486" s="0" t="n">
        <v>-0.3</v>
      </c>
      <c r="M486" s="0" t="n">
        <v>0</v>
      </c>
      <c r="N486" s="0" t="n">
        <v>7197.06</v>
      </c>
      <c r="O486" s="0" t="n">
        <v>2216.97</v>
      </c>
      <c r="P486" s="0" t="n">
        <v>639.25</v>
      </c>
      <c r="Q486" s="0" t="s">
        <v>23</v>
      </c>
      <c r="R486" s="0" t="s">
        <v>51</v>
      </c>
      <c r="S486" s="0" t="s">
        <v>254</v>
      </c>
    </row>
    <row r="487" customFormat="false" ht="15" hidden="false" customHeight="false" outlineLevel="0" collapsed="false">
      <c r="A487" s="0" t="s">
        <v>1912</v>
      </c>
      <c r="B487" s="0" t="s">
        <v>48</v>
      </c>
      <c r="C487" s="0" t="s">
        <v>198</v>
      </c>
      <c r="D487" s="0" t="s">
        <v>211</v>
      </c>
      <c r="E487" s="0" t="s">
        <v>42</v>
      </c>
      <c r="F487" s="0" t="n">
        <v>12.63</v>
      </c>
      <c r="G487" s="0" t="s">
        <v>785</v>
      </c>
      <c r="H487" s="0" t="s">
        <v>382</v>
      </c>
      <c r="I487" s="0" t="s">
        <v>906</v>
      </c>
      <c r="J487" s="0" t="s">
        <v>1913</v>
      </c>
      <c r="K487" s="0" t="s">
        <v>1286</v>
      </c>
      <c r="L487" s="0" t="n">
        <v>-1</v>
      </c>
      <c r="M487" s="0" t="n">
        <v>0</v>
      </c>
      <c r="N487" s="0" t="n">
        <v>6543.65</v>
      </c>
      <c r="O487" s="0" t="n">
        <v>3780.75</v>
      </c>
      <c r="P487" s="0" t="n">
        <v>1129.63</v>
      </c>
      <c r="Q487" s="0" t="s">
        <v>25</v>
      </c>
      <c r="R487" s="0" t="s">
        <v>51</v>
      </c>
      <c r="S487" s="0" t="s">
        <v>222</v>
      </c>
    </row>
    <row r="488" customFormat="false" ht="15" hidden="false" customHeight="false" outlineLevel="0" collapsed="false">
      <c r="A488" s="0" t="s">
        <v>1914</v>
      </c>
      <c r="B488" s="0" t="s">
        <v>47</v>
      </c>
      <c r="C488" s="0" t="s">
        <v>205</v>
      </c>
      <c r="D488" s="0" t="s">
        <v>198</v>
      </c>
      <c r="E488" s="0" t="s">
        <v>43</v>
      </c>
      <c r="F488" s="0" t="n">
        <v>17.41</v>
      </c>
      <c r="G488" s="0" t="s">
        <v>282</v>
      </c>
      <c r="H488" s="0" t="s">
        <v>466</v>
      </c>
      <c r="I488" s="0" t="s">
        <v>1224</v>
      </c>
      <c r="J488" s="0" t="s">
        <v>1915</v>
      </c>
      <c r="K488" s="0" t="s">
        <v>1916</v>
      </c>
      <c r="L488" s="0" t="n">
        <v>3.3</v>
      </c>
      <c r="M488" s="0" t="n">
        <v>1</v>
      </c>
      <c r="N488" s="0" t="n">
        <v>6802.02</v>
      </c>
      <c r="O488" s="0" t="n">
        <v>1686.39</v>
      </c>
      <c r="P488" s="0" t="n">
        <v>667.46</v>
      </c>
      <c r="Q488" s="0" t="s">
        <v>24</v>
      </c>
      <c r="R488" s="0" t="s">
        <v>52</v>
      </c>
      <c r="S488" s="0" t="s">
        <v>222</v>
      </c>
    </row>
    <row r="489" customFormat="false" ht="15" hidden="false" customHeight="false" outlineLevel="0" collapsed="false">
      <c r="A489" s="0" t="s">
        <v>1917</v>
      </c>
      <c r="B489" s="0" t="s">
        <v>47</v>
      </c>
      <c r="C489" s="0" t="s">
        <v>205</v>
      </c>
      <c r="D489" s="0" t="s">
        <v>198</v>
      </c>
      <c r="E489" s="0" t="s">
        <v>42</v>
      </c>
      <c r="F489" s="0" t="n">
        <v>9.79</v>
      </c>
      <c r="G489" s="0" t="s">
        <v>1625</v>
      </c>
      <c r="H489" s="0" t="s">
        <v>1370</v>
      </c>
      <c r="I489" s="0" t="s">
        <v>511</v>
      </c>
      <c r="J489" s="0" t="s">
        <v>568</v>
      </c>
      <c r="K489" s="0" t="s">
        <v>1918</v>
      </c>
      <c r="L489" s="0" t="n">
        <v>2.1</v>
      </c>
      <c r="M489" s="0" t="n">
        <v>1</v>
      </c>
      <c r="N489" s="0" t="n">
        <v>3387.75</v>
      </c>
      <c r="O489" s="0" t="n">
        <v>2896.03</v>
      </c>
      <c r="P489" s="0" t="n">
        <v>951.27</v>
      </c>
      <c r="Q489" s="0" t="s">
        <v>24</v>
      </c>
      <c r="R489" s="0" t="s">
        <v>52</v>
      </c>
      <c r="S489" s="0" t="s">
        <v>254</v>
      </c>
    </row>
    <row r="490" customFormat="false" ht="15" hidden="false" customHeight="false" outlineLevel="0" collapsed="false">
      <c r="A490" s="0" t="s">
        <v>1919</v>
      </c>
      <c r="B490" s="0" t="s">
        <v>47</v>
      </c>
      <c r="C490" s="0" t="s">
        <v>199</v>
      </c>
      <c r="D490" s="0" t="s">
        <v>198</v>
      </c>
      <c r="E490" s="0" t="s">
        <v>44</v>
      </c>
      <c r="F490" s="0" t="n">
        <v>17.51</v>
      </c>
      <c r="G490" s="0" t="s">
        <v>327</v>
      </c>
      <c r="H490" s="0" t="s">
        <v>570</v>
      </c>
      <c r="I490" s="0" t="s">
        <v>336</v>
      </c>
      <c r="J490" s="0" t="s">
        <v>1920</v>
      </c>
      <c r="K490" s="0" t="s">
        <v>1921</v>
      </c>
      <c r="L490" s="0" t="n">
        <v>0.1</v>
      </c>
      <c r="M490" s="0" t="n">
        <v>1</v>
      </c>
      <c r="N490" s="0" t="n">
        <v>8647.69</v>
      </c>
      <c r="O490" s="0" t="n">
        <v>2832.11</v>
      </c>
      <c r="P490" s="0" t="n">
        <v>756.65</v>
      </c>
      <c r="Q490" s="0" t="s">
        <v>22</v>
      </c>
      <c r="R490" s="0" t="s">
        <v>52</v>
      </c>
      <c r="S490" s="0" t="s">
        <v>247</v>
      </c>
    </row>
    <row r="491" customFormat="false" ht="15" hidden="false" customHeight="false" outlineLevel="0" collapsed="false">
      <c r="A491" s="0" t="s">
        <v>1922</v>
      </c>
      <c r="B491" s="0" t="s">
        <v>47</v>
      </c>
      <c r="C491" s="0" t="s">
        <v>203</v>
      </c>
      <c r="D491" s="0" t="s">
        <v>198</v>
      </c>
      <c r="E491" s="0" t="s">
        <v>44</v>
      </c>
      <c r="F491" s="0" t="n">
        <v>15.29</v>
      </c>
      <c r="G491" s="0" t="s">
        <v>325</v>
      </c>
      <c r="H491" s="0" t="s">
        <v>523</v>
      </c>
      <c r="I491" s="0" t="s">
        <v>933</v>
      </c>
      <c r="J491" s="0" t="s">
        <v>1923</v>
      </c>
      <c r="K491" s="0" t="s">
        <v>1924</v>
      </c>
      <c r="L491" s="0" t="n">
        <v>3.7</v>
      </c>
      <c r="M491" s="0" t="n">
        <v>1</v>
      </c>
      <c r="N491" s="0" t="n">
        <v>7791.94</v>
      </c>
      <c r="O491" s="0" t="n">
        <v>1006.58</v>
      </c>
      <c r="P491" s="0" t="n">
        <v>876.41</v>
      </c>
      <c r="Q491" s="0" t="s">
        <v>22</v>
      </c>
      <c r="R491" s="0" t="s">
        <v>51</v>
      </c>
      <c r="S491" s="0" t="s">
        <v>272</v>
      </c>
    </row>
    <row r="492" customFormat="false" ht="15" hidden="false" customHeight="false" outlineLevel="0" collapsed="false">
      <c r="A492" s="0" t="s">
        <v>1925</v>
      </c>
      <c r="B492" s="0" t="s">
        <v>48</v>
      </c>
      <c r="C492" s="0" t="s">
        <v>198</v>
      </c>
      <c r="D492" s="0" t="s">
        <v>204</v>
      </c>
      <c r="E492" s="0" t="s">
        <v>42</v>
      </c>
      <c r="F492" s="0" t="n">
        <v>11.84</v>
      </c>
      <c r="G492" s="0" t="s">
        <v>348</v>
      </c>
      <c r="H492" s="0" t="s">
        <v>357</v>
      </c>
      <c r="I492" s="0" t="s">
        <v>1926</v>
      </c>
      <c r="J492" s="0" t="s">
        <v>1927</v>
      </c>
      <c r="K492" s="0" t="s">
        <v>1928</v>
      </c>
      <c r="L492" s="0" t="n">
        <v>3.4</v>
      </c>
      <c r="M492" s="0" t="n">
        <v>1</v>
      </c>
      <c r="N492" s="0" t="n">
        <v>7933.31</v>
      </c>
      <c r="O492" s="0" t="n">
        <v>4504.77</v>
      </c>
      <c r="P492" s="0" t="n">
        <v>1222.78</v>
      </c>
      <c r="Q492" s="0" t="s">
        <v>21</v>
      </c>
      <c r="R492" s="0" t="s">
        <v>51</v>
      </c>
      <c r="S492" s="0" t="s">
        <v>228</v>
      </c>
    </row>
    <row r="493" customFormat="false" ht="15" hidden="false" customHeight="false" outlineLevel="0" collapsed="false">
      <c r="A493" s="0" t="s">
        <v>1929</v>
      </c>
      <c r="B493" s="0" t="s">
        <v>47</v>
      </c>
      <c r="C493" s="0" t="s">
        <v>203</v>
      </c>
      <c r="D493" s="0" t="s">
        <v>198</v>
      </c>
      <c r="E493" s="0" t="s">
        <v>43</v>
      </c>
      <c r="F493" s="0" t="n">
        <v>5.4</v>
      </c>
      <c r="G493" s="0" t="s">
        <v>426</v>
      </c>
      <c r="H493" s="0" t="s">
        <v>832</v>
      </c>
      <c r="I493" s="0" t="s">
        <v>731</v>
      </c>
      <c r="J493" s="0" t="s">
        <v>1930</v>
      </c>
      <c r="K493" s="0" t="s">
        <v>1320</v>
      </c>
      <c r="L493" s="0" t="n">
        <v>4</v>
      </c>
      <c r="M493" s="0" t="n">
        <v>1</v>
      </c>
      <c r="N493" s="0" t="n">
        <v>2903.51</v>
      </c>
      <c r="O493" s="0" t="n">
        <v>3844</v>
      </c>
      <c r="P493" s="0" t="n">
        <v>734.5</v>
      </c>
      <c r="Q493" s="0" t="s">
        <v>24</v>
      </c>
      <c r="R493" s="0" t="s">
        <v>52</v>
      </c>
      <c r="S493" s="0" t="s">
        <v>247</v>
      </c>
    </row>
    <row r="494" customFormat="false" ht="15" hidden="false" customHeight="false" outlineLevel="0" collapsed="false">
      <c r="A494" s="0" t="s">
        <v>1931</v>
      </c>
      <c r="B494" s="0" t="s">
        <v>48</v>
      </c>
      <c r="C494" s="0" t="s">
        <v>198</v>
      </c>
      <c r="D494" s="0" t="s">
        <v>213</v>
      </c>
      <c r="E494" s="0" t="s">
        <v>42</v>
      </c>
      <c r="F494" s="0" t="n">
        <v>15.24</v>
      </c>
      <c r="G494" s="0" t="s">
        <v>756</v>
      </c>
      <c r="H494" s="0" t="s">
        <v>1139</v>
      </c>
      <c r="I494" s="0" t="s">
        <v>1304</v>
      </c>
      <c r="J494" s="0" t="s">
        <v>1932</v>
      </c>
      <c r="K494" s="0" t="s">
        <v>1933</v>
      </c>
      <c r="L494" s="0" t="n">
        <v>1.7</v>
      </c>
      <c r="M494" s="0" t="n">
        <v>1</v>
      </c>
      <c r="N494" s="0" t="n">
        <v>8056.3</v>
      </c>
      <c r="O494" s="0" t="n">
        <v>3746.06</v>
      </c>
      <c r="P494" s="0" t="n">
        <v>1315.07</v>
      </c>
      <c r="Q494" s="0" t="s">
        <v>22</v>
      </c>
      <c r="R494" s="0" t="s">
        <v>51</v>
      </c>
      <c r="S494" s="0" t="s">
        <v>228</v>
      </c>
    </row>
    <row r="495" customFormat="false" ht="15" hidden="false" customHeight="false" outlineLevel="0" collapsed="false">
      <c r="A495" s="0" t="s">
        <v>1934</v>
      </c>
      <c r="B495" s="0" t="s">
        <v>48</v>
      </c>
      <c r="C495" s="0" t="s">
        <v>198</v>
      </c>
      <c r="D495" s="0" t="s">
        <v>213</v>
      </c>
      <c r="E495" s="0" t="s">
        <v>42</v>
      </c>
      <c r="F495" s="0" t="n">
        <v>17.67</v>
      </c>
      <c r="G495" s="0" t="s">
        <v>800</v>
      </c>
      <c r="H495" s="0" t="s">
        <v>364</v>
      </c>
      <c r="I495" s="0" t="s">
        <v>801</v>
      </c>
      <c r="J495" s="0" t="s">
        <v>802</v>
      </c>
      <c r="K495" s="0" t="s">
        <v>1935</v>
      </c>
      <c r="L495" s="0" t="n">
        <v>0.6</v>
      </c>
      <c r="M495" s="0" t="n">
        <v>1</v>
      </c>
      <c r="N495" s="0" t="n">
        <v>10410.03</v>
      </c>
      <c r="O495" s="0" t="n">
        <v>2932.93</v>
      </c>
      <c r="P495" s="0" t="n">
        <v>1486.9</v>
      </c>
      <c r="Q495" s="0" t="s">
        <v>23</v>
      </c>
      <c r="R495" s="0" t="s">
        <v>51</v>
      </c>
      <c r="S495" s="0" t="s">
        <v>272</v>
      </c>
    </row>
    <row r="496" customFormat="false" ht="15" hidden="false" customHeight="false" outlineLevel="0" collapsed="false">
      <c r="A496" s="0" t="s">
        <v>1936</v>
      </c>
      <c r="B496" s="0" t="s">
        <v>48</v>
      </c>
      <c r="C496" s="0" t="s">
        <v>198</v>
      </c>
      <c r="D496" s="0" t="s">
        <v>204</v>
      </c>
      <c r="E496" s="0" t="s">
        <v>43</v>
      </c>
      <c r="F496" s="0" t="n">
        <v>15.34</v>
      </c>
      <c r="G496" s="0" t="s">
        <v>845</v>
      </c>
      <c r="H496" s="0" t="s">
        <v>516</v>
      </c>
      <c r="I496" s="0" t="s">
        <v>854</v>
      </c>
      <c r="J496" s="0" t="s">
        <v>1937</v>
      </c>
      <c r="K496" s="0" t="s">
        <v>1938</v>
      </c>
      <c r="L496" s="0" t="n">
        <v>-0.9</v>
      </c>
      <c r="M496" s="0" t="n">
        <v>0</v>
      </c>
      <c r="N496" s="0" t="n">
        <v>8172.44</v>
      </c>
      <c r="O496" s="0" t="n">
        <v>1487.52</v>
      </c>
      <c r="P496" s="0" t="n">
        <v>518.28</v>
      </c>
      <c r="Q496" s="0" t="s">
        <v>23</v>
      </c>
      <c r="R496" s="0" t="s">
        <v>51</v>
      </c>
      <c r="S496" s="0" t="s">
        <v>254</v>
      </c>
    </row>
    <row r="497" customFormat="false" ht="15" hidden="false" customHeight="false" outlineLevel="0" collapsed="false">
      <c r="A497" s="0" t="s">
        <v>1939</v>
      </c>
      <c r="B497" s="0" t="s">
        <v>47</v>
      </c>
      <c r="C497" s="0" t="s">
        <v>203</v>
      </c>
      <c r="D497" s="0" t="s">
        <v>198</v>
      </c>
      <c r="E497" s="0" t="s">
        <v>43</v>
      </c>
      <c r="F497" s="0" t="n">
        <v>18.18</v>
      </c>
      <c r="G497" s="0" t="s">
        <v>793</v>
      </c>
      <c r="H497" s="0" t="s">
        <v>492</v>
      </c>
      <c r="I497" s="0" t="s">
        <v>550</v>
      </c>
      <c r="J497" s="0" t="s">
        <v>1940</v>
      </c>
      <c r="K497" s="0" t="s">
        <v>1941</v>
      </c>
      <c r="L497" s="0" t="n">
        <v>5.9</v>
      </c>
      <c r="M497" s="0" t="n">
        <v>1</v>
      </c>
      <c r="N497" s="0" t="n">
        <v>5009.98</v>
      </c>
      <c r="O497" s="0" t="n">
        <v>1748.5</v>
      </c>
      <c r="P497" s="0" t="n">
        <v>1055.55</v>
      </c>
      <c r="Q497" s="0" t="s">
        <v>25</v>
      </c>
      <c r="R497" s="0" t="s">
        <v>52</v>
      </c>
      <c r="S497" s="0" t="s">
        <v>222</v>
      </c>
    </row>
    <row r="498" customFormat="false" ht="15" hidden="false" customHeight="false" outlineLevel="0" collapsed="false">
      <c r="A498" s="0" t="s">
        <v>1942</v>
      </c>
      <c r="B498" s="0" t="s">
        <v>48</v>
      </c>
      <c r="C498" s="0" t="s">
        <v>198</v>
      </c>
      <c r="D498" s="0" t="s">
        <v>211</v>
      </c>
      <c r="E498" s="0" t="s">
        <v>43</v>
      </c>
      <c r="F498" s="0" t="n">
        <v>6.54</v>
      </c>
      <c r="G498" s="0" t="s">
        <v>658</v>
      </c>
      <c r="H498" s="0" t="s">
        <v>588</v>
      </c>
      <c r="I498" s="0" t="s">
        <v>398</v>
      </c>
      <c r="J498" s="0" t="s">
        <v>1943</v>
      </c>
      <c r="K498" s="0" t="s">
        <v>1944</v>
      </c>
      <c r="L498" s="0" t="n">
        <v>2</v>
      </c>
      <c r="M498" s="0" t="n">
        <v>1</v>
      </c>
      <c r="N498" s="0" t="n">
        <v>4666</v>
      </c>
      <c r="O498" s="0" t="n">
        <v>2357.29</v>
      </c>
      <c r="P498" s="0" t="n">
        <v>1208.9</v>
      </c>
      <c r="Q498" s="0" t="s">
        <v>21</v>
      </c>
      <c r="R498" s="0" t="s">
        <v>52</v>
      </c>
      <c r="S498" s="0" t="s">
        <v>272</v>
      </c>
    </row>
    <row r="499" customFormat="false" ht="15" hidden="false" customHeight="false" outlineLevel="0" collapsed="false">
      <c r="A499" s="0" t="s">
        <v>1945</v>
      </c>
      <c r="B499" s="0" t="s">
        <v>47</v>
      </c>
      <c r="C499" s="0" t="s">
        <v>209</v>
      </c>
      <c r="D499" s="0" t="s">
        <v>198</v>
      </c>
      <c r="E499" s="0" t="s">
        <v>43</v>
      </c>
      <c r="F499" s="0" t="n">
        <v>19.88</v>
      </c>
      <c r="G499" s="0" t="s">
        <v>1195</v>
      </c>
      <c r="H499" s="0" t="s">
        <v>906</v>
      </c>
      <c r="I499" s="0" t="s">
        <v>1631</v>
      </c>
      <c r="J499" s="0" t="s">
        <v>1946</v>
      </c>
      <c r="K499" s="0" t="s">
        <v>1947</v>
      </c>
      <c r="L499" s="0" t="n">
        <v>4.7</v>
      </c>
      <c r="M499" s="0" t="n">
        <v>1</v>
      </c>
      <c r="N499" s="0" t="n">
        <v>6856.78</v>
      </c>
      <c r="O499" s="0" t="n">
        <v>1083.03</v>
      </c>
      <c r="P499" s="0" t="n">
        <v>1260.89</v>
      </c>
      <c r="Q499" s="0" t="s">
        <v>24</v>
      </c>
      <c r="R499" s="0" t="s">
        <v>52</v>
      </c>
      <c r="S499" s="0" t="s">
        <v>222</v>
      </c>
    </row>
    <row r="500" customFormat="false" ht="15" hidden="false" customHeight="false" outlineLevel="0" collapsed="false">
      <c r="A500" s="0" t="s">
        <v>1948</v>
      </c>
      <c r="B500" s="0" t="s">
        <v>47</v>
      </c>
      <c r="C500" s="0" t="s">
        <v>199</v>
      </c>
      <c r="D500" s="0" t="s">
        <v>198</v>
      </c>
      <c r="E500" s="0" t="s">
        <v>42</v>
      </c>
      <c r="F500" s="0" t="n">
        <v>1.81</v>
      </c>
      <c r="G500" s="0" t="s">
        <v>299</v>
      </c>
      <c r="H500" s="0" t="s">
        <v>685</v>
      </c>
      <c r="I500" s="0" t="s">
        <v>686</v>
      </c>
      <c r="J500" s="0" t="s">
        <v>1949</v>
      </c>
      <c r="K500" s="0" t="s">
        <v>770</v>
      </c>
      <c r="L500" s="0" t="n">
        <v>1.4</v>
      </c>
      <c r="M500" s="0" t="n">
        <v>1</v>
      </c>
      <c r="N500" s="0" t="n">
        <v>1540.7</v>
      </c>
      <c r="O500" s="0" t="n">
        <v>1462.23</v>
      </c>
      <c r="P500" s="0" t="n">
        <v>1336.42</v>
      </c>
      <c r="Q500" s="0" t="s">
        <v>23</v>
      </c>
      <c r="R500" s="0" t="s">
        <v>51</v>
      </c>
      <c r="S500" s="0" t="s">
        <v>222</v>
      </c>
    </row>
    <row r="501" customFormat="false" ht="15" hidden="false" customHeight="false" outlineLevel="0" collapsed="false">
      <c r="A501" s="0" t="s">
        <v>1950</v>
      </c>
      <c r="B501" s="0" t="s">
        <v>47</v>
      </c>
      <c r="C501" s="0" t="s">
        <v>209</v>
      </c>
      <c r="D501" s="0" t="s">
        <v>198</v>
      </c>
      <c r="E501" s="0" t="s">
        <v>42</v>
      </c>
      <c r="F501" s="0" t="n">
        <v>10.55</v>
      </c>
      <c r="G501" s="0" t="s">
        <v>261</v>
      </c>
      <c r="H501" s="0" t="s">
        <v>263</v>
      </c>
      <c r="I501" s="0" t="s">
        <v>391</v>
      </c>
      <c r="J501" s="0" t="s">
        <v>1951</v>
      </c>
      <c r="K501" s="0" t="s">
        <v>1690</v>
      </c>
      <c r="L501" s="0" t="n">
        <v>2.7</v>
      </c>
      <c r="M501" s="0" t="n">
        <v>1</v>
      </c>
      <c r="N501" s="0" t="n">
        <v>4018.58</v>
      </c>
      <c r="O501" s="0" t="n">
        <v>2508.22</v>
      </c>
      <c r="P501" s="0" t="n">
        <v>893.32</v>
      </c>
      <c r="Q501" s="0" t="s">
        <v>25</v>
      </c>
      <c r="R501" s="0" t="s">
        <v>52</v>
      </c>
      <c r="S501" s="0" t="s">
        <v>272</v>
      </c>
    </row>
    <row r="502" customFormat="false" ht="15" hidden="false" customHeight="false" outlineLevel="0" collapsed="false">
      <c r="A502" s="0" t="s">
        <v>1952</v>
      </c>
      <c r="B502" s="0" t="s">
        <v>47</v>
      </c>
      <c r="C502" s="0" t="s">
        <v>205</v>
      </c>
      <c r="D502" s="0" t="s">
        <v>198</v>
      </c>
      <c r="E502" s="0" t="s">
        <v>43</v>
      </c>
      <c r="F502" s="0" t="n">
        <v>11.35</v>
      </c>
      <c r="G502" s="0" t="s">
        <v>413</v>
      </c>
      <c r="H502" s="0" t="s">
        <v>468</v>
      </c>
      <c r="I502" s="0" t="s">
        <v>1243</v>
      </c>
      <c r="J502" s="0" t="s">
        <v>1953</v>
      </c>
      <c r="K502" s="0" t="s">
        <v>1954</v>
      </c>
      <c r="L502" s="0" t="n">
        <v>1.3</v>
      </c>
      <c r="M502" s="0" t="n">
        <v>1</v>
      </c>
      <c r="N502" s="0" t="n">
        <v>7881.9</v>
      </c>
      <c r="O502" s="0" t="n">
        <v>3582.14</v>
      </c>
      <c r="P502" s="0" t="n">
        <v>655.77</v>
      </c>
      <c r="Q502" s="0" t="s">
        <v>24</v>
      </c>
      <c r="R502" s="0" t="s">
        <v>51</v>
      </c>
      <c r="S502" s="0" t="s">
        <v>254</v>
      </c>
    </row>
    <row r="503" customFormat="false" ht="15" hidden="false" customHeight="false" outlineLevel="0" collapsed="false">
      <c r="A503" s="0" t="s">
        <v>1955</v>
      </c>
      <c r="B503" s="0" t="s">
        <v>47</v>
      </c>
      <c r="C503" s="0" t="s">
        <v>203</v>
      </c>
      <c r="D503" s="0" t="s">
        <v>198</v>
      </c>
      <c r="E503" s="0" t="s">
        <v>43</v>
      </c>
      <c r="F503" s="0" t="n">
        <v>11.39</v>
      </c>
      <c r="G503" s="0" t="s">
        <v>550</v>
      </c>
      <c r="H503" s="0" t="s">
        <v>238</v>
      </c>
      <c r="I503" s="0" t="s">
        <v>450</v>
      </c>
      <c r="J503" s="0" t="s">
        <v>554</v>
      </c>
      <c r="K503" s="0" t="s">
        <v>1956</v>
      </c>
      <c r="L503" s="0" t="n">
        <v>-1</v>
      </c>
      <c r="M503" s="0" t="n">
        <v>0</v>
      </c>
      <c r="N503" s="0" t="n">
        <v>3386.01</v>
      </c>
      <c r="O503" s="0" t="n">
        <v>4822.6</v>
      </c>
      <c r="P503" s="0" t="n">
        <v>1453.63</v>
      </c>
      <c r="Q503" s="0" t="s">
        <v>23</v>
      </c>
      <c r="R503" s="0" t="s">
        <v>51</v>
      </c>
      <c r="S503" s="0" t="s">
        <v>247</v>
      </c>
    </row>
    <row r="504" customFormat="false" ht="15" hidden="false" customHeight="false" outlineLevel="0" collapsed="false">
      <c r="A504" s="0" t="s">
        <v>1957</v>
      </c>
      <c r="B504" s="0" t="s">
        <v>47</v>
      </c>
      <c r="C504" s="0" t="s">
        <v>205</v>
      </c>
      <c r="D504" s="0" t="s">
        <v>198</v>
      </c>
      <c r="E504" s="0" t="s">
        <v>43</v>
      </c>
      <c r="F504" s="0" t="n">
        <v>7.69</v>
      </c>
      <c r="G504" s="0" t="s">
        <v>511</v>
      </c>
      <c r="H504" s="0" t="s">
        <v>391</v>
      </c>
      <c r="I504" s="0" t="s">
        <v>392</v>
      </c>
      <c r="J504" s="0" t="s">
        <v>1958</v>
      </c>
      <c r="K504" s="0" t="s">
        <v>1959</v>
      </c>
      <c r="L504" s="0" t="n">
        <v>0.8</v>
      </c>
      <c r="M504" s="0" t="n">
        <v>1</v>
      </c>
      <c r="N504" s="0" t="n">
        <v>4502.39</v>
      </c>
      <c r="O504" s="0" t="n">
        <v>2912.64</v>
      </c>
      <c r="P504" s="0" t="n">
        <v>1267.97</v>
      </c>
      <c r="Q504" s="0" t="s">
        <v>24</v>
      </c>
      <c r="R504" s="0" t="s">
        <v>51</v>
      </c>
      <c r="S504" s="0" t="s">
        <v>222</v>
      </c>
    </row>
    <row r="505" customFormat="false" ht="15" hidden="false" customHeight="false" outlineLevel="0" collapsed="false">
      <c r="A505" s="0" t="s">
        <v>1960</v>
      </c>
      <c r="B505" s="0" t="s">
        <v>47</v>
      </c>
      <c r="C505" s="0" t="s">
        <v>206</v>
      </c>
      <c r="D505" s="0" t="s">
        <v>198</v>
      </c>
      <c r="E505" s="0" t="s">
        <v>43</v>
      </c>
      <c r="F505" s="0" t="n">
        <v>12.94</v>
      </c>
      <c r="G505" s="0" t="s">
        <v>232</v>
      </c>
      <c r="H505" s="0" t="s">
        <v>700</v>
      </c>
      <c r="I505" s="0" t="s">
        <v>620</v>
      </c>
      <c r="J505" s="0" t="s">
        <v>1961</v>
      </c>
      <c r="K505" s="0" t="s">
        <v>1962</v>
      </c>
      <c r="L505" s="0" t="n">
        <v>2.8</v>
      </c>
      <c r="M505" s="0" t="n">
        <v>1</v>
      </c>
      <c r="N505" s="0" t="n">
        <v>8934.43</v>
      </c>
      <c r="O505" s="0" t="n">
        <v>3786.25</v>
      </c>
      <c r="P505" s="0" t="n">
        <v>1424.07</v>
      </c>
      <c r="Q505" s="0" t="s">
        <v>22</v>
      </c>
      <c r="R505" s="0" t="s">
        <v>51</v>
      </c>
      <c r="S505" s="0" t="s">
        <v>254</v>
      </c>
    </row>
    <row r="506" customFormat="false" ht="15" hidden="false" customHeight="false" outlineLevel="0" collapsed="false">
      <c r="A506" s="0" t="s">
        <v>1963</v>
      </c>
      <c r="B506" s="0" t="s">
        <v>47</v>
      </c>
      <c r="C506" s="0" t="s">
        <v>209</v>
      </c>
      <c r="D506" s="0" t="s">
        <v>198</v>
      </c>
      <c r="E506" s="0" t="s">
        <v>42</v>
      </c>
      <c r="F506" s="0" t="n">
        <v>16.59</v>
      </c>
      <c r="G506" s="0" t="s">
        <v>938</v>
      </c>
      <c r="H506" s="0" t="s">
        <v>337</v>
      </c>
      <c r="I506" s="0" t="s">
        <v>477</v>
      </c>
      <c r="J506" s="0" t="s">
        <v>1964</v>
      </c>
      <c r="K506" s="0" t="s">
        <v>1965</v>
      </c>
      <c r="L506" s="0" t="n">
        <v>2.9</v>
      </c>
      <c r="M506" s="0" t="n">
        <v>1</v>
      </c>
      <c r="N506" s="0" t="n">
        <v>6848</v>
      </c>
      <c r="O506" s="0" t="n">
        <v>2703.99</v>
      </c>
      <c r="P506" s="0" t="n">
        <v>1467.74</v>
      </c>
      <c r="Q506" s="0" t="s">
        <v>25</v>
      </c>
      <c r="R506" s="0" t="s">
        <v>52</v>
      </c>
      <c r="S506" s="0" t="s">
        <v>228</v>
      </c>
    </row>
    <row r="507" customFormat="false" ht="15" hidden="false" customHeight="false" outlineLevel="0" collapsed="false">
      <c r="A507" s="0" t="s">
        <v>1966</v>
      </c>
      <c r="B507" s="0" t="s">
        <v>48</v>
      </c>
      <c r="C507" s="0" t="s">
        <v>198</v>
      </c>
      <c r="D507" s="0" t="s">
        <v>199</v>
      </c>
      <c r="E507" s="0" t="s">
        <v>43</v>
      </c>
      <c r="F507" s="0" t="n">
        <v>13.5</v>
      </c>
      <c r="G507" s="0" t="s">
        <v>977</v>
      </c>
      <c r="H507" s="0" t="s">
        <v>338</v>
      </c>
      <c r="I507" s="0" t="s">
        <v>541</v>
      </c>
      <c r="J507" s="0" t="s">
        <v>1967</v>
      </c>
      <c r="K507" s="0" t="s">
        <v>1181</v>
      </c>
      <c r="L507" s="0" t="n">
        <v>-1</v>
      </c>
      <c r="M507" s="0" t="n">
        <v>0</v>
      </c>
      <c r="N507" s="0" t="n">
        <v>8800.09</v>
      </c>
      <c r="O507" s="0" t="n">
        <v>1772.64</v>
      </c>
      <c r="P507" s="0" t="n">
        <v>971.31</v>
      </c>
      <c r="Q507" s="0" t="s">
        <v>23</v>
      </c>
      <c r="R507" s="0" t="s">
        <v>51</v>
      </c>
      <c r="S507" s="0" t="s">
        <v>272</v>
      </c>
    </row>
    <row r="508" customFormat="false" ht="15" hidden="false" customHeight="false" outlineLevel="0" collapsed="false">
      <c r="A508" s="0" t="s">
        <v>1968</v>
      </c>
      <c r="B508" s="0" t="s">
        <v>47</v>
      </c>
      <c r="C508" s="0" t="s">
        <v>203</v>
      </c>
      <c r="D508" s="0" t="s">
        <v>198</v>
      </c>
      <c r="E508" s="0" t="s">
        <v>44</v>
      </c>
      <c r="F508" s="0" t="n">
        <v>9.98</v>
      </c>
      <c r="G508" s="0" t="s">
        <v>558</v>
      </c>
      <c r="H508" s="0" t="s">
        <v>559</v>
      </c>
      <c r="I508" s="0" t="s">
        <v>534</v>
      </c>
      <c r="J508" s="0" t="s">
        <v>1511</v>
      </c>
      <c r="K508" s="0" t="s">
        <v>1969</v>
      </c>
      <c r="L508" s="0" t="n">
        <v>5.9</v>
      </c>
      <c r="M508" s="0" t="n">
        <v>1</v>
      </c>
      <c r="N508" s="0" t="n">
        <v>3864.67</v>
      </c>
      <c r="O508" s="0" t="n">
        <v>4414.62</v>
      </c>
      <c r="P508" s="0" t="n">
        <v>1225.29</v>
      </c>
      <c r="Q508" s="0" t="s">
        <v>24</v>
      </c>
      <c r="R508" s="0" t="s">
        <v>52</v>
      </c>
      <c r="S508" s="0" t="s">
        <v>222</v>
      </c>
    </row>
    <row r="509" customFormat="false" ht="15" hidden="false" customHeight="false" outlineLevel="0" collapsed="false">
      <c r="A509" s="0" t="s">
        <v>1970</v>
      </c>
      <c r="B509" s="0" t="s">
        <v>47</v>
      </c>
      <c r="C509" s="0" t="s">
        <v>199</v>
      </c>
      <c r="D509" s="0" t="s">
        <v>198</v>
      </c>
      <c r="E509" s="0" t="s">
        <v>43</v>
      </c>
      <c r="F509" s="0" t="n">
        <v>7.85</v>
      </c>
      <c r="G509" s="0" t="s">
        <v>550</v>
      </c>
      <c r="H509" s="0" t="s">
        <v>320</v>
      </c>
      <c r="I509" s="0" t="s">
        <v>454</v>
      </c>
      <c r="J509" s="0" t="s">
        <v>551</v>
      </c>
      <c r="K509" s="0" t="s">
        <v>1971</v>
      </c>
      <c r="L509" s="0" t="n">
        <v>-1</v>
      </c>
      <c r="M509" s="0" t="n">
        <v>0</v>
      </c>
      <c r="N509" s="0" t="n">
        <v>4343.66</v>
      </c>
      <c r="O509" s="0" t="n">
        <v>2589.09</v>
      </c>
      <c r="P509" s="0" t="n">
        <v>745.55</v>
      </c>
      <c r="Q509" s="0" t="s">
        <v>22</v>
      </c>
      <c r="R509" s="0" t="s">
        <v>52</v>
      </c>
      <c r="S509" s="0" t="s">
        <v>272</v>
      </c>
    </row>
    <row r="510" customFormat="false" ht="15" hidden="false" customHeight="false" outlineLevel="0" collapsed="false">
      <c r="A510" s="0" t="s">
        <v>1972</v>
      </c>
      <c r="B510" s="0" t="s">
        <v>48</v>
      </c>
      <c r="C510" s="0" t="s">
        <v>198</v>
      </c>
      <c r="D510" s="0" t="s">
        <v>211</v>
      </c>
      <c r="E510" s="0" t="s">
        <v>43</v>
      </c>
      <c r="F510" s="0" t="n">
        <v>16.43</v>
      </c>
      <c r="G510" s="0" t="s">
        <v>631</v>
      </c>
      <c r="H510" s="0" t="s">
        <v>632</v>
      </c>
      <c r="I510" s="0" t="s">
        <v>576</v>
      </c>
      <c r="J510" s="0" t="s">
        <v>1632</v>
      </c>
      <c r="K510" s="0" t="s">
        <v>1788</v>
      </c>
      <c r="L510" s="0" t="n">
        <v>3</v>
      </c>
      <c r="M510" s="0" t="n">
        <v>1</v>
      </c>
      <c r="N510" s="0" t="n">
        <v>4863.98</v>
      </c>
      <c r="O510" s="0" t="n">
        <v>4506.46</v>
      </c>
      <c r="P510" s="0" t="n">
        <v>1228.87</v>
      </c>
      <c r="Q510" s="0" t="s">
        <v>22</v>
      </c>
      <c r="R510" s="0" t="s">
        <v>51</v>
      </c>
      <c r="S510" s="0" t="s">
        <v>254</v>
      </c>
    </row>
    <row r="511" customFormat="false" ht="15" hidden="false" customHeight="false" outlineLevel="0" collapsed="false">
      <c r="A511" s="0" t="s">
        <v>1973</v>
      </c>
      <c r="B511" s="0" t="s">
        <v>47</v>
      </c>
      <c r="C511" s="0" t="s">
        <v>199</v>
      </c>
      <c r="D511" s="0" t="s">
        <v>198</v>
      </c>
      <c r="E511" s="0" t="s">
        <v>43</v>
      </c>
      <c r="F511" s="0" t="n">
        <v>6.73</v>
      </c>
      <c r="G511" s="0" t="s">
        <v>681</v>
      </c>
      <c r="H511" s="0" t="s">
        <v>478</v>
      </c>
      <c r="I511" s="0" t="s">
        <v>992</v>
      </c>
      <c r="J511" s="0" t="s">
        <v>1974</v>
      </c>
      <c r="K511" s="0" t="s">
        <v>1975</v>
      </c>
      <c r="L511" s="0" t="n">
        <v>7</v>
      </c>
      <c r="M511" s="0" t="n">
        <v>1</v>
      </c>
      <c r="N511" s="0" t="n">
        <v>4443.45</v>
      </c>
      <c r="O511" s="0" t="n">
        <v>3951.71</v>
      </c>
      <c r="P511" s="0" t="n">
        <v>1097.43</v>
      </c>
      <c r="Q511" s="0" t="s">
        <v>24</v>
      </c>
      <c r="R511" s="0" t="s">
        <v>52</v>
      </c>
      <c r="S511" s="0" t="s">
        <v>272</v>
      </c>
    </row>
    <row r="512" customFormat="false" ht="15" hidden="false" customHeight="false" outlineLevel="0" collapsed="false">
      <c r="A512" s="0" t="s">
        <v>1976</v>
      </c>
      <c r="B512" s="0" t="s">
        <v>47</v>
      </c>
      <c r="C512" s="0" t="s">
        <v>206</v>
      </c>
      <c r="D512" s="0" t="s">
        <v>198</v>
      </c>
      <c r="E512" s="0" t="s">
        <v>43</v>
      </c>
      <c r="F512" s="0" t="n">
        <v>17.74</v>
      </c>
      <c r="G512" s="0" t="s">
        <v>419</v>
      </c>
      <c r="H512" s="0" t="s">
        <v>435</v>
      </c>
      <c r="I512" s="0" t="s">
        <v>1097</v>
      </c>
      <c r="J512" s="0" t="s">
        <v>582</v>
      </c>
      <c r="K512" s="0" t="s">
        <v>1977</v>
      </c>
      <c r="L512" s="0" t="n">
        <v>4.2</v>
      </c>
      <c r="M512" s="0" t="n">
        <v>1</v>
      </c>
      <c r="N512" s="0" t="n">
        <v>9170.09</v>
      </c>
      <c r="O512" s="0" t="n">
        <v>2047</v>
      </c>
      <c r="P512" s="0" t="n">
        <v>1124.24</v>
      </c>
      <c r="Q512" s="0" t="s">
        <v>22</v>
      </c>
      <c r="R512" s="0" t="s">
        <v>51</v>
      </c>
      <c r="S512" s="0" t="s">
        <v>247</v>
      </c>
    </row>
    <row r="513" customFormat="false" ht="15" hidden="false" customHeight="false" outlineLevel="0" collapsed="false">
      <c r="A513" s="0" t="s">
        <v>1978</v>
      </c>
      <c r="B513" s="0" t="s">
        <v>48</v>
      </c>
      <c r="C513" s="0" t="s">
        <v>198</v>
      </c>
      <c r="D513" s="0" t="s">
        <v>214</v>
      </c>
      <c r="E513" s="0" t="s">
        <v>44</v>
      </c>
      <c r="F513" s="0" t="n">
        <v>16.76</v>
      </c>
      <c r="G513" s="0" t="s">
        <v>368</v>
      </c>
      <c r="H513" s="0" t="s">
        <v>945</v>
      </c>
      <c r="I513" s="0" t="s">
        <v>304</v>
      </c>
      <c r="J513" s="0" t="s">
        <v>1979</v>
      </c>
      <c r="K513" s="0" t="s">
        <v>1980</v>
      </c>
      <c r="L513" s="0" t="n">
        <v>-0.5</v>
      </c>
      <c r="M513" s="0" t="n">
        <v>0</v>
      </c>
      <c r="N513" s="0" t="n">
        <v>6451.57</v>
      </c>
      <c r="O513" s="0" t="n">
        <v>2248.77</v>
      </c>
      <c r="P513" s="0" t="n">
        <v>1225.11</v>
      </c>
      <c r="Q513" s="0" t="s">
        <v>22</v>
      </c>
      <c r="R513" s="0" t="s">
        <v>52</v>
      </c>
      <c r="S513" s="0" t="s">
        <v>247</v>
      </c>
    </row>
    <row r="514" customFormat="false" ht="15" hidden="false" customHeight="false" outlineLevel="0" collapsed="false">
      <c r="A514" s="0" t="s">
        <v>1981</v>
      </c>
      <c r="B514" s="0" t="s">
        <v>47</v>
      </c>
      <c r="C514" s="0" t="s">
        <v>209</v>
      </c>
      <c r="D514" s="0" t="s">
        <v>198</v>
      </c>
      <c r="E514" s="0" t="s">
        <v>44</v>
      </c>
      <c r="F514" s="0" t="n">
        <v>16.13</v>
      </c>
      <c r="G514" s="0" t="s">
        <v>430</v>
      </c>
      <c r="H514" s="0" t="s">
        <v>643</v>
      </c>
      <c r="I514" s="0" t="s">
        <v>298</v>
      </c>
      <c r="J514" s="0" t="s">
        <v>1982</v>
      </c>
      <c r="K514" s="0" t="s">
        <v>1983</v>
      </c>
      <c r="L514" s="0" t="n">
        <v>2.5</v>
      </c>
      <c r="M514" s="0" t="n">
        <v>1</v>
      </c>
      <c r="N514" s="0" t="n">
        <v>5686.28</v>
      </c>
      <c r="O514" s="0" t="n">
        <v>3979.3</v>
      </c>
      <c r="P514" s="0" t="n">
        <v>945.96</v>
      </c>
      <c r="Q514" s="0" t="s">
        <v>23</v>
      </c>
      <c r="R514" s="0" t="s">
        <v>51</v>
      </c>
      <c r="S514" s="0" t="s">
        <v>228</v>
      </c>
    </row>
    <row r="515" customFormat="false" ht="15" hidden="false" customHeight="false" outlineLevel="0" collapsed="false">
      <c r="A515" s="0" t="s">
        <v>1984</v>
      </c>
      <c r="B515" s="0" t="s">
        <v>47</v>
      </c>
      <c r="C515" s="0" t="s">
        <v>205</v>
      </c>
      <c r="D515" s="0" t="s">
        <v>198</v>
      </c>
      <c r="E515" s="0" t="s">
        <v>43</v>
      </c>
      <c r="F515" s="0" t="n">
        <v>1.38</v>
      </c>
      <c r="G515" s="0" t="s">
        <v>420</v>
      </c>
      <c r="H515" s="0" t="s">
        <v>793</v>
      </c>
      <c r="I515" s="0" t="s">
        <v>550</v>
      </c>
      <c r="J515" s="0" t="s">
        <v>1985</v>
      </c>
      <c r="K515" s="0" t="s">
        <v>1986</v>
      </c>
      <c r="L515" s="0" t="n">
        <v>3.7</v>
      </c>
      <c r="M515" s="0" t="n">
        <v>1</v>
      </c>
      <c r="N515" s="0" t="n">
        <v>1771.65</v>
      </c>
      <c r="O515" s="0" t="n">
        <v>1745.68</v>
      </c>
      <c r="P515" s="0" t="n">
        <v>1249.37</v>
      </c>
      <c r="Q515" s="0" t="s">
        <v>23</v>
      </c>
      <c r="R515" s="0" t="s">
        <v>51</v>
      </c>
      <c r="S515" s="0" t="s">
        <v>254</v>
      </c>
    </row>
    <row r="516" customFormat="false" ht="15" hidden="false" customHeight="false" outlineLevel="0" collapsed="false">
      <c r="A516" s="0" t="s">
        <v>1987</v>
      </c>
      <c r="B516" s="0" t="s">
        <v>47</v>
      </c>
      <c r="C516" s="0" t="s">
        <v>206</v>
      </c>
      <c r="D516" s="0" t="s">
        <v>198</v>
      </c>
      <c r="E516" s="0" t="s">
        <v>44</v>
      </c>
      <c r="F516" s="0" t="n">
        <v>11.37</v>
      </c>
      <c r="G516" s="0" t="s">
        <v>945</v>
      </c>
      <c r="H516" s="0" t="s">
        <v>370</v>
      </c>
      <c r="I516" s="0" t="s">
        <v>667</v>
      </c>
      <c r="J516" s="0" t="s">
        <v>1988</v>
      </c>
      <c r="K516" s="0" t="s">
        <v>1989</v>
      </c>
      <c r="L516" s="0" t="n">
        <v>1.8</v>
      </c>
      <c r="M516" s="0" t="n">
        <v>1</v>
      </c>
      <c r="N516" s="0" t="n">
        <v>8549.23</v>
      </c>
      <c r="O516" s="0" t="n">
        <v>4828.54</v>
      </c>
      <c r="P516" s="0" t="n">
        <v>927.11</v>
      </c>
      <c r="Q516" s="0" t="s">
        <v>24</v>
      </c>
      <c r="R516" s="0" t="s">
        <v>52</v>
      </c>
      <c r="S516" s="0" t="s">
        <v>272</v>
      </c>
    </row>
    <row r="517" customFormat="false" ht="15" hidden="false" customHeight="false" outlineLevel="0" collapsed="false">
      <c r="A517" s="0" t="s">
        <v>1990</v>
      </c>
      <c r="B517" s="0" t="s">
        <v>48</v>
      </c>
      <c r="C517" s="0" t="s">
        <v>198</v>
      </c>
      <c r="D517" s="0" t="s">
        <v>207</v>
      </c>
      <c r="E517" s="0" t="s">
        <v>42</v>
      </c>
      <c r="F517" s="0" t="n">
        <v>10.03</v>
      </c>
      <c r="G517" s="0" t="s">
        <v>1582</v>
      </c>
      <c r="H517" s="0" t="s">
        <v>1303</v>
      </c>
      <c r="I517" s="0" t="s">
        <v>615</v>
      </c>
      <c r="J517" s="0" t="s">
        <v>1991</v>
      </c>
      <c r="K517" s="0" t="s">
        <v>798</v>
      </c>
      <c r="L517" s="0" t="n">
        <v>1.1</v>
      </c>
      <c r="M517" s="0" t="n">
        <v>1</v>
      </c>
      <c r="N517" s="0" t="n">
        <v>4189.11</v>
      </c>
      <c r="O517" s="0" t="n">
        <v>1493.8</v>
      </c>
      <c r="P517" s="0" t="n">
        <v>705.98</v>
      </c>
      <c r="Q517" s="0" t="s">
        <v>25</v>
      </c>
      <c r="R517" s="0" t="s">
        <v>52</v>
      </c>
      <c r="S517" s="0" t="s">
        <v>272</v>
      </c>
    </row>
    <row r="518" customFormat="false" ht="15" hidden="false" customHeight="false" outlineLevel="0" collapsed="false">
      <c r="A518" s="0" t="s">
        <v>1992</v>
      </c>
      <c r="B518" s="0" t="s">
        <v>47</v>
      </c>
      <c r="C518" s="0" t="s">
        <v>206</v>
      </c>
      <c r="D518" s="0" t="s">
        <v>198</v>
      </c>
      <c r="E518" s="0" t="s">
        <v>43</v>
      </c>
      <c r="F518" s="0" t="n">
        <v>1.02</v>
      </c>
      <c r="G518" s="0" t="s">
        <v>386</v>
      </c>
      <c r="H518" s="0" t="s">
        <v>387</v>
      </c>
      <c r="I518" s="0" t="s">
        <v>1097</v>
      </c>
      <c r="J518" s="0" t="s">
        <v>1993</v>
      </c>
      <c r="K518" s="0" t="s">
        <v>1994</v>
      </c>
      <c r="L518" s="0" t="n">
        <v>4.9</v>
      </c>
      <c r="M518" s="0" t="n">
        <v>1</v>
      </c>
      <c r="N518" s="0" t="n">
        <v>2001.65</v>
      </c>
      <c r="O518" s="0" t="n">
        <v>4754.86</v>
      </c>
      <c r="P518" s="0" t="n">
        <v>992.36</v>
      </c>
      <c r="Q518" s="0" t="s">
        <v>25</v>
      </c>
      <c r="R518" s="0" t="s">
        <v>52</v>
      </c>
      <c r="S518" s="0" t="s">
        <v>254</v>
      </c>
    </row>
    <row r="519" customFormat="false" ht="15" hidden="false" customHeight="false" outlineLevel="0" collapsed="false">
      <c r="A519" s="0" t="s">
        <v>1995</v>
      </c>
      <c r="B519" s="0" t="s">
        <v>47</v>
      </c>
      <c r="C519" s="0" t="s">
        <v>199</v>
      </c>
      <c r="D519" s="0" t="s">
        <v>198</v>
      </c>
      <c r="E519" s="0" t="s">
        <v>44</v>
      </c>
      <c r="F519" s="0" t="n">
        <v>14.32</v>
      </c>
      <c r="G519" s="0" t="s">
        <v>502</v>
      </c>
      <c r="H519" s="0" t="s">
        <v>298</v>
      </c>
      <c r="I519" s="0" t="s">
        <v>686</v>
      </c>
      <c r="J519" s="0" t="s">
        <v>1996</v>
      </c>
      <c r="K519" s="0" t="s">
        <v>1997</v>
      </c>
      <c r="L519" s="0" t="n">
        <v>3.4</v>
      </c>
      <c r="M519" s="0" t="n">
        <v>1</v>
      </c>
      <c r="N519" s="0" t="n">
        <v>9157.96</v>
      </c>
      <c r="O519" s="0" t="n">
        <v>2989.02</v>
      </c>
      <c r="P519" s="0" t="n">
        <v>678.42</v>
      </c>
      <c r="Q519" s="0" t="s">
        <v>24</v>
      </c>
      <c r="R519" s="0" t="s">
        <v>51</v>
      </c>
      <c r="S519" s="0" t="s">
        <v>272</v>
      </c>
    </row>
    <row r="520" customFormat="false" ht="15" hidden="false" customHeight="false" outlineLevel="0" collapsed="false">
      <c r="A520" s="0" t="s">
        <v>1998</v>
      </c>
      <c r="B520" s="0" t="s">
        <v>47</v>
      </c>
      <c r="C520" s="0" t="s">
        <v>203</v>
      </c>
      <c r="D520" s="0" t="s">
        <v>198</v>
      </c>
      <c r="E520" s="0" t="s">
        <v>43</v>
      </c>
      <c r="F520" s="0" t="n">
        <v>3.05</v>
      </c>
      <c r="G520" s="0" t="s">
        <v>249</v>
      </c>
      <c r="H520" s="0" t="s">
        <v>1087</v>
      </c>
      <c r="I520" s="0" t="s">
        <v>723</v>
      </c>
      <c r="J520" s="0" t="s">
        <v>1771</v>
      </c>
      <c r="K520" s="0" t="s">
        <v>1999</v>
      </c>
      <c r="L520" s="0" t="n">
        <v>0.2</v>
      </c>
      <c r="M520" s="0" t="n">
        <v>1</v>
      </c>
      <c r="N520" s="0" t="n">
        <v>2706.36</v>
      </c>
      <c r="O520" s="0" t="n">
        <v>1352.54</v>
      </c>
      <c r="P520" s="0" t="n">
        <v>1276.8</v>
      </c>
      <c r="Q520" s="0" t="s">
        <v>24</v>
      </c>
      <c r="R520" s="0" t="s">
        <v>51</v>
      </c>
      <c r="S520" s="0" t="s">
        <v>247</v>
      </c>
    </row>
    <row r="521" customFormat="false" ht="15" hidden="false" customHeight="false" outlineLevel="0" collapsed="false">
      <c r="A521" s="0" t="s">
        <v>2000</v>
      </c>
      <c r="B521" s="0" t="s">
        <v>48</v>
      </c>
      <c r="C521" s="0" t="s">
        <v>198</v>
      </c>
      <c r="D521" s="0" t="s">
        <v>214</v>
      </c>
      <c r="E521" s="0" t="s">
        <v>43</v>
      </c>
      <c r="F521" s="0" t="n">
        <v>17.1</v>
      </c>
      <c r="G521" s="0" t="s">
        <v>415</v>
      </c>
      <c r="H521" s="0" t="s">
        <v>1244</v>
      </c>
      <c r="I521" s="0" t="s">
        <v>369</v>
      </c>
      <c r="J521" s="0" t="s">
        <v>1245</v>
      </c>
      <c r="K521" s="0" t="s">
        <v>820</v>
      </c>
      <c r="L521" s="0" t="n">
        <v>-1</v>
      </c>
      <c r="M521" s="0" t="n">
        <v>0</v>
      </c>
      <c r="N521" s="0" t="n">
        <v>9450.67</v>
      </c>
      <c r="O521" s="0" t="n">
        <v>3541.29</v>
      </c>
      <c r="P521" s="0" t="n">
        <v>696.49</v>
      </c>
      <c r="Q521" s="0" t="s">
        <v>23</v>
      </c>
      <c r="R521" s="0" t="s">
        <v>51</v>
      </c>
      <c r="S521" s="0" t="s">
        <v>272</v>
      </c>
    </row>
    <row r="522" customFormat="false" ht="15" hidden="false" customHeight="false" outlineLevel="0" collapsed="false">
      <c r="A522" s="0" t="s">
        <v>2001</v>
      </c>
      <c r="B522" s="0" t="s">
        <v>47</v>
      </c>
      <c r="C522" s="0" t="s">
        <v>205</v>
      </c>
      <c r="D522" s="0" t="s">
        <v>198</v>
      </c>
      <c r="E522" s="0" t="s">
        <v>42</v>
      </c>
      <c r="F522" s="0" t="n">
        <v>5.02</v>
      </c>
      <c r="G522" s="0" t="s">
        <v>511</v>
      </c>
      <c r="H522" s="0" t="s">
        <v>419</v>
      </c>
      <c r="I522" s="0" t="s">
        <v>420</v>
      </c>
      <c r="J522" s="0" t="s">
        <v>1025</v>
      </c>
      <c r="K522" s="0" t="s">
        <v>2002</v>
      </c>
      <c r="L522" s="0" t="n">
        <v>3.2</v>
      </c>
      <c r="M522" s="0" t="n">
        <v>1</v>
      </c>
      <c r="N522" s="0" t="n">
        <v>3902.28</v>
      </c>
      <c r="O522" s="0" t="n">
        <v>3876.98</v>
      </c>
      <c r="P522" s="0" t="n">
        <v>1430.17</v>
      </c>
      <c r="Q522" s="0" t="s">
        <v>22</v>
      </c>
      <c r="R522" s="0" t="s">
        <v>52</v>
      </c>
      <c r="S522" s="0" t="s">
        <v>222</v>
      </c>
    </row>
    <row r="523" customFormat="false" ht="15" hidden="false" customHeight="false" outlineLevel="0" collapsed="false">
      <c r="A523" s="0" t="s">
        <v>2003</v>
      </c>
      <c r="B523" s="0" t="s">
        <v>47</v>
      </c>
      <c r="C523" s="0" t="s">
        <v>205</v>
      </c>
      <c r="D523" s="0" t="s">
        <v>198</v>
      </c>
      <c r="E523" s="0" t="s">
        <v>42</v>
      </c>
      <c r="F523" s="0" t="n">
        <v>11.02</v>
      </c>
      <c r="G523" s="0" t="s">
        <v>516</v>
      </c>
      <c r="H523" s="0" t="s">
        <v>968</v>
      </c>
      <c r="I523" s="0" t="s">
        <v>846</v>
      </c>
      <c r="J523" s="0" t="s">
        <v>2004</v>
      </c>
      <c r="K523" s="0" t="s">
        <v>2005</v>
      </c>
      <c r="L523" s="0" t="n">
        <v>2.6</v>
      </c>
      <c r="M523" s="0" t="n">
        <v>1</v>
      </c>
      <c r="N523" s="0" t="n">
        <v>3648.08</v>
      </c>
      <c r="O523" s="0" t="n">
        <v>3129.88</v>
      </c>
      <c r="P523" s="0" t="n">
        <v>1064.42</v>
      </c>
      <c r="Q523" s="0" t="s">
        <v>23</v>
      </c>
      <c r="R523" s="0" t="s">
        <v>51</v>
      </c>
      <c r="S523" s="0" t="s">
        <v>247</v>
      </c>
    </row>
    <row r="524" customFormat="false" ht="15" hidden="false" customHeight="false" outlineLevel="0" collapsed="false">
      <c r="A524" s="0" t="s">
        <v>2006</v>
      </c>
      <c r="B524" s="0" t="s">
        <v>48</v>
      </c>
      <c r="C524" s="0" t="s">
        <v>198</v>
      </c>
      <c r="D524" s="0" t="s">
        <v>211</v>
      </c>
      <c r="E524" s="0" t="s">
        <v>42</v>
      </c>
      <c r="F524" s="0" t="n">
        <v>12.41</v>
      </c>
      <c r="G524" s="0" t="s">
        <v>1224</v>
      </c>
      <c r="H524" s="0" t="s">
        <v>814</v>
      </c>
      <c r="I524" s="0" t="s">
        <v>1243</v>
      </c>
      <c r="J524" s="0" t="s">
        <v>2007</v>
      </c>
      <c r="K524" s="0" t="s">
        <v>2008</v>
      </c>
      <c r="L524" s="0" t="n">
        <v>2.2</v>
      </c>
      <c r="M524" s="0" t="n">
        <v>1</v>
      </c>
      <c r="N524" s="0" t="n">
        <v>4290.67</v>
      </c>
      <c r="O524" s="0" t="n">
        <v>2948.85</v>
      </c>
      <c r="P524" s="0" t="n">
        <v>524.76</v>
      </c>
      <c r="Q524" s="0" t="s">
        <v>23</v>
      </c>
      <c r="R524" s="0" t="s">
        <v>52</v>
      </c>
      <c r="S524" s="0" t="s">
        <v>228</v>
      </c>
    </row>
    <row r="525" customFormat="false" ht="15" hidden="false" customHeight="false" outlineLevel="0" collapsed="false">
      <c r="A525" s="0" t="s">
        <v>2009</v>
      </c>
      <c r="B525" s="0" t="s">
        <v>48</v>
      </c>
      <c r="C525" s="0" t="s">
        <v>198</v>
      </c>
      <c r="D525" s="0" t="s">
        <v>204</v>
      </c>
      <c r="E525" s="0" t="s">
        <v>44</v>
      </c>
      <c r="F525" s="0" t="n">
        <v>5.73</v>
      </c>
      <c r="G525" s="0" t="s">
        <v>534</v>
      </c>
      <c r="H525" s="0" t="s">
        <v>647</v>
      </c>
      <c r="I525" s="0" t="s">
        <v>1039</v>
      </c>
      <c r="J525" s="0" t="s">
        <v>2010</v>
      </c>
      <c r="K525" s="0" t="s">
        <v>2011</v>
      </c>
      <c r="L525" s="0" t="n">
        <v>2.4</v>
      </c>
      <c r="M525" s="0" t="n">
        <v>1</v>
      </c>
      <c r="N525" s="0" t="n">
        <v>4651.8</v>
      </c>
      <c r="O525" s="0" t="n">
        <v>2029.92</v>
      </c>
      <c r="P525" s="0" t="n">
        <v>1274.42</v>
      </c>
      <c r="Q525" s="0" t="s">
        <v>22</v>
      </c>
      <c r="R525" s="0" t="s">
        <v>52</v>
      </c>
      <c r="S525" s="0" t="s">
        <v>272</v>
      </c>
    </row>
    <row r="526" customFormat="false" ht="15" hidden="false" customHeight="false" outlineLevel="0" collapsed="false">
      <c r="A526" s="0" t="s">
        <v>2012</v>
      </c>
      <c r="B526" s="0" t="s">
        <v>47</v>
      </c>
      <c r="C526" s="0" t="s">
        <v>206</v>
      </c>
      <c r="D526" s="0" t="s">
        <v>198</v>
      </c>
      <c r="E526" s="0" t="s">
        <v>43</v>
      </c>
      <c r="F526" s="0" t="n">
        <v>8.33</v>
      </c>
      <c r="G526" s="0" t="s">
        <v>507</v>
      </c>
      <c r="H526" s="0" t="s">
        <v>563</v>
      </c>
      <c r="I526" s="0" t="s">
        <v>327</v>
      </c>
      <c r="J526" s="0" t="s">
        <v>564</v>
      </c>
      <c r="K526" s="0" t="s">
        <v>2013</v>
      </c>
      <c r="L526" s="0" t="n">
        <v>3.3</v>
      </c>
      <c r="M526" s="0" t="n">
        <v>1</v>
      </c>
      <c r="N526" s="0" t="n">
        <v>4048.41</v>
      </c>
      <c r="O526" s="0" t="n">
        <v>2551.34</v>
      </c>
      <c r="P526" s="0" t="n">
        <v>787.88</v>
      </c>
      <c r="Q526" s="0" t="s">
        <v>21</v>
      </c>
      <c r="R526" s="0" t="s">
        <v>51</v>
      </c>
      <c r="S526" s="0" t="s">
        <v>247</v>
      </c>
    </row>
    <row r="527" customFormat="false" ht="15" hidden="false" customHeight="false" outlineLevel="0" collapsed="false">
      <c r="A527" s="0" t="s">
        <v>2014</v>
      </c>
      <c r="B527" s="0" t="s">
        <v>48</v>
      </c>
      <c r="C527" s="0" t="s">
        <v>198</v>
      </c>
      <c r="D527" s="0" t="s">
        <v>208</v>
      </c>
      <c r="E527" s="0" t="s">
        <v>43</v>
      </c>
      <c r="F527" s="0" t="n">
        <v>14.77</v>
      </c>
      <c r="G527" s="0" t="s">
        <v>501</v>
      </c>
      <c r="H527" s="0" t="s">
        <v>250</v>
      </c>
      <c r="I527" s="0" t="s">
        <v>299</v>
      </c>
      <c r="J527" s="0" t="s">
        <v>2015</v>
      </c>
      <c r="K527" s="0" t="s">
        <v>2016</v>
      </c>
      <c r="L527" s="0" t="n">
        <v>-1</v>
      </c>
      <c r="M527" s="0" t="n">
        <v>0</v>
      </c>
      <c r="N527" s="0" t="n">
        <v>6493.81</v>
      </c>
      <c r="O527" s="0" t="n">
        <v>3211.26</v>
      </c>
      <c r="P527" s="0" t="n">
        <v>1240.66</v>
      </c>
      <c r="Q527" s="0" t="s">
        <v>22</v>
      </c>
      <c r="R527" s="0" t="s">
        <v>51</v>
      </c>
      <c r="S527" s="0" t="s">
        <v>272</v>
      </c>
    </row>
    <row r="528" customFormat="false" ht="15" hidden="false" customHeight="false" outlineLevel="0" collapsed="false">
      <c r="A528" s="0" t="s">
        <v>2017</v>
      </c>
      <c r="B528" s="0" t="s">
        <v>48</v>
      </c>
      <c r="C528" s="0" t="s">
        <v>198</v>
      </c>
      <c r="D528" s="0" t="s">
        <v>201</v>
      </c>
      <c r="E528" s="0" t="s">
        <v>43</v>
      </c>
      <c r="F528" s="0" t="n">
        <v>10.22</v>
      </c>
      <c r="G528" s="0" t="s">
        <v>1098</v>
      </c>
      <c r="H528" s="0" t="s">
        <v>454</v>
      </c>
      <c r="I528" s="0" t="s">
        <v>281</v>
      </c>
      <c r="J528" s="0" t="s">
        <v>2018</v>
      </c>
      <c r="K528" s="0" t="s">
        <v>2019</v>
      </c>
      <c r="L528" s="0" t="n">
        <v>1</v>
      </c>
      <c r="M528" s="0" t="n">
        <v>1</v>
      </c>
      <c r="N528" s="0" t="n">
        <v>3716.39</v>
      </c>
      <c r="O528" s="0" t="n">
        <v>1424.64</v>
      </c>
      <c r="P528" s="0" t="n">
        <v>1337.47</v>
      </c>
      <c r="Q528" s="0" t="s">
        <v>23</v>
      </c>
      <c r="R528" s="0" t="s">
        <v>52</v>
      </c>
      <c r="S528" s="0" t="s">
        <v>247</v>
      </c>
    </row>
    <row r="529" customFormat="false" ht="15" hidden="false" customHeight="false" outlineLevel="0" collapsed="false">
      <c r="A529" s="0" t="s">
        <v>2020</v>
      </c>
      <c r="B529" s="0" t="s">
        <v>47</v>
      </c>
      <c r="C529" s="0" t="s">
        <v>209</v>
      </c>
      <c r="D529" s="0" t="s">
        <v>198</v>
      </c>
      <c r="E529" s="0" t="s">
        <v>43</v>
      </c>
      <c r="F529" s="0" t="n">
        <v>5.56</v>
      </c>
      <c r="G529" s="0" t="s">
        <v>920</v>
      </c>
      <c r="H529" s="0" t="s">
        <v>945</v>
      </c>
      <c r="I529" s="0" t="s">
        <v>667</v>
      </c>
      <c r="J529" s="0" t="s">
        <v>2021</v>
      </c>
      <c r="K529" s="0" t="s">
        <v>2022</v>
      </c>
      <c r="L529" s="0" t="n">
        <v>-1</v>
      </c>
      <c r="M529" s="0" t="n">
        <v>0</v>
      </c>
      <c r="N529" s="0" t="n">
        <v>2666.73</v>
      </c>
      <c r="O529" s="0" t="n">
        <v>1476.84</v>
      </c>
      <c r="P529" s="0" t="n">
        <v>536.46</v>
      </c>
      <c r="Q529" s="0" t="s">
        <v>23</v>
      </c>
      <c r="R529" s="0" t="s">
        <v>52</v>
      </c>
      <c r="S529" s="0" t="s">
        <v>222</v>
      </c>
    </row>
    <row r="530" customFormat="false" ht="15" hidden="false" customHeight="false" outlineLevel="0" collapsed="false">
      <c r="A530" s="0" t="s">
        <v>2023</v>
      </c>
      <c r="B530" s="0" t="s">
        <v>47</v>
      </c>
      <c r="C530" s="0" t="s">
        <v>203</v>
      </c>
      <c r="D530" s="0" t="s">
        <v>198</v>
      </c>
      <c r="E530" s="0" t="s">
        <v>42</v>
      </c>
      <c r="F530" s="0" t="n">
        <v>2</v>
      </c>
      <c r="G530" s="0" t="s">
        <v>501</v>
      </c>
      <c r="H530" s="0" t="s">
        <v>431</v>
      </c>
      <c r="I530" s="0" t="s">
        <v>643</v>
      </c>
      <c r="J530" s="0" t="s">
        <v>2024</v>
      </c>
      <c r="K530" s="0" t="s">
        <v>2025</v>
      </c>
      <c r="L530" s="0" t="n">
        <v>0.6</v>
      </c>
      <c r="M530" s="0" t="n">
        <v>1</v>
      </c>
      <c r="N530" s="0" t="n">
        <v>2015.01</v>
      </c>
      <c r="O530" s="0" t="n">
        <v>4443.2</v>
      </c>
      <c r="P530" s="0" t="n">
        <v>846.2</v>
      </c>
      <c r="Q530" s="0" t="s">
        <v>21</v>
      </c>
      <c r="R530" s="0" t="s">
        <v>52</v>
      </c>
      <c r="S530" s="0" t="s">
        <v>272</v>
      </c>
    </row>
    <row r="531" customFormat="false" ht="15" hidden="false" customHeight="false" outlineLevel="0" collapsed="false">
      <c r="A531" s="0" t="s">
        <v>2026</v>
      </c>
      <c r="B531" s="0" t="s">
        <v>47</v>
      </c>
      <c r="C531" s="0" t="s">
        <v>199</v>
      </c>
      <c r="D531" s="0" t="s">
        <v>198</v>
      </c>
      <c r="E531" s="0" t="s">
        <v>42</v>
      </c>
      <c r="F531" s="0" t="n">
        <v>13.42</v>
      </c>
      <c r="G531" s="0" t="s">
        <v>908</v>
      </c>
      <c r="H531" s="0" t="s">
        <v>1427</v>
      </c>
      <c r="I531" s="0" t="s">
        <v>558</v>
      </c>
      <c r="J531" s="0" t="s">
        <v>1428</v>
      </c>
      <c r="K531" s="0" t="s">
        <v>2027</v>
      </c>
      <c r="L531" s="0" t="n">
        <v>4.1</v>
      </c>
      <c r="M531" s="0" t="n">
        <v>1</v>
      </c>
      <c r="N531" s="0" t="n">
        <v>5459.5</v>
      </c>
      <c r="O531" s="0" t="n">
        <v>4865.1</v>
      </c>
      <c r="P531" s="0" t="n">
        <v>1470.07</v>
      </c>
      <c r="Q531" s="0" t="s">
        <v>23</v>
      </c>
      <c r="R531" s="0" t="s">
        <v>51</v>
      </c>
      <c r="S531" s="0" t="s">
        <v>222</v>
      </c>
    </row>
    <row r="532" customFormat="false" ht="15" hidden="false" customHeight="false" outlineLevel="0" collapsed="false">
      <c r="A532" s="0" t="s">
        <v>2028</v>
      </c>
      <c r="B532" s="0" t="s">
        <v>48</v>
      </c>
      <c r="C532" s="0" t="s">
        <v>198</v>
      </c>
      <c r="D532" s="0" t="s">
        <v>201</v>
      </c>
      <c r="E532" s="0" t="s">
        <v>44</v>
      </c>
      <c r="F532" s="0" t="n">
        <v>17.44</v>
      </c>
      <c r="G532" s="0" t="s">
        <v>478</v>
      </c>
      <c r="H532" s="0" t="s">
        <v>230</v>
      </c>
      <c r="I532" s="0" t="s">
        <v>269</v>
      </c>
      <c r="J532" s="0" t="s">
        <v>2029</v>
      </c>
      <c r="K532" s="0" t="s">
        <v>2030</v>
      </c>
      <c r="L532" s="0" t="n">
        <v>3.4</v>
      </c>
      <c r="M532" s="0" t="n">
        <v>1</v>
      </c>
      <c r="N532" s="0" t="n">
        <v>9326.3</v>
      </c>
      <c r="O532" s="0" t="n">
        <v>2127.67</v>
      </c>
      <c r="P532" s="0" t="n">
        <v>818.04</v>
      </c>
      <c r="Q532" s="0" t="s">
        <v>23</v>
      </c>
      <c r="R532" s="0" t="s">
        <v>52</v>
      </c>
      <c r="S532" s="0" t="s">
        <v>247</v>
      </c>
    </row>
    <row r="533" customFormat="false" ht="15" hidden="false" customHeight="false" outlineLevel="0" collapsed="false">
      <c r="A533" s="0" t="s">
        <v>2031</v>
      </c>
      <c r="B533" s="0" t="s">
        <v>48</v>
      </c>
      <c r="C533" s="0" t="s">
        <v>198</v>
      </c>
      <c r="D533" s="0" t="s">
        <v>211</v>
      </c>
      <c r="E533" s="0" t="s">
        <v>44</v>
      </c>
      <c r="F533" s="0" t="n">
        <v>18.57</v>
      </c>
      <c r="G533" s="0" t="s">
        <v>435</v>
      </c>
      <c r="H533" s="0" t="s">
        <v>420</v>
      </c>
      <c r="I533" s="0" t="s">
        <v>793</v>
      </c>
      <c r="J533" s="0" t="s">
        <v>2032</v>
      </c>
      <c r="K533" s="0" t="s">
        <v>2033</v>
      </c>
      <c r="L533" s="0" t="n">
        <v>4.6</v>
      </c>
      <c r="M533" s="0" t="n">
        <v>1</v>
      </c>
      <c r="N533" s="0" t="n">
        <v>4756.58</v>
      </c>
      <c r="O533" s="0" t="n">
        <v>2269.56</v>
      </c>
      <c r="P533" s="0" t="n">
        <v>720.32</v>
      </c>
      <c r="Q533" s="0" t="s">
        <v>23</v>
      </c>
      <c r="R533" s="0" t="s">
        <v>52</v>
      </c>
      <c r="S533" s="0" t="s">
        <v>272</v>
      </c>
    </row>
    <row r="534" customFormat="false" ht="15" hidden="false" customHeight="false" outlineLevel="0" collapsed="false">
      <c r="A534" s="0" t="s">
        <v>2034</v>
      </c>
      <c r="B534" s="0" t="s">
        <v>47</v>
      </c>
      <c r="C534" s="0" t="s">
        <v>205</v>
      </c>
      <c r="D534" s="0" t="s">
        <v>198</v>
      </c>
      <c r="E534" s="0" t="s">
        <v>42</v>
      </c>
      <c r="F534" s="0" t="n">
        <v>10.79</v>
      </c>
      <c r="G534" s="0" t="s">
        <v>449</v>
      </c>
      <c r="H534" s="0" t="s">
        <v>450</v>
      </c>
      <c r="I534" s="0" t="s">
        <v>705</v>
      </c>
      <c r="J534" s="0" t="s">
        <v>2035</v>
      </c>
      <c r="K534" s="0" t="s">
        <v>2036</v>
      </c>
      <c r="L534" s="0" t="n">
        <v>6.1</v>
      </c>
      <c r="M534" s="0" t="n">
        <v>1</v>
      </c>
      <c r="N534" s="0" t="n">
        <v>3434.32</v>
      </c>
      <c r="O534" s="0" t="n">
        <v>4403.81</v>
      </c>
      <c r="P534" s="0" t="n">
        <v>845.86</v>
      </c>
      <c r="Q534" s="0" t="s">
        <v>21</v>
      </c>
      <c r="R534" s="0" t="s">
        <v>51</v>
      </c>
      <c r="S534" s="0" t="s">
        <v>254</v>
      </c>
    </row>
    <row r="535" customFormat="false" ht="15" hidden="false" customHeight="false" outlineLevel="0" collapsed="false">
      <c r="A535" s="0" t="s">
        <v>2037</v>
      </c>
      <c r="B535" s="0" t="s">
        <v>47</v>
      </c>
      <c r="C535" s="0" t="s">
        <v>203</v>
      </c>
      <c r="D535" s="0" t="s">
        <v>198</v>
      </c>
      <c r="E535" s="0" t="s">
        <v>43</v>
      </c>
      <c r="F535" s="0" t="n">
        <v>1.67</v>
      </c>
      <c r="G535" s="0" t="s">
        <v>402</v>
      </c>
      <c r="H535" s="0" t="s">
        <v>1047</v>
      </c>
      <c r="I535" s="0" t="s">
        <v>954</v>
      </c>
      <c r="J535" s="0" t="s">
        <v>2038</v>
      </c>
      <c r="K535" s="0" t="s">
        <v>2039</v>
      </c>
      <c r="L535" s="0" t="n">
        <v>-1</v>
      </c>
      <c r="M535" s="0" t="n">
        <v>0</v>
      </c>
      <c r="N535" s="0" t="n">
        <v>2371.48</v>
      </c>
      <c r="O535" s="0" t="n">
        <v>3494.02</v>
      </c>
      <c r="P535" s="0" t="n">
        <v>631.29</v>
      </c>
      <c r="Q535" s="0" t="s">
        <v>22</v>
      </c>
      <c r="R535" s="0" t="s">
        <v>51</v>
      </c>
      <c r="S535" s="0" t="s">
        <v>222</v>
      </c>
    </row>
    <row r="536" customFormat="false" ht="15" hidden="false" customHeight="false" outlineLevel="0" collapsed="false">
      <c r="A536" s="0" t="s">
        <v>2040</v>
      </c>
      <c r="B536" s="0" t="s">
        <v>47</v>
      </c>
      <c r="C536" s="0" t="s">
        <v>203</v>
      </c>
      <c r="D536" s="0" t="s">
        <v>198</v>
      </c>
      <c r="E536" s="0" t="s">
        <v>43</v>
      </c>
      <c r="F536" s="0" t="n">
        <v>6.88</v>
      </c>
      <c r="G536" s="0" t="s">
        <v>286</v>
      </c>
      <c r="H536" s="0" t="s">
        <v>287</v>
      </c>
      <c r="I536" s="0" t="s">
        <v>488</v>
      </c>
      <c r="J536" s="0" t="s">
        <v>2041</v>
      </c>
      <c r="K536" s="0" t="s">
        <v>2042</v>
      </c>
      <c r="L536" s="0" t="n">
        <v>-1</v>
      </c>
      <c r="M536" s="0" t="n">
        <v>0</v>
      </c>
      <c r="N536" s="0" t="n">
        <v>4456.69</v>
      </c>
      <c r="O536" s="0" t="n">
        <v>1903.16</v>
      </c>
      <c r="P536" s="0" t="n">
        <v>1116.62</v>
      </c>
      <c r="Q536" s="0" t="s">
        <v>25</v>
      </c>
      <c r="R536" s="0" t="s">
        <v>52</v>
      </c>
      <c r="S536" s="0" t="s">
        <v>272</v>
      </c>
    </row>
    <row r="537" customFormat="false" ht="15" hidden="false" customHeight="false" outlineLevel="0" collapsed="false">
      <c r="A537" s="0" t="s">
        <v>2043</v>
      </c>
      <c r="B537" s="0" t="s">
        <v>48</v>
      </c>
      <c r="C537" s="0" t="s">
        <v>198</v>
      </c>
      <c r="D537" s="0" t="s">
        <v>201</v>
      </c>
      <c r="E537" s="0" t="s">
        <v>42</v>
      </c>
      <c r="F537" s="0" t="n">
        <v>1.77</v>
      </c>
      <c r="G537" s="0" t="s">
        <v>906</v>
      </c>
      <c r="H537" s="0" t="s">
        <v>907</v>
      </c>
      <c r="I537" s="0" t="s">
        <v>908</v>
      </c>
      <c r="J537" s="0" t="s">
        <v>909</v>
      </c>
      <c r="K537" s="0" t="s">
        <v>2044</v>
      </c>
      <c r="L537" s="0" t="n">
        <v>5.2</v>
      </c>
      <c r="M537" s="0" t="n">
        <v>1</v>
      </c>
      <c r="N537" s="0" t="n">
        <v>1776.19</v>
      </c>
      <c r="O537" s="0" t="n">
        <v>1521.41</v>
      </c>
      <c r="P537" s="0" t="n">
        <v>703.53</v>
      </c>
      <c r="Q537" s="0" t="s">
        <v>24</v>
      </c>
      <c r="R537" s="0" t="s">
        <v>52</v>
      </c>
      <c r="S537" s="0" t="s">
        <v>272</v>
      </c>
    </row>
    <row r="538" customFormat="false" ht="15" hidden="false" customHeight="false" outlineLevel="0" collapsed="false">
      <c r="A538" s="0" t="s">
        <v>2045</v>
      </c>
      <c r="B538" s="0" t="s">
        <v>47</v>
      </c>
      <c r="C538" s="0" t="s">
        <v>209</v>
      </c>
      <c r="D538" s="0" t="s">
        <v>198</v>
      </c>
      <c r="E538" s="0" t="s">
        <v>44</v>
      </c>
      <c r="F538" s="0" t="n">
        <v>15.61</v>
      </c>
      <c r="G538" s="0" t="s">
        <v>588</v>
      </c>
      <c r="H538" s="0" t="s">
        <v>527</v>
      </c>
      <c r="I538" s="0" t="s">
        <v>949</v>
      </c>
      <c r="J538" s="0" t="s">
        <v>2046</v>
      </c>
      <c r="K538" s="0" t="s">
        <v>1443</v>
      </c>
      <c r="L538" s="0" t="n">
        <v>-1</v>
      </c>
      <c r="M538" s="0" t="n">
        <v>0</v>
      </c>
      <c r="N538" s="0" t="n">
        <v>5328.85</v>
      </c>
      <c r="O538" s="0" t="n">
        <v>4652.92</v>
      </c>
      <c r="P538" s="0" t="n">
        <v>887.97</v>
      </c>
      <c r="Q538" s="0" t="s">
        <v>24</v>
      </c>
      <c r="R538" s="0" t="s">
        <v>51</v>
      </c>
      <c r="S538" s="0" t="s">
        <v>222</v>
      </c>
    </row>
    <row r="539" customFormat="false" ht="15" hidden="false" customHeight="false" outlineLevel="0" collapsed="false">
      <c r="A539" s="0" t="s">
        <v>2047</v>
      </c>
      <c r="B539" s="0" t="s">
        <v>48</v>
      </c>
      <c r="C539" s="0" t="s">
        <v>198</v>
      </c>
      <c r="D539" s="0" t="s">
        <v>208</v>
      </c>
      <c r="E539" s="0" t="s">
        <v>43</v>
      </c>
      <c r="F539" s="0" t="n">
        <v>16.76</v>
      </c>
      <c r="G539" s="0" t="s">
        <v>1108</v>
      </c>
      <c r="H539" s="0" t="s">
        <v>1068</v>
      </c>
      <c r="I539" s="0" t="s">
        <v>468</v>
      </c>
      <c r="J539" s="0" t="s">
        <v>2048</v>
      </c>
      <c r="K539" s="0" t="s">
        <v>2049</v>
      </c>
      <c r="L539" s="0" t="n">
        <v>-0.7</v>
      </c>
      <c r="M539" s="0" t="n">
        <v>0</v>
      </c>
      <c r="N539" s="0" t="n">
        <v>11570.98</v>
      </c>
      <c r="O539" s="0" t="n">
        <v>2453.62</v>
      </c>
      <c r="P539" s="0" t="n">
        <v>1438.18</v>
      </c>
      <c r="Q539" s="0" t="s">
        <v>25</v>
      </c>
      <c r="R539" s="0" t="s">
        <v>52</v>
      </c>
      <c r="S539" s="0" t="s">
        <v>247</v>
      </c>
    </row>
    <row r="540" customFormat="false" ht="15" hidden="false" customHeight="false" outlineLevel="0" collapsed="false">
      <c r="A540" s="0" t="s">
        <v>2050</v>
      </c>
      <c r="B540" s="0" t="s">
        <v>47</v>
      </c>
      <c r="C540" s="0" t="s">
        <v>199</v>
      </c>
      <c r="D540" s="0" t="s">
        <v>198</v>
      </c>
      <c r="E540" s="0" t="s">
        <v>42</v>
      </c>
      <c r="F540" s="0" t="n">
        <v>6.24</v>
      </c>
      <c r="G540" s="0" t="s">
        <v>907</v>
      </c>
      <c r="H540" s="0" t="s">
        <v>631</v>
      </c>
      <c r="I540" s="0" t="s">
        <v>1427</v>
      </c>
      <c r="J540" s="0" t="s">
        <v>2051</v>
      </c>
      <c r="K540" s="0" t="s">
        <v>2052</v>
      </c>
      <c r="L540" s="0" t="n">
        <v>3.9</v>
      </c>
      <c r="M540" s="0" t="n">
        <v>1</v>
      </c>
      <c r="N540" s="0" t="n">
        <v>2904.05</v>
      </c>
      <c r="O540" s="0" t="n">
        <v>1813.95</v>
      </c>
      <c r="P540" s="0" t="n">
        <v>1454.55</v>
      </c>
      <c r="Q540" s="0" t="s">
        <v>23</v>
      </c>
      <c r="R540" s="0" t="s">
        <v>51</v>
      </c>
      <c r="S540" s="0" t="s">
        <v>254</v>
      </c>
    </row>
    <row r="541" customFormat="false" ht="15" hidden="false" customHeight="false" outlineLevel="0" collapsed="false">
      <c r="A541" s="0" t="s">
        <v>2053</v>
      </c>
      <c r="B541" s="0" t="s">
        <v>47</v>
      </c>
      <c r="C541" s="0" t="s">
        <v>206</v>
      </c>
      <c r="D541" s="0" t="s">
        <v>198</v>
      </c>
      <c r="E541" s="0" t="s">
        <v>43</v>
      </c>
      <c r="F541" s="0" t="n">
        <v>18.45</v>
      </c>
      <c r="G541" s="0" t="s">
        <v>419</v>
      </c>
      <c r="H541" s="0" t="s">
        <v>435</v>
      </c>
      <c r="I541" s="0" t="s">
        <v>1097</v>
      </c>
      <c r="J541" s="0" t="s">
        <v>2054</v>
      </c>
      <c r="K541" s="0" t="s">
        <v>2055</v>
      </c>
      <c r="L541" s="0" t="n">
        <v>4.4</v>
      </c>
      <c r="M541" s="0" t="n">
        <v>1</v>
      </c>
      <c r="N541" s="0" t="n">
        <v>10079.08</v>
      </c>
      <c r="O541" s="0" t="n">
        <v>4478.13</v>
      </c>
      <c r="P541" s="0" t="n">
        <v>680.66</v>
      </c>
      <c r="Q541" s="0" t="s">
        <v>24</v>
      </c>
      <c r="R541" s="0" t="s">
        <v>51</v>
      </c>
      <c r="S541" s="0" t="s">
        <v>222</v>
      </c>
    </row>
    <row r="542" customFormat="false" ht="15" hidden="false" customHeight="false" outlineLevel="0" collapsed="false">
      <c r="A542" s="0" t="s">
        <v>2056</v>
      </c>
      <c r="B542" s="0" t="s">
        <v>47</v>
      </c>
      <c r="C542" s="0" t="s">
        <v>205</v>
      </c>
      <c r="D542" s="0" t="s">
        <v>198</v>
      </c>
      <c r="E542" s="0" t="s">
        <v>44</v>
      </c>
      <c r="F542" s="0" t="n">
        <v>19.01</v>
      </c>
      <c r="G542" s="0" t="s">
        <v>304</v>
      </c>
      <c r="H542" s="0" t="s">
        <v>487</v>
      </c>
      <c r="I542" s="0" t="s">
        <v>488</v>
      </c>
      <c r="J542" s="0" t="s">
        <v>669</v>
      </c>
      <c r="K542" s="0" t="s">
        <v>2057</v>
      </c>
      <c r="L542" s="0" t="n">
        <v>1.1</v>
      </c>
      <c r="M542" s="0" t="n">
        <v>1</v>
      </c>
      <c r="N542" s="0" t="n">
        <v>9682.87</v>
      </c>
      <c r="O542" s="0" t="n">
        <v>1913.33</v>
      </c>
      <c r="P542" s="0" t="n">
        <v>558.46</v>
      </c>
      <c r="Q542" s="0" t="s">
        <v>21</v>
      </c>
      <c r="R542" s="0" t="s">
        <v>52</v>
      </c>
      <c r="S542" s="0" t="s">
        <v>254</v>
      </c>
    </row>
    <row r="543" customFormat="false" ht="15" hidden="false" customHeight="false" outlineLevel="0" collapsed="false">
      <c r="A543" s="0" t="s">
        <v>2058</v>
      </c>
      <c r="B543" s="0" t="s">
        <v>47</v>
      </c>
      <c r="C543" s="0" t="s">
        <v>199</v>
      </c>
      <c r="D543" s="0" t="s">
        <v>198</v>
      </c>
      <c r="E543" s="0" t="s">
        <v>43</v>
      </c>
      <c r="F543" s="0" t="n">
        <v>6.7</v>
      </c>
      <c r="G543" s="0" t="s">
        <v>275</v>
      </c>
      <c r="H543" s="0" t="s">
        <v>348</v>
      </c>
      <c r="I543" s="0" t="s">
        <v>276</v>
      </c>
      <c r="J543" s="0" t="s">
        <v>2059</v>
      </c>
      <c r="K543" s="0" t="s">
        <v>2060</v>
      </c>
      <c r="L543" s="0" t="n">
        <v>9.7</v>
      </c>
      <c r="M543" s="0" t="n">
        <v>1</v>
      </c>
      <c r="N543" s="0" t="n">
        <v>2641.48</v>
      </c>
      <c r="O543" s="0" t="n">
        <v>3333.23</v>
      </c>
      <c r="P543" s="0" t="n">
        <v>1384.34</v>
      </c>
      <c r="Q543" s="0" t="s">
        <v>25</v>
      </c>
      <c r="R543" s="0" t="s">
        <v>51</v>
      </c>
      <c r="S543" s="0" t="s">
        <v>222</v>
      </c>
    </row>
    <row r="544" customFormat="false" ht="15" hidden="false" customHeight="false" outlineLevel="0" collapsed="false">
      <c r="A544" s="0" t="s">
        <v>2061</v>
      </c>
      <c r="B544" s="0" t="s">
        <v>47</v>
      </c>
      <c r="C544" s="0" t="s">
        <v>203</v>
      </c>
      <c r="D544" s="0" t="s">
        <v>198</v>
      </c>
      <c r="E544" s="0" t="s">
        <v>44</v>
      </c>
      <c r="F544" s="0" t="n">
        <v>3.88</v>
      </c>
      <c r="G544" s="0" t="s">
        <v>681</v>
      </c>
      <c r="H544" s="0" t="s">
        <v>992</v>
      </c>
      <c r="I544" s="0" t="s">
        <v>993</v>
      </c>
      <c r="J544" s="0" t="s">
        <v>2062</v>
      </c>
      <c r="K544" s="0" t="s">
        <v>2063</v>
      </c>
      <c r="L544" s="0" t="n">
        <v>-0.2</v>
      </c>
      <c r="M544" s="0" t="n">
        <v>0</v>
      </c>
      <c r="N544" s="0" t="n">
        <v>3015.82</v>
      </c>
      <c r="O544" s="0" t="n">
        <v>1524.23</v>
      </c>
      <c r="P544" s="0" t="n">
        <v>1297.39</v>
      </c>
      <c r="Q544" s="0" t="s">
        <v>21</v>
      </c>
      <c r="R544" s="0" t="s">
        <v>52</v>
      </c>
      <c r="S544" s="0" t="s">
        <v>272</v>
      </c>
    </row>
    <row r="545" customFormat="false" ht="15" hidden="false" customHeight="false" outlineLevel="0" collapsed="false">
      <c r="A545" s="0" t="s">
        <v>2064</v>
      </c>
      <c r="B545" s="0" t="s">
        <v>47</v>
      </c>
      <c r="C545" s="0" t="s">
        <v>209</v>
      </c>
      <c r="D545" s="0" t="s">
        <v>198</v>
      </c>
      <c r="E545" s="0" t="s">
        <v>44</v>
      </c>
      <c r="F545" s="0" t="n">
        <v>10.65</v>
      </c>
      <c r="G545" s="0" t="s">
        <v>403</v>
      </c>
      <c r="H545" s="0" t="s">
        <v>1047</v>
      </c>
      <c r="I545" s="0" t="s">
        <v>800</v>
      </c>
      <c r="J545" s="0" t="s">
        <v>2065</v>
      </c>
      <c r="K545" s="0" t="s">
        <v>956</v>
      </c>
      <c r="L545" s="0" t="n">
        <v>7</v>
      </c>
      <c r="M545" s="0" t="n">
        <v>1</v>
      </c>
      <c r="N545" s="0" t="n">
        <v>6611.69</v>
      </c>
      <c r="O545" s="0" t="n">
        <v>2438.88</v>
      </c>
      <c r="P545" s="0" t="n">
        <v>1036.16</v>
      </c>
      <c r="Q545" s="0" t="s">
        <v>21</v>
      </c>
      <c r="R545" s="0" t="s">
        <v>52</v>
      </c>
      <c r="S545" s="0" t="s">
        <v>247</v>
      </c>
    </row>
    <row r="546" customFormat="false" ht="15" hidden="false" customHeight="false" outlineLevel="0" collapsed="false">
      <c r="A546" s="0" t="s">
        <v>2066</v>
      </c>
      <c r="B546" s="0" t="s">
        <v>48</v>
      </c>
      <c r="C546" s="0" t="s">
        <v>198</v>
      </c>
      <c r="D546" s="0" t="s">
        <v>208</v>
      </c>
      <c r="E546" s="0" t="s">
        <v>43</v>
      </c>
      <c r="F546" s="0" t="n">
        <v>14.63</v>
      </c>
      <c r="G546" s="0" t="s">
        <v>528</v>
      </c>
      <c r="H546" s="0" t="s">
        <v>316</v>
      </c>
      <c r="I546" s="0" t="s">
        <v>275</v>
      </c>
      <c r="J546" s="0" t="s">
        <v>317</v>
      </c>
      <c r="K546" s="0" t="s">
        <v>2067</v>
      </c>
      <c r="L546" s="0" t="n">
        <v>6.9</v>
      </c>
      <c r="M546" s="0" t="n">
        <v>1</v>
      </c>
      <c r="N546" s="0" t="n">
        <v>6025.25</v>
      </c>
      <c r="O546" s="0" t="n">
        <v>2922.24</v>
      </c>
      <c r="P546" s="0" t="n">
        <v>568.75</v>
      </c>
      <c r="Q546" s="0" t="s">
        <v>21</v>
      </c>
      <c r="R546" s="0" t="s">
        <v>51</v>
      </c>
      <c r="S546" s="0" t="s">
        <v>222</v>
      </c>
    </row>
    <row r="547" customFormat="false" ht="15" hidden="false" customHeight="false" outlineLevel="0" collapsed="false">
      <c r="A547" s="0" t="s">
        <v>2068</v>
      </c>
      <c r="B547" s="0" t="s">
        <v>48</v>
      </c>
      <c r="C547" s="0" t="s">
        <v>198</v>
      </c>
      <c r="D547" s="0" t="s">
        <v>213</v>
      </c>
      <c r="E547" s="0" t="s">
        <v>43</v>
      </c>
      <c r="F547" s="0" t="n">
        <v>11.44</v>
      </c>
      <c r="G547" s="0" t="s">
        <v>658</v>
      </c>
      <c r="H547" s="0" t="s">
        <v>1039</v>
      </c>
      <c r="I547" s="0" t="s">
        <v>589</v>
      </c>
      <c r="J547" s="0" t="s">
        <v>2069</v>
      </c>
      <c r="K547" s="0" t="s">
        <v>1041</v>
      </c>
      <c r="L547" s="0" t="n">
        <v>1.5</v>
      </c>
      <c r="M547" s="0" t="n">
        <v>1</v>
      </c>
      <c r="N547" s="0" t="n">
        <v>3232.28</v>
      </c>
      <c r="O547" s="0" t="n">
        <v>4290.81</v>
      </c>
      <c r="P547" s="0" t="n">
        <v>811.38</v>
      </c>
      <c r="Q547" s="0" t="s">
        <v>23</v>
      </c>
      <c r="R547" s="0" t="s">
        <v>51</v>
      </c>
      <c r="S547" s="0" t="s">
        <v>247</v>
      </c>
    </row>
    <row r="548" customFormat="false" ht="15" hidden="false" customHeight="false" outlineLevel="0" collapsed="false">
      <c r="A548" s="0" t="s">
        <v>2070</v>
      </c>
      <c r="B548" s="0" t="s">
        <v>47</v>
      </c>
      <c r="C548" s="0" t="s">
        <v>199</v>
      </c>
      <c r="D548" s="0" t="s">
        <v>198</v>
      </c>
      <c r="E548" s="0" t="s">
        <v>42</v>
      </c>
      <c r="F548" s="0" t="n">
        <v>8.63</v>
      </c>
      <c r="G548" s="0" t="s">
        <v>1926</v>
      </c>
      <c r="H548" s="0" t="s">
        <v>326</v>
      </c>
      <c r="I548" s="0" t="s">
        <v>624</v>
      </c>
      <c r="J548" s="0" t="s">
        <v>2071</v>
      </c>
      <c r="K548" s="0" t="s">
        <v>2072</v>
      </c>
      <c r="L548" s="0" t="n">
        <v>-0.9</v>
      </c>
      <c r="M548" s="0" t="n">
        <v>0</v>
      </c>
      <c r="N548" s="0" t="n">
        <v>5274.15</v>
      </c>
      <c r="O548" s="0" t="n">
        <v>4893.04</v>
      </c>
      <c r="P548" s="0" t="n">
        <v>701.41</v>
      </c>
      <c r="Q548" s="0" t="s">
        <v>21</v>
      </c>
      <c r="R548" s="0" t="s">
        <v>52</v>
      </c>
      <c r="S548" s="0" t="s">
        <v>222</v>
      </c>
    </row>
    <row r="549" customFormat="false" ht="15" hidden="false" customHeight="false" outlineLevel="0" collapsed="false">
      <c r="A549" s="0" t="s">
        <v>2073</v>
      </c>
      <c r="B549" s="0" t="s">
        <v>47</v>
      </c>
      <c r="C549" s="0" t="s">
        <v>203</v>
      </c>
      <c r="D549" s="0" t="s">
        <v>198</v>
      </c>
      <c r="E549" s="0" t="s">
        <v>44</v>
      </c>
      <c r="F549" s="0" t="n">
        <v>1.18</v>
      </c>
      <c r="G549" s="0" t="s">
        <v>581</v>
      </c>
      <c r="H549" s="0" t="s">
        <v>492</v>
      </c>
      <c r="I549" s="0" t="s">
        <v>320</v>
      </c>
      <c r="J549" s="0" t="s">
        <v>2074</v>
      </c>
      <c r="K549" s="0" t="s">
        <v>2075</v>
      </c>
      <c r="L549" s="0" t="n">
        <v>0.2</v>
      </c>
      <c r="M549" s="0" t="n">
        <v>1</v>
      </c>
      <c r="N549" s="0" t="n">
        <v>1386.79</v>
      </c>
      <c r="O549" s="0" t="n">
        <v>2316.92</v>
      </c>
      <c r="P549" s="0" t="n">
        <v>552.48</v>
      </c>
      <c r="Q549" s="0" t="s">
        <v>22</v>
      </c>
      <c r="R549" s="0" t="s">
        <v>51</v>
      </c>
      <c r="S549" s="0" t="s">
        <v>272</v>
      </c>
    </row>
    <row r="550" customFormat="false" ht="15" hidden="false" customHeight="false" outlineLevel="0" collapsed="false">
      <c r="A550" s="0" t="s">
        <v>2076</v>
      </c>
      <c r="B550" s="0" t="s">
        <v>47</v>
      </c>
      <c r="C550" s="0" t="s">
        <v>209</v>
      </c>
      <c r="D550" s="0" t="s">
        <v>198</v>
      </c>
      <c r="E550" s="0" t="s">
        <v>43</v>
      </c>
      <c r="F550" s="0" t="n">
        <v>9.55</v>
      </c>
      <c r="G550" s="0" t="s">
        <v>673</v>
      </c>
      <c r="H550" s="0" t="s">
        <v>968</v>
      </c>
      <c r="I550" s="0" t="s">
        <v>517</v>
      </c>
      <c r="J550" s="0" t="s">
        <v>2004</v>
      </c>
      <c r="K550" s="0" t="s">
        <v>1491</v>
      </c>
      <c r="L550" s="0" t="n">
        <v>-1</v>
      </c>
      <c r="M550" s="0" t="n">
        <v>0</v>
      </c>
      <c r="N550" s="0" t="n">
        <v>3453.53</v>
      </c>
      <c r="O550" s="0" t="n">
        <v>1157.45</v>
      </c>
      <c r="P550" s="0" t="n">
        <v>521.85</v>
      </c>
      <c r="Q550" s="0" t="s">
        <v>23</v>
      </c>
      <c r="R550" s="0" t="s">
        <v>51</v>
      </c>
      <c r="S550" s="0" t="s">
        <v>222</v>
      </c>
    </row>
    <row r="551" customFormat="false" ht="15" hidden="false" customHeight="false" outlineLevel="0" collapsed="false">
      <c r="A551" s="0" t="s">
        <v>2077</v>
      </c>
      <c r="B551" s="0" t="s">
        <v>47</v>
      </c>
      <c r="C551" s="0" t="s">
        <v>203</v>
      </c>
      <c r="D551" s="0" t="s">
        <v>198</v>
      </c>
      <c r="E551" s="0" t="s">
        <v>44</v>
      </c>
      <c r="F551" s="0" t="n">
        <v>15.72</v>
      </c>
      <c r="G551" s="0" t="s">
        <v>1108</v>
      </c>
      <c r="H551" s="0" t="s">
        <v>244</v>
      </c>
      <c r="I551" s="0" t="s">
        <v>414</v>
      </c>
      <c r="J551" s="0" t="s">
        <v>2078</v>
      </c>
      <c r="K551" s="0" t="s">
        <v>2079</v>
      </c>
      <c r="L551" s="0" t="n">
        <v>2.2</v>
      </c>
      <c r="M551" s="0" t="n">
        <v>1</v>
      </c>
      <c r="N551" s="0" t="n">
        <v>5048.25</v>
      </c>
      <c r="O551" s="0" t="n">
        <v>4134.01</v>
      </c>
      <c r="P551" s="0" t="n">
        <v>510.51</v>
      </c>
      <c r="Q551" s="0" t="s">
        <v>23</v>
      </c>
      <c r="R551" s="0" t="s">
        <v>52</v>
      </c>
      <c r="S551" s="0" t="s">
        <v>272</v>
      </c>
    </row>
    <row r="552" customFormat="false" ht="15" hidden="false" customHeight="false" outlineLevel="0" collapsed="false">
      <c r="A552" s="0" t="s">
        <v>2080</v>
      </c>
      <c r="B552" s="0" t="s">
        <v>47</v>
      </c>
      <c r="C552" s="0" t="s">
        <v>199</v>
      </c>
      <c r="D552" s="0" t="s">
        <v>198</v>
      </c>
      <c r="E552" s="0" t="s">
        <v>43</v>
      </c>
      <c r="F552" s="0" t="n">
        <v>15.48</v>
      </c>
      <c r="G552" s="0" t="s">
        <v>1269</v>
      </c>
      <c r="H552" s="0" t="s">
        <v>1582</v>
      </c>
      <c r="I552" s="0" t="s">
        <v>613</v>
      </c>
      <c r="J552" s="0" t="s">
        <v>2081</v>
      </c>
      <c r="K552" s="0" t="s">
        <v>2082</v>
      </c>
      <c r="L552" s="0" t="n">
        <v>4.7</v>
      </c>
      <c r="M552" s="0" t="n">
        <v>1</v>
      </c>
      <c r="N552" s="0" t="n">
        <v>6959.41</v>
      </c>
      <c r="O552" s="0" t="n">
        <v>4707.63</v>
      </c>
      <c r="P552" s="0" t="n">
        <v>1462.06</v>
      </c>
      <c r="Q552" s="0" t="s">
        <v>24</v>
      </c>
      <c r="R552" s="0" t="s">
        <v>51</v>
      </c>
      <c r="S552" s="0" t="s">
        <v>272</v>
      </c>
    </row>
    <row r="553" customFormat="false" ht="15" hidden="false" customHeight="false" outlineLevel="0" collapsed="false">
      <c r="A553" s="0" t="s">
        <v>2083</v>
      </c>
      <c r="B553" s="0" t="s">
        <v>48</v>
      </c>
      <c r="C553" s="0" t="s">
        <v>198</v>
      </c>
      <c r="D553" s="0" t="s">
        <v>213</v>
      </c>
      <c r="E553" s="0" t="s">
        <v>43</v>
      </c>
      <c r="F553" s="0" t="n">
        <v>10.67</v>
      </c>
      <c r="G553" s="0" t="s">
        <v>609</v>
      </c>
      <c r="H553" s="0" t="s">
        <v>316</v>
      </c>
      <c r="I553" s="0" t="s">
        <v>275</v>
      </c>
      <c r="J553" s="0" t="s">
        <v>2084</v>
      </c>
      <c r="K553" s="0" t="s">
        <v>2085</v>
      </c>
      <c r="L553" s="0" t="n">
        <v>2.1</v>
      </c>
      <c r="M553" s="0" t="n">
        <v>1</v>
      </c>
      <c r="N553" s="0" t="n">
        <v>4330.5</v>
      </c>
      <c r="O553" s="0" t="n">
        <v>2130.2</v>
      </c>
      <c r="P553" s="0" t="n">
        <v>779.01</v>
      </c>
      <c r="Q553" s="0" t="s">
        <v>23</v>
      </c>
      <c r="R553" s="0" t="s">
        <v>52</v>
      </c>
      <c r="S553" s="0" t="s">
        <v>272</v>
      </c>
    </row>
    <row r="554" customFormat="false" ht="15" hidden="false" customHeight="false" outlineLevel="0" collapsed="false">
      <c r="A554" s="0" t="s">
        <v>2086</v>
      </c>
      <c r="B554" s="0" t="s">
        <v>47</v>
      </c>
      <c r="C554" s="0" t="s">
        <v>206</v>
      </c>
      <c r="D554" s="0" t="s">
        <v>198</v>
      </c>
      <c r="E554" s="0" t="s">
        <v>44</v>
      </c>
      <c r="F554" s="0" t="n">
        <v>8.69</v>
      </c>
      <c r="G554" s="0" t="s">
        <v>444</v>
      </c>
      <c r="H554" s="0" t="s">
        <v>497</v>
      </c>
      <c r="I554" s="0" t="s">
        <v>2087</v>
      </c>
      <c r="J554" s="0" t="s">
        <v>1722</v>
      </c>
      <c r="K554" s="0" t="s">
        <v>2088</v>
      </c>
      <c r="L554" s="0" t="n">
        <v>-1</v>
      </c>
      <c r="M554" s="0" t="n">
        <v>0</v>
      </c>
      <c r="N554" s="0" t="n">
        <v>4494.97</v>
      </c>
      <c r="O554" s="0" t="n">
        <v>2035.17</v>
      </c>
      <c r="P554" s="0" t="n">
        <v>816.46</v>
      </c>
      <c r="Q554" s="0" t="s">
        <v>24</v>
      </c>
      <c r="R554" s="0" t="s">
        <v>52</v>
      </c>
      <c r="S554" s="0" t="s">
        <v>272</v>
      </c>
    </row>
    <row r="555" customFormat="false" ht="15" hidden="false" customHeight="false" outlineLevel="0" collapsed="false">
      <c r="A555" s="0" t="s">
        <v>2089</v>
      </c>
      <c r="B555" s="0" t="s">
        <v>47</v>
      </c>
      <c r="C555" s="0" t="s">
        <v>203</v>
      </c>
      <c r="D555" s="0" t="s">
        <v>198</v>
      </c>
      <c r="E555" s="0" t="s">
        <v>43</v>
      </c>
      <c r="F555" s="0" t="n">
        <v>2.65</v>
      </c>
      <c r="G555" s="0" t="s">
        <v>381</v>
      </c>
      <c r="H555" s="0" t="s">
        <v>1195</v>
      </c>
      <c r="I555" s="0" t="s">
        <v>888</v>
      </c>
      <c r="J555" s="0" t="s">
        <v>2090</v>
      </c>
      <c r="K555" s="0" t="s">
        <v>2091</v>
      </c>
      <c r="L555" s="0" t="n">
        <v>-1</v>
      </c>
      <c r="M555" s="0" t="n">
        <v>0</v>
      </c>
      <c r="N555" s="0" t="n">
        <v>2850.2</v>
      </c>
      <c r="O555" s="0" t="n">
        <v>1024.74</v>
      </c>
      <c r="P555" s="0" t="n">
        <v>1310.68</v>
      </c>
      <c r="Q555" s="0" t="s">
        <v>21</v>
      </c>
      <c r="R555" s="0" t="s">
        <v>51</v>
      </c>
      <c r="S555" s="0" t="s">
        <v>222</v>
      </c>
    </row>
    <row r="556" customFormat="false" ht="15" hidden="false" customHeight="false" outlineLevel="0" collapsed="false">
      <c r="A556" s="0" t="s">
        <v>2092</v>
      </c>
      <c r="B556" s="0" t="s">
        <v>47</v>
      </c>
      <c r="C556" s="0" t="s">
        <v>203</v>
      </c>
      <c r="D556" s="0" t="s">
        <v>198</v>
      </c>
      <c r="E556" s="0" t="s">
        <v>43</v>
      </c>
      <c r="F556" s="0" t="n">
        <v>19.02</v>
      </c>
      <c r="G556" s="0" t="s">
        <v>320</v>
      </c>
      <c r="H556" s="0" t="s">
        <v>238</v>
      </c>
      <c r="I556" s="0" t="s">
        <v>321</v>
      </c>
      <c r="J556" s="0" t="s">
        <v>2093</v>
      </c>
      <c r="K556" s="0" t="s">
        <v>2094</v>
      </c>
      <c r="L556" s="0" t="n">
        <v>2.1</v>
      </c>
      <c r="M556" s="0" t="n">
        <v>1</v>
      </c>
      <c r="N556" s="0" t="n">
        <v>11500.77</v>
      </c>
      <c r="O556" s="0" t="n">
        <v>4981.69</v>
      </c>
      <c r="P556" s="0" t="n">
        <v>787.51</v>
      </c>
      <c r="Q556" s="0" t="s">
        <v>23</v>
      </c>
      <c r="R556" s="0" t="s">
        <v>51</v>
      </c>
      <c r="S556" s="0" t="s">
        <v>247</v>
      </c>
    </row>
    <row r="557" customFormat="false" ht="15" hidden="false" customHeight="false" outlineLevel="0" collapsed="false">
      <c r="A557" s="0" t="s">
        <v>2095</v>
      </c>
      <c r="B557" s="0" t="s">
        <v>47</v>
      </c>
      <c r="C557" s="0" t="s">
        <v>206</v>
      </c>
      <c r="D557" s="0" t="s">
        <v>198</v>
      </c>
      <c r="E557" s="0" t="s">
        <v>44</v>
      </c>
      <c r="F557" s="0" t="n">
        <v>11.23</v>
      </c>
      <c r="G557" s="0" t="s">
        <v>327</v>
      </c>
      <c r="H557" s="0" t="s">
        <v>570</v>
      </c>
      <c r="I557" s="0" t="s">
        <v>336</v>
      </c>
      <c r="J557" s="0" t="s">
        <v>2096</v>
      </c>
      <c r="K557" s="0" t="s">
        <v>2097</v>
      </c>
      <c r="L557" s="0" t="n">
        <v>0.7</v>
      </c>
      <c r="M557" s="0" t="n">
        <v>1</v>
      </c>
      <c r="N557" s="0" t="n">
        <v>9137.16</v>
      </c>
      <c r="O557" s="0" t="n">
        <v>2993.33</v>
      </c>
      <c r="P557" s="0" t="n">
        <v>1103.25</v>
      </c>
      <c r="Q557" s="0" t="s">
        <v>23</v>
      </c>
      <c r="R557" s="0" t="s">
        <v>51</v>
      </c>
      <c r="S557" s="0" t="s">
        <v>247</v>
      </c>
    </row>
    <row r="558" customFormat="false" ht="15" hidden="false" customHeight="false" outlineLevel="0" collapsed="false">
      <c r="A558" s="0" t="s">
        <v>2098</v>
      </c>
      <c r="B558" s="0" t="s">
        <v>47</v>
      </c>
      <c r="C558" s="0" t="s">
        <v>203</v>
      </c>
      <c r="D558" s="0" t="s">
        <v>198</v>
      </c>
      <c r="E558" s="0" t="s">
        <v>43</v>
      </c>
      <c r="F558" s="0" t="n">
        <v>5.32</v>
      </c>
      <c r="G558" s="0" t="s">
        <v>964</v>
      </c>
      <c r="H558" s="0" t="s">
        <v>572</v>
      </c>
      <c r="I558" s="0" t="s">
        <v>977</v>
      </c>
      <c r="J558" s="0" t="s">
        <v>2099</v>
      </c>
      <c r="K558" s="0" t="s">
        <v>1337</v>
      </c>
      <c r="L558" s="0" t="n">
        <v>2.8</v>
      </c>
      <c r="M558" s="0" t="n">
        <v>1</v>
      </c>
      <c r="N558" s="0" t="n">
        <v>3560.48</v>
      </c>
      <c r="O558" s="0" t="n">
        <v>1681.85</v>
      </c>
      <c r="P558" s="0" t="n">
        <v>884.52</v>
      </c>
      <c r="Q558" s="0" t="s">
        <v>22</v>
      </c>
      <c r="R558" s="0" t="s">
        <v>51</v>
      </c>
      <c r="S558" s="0" t="s">
        <v>228</v>
      </c>
    </row>
    <row r="559" customFormat="false" ht="15" hidden="false" customHeight="false" outlineLevel="0" collapsed="false">
      <c r="A559" s="0" t="s">
        <v>2100</v>
      </c>
      <c r="B559" s="0" t="s">
        <v>48</v>
      </c>
      <c r="C559" s="0" t="s">
        <v>198</v>
      </c>
      <c r="D559" s="0" t="s">
        <v>212</v>
      </c>
      <c r="E559" s="0" t="s">
        <v>42</v>
      </c>
      <c r="F559" s="0" t="n">
        <v>7.59</v>
      </c>
      <c r="G559" s="0" t="s">
        <v>1039</v>
      </c>
      <c r="H559" s="0" t="s">
        <v>528</v>
      </c>
      <c r="I559" s="0" t="s">
        <v>347</v>
      </c>
      <c r="J559" s="0" t="s">
        <v>2101</v>
      </c>
      <c r="K559" s="0" t="s">
        <v>2102</v>
      </c>
      <c r="L559" s="0" t="n">
        <v>0.1</v>
      </c>
      <c r="M559" s="0" t="n">
        <v>1</v>
      </c>
      <c r="N559" s="0" t="n">
        <v>5007.12</v>
      </c>
      <c r="O559" s="0" t="n">
        <v>2351.93</v>
      </c>
      <c r="P559" s="0" t="n">
        <v>1205.49</v>
      </c>
      <c r="Q559" s="0" t="s">
        <v>21</v>
      </c>
      <c r="R559" s="0" t="s">
        <v>52</v>
      </c>
      <c r="S559" s="0" t="s">
        <v>228</v>
      </c>
    </row>
    <row r="560" customFormat="false" ht="15" hidden="false" customHeight="false" outlineLevel="0" collapsed="false">
      <c r="A560" s="0" t="s">
        <v>2103</v>
      </c>
      <c r="B560" s="0" t="s">
        <v>48</v>
      </c>
      <c r="C560" s="0" t="s">
        <v>198</v>
      </c>
      <c r="D560" s="0" t="s">
        <v>213</v>
      </c>
      <c r="E560" s="0" t="s">
        <v>42</v>
      </c>
      <c r="F560" s="0" t="n">
        <v>4.56</v>
      </c>
      <c r="G560" s="0" t="s">
        <v>403</v>
      </c>
      <c r="H560" s="0" t="s">
        <v>472</v>
      </c>
      <c r="I560" s="0" t="s">
        <v>1261</v>
      </c>
      <c r="J560" s="0" t="s">
        <v>2104</v>
      </c>
      <c r="K560" s="0" t="s">
        <v>2105</v>
      </c>
      <c r="L560" s="0" t="n">
        <v>-1</v>
      </c>
      <c r="M560" s="0" t="n">
        <v>0</v>
      </c>
      <c r="N560" s="0" t="n">
        <v>2616.8</v>
      </c>
      <c r="O560" s="0" t="n">
        <v>3617.39</v>
      </c>
      <c r="P560" s="0" t="n">
        <v>1372.52</v>
      </c>
      <c r="Q560" s="0" t="s">
        <v>22</v>
      </c>
      <c r="R560" s="0" t="s">
        <v>52</v>
      </c>
      <c r="S560" s="0" t="s">
        <v>254</v>
      </c>
    </row>
    <row r="561" customFormat="false" ht="15" hidden="false" customHeight="false" outlineLevel="0" collapsed="false">
      <c r="A561" s="0" t="s">
        <v>2106</v>
      </c>
      <c r="B561" s="0" t="s">
        <v>47</v>
      </c>
      <c r="C561" s="0" t="s">
        <v>199</v>
      </c>
      <c r="D561" s="0" t="s">
        <v>198</v>
      </c>
      <c r="E561" s="0" t="s">
        <v>44</v>
      </c>
      <c r="F561" s="0" t="n">
        <v>5.64</v>
      </c>
      <c r="G561" s="0" t="s">
        <v>609</v>
      </c>
      <c r="H561" s="0" t="s">
        <v>880</v>
      </c>
      <c r="I561" s="0" t="s">
        <v>275</v>
      </c>
      <c r="J561" s="0" t="s">
        <v>2107</v>
      </c>
      <c r="K561" s="0" t="s">
        <v>1238</v>
      </c>
      <c r="L561" s="0" t="n">
        <v>3.8</v>
      </c>
      <c r="M561" s="0" t="n">
        <v>1</v>
      </c>
      <c r="N561" s="0" t="n">
        <v>2484.9</v>
      </c>
      <c r="O561" s="0" t="n">
        <v>2049.94</v>
      </c>
      <c r="P561" s="0" t="n">
        <v>1081.22</v>
      </c>
      <c r="Q561" s="0" t="s">
        <v>22</v>
      </c>
      <c r="R561" s="0" t="s">
        <v>51</v>
      </c>
      <c r="S561" s="0" t="s">
        <v>272</v>
      </c>
    </row>
    <row r="562" customFormat="false" ht="15" hidden="false" customHeight="false" outlineLevel="0" collapsed="false">
      <c r="A562" s="0" t="s">
        <v>2108</v>
      </c>
      <c r="B562" s="0" t="s">
        <v>48</v>
      </c>
      <c r="C562" s="0" t="s">
        <v>198</v>
      </c>
      <c r="D562" s="0" t="s">
        <v>211</v>
      </c>
      <c r="E562" s="0" t="s">
        <v>43</v>
      </c>
      <c r="F562" s="0" t="n">
        <v>14.65</v>
      </c>
      <c r="G562" s="0" t="s">
        <v>705</v>
      </c>
      <c r="H562" s="0" t="s">
        <v>1108</v>
      </c>
      <c r="I562" s="0" t="s">
        <v>466</v>
      </c>
      <c r="J562" s="0" t="s">
        <v>2109</v>
      </c>
      <c r="K562" s="0" t="s">
        <v>2110</v>
      </c>
      <c r="L562" s="0" t="n">
        <v>-0.3</v>
      </c>
      <c r="M562" s="0" t="n">
        <v>0</v>
      </c>
      <c r="N562" s="0" t="n">
        <v>7809.17</v>
      </c>
      <c r="O562" s="0" t="n">
        <v>4556.05</v>
      </c>
      <c r="P562" s="0" t="n">
        <v>660.63</v>
      </c>
      <c r="Q562" s="0" t="s">
        <v>24</v>
      </c>
      <c r="R562" s="0" t="s">
        <v>52</v>
      </c>
      <c r="S562" s="0" t="s">
        <v>228</v>
      </c>
    </row>
    <row r="563" customFormat="false" ht="15" hidden="false" customHeight="false" outlineLevel="0" collapsed="false">
      <c r="A563" s="0" t="s">
        <v>2111</v>
      </c>
      <c r="B563" s="0" t="s">
        <v>48</v>
      </c>
      <c r="C563" s="0" t="s">
        <v>198</v>
      </c>
      <c r="D563" s="0" t="s">
        <v>214</v>
      </c>
      <c r="E563" s="0" t="s">
        <v>43</v>
      </c>
      <c r="F563" s="0" t="n">
        <v>4.29</v>
      </c>
      <c r="G563" s="0" t="s">
        <v>309</v>
      </c>
      <c r="H563" s="0" t="s">
        <v>846</v>
      </c>
      <c r="I563" s="0" t="s">
        <v>826</v>
      </c>
      <c r="J563" s="0" t="s">
        <v>1491</v>
      </c>
      <c r="K563" s="0" t="s">
        <v>2112</v>
      </c>
      <c r="L563" s="0" t="n">
        <v>-1</v>
      </c>
      <c r="M563" s="0" t="n">
        <v>0</v>
      </c>
      <c r="N563" s="0" t="n">
        <v>2743.51</v>
      </c>
      <c r="O563" s="0" t="n">
        <v>1555.88</v>
      </c>
      <c r="P563" s="0" t="n">
        <v>1247.3</v>
      </c>
      <c r="Q563" s="0" t="s">
        <v>25</v>
      </c>
      <c r="R563" s="0" t="s">
        <v>51</v>
      </c>
      <c r="S563" s="0" t="s">
        <v>247</v>
      </c>
    </row>
    <row r="564" customFormat="false" ht="15" hidden="false" customHeight="false" outlineLevel="0" collapsed="false">
      <c r="A564" s="0" t="s">
        <v>2113</v>
      </c>
      <c r="B564" s="0" t="s">
        <v>47</v>
      </c>
      <c r="C564" s="0" t="s">
        <v>199</v>
      </c>
      <c r="D564" s="0" t="s">
        <v>198</v>
      </c>
      <c r="E564" s="0" t="s">
        <v>43</v>
      </c>
      <c r="F564" s="0" t="n">
        <v>1.91</v>
      </c>
      <c r="G564" s="0" t="s">
        <v>709</v>
      </c>
      <c r="H564" s="0" t="s">
        <v>1907</v>
      </c>
      <c r="I564" s="0" t="s">
        <v>224</v>
      </c>
      <c r="J564" s="0" t="s">
        <v>2114</v>
      </c>
      <c r="K564" s="0" t="s">
        <v>2115</v>
      </c>
      <c r="L564" s="0" t="n">
        <v>-1</v>
      </c>
      <c r="M564" s="0" t="n">
        <v>0</v>
      </c>
      <c r="N564" s="0" t="n">
        <v>2362.32</v>
      </c>
      <c r="O564" s="0" t="n">
        <v>2620.43</v>
      </c>
      <c r="P564" s="0" t="n">
        <v>502.71</v>
      </c>
      <c r="Q564" s="0" t="s">
        <v>22</v>
      </c>
      <c r="R564" s="0" t="s">
        <v>52</v>
      </c>
      <c r="S564" s="0" t="s">
        <v>247</v>
      </c>
    </row>
    <row r="565" customFormat="false" ht="15" hidden="false" customHeight="false" outlineLevel="0" collapsed="false">
      <c r="A565" s="0" t="s">
        <v>2116</v>
      </c>
      <c r="B565" s="0" t="s">
        <v>48</v>
      </c>
      <c r="C565" s="0" t="s">
        <v>198</v>
      </c>
      <c r="D565" s="0" t="s">
        <v>214</v>
      </c>
      <c r="E565" s="0" t="s">
        <v>43</v>
      </c>
      <c r="F565" s="0" t="n">
        <v>17.15</v>
      </c>
      <c r="G565" s="0" t="s">
        <v>1332</v>
      </c>
      <c r="H565" s="0" t="s">
        <v>559</v>
      </c>
      <c r="I565" s="0" t="s">
        <v>533</v>
      </c>
      <c r="J565" s="0" t="s">
        <v>1511</v>
      </c>
      <c r="K565" s="0" t="s">
        <v>2117</v>
      </c>
      <c r="L565" s="0" t="n">
        <v>-1</v>
      </c>
      <c r="M565" s="0" t="n">
        <v>0</v>
      </c>
      <c r="N565" s="0" t="n">
        <v>10376.87</v>
      </c>
      <c r="O565" s="0" t="n">
        <v>2113.07</v>
      </c>
      <c r="P565" s="0" t="n">
        <v>895.42</v>
      </c>
      <c r="Q565" s="0" t="s">
        <v>25</v>
      </c>
      <c r="R565" s="0" t="s">
        <v>52</v>
      </c>
      <c r="S565" s="0" t="s">
        <v>247</v>
      </c>
    </row>
    <row r="566" customFormat="false" ht="15" hidden="false" customHeight="false" outlineLevel="0" collapsed="false">
      <c r="A566" s="0" t="s">
        <v>2118</v>
      </c>
      <c r="B566" s="0" t="s">
        <v>48</v>
      </c>
      <c r="C566" s="0" t="s">
        <v>198</v>
      </c>
      <c r="D566" s="0" t="s">
        <v>201</v>
      </c>
      <c r="E566" s="0" t="s">
        <v>42</v>
      </c>
      <c r="F566" s="0" t="n">
        <v>14.06</v>
      </c>
      <c r="G566" s="0" t="s">
        <v>876</v>
      </c>
      <c r="H566" s="0" t="s">
        <v>294</v>
      </c>
      <c r="I566" s="0" t="s">
        <v>501</v>
      </c>
      <c r="J566" s="0" t="s">
        <v>2119</v>
      </c>
      <c r="K566" s="0" t="s">
        <v>2120</v>
      </c>
      <c r="L566" s="0" t="n">
        <v>2.5</v>
      </c>
      <c r="M566" s="0" t="n">
        <v>1</v>
      </c>
      <c r="N566" s="0" t="n">
        <v>3868.78</v>
      </c>
      <c r="O566" s="0" t="n">
        <v>2391.29</v>
      </c>
      <c r="P566" s="0" t="n">
        <v>1120.23</v>
      </c>
      <c r="Q566" s="0" t="s">
        <v>21</v>
      </c>
      <c r="R566" s="0" t="s">
        <v>51</v>
      </c>
      <c r="S566" s="0" t="s">
        <v>228</v>
      </c>
    </row>
    <row r="567" customFormat="false" ht="15" hidden="false" customHeight="false" outlineLevel="0" collapsed="false">
      <c r="A567" s="0" t="s">
        <v>2121</v>
      </c>
      <c r="B567" s="0" t="s">
        <v>48</v>
      </c>
      <c r="C567" s="0" t="s">
        <v>198</v>
      </c>
      <c r="D567" s="0" t="s">
        <v>204</v>
      </c>
      <c r="E567" s="0" t="s">
        <v>42</v>
      </c>
      <c r="F567" s="0" t="n">
        <v>11.35</v>
      </c>
      <c r="G567" s="0" t="s">
        <v>705</v>
      </c>
      <c r="H567" s="0" t="s">
        <v>282</v>
      </c>
      <c r="I567" s="0" t="s">
        <v>691</v>
      </c>
      <c r="J567" s="0" t="s">
        <v>2122</v>
      </c>
      <c r="K567" s="0" t="s">
        <v>2123</v>
      </c>
      <c r="L567" s="0" t="n">
        <v>3.3</v>
      </c>
      <c r="M567" s="0" t="n">
        <v>1</v>
      </c>
      <c r="N567" s="0" t="n">
        <v>4348.06</v>
      </c>
      <c r="O567" s="0" t="n">
        <v>3816.13</v>
      </c>
      <c r="P567" s="0" t="n">
        <v>717.45</v>
      </c>
      <c r="Q567" s="0" t="s">
        <v>21</v>
      </c>
      <c r="R567" s="0" t="s">
        <v>51</v>
      </c>
      <c r="S567" s="0" t="s">
        <v>254</v>
      </c>
    </row>
    <row r="568" customFormat="false" ht="15" hidden="false" customHeight="false" outlineLevel="0" collapsed="false">
      <c r="A568" s="0" t="s">
        <v>2124</v>
      </c>
      <c r="B568" s="0" t="s">
        <v>47</v>
      </c>
      <c r="C568" s="0" t="s">
        <v>199</v>
      </c>
      <c r="D568" s="0" t="s">
        <v>198</v>
      </c>
      <c r="E568" s="0" t="s">
        <v>43</v>
      </c>
      <c r="F568" s="0" t="n">
        <v>7.97</v>
      </c>
      <c r="G568" s="0" t="s">
        <v>532</v>
      </c>
      <c r="H568" s="0" t="s">
        <v>657</v>
      </c>
      <c r="I568" s="0" t="s">
        <v>658</v>
      </c>
      <c r="J568" s="0" t="s">
        <v>2125</v>
      </c>
      <c r="K568" s="0" t="s">
        <v>2126</v>
      </c>
      <c r="L568" s="0" t="n">
        <v>-1</v>
      </c>
      <c r="M568" s="0" t="n">
        <v>0</v>
      </c>
      <c r="N568" s="0" t="n">
        <v>2816.86</v>
      </c>
      <c r="O568" s="0" t="n">
        <v>2067.18</v>
      </c>
      <c r="P568" s="0" t="n">
        <v>1005.93</v>
      </c>
      <c r="Q568" s="0" t="s">
        <v>22</v>
      </c>
      <c r="R568" s="0" t="s">
        <v>51</v>
      </c>
      <c r="S568" s="0" t="s">
        <v>272</v>
      </c>
    </row>
    <row r="569" customFormat="false" ht="15" hidden="false" customHeight="false" outlineLevel="0" collapsed="false">
      <c r="A569" s="0" t="s">
        <v>2127</v>
      </c>
      <c r="B569" s="0" t="s">
        <v>47</v>
      </c>
      <c r="C569" s="0" t="s">
        <v>199</v>
      </c>
      <c r="D569" s="0" t="s">
        <v>198</v>
      </c>
      <c r="E569" s="0" t="s">
        <v>44</v>
      </c>
      <c r="F569" s="0" t="n">
        <v>15.78</v>
      </c>
      <c r="G569" s="0" t="s">
        <v>251</v>
      </c>
      <c r="H569" s="0" t="s">
        <v>723</v>
      </c>
      <c r="I569" s="0" t="s">
        <v>331</v>
      </c>
      <c r="J569" s="0" t="s">
        <v>1425</v>
      </c>
      <c r="K569" s="0" t="s">
        <v>689</v>
      </c>
      <c r="L569" s="0" t="n">
        <v>-1</v>
      </c>
      <c r="M569" s="0" t="n">
        <v>0</v>
      </c>
      <c r="N569" s="0" t="n">
        <v>7550.03</v>
      </c>
      <c r="O569" s="0" t="n">
        <v>1243.62</v>
      </c>
      <c r="P569" s="0" t="n">
        <v>1201.57</v>
      </c>
      <c r="Q569" s="0" t="s">
        <v>22</v>
      </c>
      <c r="R569" s="0" t="s">
        <v>51</v>
      </c>
      <c r="S569" s="0" t="s">
        <v>222</v>
      </c>
    </row>
    <row r="570" customFormat="false" ht="15" hidden="false" customHeight="false" outlineLevel="0" collapsed="false">
      <c r="A570" s="0" t="s">
        <v>2128</v>
      </c>
      <c r="B570" s="0" t="s">
        <v>47</v>
      </c>
      <c r="C570" s="0" t="s">
        <v>209</v>
      </c>
      <c r="D570" s="0" t="s">
        <v>198</v>
      </c>
      <c r="E570" s="0" t="s">
        <v>44</v>
      </c>
      <c r="F570" s="0" t="n">
        <v>1.19</v>
      </c>
      <c r="G570" s="0" t="s">
        <v>534</v>
      </c>
      <c r="H570" s="0" t="s">
        <v>647</v>
      </c>
      <c r="I570" s="0" t="s">
        <v>648</v>
      </c>
      <c r="J570" s="0" t="s">
        <v>2129</v>
      </c>
      <c r="K570" s="0" t="s">
        <v>2130</v>
      </c>
      <c r="L570" s="0" t="n">
        <v>1.5</v>
      </c>
      <c r="M570" s="0" t="n">
        <v>1</v>
      </c>
      <c r="N570" s="0" t="n">
        <v>1536.52</v>
      </c>
      <c r="O570" s="0" t="n">
        <v>2785.31</v>
      </c>
      <c r="P570" s="0" t="n">
        <v>1227.02</v>
      </c>
      <c r="Q570" s="0" t="s">
        <v>23</v>
      </c>
      <c r="R570" s="0" t="s">
        <v>51</v>
      </c>
      <c r="S570" s="0" t="s">
        <v>222</v>
      </c>
    </row>
    <row r="571" customFormat="false" ht="15" hidden="false" customHeight="false" outlineLevel="0" collapsed="false">
      <c r="A571" s="0" t="s">
        <v>2131</v>
      </c>
      <c r="B571" s="0" t="s">
        <v>47</v>
      </c>
      <c r="C571" s="0" t="s">
        <v>209</v>
      </c>
      <c r="D571" s="0" t="s">
        <v>198</v>
      </c>
      <c r="E571" s="0" t="s">
        <v>43</v>
      </c>
      <c r="F571" s="0" t="n">
        <v>14.17</v>
      </c>
      <c r="G571" s="0" t="s">
        <v>1174</v>
      </c>
      <c r="H571" s="0" t="s">
        <v>225</v>
      </c>
      <c r="I571" s="0" t="s">
        <v>1806</v>
      </c>
      <c r="J571" s="0" t="s">
        <v>2132</v>
      </c>
      <c r="K571" s="0" t="s">
        <v>2133</v>
      </c>
      <c r="L571" s="0" t="n">
        <v>5.2</v>
      </c>
      <c r="M571" s="0" t="n">
        <v>1</v>
      </c>
      <c r="N571" s="0" t="n">
        <v>9256.75</v>
      </c>
      <c r="O571" s="0" t="n">
        <v>1625.45</v>
      </c>
      <c r="P571" s="0" t="n">
        <v>1251.8</v>
      </c>
      <c r="Q571" s="0" t="s">
        <v>22</v>
      </c>
      <c r="R571" s="0" t="s">
        <v>52</v>
      </c>
      <c r="S571" s="0" t="s">
        <v>272</v>
      </c>
    </row>
    <row r="572" customFormat="false" ht="15" hidden="false" customHeight="false" outlineLevel="0" collapsed="false">
      <c r="A572" s="0" t="s">
        <v>2134</v>
      </c>
      <c r="B572" s="0" t="s">
        <v>47</v>
      </c>
      <c r="C572" s="0" t="s">
        <v>203</v>
      </c>
      <c r="D572" s="0" t="s">
        <v>198</v>
      </c>
      <c r="E572" s="0" t="s">
        <v>42</v>
      </c>
      <c r="F572" s="0" t="n">
        <v>11.8</v>
      </c>
      <c r="G572" s="0" t="s">
        <v>517</v>
      </c>
      <c r="H572" s="0" t="s">
        <v>310</v>
      </c>
      <c r="I572" s="0" t="s">
        <v>381</v>
      </c>
      <c r="J572" s="0" t="s">
        <v>2135</v>
      </c>
      <c r="K572" s="0" t="s">
        <v>2136</v>
      </c>
      <c r="L572" s="0" t="n">
        <v>7.4</v>
      </c>
      <c r="M572" s="0" t="n">
        <v>1</v>
      </c>
      <c r="N572" s="0" t="n">
        <v>6677.28</v>
      </c>
      <c r="O572" s="0" t="n">
        <v>3074.99</v>
      </c>
      <c r="P572" s="0" t="n">
        <v>551.17</v>
      </c>
      <c r="Q572" s="0" t="s">
        <v>23</v>
      </c>
      <c r="R572" s="0" t="s">
        <v>52</v>
      </c>
      <c r="S572" s="0" t="s">
        <v>247</v>
      </c>
    </row>
    <row r="573" customFormat="false" ht="15" hidden="false" customHeight="false" outlineLevel="0" collapsed="false">
      <c r="A573" s="0" t="s">
        <v>2137</v>
      </c>
      <c r="B573" s="0" t="s">
        <v>47</v>
      </c>
      <c r="C573" s="0" t="s">
        <v>209</v>
      </c>
      <c r="D573" s="0" t="s">
        <v>198</v>
      </c>
      <c r="E573" s="0" t="s">
        <v>42</v>
      </c>
      <c r="F573" s="0" t="n">
        <v>5.42</v>
      </c>
      <c r="G573" s="0" t="s">
        <v>357</v>
      </c>
      <c r="H573" s="0" t="s">
        <v>521</v>
      </c>
      <c r="I573" s="0" t="s">
        <v>522</v>
      </c>
      <c r="J573" s="0" t="s">
        <v>2138</v>
      </c>
      <c r="K573" s="0" t="s">
        <v>1928</v>
      </c>
      <c r="L573" s="0" t="n">
        <v>2.4</v>
      </c>
      <c r="M573" s="0" t="n">
        <v>1</v>
      </c>
      <c r="N573" s="0" t="n">
        <v>2979.12</v>
      </c>
      <c r="O573" s="0" t="n">
        <v>2032.43</v>
      </c>
      <c r="P573" s="0" t="n">
        <v>963.99</v>
      </c>
      <c r="Q573" s="0" t="s">
        <v>24</v>
      </c>
      <c r="R573" s="0" t="s">
        <v>52</v>
      </c>
      <c r="S573" s="0" t="s">
        <v>247</v>
      </c>
    </row>
    <row r="574" customFormat="false" ht="15" hidden="false" customHeight="false" outlineLevel="0" collapsed="false">
      <c r="A574" s="0" t="s">
        <v>2139</v>
      </c>
      <c r="B574" s="0" t="s">
        <v>47</v>
      </c>
      <c r="C574" s="0" t="s">
        <v>206</v>
      </c>
      <c r="D574" s="0" t="s">
        <v>198</v>
      </c>
      <c r="E574" s="0" t="s">
        <v>42</v>
      </c>
      <c r="F574" s="0" t="n">
        <v>3.53</v>
      </c>
      <c r="G574" s="0" t="s">
        <v>615</v>
      </c>
      <c r="H574" s="0" t="s">
        <v>1019</v>
      </c>
      <c r="I574" s="0" t="s">
        <v>218</v>
      </c>
      <c r="J574" s="0" t="s">
        <v>1295</v>
      </c>
      <c r="K574" s="0" t="s">
        <v>2140</v>
      </c>
      <c r="L574" s="0" t="n">
        <v>4.8</v>
      </c>
      <c r="M574" s="0" t="n">
        <v>1</v>
      </c>
      <c r="N574" s="0" t="n">
        <v>3426.01</v>
      </c>
      <c r="O574" s="0" t="n">
        <v>1455.86</v>
      </c>
      <c r="P574" s="0" t="n">
        <v>1143.91</v>
      </c>
      <c r="Q574" s="0" t="s">
        <v>22</v>
      </c>
      <c r="R574" s="0" t="s">
        <v>52</v>
      </c>
      <c r="S574" s="0" t="s">
        <v>222</v>
      </c>
    </row>
    <row r="575" customFormat="false" ht="15" hidden="false" customHeight="false" outlineLevel="0" collapsed="false">
      <c r="A575" s="0" t="s">
        <v>2141</v>
      </c>
      <c r="B575" s="0" t="s">
        <v>48</v>
      </c>
      <c r="C575" s="0" t="s">
        <v>198</v>
      </c>
      <c r="D575" s="0" t="s">
        <v>214</v>
      </c>
      <c r="E575" s="0" t="s">
        <v>44</v>
      </c>
      <c r="F575" s="0" t="n">
        <v>16.85</v>
      </c>
      <c r="G575" s="0" t="s">
        <v>338</v>
      </c>
      <c r="H575" s="0" t="s">
        <v>978</v>
      </c>
      <c r="I575" s="0" t="s">
        <v>681</v>
      </c>
      <c r="J575" s="0" t="s">
        <v>2142</v>
      </c>
      <c r="K575" s="0" t="s">
        <v>1182</v>
      </c>
      <c r="L575" s="0" t="n">
        <v>-1</v>
      </c>
      <c r="M575" s="0" t="n">
        <v>0</v>
      </c>
      <c r="N575" s="0" t="n">
        <v>7768.12</v>
      </c>
      <c r="O575" s="0" t="n">
        <v>1341.07</v>
      </c>
      <c r="P575" s="0" t="n">
        <v>1366.18</v>
      </c>
      <c r="Q575" s="0" t="s">
        <v>21</v>
      </c>
      <c r="R575" s="0" t="s">
        <v>52</v>
      </c>
      <c r="S575" s="0" t="s">
        <v>222</v>
      </c>
    </row>
    <row r="576" customFormat="false" ht="15" hidden="false" customHeight="false" outlineLevel="0" collapsed="false">
      <c r="A576" s="0" t="s">
        <v>2143</v>
      </c>
      <c r="B576" s="0" t="s">
        <v>47</v>
      </c>
      <c r="C576" s="0" t="s">
        <v>199</v>
      </c>
      <c r="D576" s="0" t="s">
        <v>198</v>
      </c>
      <c r="E576" s="0" t="s">
        <v>42</v>
      </c>
      <c r="F576" s="0" t="n">
        <v>10.48</v>
      </c>
      <c r="G576" s="0" t="s">
        <v>380</v>
      </c>
      <c r="H576" s="0" t="s">
        <v>381</v>
      </c>
      <c r="I576" s="0" t="s">
        <v>1195</v>
      </c>
      <c r="J576" s="0" t="s">
        <v>2144</v>
      </c>
      <c r="K576" s="0" t="s">
        <v>2145</v>
      </c>
      <c r="L576" s="0" t="n">
        <v>5</v>
      </c>
      <c r="M576" s="0" t="n">
        <v>1</v>
      </c>
      <c r="N576" s="0" t="n">
        <v>4137.19</v>
      </c>
      <c r="O576" s="0" t="n">
        <v>2954.17</v>
      </c>
      <c r="P576" s="0" t="n">
        <v>1024.2</v>
      </c>
      <c r="Q576" s="0" t="s">
        <v>22</v>
      </c>
      <c r="R576" s="0" t="s">
        <v>52</v>
      </c>
      <c r="S576" s="0" t="s">
        <v>228</v>
      </c>
    </row>
    <row r="577" customFormat="false" ht="15" hidden="false" customHeight="false" outlineLevel="0" collapsed="false">
      <c r="A577" s="0" t="s">
        <v>2146</v>
      </c>
      <c r="B577" s="0" t="s">
        <v>47</v>
      </c>
      <c r="C577" s="0" t="s">
        <v>206</v>
      </c>
      <c r="D577" s="0" t="s">
        <v>198</v>
      </c>
      <c r="E577" s="0" t="s">
        <v>44</v>
      </c>
      <c r="F577" s="0" t="n">
        <v>13.67</v>
      </c>
      <c r="G577" s="0" t="s">
        <v>309</v>
      </c>
      <c r="H577" s="0" t="s">
        <v>310</v>
      </c>
      <c r="I577" s="0" t="s">
        <v>311</v>
      </c>
      <c r="J577" s="0" t="s">
        <v>2135</v>
      </c>
      <c r="K577" s="0" t="s">
        <v>2147</v>
      </c>
      <c r="L577" s="0" t="n">
        <v>3.9</v>
      </c>
      <c r="M577" s="0" t="n">
        <v>1</v>
      </c>
      <c r="N577" s="0" t="n">
        <v>5626</v>
      </c>
      <c r="O577" s="0" t="n">
        <v>3572.42</v>
      </c>
      <c r="P577" s="0" t="n">
        <v>815.74</v>
      </c>
      <c r="Q577" s="0" t="s">
        <v>22</v>
      </c>
      <c r="R577" s="0" t="s">
        <v>51</v>
      </c>
      <c r="S577" s="0" t="s">
        <v>228</v>
      </c>
    </row>
    <row r="578" customFormat="false" ht="15" hidden="false" customHeight="false" outlineLevel="0" collapsed="false">
      <c r="A578" s="0" t="s">
        <v>2148</v>
      </c>
      <c r="B578" s="0" t="s">
        <v>47</v>
      </c>
      <c r="C578" s="0" t="s">
        <v>203</v>
      </c>
      <c r="D578" s="0" t="s">
        <v>198</v>
      </c>
      <c r="E578" s="0" t="s">
        <v>43</v>
      </c>
      <c r="F578" s="0" t="n">
        <v>12.81</v>
      </c>
      <c r="G578" s="0" t="s">
        <v>304</v>
      </c>
      <c r="H578" s="0" t="s">
        <v>487</v>
      </c>
      <c r="I578" s="0" t="s">
        <v>305</v>
      </c>
      <c r="J578" s="0" t="s">
        <v>2149</v>
      </c>
      <c r="K578" s="0" t="s">
        <v>2150</v>
      </c>
      <c r="L578" s="0" t="n">
        <v>1.1</v>
      </c>
      <c r="M578" s="0" t="n">
        <v>1</v>
      </c>
      <c r="N578" s="0" t="n">
        <v>8179.07</v>
      </c>
      <c r="O578" s="0" t="n">
        <v>3841.41</v>
      </c>
      <c r="P578" s="0" t="n">
        <v>612.5</v>
      </c>
      <c r="Q578" s="0" t="s">
        <v>21</v>
      </c>
      <c r="R578" s="0" t="s">
        <v>51</v>
      </c>
      <c r="S578" s="0" t="s">
        <v>222</v>
      </c>
    </row>
    <row r="579" customFormat="false" ht="15" hidden="false" customHeight="false" outlineLevel="0" collapsed="false">
      <c r="A579" s="0" t="s">
        <v>2151</v>
      </c>
      <c r="B579" s="0" t="s">
        <v>47</v>
      </c>
      <c r="C579" s="0" t="s">
        <v>205</v>
      </c>
      <c r="D579" s="0" t="s">
        <v>198</v>
      </c>
      <c r="E579" s="0" t="s">
        <v>43</v>
      </c>
      <c r="F579" s="0" t="n">
        <v>14.98</v>
      </c>
      <c r="G579" s="0" t="s">
        <v>517</v>
      </c>
      <c r="H579" s="0" t="s">
        <v>482</v>
      </c>
      <c r="I579" s="0" t="s">
        <v>311</v>
      </c>
      <c r="J579" s="0" t="s">
        <v>2152</v>
      </c>
      <c r="K579" s="0" t="s">
        <v>721</v>
      </c>
      <c r="L579" s="0" t="n">
        <v>-1</v>
      </c>
      <c r="M579" s="0" t="n">
        <v>0</v>
      </c>
      <c r="N579" s="0" t="n">
        <v>8347.99</v>
      </c>
      <c r="O579" s="0" t="n">
        <v>2116.52</v>
      </c>
      <c r="P579" s="0" t="n">
        <v>1430.67</v>
      </c>
      <c r="Q579" s="0" t="s">
        <v>23</v>
      </c>
      <c r="R579" s="0" t="s">
        <v>52</v>
      </c>
      <c r="S579" s="0" t="s">
        <v>254</v>
      </c>
    </row>
    <row r="580" customFormat="false" ht="15" hidden="false" customHeight="false" outlineLevel="0" collapsed="false">
      <c r="A580" s="0" t="s">
        <v>2153</v>
      </c>
      <c r="B580" s="0" t="s">
        <v>47</v>
      </c>
      <c r="C580" s="0" t="s">
        <v>209</v>
      </c>
      <c r="D580" s="0" t="s">
        <v>198</v>
      </c>
      <c r="E580" s="0" t="s">
        <v>43</v>
      </c>
      <c r="F580" s="0" t="n">
        <v>1.47</v>
      </c>
      <c r="G580" s="0" t="s">
        <v>896</v>
      </c>
      <c r="H580" s="0" t="s">
        <v>597</v>
      </c>
      <c r="I580" s="0" t="s">
        <v>1046</v>
      </c>
      <c r="J580" s="0" t="s">
        <v>2154</v>
      </c>
      <c r="K580" s="0" t="s">
        <v>1368</v>
      </c>
      <c r="L580" s="0" t="n">
        <v>-1</v>
      </c>
      <c r="M580" s="0" t="n">
        <v>0</v>
      </c>
      <c r="N580" s="0" t="n">
        <v>1819.21</v>
      </c>
      <c r="O580" s="0" t="n">
        <v>3585.24</v>
      </c>
      <c r="P580" s="0" t="n">
        <v>1147.34</v>
      </c>
      <c r="Q580" s="0" t="s">
        <v>23</v>
      </c>
      <c r="R580" s="0" t="s">
        <v>52</v>
      </c>
      <c r="S580" s="0" t="s">
        <v>247</v>
      </c>
    </row>
    <row r="581" customFormat="false" ht="15" hidden="false" customHeight="false" outlineLevel="0" collapsed="false">
      <c r="A581" s="0" t="s">
        <v>2155</v>
      </c>
      <c r="B581" s="0" t="s">
        <v>48</v>
      </c>
      <c r="C581" s="0" t="s">
        <v>198</v>
      </c>
      <c r="D581" s="0" t="s">
        <v>201</v>
      </c>
      <c r="E581" s="0" t="s">
        <v>43</v>
      </c>
      <c r="F581" s="0" t="n">
        <v>3.44</v>
      </c>
      <c r="G581" s="0" t="s">
        <v>695</v>
      </c>
      <c r="H581" s="0" t="s">
        <v>696</v>
      </c>
      <c r="I581" s="0" t="s">
        <v>867</v>
      </c>
      <c r="J581" s="0" t="s">
        <v>851</v>
      </c>
      <c r="K581" s="0" t="s">
        <v>2156</v>
      </c>
      <c r="L581" s="0" t="n">
        <v>-1</v>
      </c>
      <c r="M581" s="0" t="n">
        <v>0</v>
      </c>
      <c r="N581" s="0" t="n">
        <v>1772.82</v>
      </c>
      <c r="O581" s="0" t="n">
        <v>2449.17</v>
      </c>
      <c r="P581" s="0" t="n">
        <v>1326.39</v>
      </c>
      <c r="Q581" s="0" t="s">
        <v>24</v>
      </c>
      <c r="R581" s="0" t="s">
        <v>52</v>
      </c>
      <c r="S581" s="0" t="s">
        <v>254</v>
      </c>
    </row>
    <row r="582" customFormat="false" ht="15" hidden="false" customHeight="false" outlineLevel="0" collapsed="false">
      <c r="A582" s="0" t="s">
        <v>2157</v>
      </c>
      <c r="B582" s="0" t="s">
        <v>48</v>
      </c>
      <c r="C582" s="0" t="s">
        <v>198</v>
      </c>
      <c r="D582" s="0" t="s">
        <v>212</v>
      </c>
      <c r="E582" s="0" t="s">
        <v>44</v>
      </c>
      <c r="F582" s="0" t="n">
        <v>14.33</v>
      </c>
      <c r="G582" s="0" t="s">
        <v>316</v>
      </c>
      <c r="H582" s="0" t="s">
        <v>347</v>
      </c>
      <c r="I582" s="0" t="s">
        <v>274</v>
      </c>
      <c r="J582" s="0" t="s">
        <v>610</v>
      </c>
      <c r="K582" s="0" t="s">
        <v>1755</v>
      </c>
      <c r="L582" s="0" t="n">
        <v>6.4</v>
      </c>
      <c r="M582" s="0" t="n">
        <v>1</v>
      </c>
      <c r="N582" s="0" t="n">
        <v>6742.27</v>
      </c>
      <c r="O582" s="0" t="n">
        <v>3101.27</v>
      </c>
      <c r="P582" s="0" t="n">
        <v>566.06</v>
      </c>
      <c r="Q582" s="0" t="s">
        <v>24</v>
      </c>
      <c r="R582" s="0" t="s">
        <v>52</v>
      </c>
      <c r="S582" s="0" t="s">
        <v>228</v>
      </c>
    </row>
    <row r="583" customFormat="false" ht="15" hidden="false" customHeight="false" outlineLevel="0" collapsed="false">
      <c r="A583" s="0" t="s">
        <v>2158</v>
      </c>
      <c r="B583" s="0" t="s">
        <v>47</v>
      </c>
      <c r="C583" s="0" t="s">
        <v>203</v>
      </c>
      <c r="D583" s="0" t="s">
        <v>198</v>
      </c>
      <c r="E583" s="0" t="s">
        <v>42</v>
      </c>
      <c r="F583" s="0" t="n">
        <v>19.48</v>
      </c>
      <c r="G583" s="0" t="s">
        <v>1427</v>
      </c>
      <c r="H583" s="0" t="s">
        <v>577</v>
      </c>
      <c r="I583" s="0" t="s">
        <v>558</v>
      </c>
      <c r="J583" s="0" t="s">
        <v>2159</v>
      </c>
      <c r="K583" s="0" t="s">
        <v>2160</v>
      </c>
      <c r="L583" s="0" t="n">
        <v>1.4</v>
      </c>
      <c r="M583" s="0" t="n">
        <v>1</v>
      </c>
      <c r="N583" s="0" t="n">
        <v>11963.46</v>
      </c>
      <c r="O583" s="0" t="n">
        <v>2227.72</v>
      </c>
      <c r="P583" s="0" t="n">
        <v>557.09</v>
      </c>
      <c r="Q583" s="0" t="s">
        <v>25</v>
      </c>
      <c r="R583" s="0" t="s">
        <v>51</v>
      </c>
      <c r="S583" s="0" t="s">
        <v>254</v>
      </c>
    </row>
    <row r="584" customFormat="false" ht="15" hidden="false" customHeight="false" outlineLevel="0" collapsed="false">
      <c r="A584" s="0" t="s">
        <v>2161</v>
      </c>
      <c r="B584" s="0" t="s">
        <v>47</v>
      </c>
      <c r="C584" s="0" t="s">
        <v>199</v>
      </c>
      <c r="D584" s="0" t="s">
        <v>198</v>
      </c>
      <c r="E584" s="0" t="s">
        <v>44</v>
      </c>
      <c r="F584" s="0" t="n">
        <v>7.52</v>
      </c>
      <c r="G584" s="0" t="s">
        <v>912</v>
      </c>
      <c r="H584" s="0" t="s">
        <v>867</v>
      </c>
      <c r="I584" s="0" t="s">
        <v>1064</v>
      </c>
      <c r="J584" s="0" t="s">
        <v>2162</v>
      </c>
      <c r="K584" s="0" t="s">
        <v>2163</v>
      </c>
      <c r="L584" s="0" t="n">
        <v>3.3</v>
      </c>
      <c r="M584" s="0" t="n">
        <v>1</v>
      </c>
      <c r="N584" s="0" t="n">
        <v>3944.39</v>
      </c>
      <c r="O584" s="0" t="n">
        <v>1307.88</v>
      </c>
      <c r="P584" s="0" t="n">
        <v>1170.77</v>
      </c>
      <c r="Q584" s="0" t="s">
        <v>23</v>
      </c>
      <c r="R584" s="0" t="s">
        <v>52</v>
      </c>
      <c r="S584" s="0" t="s">
        <v>247</v>
      </c>
    </row>
    <row r="585" customFormat="false" ht="15" hidden="false" customHeight="false" outlineLevel="0" collapsed="false">
      <c r="A585" s="0" t="s">
        <v>2164</v>
      </c>
      <c r="B585" s="0" t="s">
        <v>48</v>
      </c>
      <c r="C585" s="0" t="s">
        <v>198</v>
      </c>
      <c r="D585" s="0" t="s">
        <v>208</v>
      </c>
      <c r="E585" s="0" t="s">
        <v>44</v>
      </c>
      <c r="F585" s="0" t="n">
        <v>16.6</v>
      </c>
      <c r="G585" s="0" t="s">
        <v>305</v>
      </c>
      <c r="H585" s="0" t="s">
        <v>515</v>
      </c>
      <c r="I585" s="0" t="s">
        <v>516</v>
      </c>
      <c r="J585" s="0" t="s">
        <v>2165</v>
      </c>
      <c r="K585" s="0" t="s">
        <v>2166</v>
      </c>
      <c r="L585" s="0" t="n">
        <v>-0.2</v>
      </c>
      <c r="M585" s="0" t="n">
        <v>0</v>
      </c>
      <c r="N585" s="0" t="n">
        <v>6754.59</v>
      </c>
      <c r="O585" s="0" t="n">
        <v>3686.64</v>
      </c>
      <c r="P585" s="0" t="n">
        <v>833.9</v>
      </c>
      <c r="Q585" s="0" t="s">
        <v>25</v>
      </c>
      <c r="R585" s="0" t="s">
        <v>52</v>
      </c>
      <c r="S585" s="0" t="s">
        <v>222</v>
      </c>
    </row>
    <row r="586" customFormat="false" ht="15" hidden="false" customHeight="false" outlineLevel="0" collapsed="false">
      <c r="A586" s="0" t="s">
        <v>2167</v>
      </c>
      <c r="B586" s="0" t="s">
        <v>48</v>
      </c>
      <c r="C586" s="0" t="s">
        <v>198</v>
      </c>
      <c r="D586" s="0" t="s">
        <v>207</v>
      </c>
      <c r="E586" s="0" t="s">
        <v>43</v>
      </c>
      <c r="F586" s="0" t="n">
        <v>5.83</v>
      </c>
      <c r="G586" s="0" t="s">
        <v>232</v>
      </c>
      <c r="H586" s="0" t="s">
        <v>1167</v>
      </c>
      <c r="I586" s="0" t="s">
        <v>695</v>
      </c>
      <c r="J586" s="0" t="s">
        <v>2168</v>
      </c>
      <c r="K586" s="0" t="s">
        <v>2169</v>
      </c>
      <c r="L586" s="0" t="n">
        <v>9.4</v>
      </c>
      <c r="M586" s="0" t="n">
        <v>1</v>
      </c>
      <c r="N586" s="0" t="n">
        <v>3269.53</v>
      </c>
      <c r="O586" s="0" t="n">
        <v>1365.41</v>
      </c>
      <c r="P586" s="0" t="n">
        <v>1256.65</v>
      </c>
      <c r="Q586" s="0" t="s">
        <v>21</v>
      </c>
      <c r="R586" s="0" t="s">
        <v>52</v>
      </c>
      <c r="S586" s="0" t="s">
        <v>272</v>
      </c>
    </row>
    <row r="587" customFormat="false" ht="15" hidden="false" customHeight="false" outlineLevel="0" collapsed="false">
      <c r="A587" s="0" t="s">
        <v>2170</v>
      </c>
      <c r="B587" s="0" t="s">
        <v>47</v>
      </c>
      <c r="C587" s="0" t="s">
        <v>209</v>
      </c>
      <c r="D587" s="0" t="s">
        <v>198</v>
      </c>
      <c r="E587" s="0" t="s">
        <v>42</v>
      </c>
      <c r="F587" s="0" t="n">
        <v>12.07</v>
      </c>
      <c r="G587" s="0" t="s">
        <v>818</v>
      </c>
      <c r="H587" s="0" t="s">
        <v>1244</v>
      </c>
      <c r="I587" s="0" t="s">
        <v>677</v>
      </c>
      <c r="J587" s="0" t="s">
        <v>2171</v>
      </c>
      <c r="K587" s="0" t="s">
        <v>2022</v>
      </c>
      <c r="L587" s="0" t="n">
        <v>3</v>
      </c>
      <c r="M587" s="0" t="n">
        <v>1</v>
      </c>
      <c r="N587" s="0" t="n">
        <v>7377.31</v>
      </c>
      <c r="O587" s="0" t="n">
        <v>1499.48</v>
      </c>
      <c r="P587" s="0" t="n">
        <v>1025.45</v>
      </c>
      <c r="Q587" s="0" t="s">
        <v>24</v>
      </c>
      <c r="R587" s="0" t="s">
        <v>51</v>
      </c>
      <c r="S587" s="0" t="s">
        <v>272</v>
      </c>
    </row>
    <row r="588" customFormat="false" ht="15" hidden="false" customHeight="false" outlineLevel="0" collapsed="false">
      <c r="A588" s="0" t="s">
        <v>2172</v>
      </c>
      <c r="B588" s="0" t="s">
        <v>47</v>
      </c>
      <c r="C588" s="0" t="s">
        <v>209</v>
      </c>
      <c r="D588" s="0" t="s">
        <v>198</v>
      </c>
      <c r="E588" s="0" t="s">
        <v>43</v>
      </c>
      <c r="F588" s="0" t="n">
        <v>3.08</v>
      </c>
      <c r="G588" s="0" t="s">
        <v>286</v>
      </c>
      <c r="H588" s="0" t="s">
        <v>287</v>
      </c>
      <c r="I588" s="0" t="s">
        <v>667</v>
      </c>
      <c r="J588" s="0" t="s">
        <v>2173</v>
      </c>
      <c r="K588" s="0" t="s">
        <v>2174</v>
      </c>
      <c r="L588" s="0" t="n">
        <v>5.3</v>
      </c>
      <c r="M588" s="0" t="n">
        <v>1</v>
      </c>
      <c r="N588" s="0" t="n">
        <v>2781.38</v>
      </c>
      <c r="O588" s="0" t="n">
        <v>2041.61</v>
      </c>
      <c r="P588" s="0" t="n">
        <v>1338.4</v>
      </c>
      <c r="Q588" s="0" t="s">
        <v>24</v>
      </c>
      <c r="R588" s="0" t="s">
        <v>52</v>
      </c>
      <c r="S588" s="0" t="s">
        <v>247</v>
      </c>
    </row>
    <row r="589" customFormat="false" ht="15" hidden="false" customHeight="false" outlineLevel="0" collapsed="false">
      <c r="A589" s="0" t="s">
        <v>2175</v>
      </c>
      <c r="B589" s="0" t="s">
        <v>47</v>
      </c>
      <c r="C589" s="0" t="s">
        <v>199</v>
      </c>
      <c r="D589" s="0" t="s">
        <v>198</v>
      </c>
      <c r="E589" s="0" t="s">
        <v>43</v>
      </c>
      <c r="F589" s="0" t="n">
        <v>14.6</v>
      </c>
      <c r="G589" s="0" t="s">
        <v>895</v>
      </c>
      <c r="H589" s="0" t="s">
        <v>831</v>
      </c>
      <c r="I589" s="0" t="s">
        <v>832</v>
      </c>
      <c r="J589" s="0" t="s">
        <v>2176</v>
      </c>
      <c r="K589" s="0" t="s">
        <v>2177</v>
      </c>
      <c r="L589" s="0" t="n">
        <v>-1</v>
      </c>
      <c r="M589" s="0" t="n">
        <v>0</v>
      </c>
      <c r="N589" s="0" t="n">
        <v>6638.14</v>
      </c>
      <c r="O589" s="0" t="n">
        <v>2223.25</v>
      </c>
      <c r="P589" s="0" t="n">
        <v>1259.24</v>
      </c>
      <c r="Q589" s="0" t="s">
        <v>24</v>
      </c>
      <c r="R589" s="0" t="s">
        <v>52</v>
      </c>
      <c r="S589" s="0" t="s">
        <v>222</v>
      </c>
    </row>
    <row r="590" customFormat="false" ht="15" hidden="false" customHeight="false" outlineLevel="0" collapsed="false">
      <c r="A590" s="0" t="s">
        <v>2178</v>
      </c>
      <c r="B590" s="0" t="s">
        <v>47</v>
      </c>
      <c r="C590" s="0" t="s">
        <v>199</v>
      </c>
      <c r="D590" s="0" t="s">
        <v>198</v>
      </c>
      <c r="E590" s="0" t="s">
        <v>44</v>
      </c>
      <c r="F590" s="0" t="n">
        <v>12.78</v>
      </c>
      <c r="G590" s="0" t="s">
        <v>237</v>
      </c>
      <c r="H590" s="0" t="s">
        <v>550</v>
      </c>
      <c r="I590" s="0" t="s">
        <v>238</v>
      </c>
      <c r="J590" s="0" t="s">
        <v>2179</v>
      </c>
      <c r="K590" s="0" t="s">
        <v>2180</v>
      </c>
      <c r="L590" s="0" t="n">
        <v>7.6</v>
      </c>
      <c r="M590" s="0" t="n">
        <v>1</v>
      </c>
      <c r="N590" s="0" t="n">
        <v>4831.24</v>
      </c>
      <c r="O590" s="0" t="n">
        <v>4236.78</v>
      </c>
      <c r="P590" s="0" t="n">
        <v>1172.83</v>
      </c>
      <c r="Q590" s="0" t="s">
        <v>23</v>
      </c>
      <c r="R590" s="0" t="s">
        <v>52</v>
      </c>
      <c r="S590" s="0" t="s">
        <v>228</v>
      </c>
    </row>
    <row r="591" customFormat="false" ht="15" hidden="false" customHeight="false" outlineLevel="0" collapsed="false">
      <c r="A591" s="0" t="s">
        <v>2181</v>
      </c>
      <c r="B591" s="0" t="s">
        <v>47</v>
      </c>
      <c r="C591" s="0" t="s">
        <v>199</v>
      </c>
      <c r="D591" s="0" t="s">
        <v>198</v>
      </c>
      <c r="E591" s="0" t="s">
        <v>43</v>
      </c>
      <c r="F591" s="0" t="n">
        <v>10.45</v>
      </c>
      <c r="G591" s="0" t="s">
        <v>217</v>
      </c>
      <c r="H591" s="0" t="s">
        <v>1907</v>
      </c>
      <c r="I591" s="0" t="s">
        <v>409</v>
      </c>
      <c r="J591" s="0" t="s">
        <v>2182</v>
      </c>
      <c r="K591" s="0" t="s">
        <v>2183</v>
      </c>
      <c r="L591" s="0" t="n">
        <v>5.7</v>
      </c>
      <c r="M591" s="0" t="n">
        <v>1</v>
      </c>
      <c r="N591" s="0" t="n">
        <v>3658.13</v>
      </c>
      <c r="O591" s="0" t="n">
        <v>4815.75</v>
      </c>
      <c r="P591" s="0" t="n">
        <v>709.92</v>
      </c>
      <c r="Q591" s="0" t="s">
        <v>25</v>
      </c>
      <c r="R591" s="0" t="s">
        <v>51</v>
      </c>
      <c r="S591" s="0" t="s">
        <v>247</v>
      </c>
    </row>
    <row r="592" customFormat="false" ht="15" hidden="false" customHeight="false" outlineLevel="0" collapsed="false">
      <c r="A592" s="0" t="s">
        <v>2184</v>
      </c>
      <c r="B592" s="0" t="s">
        <v>48</v>
      </c>
      <c r="C592" s="0" t="s">
        <v>198</v>
      </c>
      <c r="D592" s="0" t="s">
        <v>204</v>
      </c>
      <c r="E592" s="0" t="s">
        <v>43</v>
      </c>
      <c r="F592" s="0" t="n">
        <v>15.99</v>
      </c>
      <c r="G592" s="0" t="s">
        <v>473</v>
      </c>
      <c r="H592" s="0" t="s">
        <v>954</v>
      </c>
      <c r="I592" s="0" t="s">
        <v>343</v>
      </c>
      <c r="J592" s="0" t="s">
        <v>2185</v>
      </c>
      <c r="K592" s="0" t="s">
        <v>2186</v>
      </c>
      <c r="L592" s="0" t="n">
        <v>1.9</v>
      </c>
      <c r="M592" s="0" t="n">
        <v>1</v>
      </c>
      <c r="N592" s="0" t="n">
        <v>6509.87</v>
      </c>
      <c r="O592" s="0" t="n">
        <v>3002.48</v>
      </c>
      <c r="P592" s="0" t="n">
        <v>1411.79</v>
      </c>
      <c r="Q592" s="0" t="s">
        <v>21</v>
      </c>
      <c r="R592" s="0" t="s">
        <v>52</v>
      </c>
      <c r="S592" s="0" t="s">
        <v>254</v>
      </c>
    </row>
    <row r="593" customFormat="false" ht="15" hidden="false" customHeight="false" outlineLevel="0" collapsed="false">
      <c r="A593" s="0" t="s">
        <v>2187</v>
      </c>
      <c r="B593" s="0" t="s">
        <v>47</v>
      </c>
      <c r="C593" s="0" t="s">
        <v>205</v>
      </c>
      <c r="D593" s="0" t="s">
        <v>198</v>
      </c>
      <c r="E593" s="0" t="s">
        <v>43</v>
      </c>
      <c r="F593" s="0" t="n">
        <v>3.79</v>
      </c>
      <c r="G593" s="0" t="s">
        <v>620</v>
      </c>
      <c r="H593" s="0" t="s">
        <v>701</v>
      </c>
      <c r="I593" s="0" t="s">
        <v>1380</v>
      </c>
      <c r="J593" s="0" t="s">
        <v>2188</v>
      </c>
      <c r="K593" s="0" t="s">
        <v>2189</v>
      </c>
      <c r="L593" s="0" t="n">
        <v>0.1</v>
      </c>
      <c r="M593" s="0" t="n">
        <v>1</v>
      </c>
      <c r="N593" s="0" t="n">
        <v>3231.97</v>
      </c>
      <c r="O593" s="0" t="n">
        <v>2237.85</v>
      </c>
      <c r="P593" s="0" t="n">
        <v>947.97</v>
      </c>
      <c r="Q593" s="0" t="s">
        <v>22</v>
      </c>
      <c r="R593" s="0" t="s">
        <v>52</v>
      </c>
      <c r="S593" s="0" t="s">
        <v>222</v>
      </c>
    </row>
    <row r="594" customFormat="false" ht="15" hidden="false" customHeight="false" outlineLevel="0" collapsed="false">
      <c r="A594" s="0" t="s">
        <v>2190</v>
      </c>
      <c r="B594" s="0" t="s">
        <v>47</v>
      </c>
      <c r="C594" s="0" t="s">
        <v>203</v>
      </c>
      <c r="D594" s="0" t="s">
        <v>198</v>
      </c>
      <c r="E594" s="0" t="s">
        <v>44</v>
      </c>
      <c r="F594" s="0" t="n">
        <v>8.7</v>
      </c>
      <c r="G594" s="0" t="s">
        <v>496</v>
      </c>
      <c r="H594" s="0" t="s">
        <v>225</v>
      </c>
      <c r="I594" s="0" t="s">
        <v>444</v>
      </c>
      <c r="J594" s="0" t="s">
        <v>2191</v>
      </c>
      <c r="K594" s="0" t="s">
        <v>2192</v>
      </c>
      <c r="L594" s="0" t="n">
        <v>4.6</v>
      </c>
      <c r="M594" s="0" t="n">
        <v>1</v>
      </c>
      <c r="N594" s="0" t="n">
        <v>3861.18</v>
      </c>
      <c r="O594" s="0" t="n">
        <v>4514.99</v>
      </c>
      <c r="P594" s="0" t="n">
        <v>696.67</v>
      </c>
      <c r="Q594" s="0" t="s">
        <v>25</v>
      </c>
      <c r="R594" s="0" t="s">
        <v>52</v>
      </c>
      <c r="S594" s="0" t="s">
        <v>272</v>
      </c>
    </row>
    <row r="595" customFormat="false" ht="15" hidden="false" customHeight="false" outlineLevel="0" collapsed="false">
      <c r="A595" s="0" t="s">
        <v>2193</v>
      </c>
      <c r="B595" s="0" t="s">
        <v>47</v>
      </c>
      <c r="C595" s="0" t="s">
        <v>203</v>
      </c>
      <c r="D595" s="0" t="s">
        <v>198</v>
      </c>
      <c r="E595" s="0" t="s">
        <v>44</v>
      </c>
      <c r="F595" s="0" t="n">
        <v>19</v>
      </c>
      <c r="G595" s="0" t="s">
        <v>945</v>
      </c>
      <c r="H595" s="0" t="s">
        <v>287</v>
      </c>
      <c r="I595" s="0" t="s">
        <v>488</v>
      </c>
      <c r="J595" s="0" t="s">
        <v>2041</v>
      </c>
      <c r="K595" s="0" t="s">
        <v>2042</v>
      </c>
      <c r="L595" s="0" t="n">
        <v>-1</v>
      </c>
      <c r="M595" s="0" t="n">
        <v>0</v>
      </c>
      <c r="N595" s="0" t="n">
        <v>10791.66</v>
      </c>
      <c r="O595" s="0" t="n">
        <v>3707.28</v>
      </c>
      <c r="P595" s="0" t="n">
        <v>801.59</v>
      </c>
      <c r="Q595" s="0" t="s">
        <v>25</v>
      </c>
      <c r="R595" s="0" t="s">
        <v>52</v>
      </c>
      <c r="S595" s="0" t="s">
        <v>228</v>
      </c>
    </row>
    <row r="596" customFormat="false" ht="15" hidden="false" customHeight="false" outlineLevel="0" collapsed="false">
      <c r="A596" s="0" t="s">
        <v>2194</v>
      </c>
      <c r="B596" s="0" t="s">
        <v>47</v>
      </c>
      <c r="C596" s="0" t="s">
        <v>199</v>
      </c>
      <c r="D596" s="0" t="s">
        <v>198</v>
      </c>
      <c r="E596" s="0" t="s">
        <v>43</v>
      </c>
      <c r="F596" s="0" t="n">
        <v>4.58</v>
      </c>
      <c r="G596" s="0" t="s">
        <v>785</v>
      </c>
      <c r="H596" s="0" t="s">
        <v>827</v>
      </c>
      <c r="I596" s="0" t="s">
        <v>1195</v>
      </c>
      <c r="J596" s="0" t="s">
        <v>2195</v>
      </c>
      <c r="K596" s="0" t="s">
        <v>2196</v>
      </c>
      <c r="L596" s="0" t="n">
        <v>3.6</v>
      </c>
      <c r="M596" s="0" t="n">
        <v>1</v>
      </c>
      <c r="N596" s="0" t="n">
        <v>2705.11</v>
      </c>
      <c r="O596" s="0" t="n">
        <v>1521.28</v>
      </c>
      <c r="P596" s="0" t="n">
        <v>1143.43</v>
      </c>
      <c r="Q596" s="0" t="s">
        <v>21</v>
      </c>
      <c r="R596" s="0" t="s">
        <v>52</v>
      </c>
      <c r="S596" s="0" t="s">
        <v>228</v>
      </c>
    </row>
    <row r="597" customFormat="false" ht="15" hidden="false" customHeight="false" outlineLevel="0" collapsed="false">
      <c r="A597" s="0" t="s">
        <v>2197</v>
      </c>
      <c r="B597" s="0" t="s">
        <v>47</v>
      </c>
      <c r="C597" s="0" t="s">
        <v>199</v>
      </c>
      <c r="D597" s="0" t="s">
        <v>198</v>
      </c>
      <c r="E597" s="0" t="s">
        <v>44</v>
      </c>
      <c r="F597" s="0" t="n">
        <v>4.75</v>
      </c>
      <c r="G597" s="0" t="s">
        <v>454</v>
      </c>
      <c r="H597" s="0" t="s">
        <v>449</v>
      </c>
      <c r="I597" s="0" t="s">
        <v>281</v>
      </c>
      <c r="J597" s="0" t="s">
        <v>2198</v>
      </c>
      <c r="K597" s="0" t="s">
        <v>2199</v>
      </c>
      <c r="L597" s="0" t="n">
        <v>10.1</v>
      </c>
      <c r="M597" s="0" t="n">
        <v>1</v>
      </c>
      <c r="N597" s="0" t="n">
        <v>3269.9</v>
      </c>
      <c r="O597" s="0" t="n">
        <v>3623.28</v>
      </c>
      <c r="P597" s="0" t="n">
        <v>1037.28</v>
      </c>
      <c r="Q597" s="0" t="s">
        <v>22</v>
      </c>
      <c r="R597" s="0" t="s">
        <v>52</v>
      </c>
      <c r="S597" s="0" t="s">
        <v>228</v>
      </c>
    </row>
    <row r="598" customFormat="false" ht="15" hidden="false" customHeight="false" outlineLevel="0" collapsed="false">
      <c r="A598" s="0" t="s">
        <v>2200</v>
      </c>
      <c r="B598" s="0" t="s">
        <v>48</v>
      </c>
      <c r="C598" s="0" t="s">
        <v>198</v>
      </c>
      <c r="D598" s="0" t="s">
        <v>204</v>
      </c>
      <c r="E598" s="0" t="s">
        <v>42</v>
      </c>
      <c r="F598" s="0" t="n">
        <v>13.87</v>
      </c>
      <c r="G598" s="0" t="s">
        <v>596</v>
      </c>
      <c r="H598" s="0" t="s">
        <v>1064</v>
      </c>
      <c r="I598" s="0" t="s">
        <v>832</v>
      </c>
      <c r="J598" s="0" t="s">
        <v>2201</v>
      </c>
      <c r="K598" s="0" t="s">
        <v>2202</v>
      </c>
      <c r="L598" s="0" t="n">
        <v>1.8</v>
      </c>
      <c r="M598" s="0" t="n">
        <v>1</v>
      </c>
      <c r="N598" s="0" t="n">
        <v>8494.7</v>
      </c>
      <c r="O598" s="0" t="n">
        <v>4966.5</v>
      </c>
      <c r="P598" s="0" t="n">
        <v>663.62</v>
      </c>
      <c r="Q598" s="0" t="s">
        <v>25</v>
      </c>
      <c r="R598" s="0" t="s">
        <v>52</v>
      </c>
      <c r="S598" s="0" t="s">
        <v>247</v>
      </c>
    </row>
    <row r="599" customFormat="false" ht="15" hidden="false" customHeight="false" outlineLevel="0" collapsed="false">
      <c r="A599" s="0" t="s">
        <v>2203</v>
      </c>
      <c r="B599" s="0" t="s">
        <v>47</v>
      </c>
      <c r="C599" s="0" t="s">
        <v>199</v>
      </c>
      <c r="D599" s="0" t="s">
        <v>198</v>
      </c>
      <c r="E599" s="0" t="s">
        <v>42</v>
      </c>
      <c r="F599" s="0" t="n">
        <v>14.14</v>
      </c>
      <c r="G599" s="0" t="s">
        <v>850</v>
      </c>
      <c r="H599" s="0" t="s">
        <v>895</v>
      </c>
      <c r="I599" s="0" t="s">
        <v>831</v>
      </c>
      <c r="J599" s="0" t="s">
        <v>2204</v>
      </c>
      <c r="K599" s="0" t="s">
        <v>2163</v>
      </c>
      <c r="L599" s="0" t="n">
        <v>0.3</v>
      </c>
      <c r="M599" s="0" t="n">
        <v>1</v>
      </c>
      <c r="N599" s="0" t="n">
        <v>6542.24</v>
      </c>
      <c r="O599" s="0" t="n">
        <v>4194.22</v>
      </c>
      <c r="P599" s="0" t="n">
        <v>607.03</v>
      </c>
      <c r="Q599" s="0" t="s">
        <v>22</v>
      </c>
      <c r="R599" s="0" t="s">
        <v>51</v>
      </c>
      <c r="S599" s="0" t="s">
        <v>272</v>
      </c>
    </row>
    <row r="600" customFormat="false" ht="15" hidden="false" customHeight="false" outlineLevel="0" collapsed="false">
      <c r="A600" s="0" t="s">
        <v>2205</v>
      </c>
      <c r="B600" s="0" t="s">
        <v>48</v>
      </c>
      <c r="C600" s="0" t="s">
        <v>198</v>
      </c>
      <c r="D600" s="0" t="s">
        <v>204</v>
      </c>
      <c r="E600" s="0" t="s">
        <v>43</v>
      </c>
      <c r="F600" s="0" t="n">
        <v>15.83</v>
      </c>
      <c r="G600" s="0" t="s">
        <v>1270</v>
      </c>
      <c r="H600" s="0" t="s">
        <v>756</v>
      </c>
      <c r="I600" s="0" t="s">
        <v>407</v>
      </c>
      <c r="J600" s="0" t="s">
        <v>2206</v>
      </c>
      <c r="K600" s="0" t="s">
        <v>2207</v>
      </c>
      <c r="L600" s="0" t="n">
        <v>-1</v>
      </c>
      <c r="M600" s="0" t="n">
        <v>0</v>
      </c>
      <c r="N600" s="0" t="n">
        <v>7520.82</v>
      </c>
      <c r="O600" s="0" t="n">
        <v>4744.71</v>
      </c>
      <c r="P600" s="0" t="n">
        <v>1440.75</v>
      </c>
      <c r="Q600" s="0" t="s">
        <v>25</v>
      </c>
      <c r="R600" s="0" t="s">
        <v>51</v>
      </c>
      <c r="S600" s="0" t="s">
        <v>222</v>
      </c>
    </row>
    <row r="601" customFormat="false" ht="15" hidden="false" customHeight="false" outlineLevel="0" collapsed="false">
      <c r="A601" s="0" t="s">
        <v>2208</v>
      </c>
      <c r="B601" s="0" t="s">
        <v>47</v>
      </c>
      <c r="C601" s="0" t="s">
        <v>203</v>
      </c>
      <c r="D601" s="0" t="s">
        <v>198</v>
      </c>
      <c r="E601" s="0" t="s">
        <v>43</v>
      </c>
      <c r="F601" s="0" t="n">
        <v>4.32</v>
      </c>
      <c r="G601" s="0" t="s">
        <v>686</v>
      </c>
      <c r="H601" s="0" t="s">
        <v>331</v>
      </c>
      <c r="I601" s="0" t="s">
        <v>1269</v>
      </c>
      <c r="J601" s="0" t="s">
        <v>797</v>
      </c>
      <c r="K601" s="0" t="s">
        <v>2209</v>
      </c>
      <c r="L601" s="0" t="n">
        <v>1.8</v>
      </c>
      <c r="M601" s="0" t="n">
        <v>1</v>
      </c>
      <c r="N601" s="0" t="n">
        <v>1927</v>
      </c>
      <c r="O601" s="0" t="n">
        <v>4648.83</v>
      </c>
      <c r="P601" s="0" t="n">
        <v>1133.18</v>
      </c>
      <c r="Q601" s="0" t="s">
        <v>24</v>
      </c>
      <c r="R601" s="0" t="s">
        <v>51</v>
      </c>
      <c r="S601" s="0" t="s">
        <v>222</v>
      </c>
    </row>
    <row r="602" customFormat="false" ht="15" hidden="false" customHeight="false" outlineLevel="0" collapsed="false">
      <c r="A602" s="0" t="s">
        <v>2210</v>
      </c>
      <c r="B602" s="0" t="s">
        <v>48</v>
      </c>
      <c r="C602" s="0" t="s">
        <v>198</v>
      </c>
      <c r="D602" s="0" t="s">
        <v>211</v>
      </c>
      <c r="E602" s="0" t="s">
        <v>44</v>
      </c>
      <c r="F602" s="0" t="n">
        <v>14.7</v>
      </c>
      <c r="G602" s="0" t="s">
        <v>516</v>
      </c>
      <c r="H602" s="0" t="s">
        <v>309</v>
      </c>
      <c r="I602" s="0" t="s">
        <v>784</v>
      </c>
      <c r="J602" s="0" t="s">
        <v>2211</v>
      </c>
      <c r="K602" s="0" t="s">
        <v>2212</v>
      </c>
      <c r="L602" s="0" t="n">
        <v>-1</v>
      </c>
      <c r="M602" s="0" t="n">
        <v>0</v>
      </c>
      <c r="N602" s="0" t="n">
        <v>6308.45</v>
      </c>
      <c r="O602" s="0" t="n">
        <v>1940.13</v>
      </c>
      <c r="P602" s="0" t="n">
        <v>1152.28</v>
      </c>
      <c r="Q602" s="0" t="s">
        <v>23</v>
      </c>
      <c r="R602" s="0" t="s">
        <v>51</v>
      </c>
      <c r="S602" s="0" t="s">
        <v>254</v>
      </c>
    </row>
    <row r="603" customFormat="false" ht="15" hidden="false" customHeight="false" outlineLevel="0" collapsed="false">
      <c r="A603" s="0" t="s">
        <v>2213</v>
      </c>
      <c r="B603" s="0" t="s">
        <v>47</v>
      </c>
      <c r="C603" s="0" t="s">
        <v>206</v>
      </c>
      <c r="D603" s="0" t="s">
        <v>198</v>
      </c>
      <c r="E603" s="0" t="s">
        <v>44</v>
      </c>
      <c r="F603" s="0" t="n">
        <v>8.7</v>
      </c>
      <c r="G603" s="0" t="s">
        <v>774</v>
      </c>
      <c r="H603" s="0" t="s">
        <v>681</v>
      </c>
      <c r="I603" s="0" t="s">
        <v>268</v>
      </c>
      <c r="J603" s="0" t="s">
        <v>2214</v>
      </c>
      <c r="K603" s="0" t="s">
        <v>2215</v>
      </c>
      <c r="L603" s="0" t="n">
        <v>5.2</v>
      </c>
      <c r="M603" s="0" t="n">
        <v>1</v>
      </c>
      <c r="N603" s="0" t="n">
        <v>5056.39</v>
      </c>
      <c r="O603" s="0" t="n">
        <v>4278.71</v>
      </c>
      <c r="P603" s="0" t="n">
        <v>1499.35</v>
      </c>
      <c r="Q603" s="0" t="s">
        <v>21</v>
      </c>
      <c r="R603" s="0" t="s">
        <v>52</v>
      </c>
      <c r="S603" s="0" t="s">
        <v>272</v>
      </c>
    </row>
    <row r="604" customFormat="false" ht="15" hidden="false" customHeight="false" outlineLevel="0" collapsed="false">
      <c r="A604" s="0" t="s">
        <v>2216</v>
      </c>
      <c r="B604" s="0" t="s">
        <v>48</v>
      </c>
      <c r="C604" s="0" t="s">
        <v>198</v>
      </c>
      <c r="D604" s="0" t="s">
        <v>207</v>
      </c>
      <c r="E604" s="0" t="s">
        <v>44</v>
      </c>
      <c r="F604" s="0" t="n">
        <v>5.02</v>
      </c>
      <c r="G604" s="0" t="s">
        <v>854</v>
      </c>
      <c r="H604" s="0" t="s">
        <v>517</v>
      </c>
      <c r="I604" s="0" t="s">
        <v>826</v>
      </c>
      <c r="J604" s="0" t="s">
        <v>1607</v>
      </c>
      <c r="K604" s="0" t="s">
        <v>1407</v>
      </c>
      <c r="L604" s="0" t="n">
        <v>1.4</v>
      </c>
      <c r="M604" s="0" t="n">
        <v>1</v>
      </c>
      <c r="N604" s="0" t="n">
        <v>2865.36</v>
      </c>
      <c r="O604" s="0" t="n">
        <v>4909.75</v>
      </c>
      <c r="P604" s="0" t="n">
        <v>1464.35</v>
      </c>
      <c r="Q604" s="0" t="s">
        <v>23</v>
      </c>
      <c r="R604" s="0" t="s">
        <v>52</v>
      </c>
      <c r="S604" s="0" t="s">
        <v>222</v>
      </c>
    </row>
    <row r="605" customFormat="false" ht="15" hidden="false" customHeight="false" outlineLevel="0" collapsed="false">
      <c r="A605" s="0" t="s">
        <v>2217</v>
      </c>
      <c r="B605" s="0" t="s">
        <v>47</v>
      </c>
      <c r="C605" s="0" t="s">
        <v>206</v>
      </c>
      <c r="D605" s="0" t="s">
        <v>198</v>
      </c>
      <c r="E605" s="0" t="s">
        <v>42</v>
      </c>
      <c r="F605" s="0" t="n">
        <v>4.11</v>
      </c>
      <c r="G605" s="0" t="s">
        <v>311</v>
      </c>
      <c r="H605" s="0" t="s">
        <v>381</v>
      </c>
      <c r="I605" s="0" t="s">
        <v>483</v>
      </c>
      <c r="J605" s="0" t="s">
        <v>383</v>
      </c>
      <c r="K605" s="0" t="s">
        <v>2218</v>
      </c>
      <c r="L605" s="0" t="n">
        <v>1.6</v>
      </c>
      <c r="M605" s="0" t="n">
        <v>1</v>
      </c>
      <c r="N605" s="0" t="n">
        <v>3011.39</v>
      </c>
      <c r="O605" s="0" t="n">
        <v>1353.59</v>
      </c>
      <c r="P605" s="0" t="n">
        <v>842.23</v>
      </c>
      <c r="Q605" s="0" t="s">
        <v>23</v>
      </c>
      <c r="R605" s="0" t="s">
        <v>51</v>
      </c>
      <c r="S605" s="0" t="s">
        <v>228</v>
      </c>
    </row>
    <row r="606" customFormat="false" ht="15" hidden="false" customHeight="false" outlineLevel="0" collapsed="false">
      <c r="A606" s="0" t="s">
        <v>2219</v>
      </c>
      <c r="B606" s="0" t="s">
        <v>48</v>
      </c>
      <c r="C606" s="0" t="s">
        <v>198</v>
      </c>
      <c r="D606" s="0" t="s">
        <v>211</v>
      </c>
      <c r="E606" s="0" t="s">
        <v>42</v>
      </c>
      <c r="F606" s="0" t="n">
        <v>19.65</v>
      </c>
      <c r="G606" s="0" t="s">
        <v>269</v>
      </c>
      <c r="H606" s="0" t="s">
        <v>1167</v>
      </c>
      <c r="I606" s="0" t="s">
        <v>1380</v>
      </c>
      <c r="J606" s="0" t="s">
        <v>2220</v>
      </c>
      <c r="K606" s="0" t="s">
        <v>2221</v>
      </c>
      <c r="L606" s="0" t="n">
        <v>3.2</v>
      </c>
      <c r="M606" s="0" t="n">
        <v>1</v>
      </c>
      <c r="N606" s="0" t="n">
        <v>12113.89</v>
      </c>
      <c r="O606" s="0" t="n">
        <v>2986.97</v>
      </c>
      <c r="P606" s="0" t="n">
        <v>1342.95</v>
      </c>
      <c r="Q606" s="0" t="s">
        <v>21</v>
      </c>
      <c r="R606" s="0" t="s">
        <v>52</v>
      </c>
      <c r="S606" s="0" t="s">
        <v>247</v>
      </c>
    </row>
    <row r="607" customFormat="false" ht="15" hidden="false" customHeight="false" outlineLevel="0" collapsed="false">
      <c r="A607" s="0" t="s">
        <v>2222</v>
      </c>
      <c r="B607" s="0" t="s">
        <v>47</v>
      </c>
      <c r="C607" s="0" t="s">
        <v>203</v>
      </c>
      <c r="D607" s="0" t="s">
        <v>198</v>
      </c>
      <c r="E607" s="0" t="s">
        <v>42</v>
      </c>
      <c r="F607" s="0" t="n">
        <v>9.47</v>
      </c>
      <c r="G607" s="0" t="s">
        <v>597</v>
      </c>
      <c r="H607" s="0" t="s">
        <v>461</v>
      </c>
      <c r="I607" s="0" t="s">
        <v>731</v>
      </c>
      <c r="J607" s="0" t="s">
        <v>2223</v>
      </c>
      <c r="K607" s="0" t="s">
        <v>2224</v>
      </c>
      <c r="L607" s="0" t="n">
        <v>-0.7</v>
      </c>
      <c r="M607" s="0" t="n">
        <v>0</v>
      </c>
      <c r="N607" s="0" t="n">
        <v>4885.02</v>
      </c>
      <c r="O607" s="0" t="n">
        <v>1282.79</v>
      </c>
      <c r="P607" s="0" t="n">
        <v>861.54</v>
      </c>
      <c r="Q607" s="0" t="s">
        <v>22</v>
      </c>
      <c r="R607" s="0" t="s">
        <v>52</v>
      </c>
      <c r="S607" s="0" t="s">
        <v>272</v>
      </c>
    </row>
    <row r="608" customFormat="false" ht="15" hidden="false" customHeight="false" outlineLevel="0" collapsed="false">
      <c r="A608" s="0" t="s">
        <v>2225</v>
      </c>
      <c r="B608" s="0" t="s">
        <v>47</v>
      </c>
      <c r="C608" s="0" t="s">
        <v>203</v>
      </c>
      <c r="D608" s="0" t="s">
        <v>198</v>
      </c>
      <c r="E608" s="0" t="s">
        <v>43</v>
      </c>
      <c r="F608" s="0" t="n">
        <v>11.16</v>
      </c>
      <c r="G608" s="0" t="s">
        <v>257</v>
      </c>
      <c r="H608" s="0" t="s">
        <v>497</v>
      </c>
      <c r="I608" s="0" t="s">
        <v>2087</v>
      </c>
      <c r="J608" s="0" t="s">
        <v>2226</v>
      </c>
      <c r="K608" s="0" t="s">
        <v>2088</v>
      </c>
      <c r="L608" s="0" t="n">
        <v>-1</v>
      </c>
      <c r="M608" s="0" t="n">
        <v>0</v>
      </c>
      <c r="N608" s="0" t="n">
        <v>6743.84</v>
      </c>
      <c r="O608" s="0" t="n">
        <v>3417.22</v>
      </c>
      <c r="P608" s="0" t="n">
        <v>1130.02</v>
      </c>
      <c r="Q608" s="0" t="s">
        <v>22</v>
      </c>
      <c r="R608" s="0" t="s">
        <v>52</v>
      </c>
      <c r="S608" s="0" t="s">
        <v>272</v>
      </c>
    </row>
    <row r="609" customFormat="false" ht="15" hidden="false" customHeight="false" outlineLevel="0" collapsed="false">
      <c r="A609" s="0" t="s">
        <v>2227</v>
      </c>
      <c r="B609" s="0" t="s">
        <v>47</v>
      </c>
      <c r="C609" s="0" t="s">
        <v>205</v>
      </c>
      <c r="D609" s="0" t="s">
        <v>198</v>
      </c>
      <c r="E609" s="0" t="s">
        <v>42</v>
      </c>
      <c r="F609" s="0" t="n">
        <v>8.93</v>
      </c>
      <c r="G609" s="0" t="s">
        <v>466</v>
      </c>
      <c r="H609" s="0" t="s">
        <v>1068</v>
      </c>
      <c r="I609" s="0" t="s">
        <v>1224</v>
      </c>
      <c r="J609" s="0" t="s">
        <v>1740</v>
      </c>
      <c r="K609" s="0" t="s">
        <v>2228</v>
      </c>
      <c r="L609" s="0" t="n">
        <v>-1</v>
      </c>
      <c r="M609" s="0" t="n">
        <v>0</v>
      </c>
      <c r="N609" s="0" t="n">
        <v>3933.45</v>
      </c>
      <c r="O609" s="0" t="n">
        <v>2381.06</v>
      </c>
      <c r="P609" s="0" t="n">
        <v>672.76</v>
      </c>
      <c r="Q609" s="0" t="s">
        <v>25</v>
      </c>
      <c r="R609" s="0" t="s">
        <v>51</v>
      </c>
      <c r="S609" s="0" t="s">
        <v>254</v>
      </c>
    </row>
    <row r="610" customFormat="false" ht="15" hidden="false" customHeight="false" outlineLevel="0" collapsed="false">
      <c r="A610" s="0" t="s">
        <v>2229</v>
      </c>
      <c r="B610" s="0" t="s">
        <v>48</v>
      </c>
      <c r="C610" s="0" t="s">
        <v>198</v>
      </c>
      <c r="D610" s="0" t="s">
        <v>213</v>
      </c>
      <c r="E610" s="0" t="s">
        <v>43</v>
      </c>
      <c r="F610" s="0" t="n">
        <v>12.82</v>
      </c>
      <c r="G610" s="0" t="s">
        <v>687</v>
      </c>
      <c r="H610" s="0" t="s">
        <v>741</v>
      </c>
      <c r="I610" s="0" t="s">
        <v>1303</v>
      </c>
      <c r="J610" s="0" t="s">
        <v>2230</v>
      </c>
      <c r="K610" s="0" t="s">
        <v>2231</v>
      </c>
      <c r="L610" s="0" t="n">
        <v>6.3</v>
      </c>
      <c r="M610" s="0" t="n">
        <v>1</v>
      </c>
      <c r="N610" s="0" t="n">
        <v>9088.21</v>
      </c>
      <c r="O610" s="0" t="n">
        <v>3528.48</v>
      </c>
      <c r="P610" s="0" t="n">
        <v>935.29</v>
      </c>
      <c r="Q610" s="0" t="s">
        <v>21</v>
      </c>
      <c r="R610" s="0" t="s">
        <v>52</v>
      </c>
      <c r="S610" s="0" t="s">
        <v>247</v>
      </c>
    </row>
    <row r="611" customFormat="false" ht="15" hidden="false" customHeight="false" outlineLevel="0" collapsed="false">
      <c r="A611" s="0" t="s">
        <v>2232</v>
      </c>
      <c r="B611" s="0" t="s">
        <v>47</v>
      </c>
      <c r="C611" s="0" t="s">
        <v>203</v>
      </c>
      <c r="D611" s="0" t="s">
        <v>198</v>
      </c>
      <c r="E611" s="0" t="s">
        <v>42</v>
      </c>
      <c r="F611" s="0" t="n">
        <v>10.98</v>
      </c>
      <c r="G611" s="0" t="s">
        <v>369</v>
      </c>
      <c r="H611" s="0" t="s">
        <v>370</v>
      </c>
      <c r="I611" s="0" t="s">
        <v>288</v>
      </c>
      <c r="J611" s="0" t="s">
        <v>2233</v>
      </c>
      <c r="K611" s="0" t="s">
        <v>2234</v>
      </c>
      <c r="L611" s="0" t="n">
        <v>0.5</v>
      </c>
      <c r="M611" s="0" t="n">
        <v>1</v>
      </c>
      <c r="N611" s="0" t="n">
        <v>5199.07</v>
      </c>
      <c r="O611" s="0" t="n">
        <v>2076.76</v>
      </c>
      <c r="P611" s="0" t="n">
        <v>1482.26</v>
      </c>
      <c r="Q611" s="0" t="s">
        <v>23</v>
      </c>
      <c r="R611" s="0" t="s">
        <v>51</v>
      </c>
      <c r="S611" s="0" t="s">
        <v>222</v>
      </c>
    </row>
    <row r="612" customFormat="false" ht="15" hidden="false" customHeight="false" outlineLevel="0" collapsed="false">
      <c r="A612" s="0" t="s">
        <v>2235</v>
      </c>
      <c r="B612" s="0" t="s">
        <v>47</v>
      </c>
      <c r="C612" s="0" t="s">
        <v>203</v>
      </c>
      <c r="D612" s="0" t="s">
        <v>198</v>
      </c>
      <c r="E612" s="0" t="s">
        <v>44</v>
      </c>
      <c r="F612" s="0" t="n">
        <v>8.28</v>
      </c>
      <c r="G612" s="0" t="s">
        <v>1243</v>
      </c>
      <c r="H612" s="0" t="s">
        <v>818</v>
      </c>
      <c r="I612" s="0" t="s">
        <v>920</v>
      </c>
      <c r="J612" s="0" t="s">
        <v>1639</v>
      </c>
      <c r="K612" s="0" t="s">
        <v>2236</v>
      </c>
      <c r="L612" s="0" t="n">
        <v>5.3</v>
      </c>
      <c r="M612" s="0" t="n">
        <v>1</v>
      </c>
      <c r="N612" s="0" t="n">
        <v>5454.1</v>
      </c>
      <c r="O612" s="0" t="n">
        <v>1116.68</v>
      </c>
      <c r="P612" s="0" t="n">
        <v>1041.24</v>
      </c>
      <c r="Q612" s="0" t="s">
        <v>21</v>
      </c>
      <c r="R612" s="0" t="s">
        <v>52</v>
      </c>
      <c r="S612" s="0" t="s">
        <v>228</v>
      </c>
    </row>
    <row r="613" customFormat="false" ht="15" hidden="false" customHeight="false" outlineLevel="0" collapsed="false">
      <c r="A613" s="0" t="s">
        <v>2237</v>
      </c>
      <c r="B613" s="0" t="s">
        <v>48</v>
      </c>
      <c r="C613" s="0" t="s">
        <v>198</v>
      </c>
      <c r="D613" s="0" t="s">
        <v>199</v>
      </c>
      <c r="E613" s="0" t="s">
        <v>44</v>
      </c>
      <c r="F613" s="0" t="n">
        <v>2.01</v>
      </c>
      <c r="G613" s="0" t="s">
        <v>831</v>
      </c>
      <c r="H613" s="0" t="s">
        <v>426</v>
      </c>
      <c r="I613" s="0" t="s">
        <v>1198</v>
      </c>
      <c r="J613" s="0" t="s">
        <v>2238</v>
      </c>
      <c r="K613" s="0" t="s">
        <v>2239</v>
      </c>
      <c r="L613" s="0" t="n">
        <v>3.3</v>
      </c>
      <c r="M613" s="0" t="n">
        <v>1</v>
      </c>
      <c r="N613" s="0" t="n">
        <v>2274.95</v>
      </c>
      <c r="O613" s="0" t="n">
        <v>2943.54</v>
      </c>
      <c r="P613" s="0" t="n">
        <v>1065.85</v>
      </c>
      <c r="Q613" s="0" t="s">
        <v>25</v>
      </c>
      <c r="R613" s="0" t="s">
        <v>52</v>
      </c>
      <c r="S613" s="0" t="s">
        <v>254</v>
      </c>
    </row>
    <row r="614" customFormat="false" ht="15" hidden="false" customHeight="false" outlineLevel="0" collapsed="false">
      <c r="A614" s="0" t="s">
        <v>2240</v>
      </c>
      <c r="B614" s="0" t="s">
        <v>48</v>
      </c>
      <c r="C614" s="0" t="s">
        <v>198</v>
      </c>
      <c r="D614" s="0" t="s">
        <v>213</v>
      </c>
      <c r="E614" s="0" t="s">
        <v>43</v>
      </c>
      <c r="F614" s="0" t="n">
        <v>18.42</v>
      </c>
      <c r="G614" s="0" t="s">
        <v>1205</v>
      </c>
      <c r="H614" s="0" t="s">
        <v>293</v>
      </c>
      <c r="I614" s="0" t="s">
        <v>1144</v>
      </c>
      <c r="J614" s="0" t="s">
        <v>2241</v>
      </c>
      <c r="K614" s="0" t="s">
        <v>2242</v>
      </c>
      <c r="L614" s="0" t="n">
        <v>1.3</v>
      </c>
      <c r="M614" s="0" t="n">
        <v>1</v>
      </c>
      <c r="N614" s="0" t="n">
        <v>4890.96</v>
      </c>
      <c r="O614" s="0" t="n">
        <v>2001.36</v>
      </c>
      <c r="P614" s="0" t="n">
        <v>1331.72</v>
      </c>
      <c r="Q614" s="0" t="s">
        <v>22</v>
      </c>
      <c r="R614" s="0" t="s">
        <v>51</v>
      </c>
      <c r="S614" s="0" t="s">
        <v>272</v>
      </c>
    </row>
    <row r="615" customFormat="false" ht="15" hidden="false" customHeight="false" outlineLevel="0" collapsed="false">
      <c r="A615" s="0" t="s">
        <v>2243</v>
      </c>
      <c r="B615" s="0" t="s">
        <v>47</v>
      </c>
      <c r="C615" s="0" t="s">
        <v>206</v>
      </c>
      <c r="D615" s="0" t="s">
        <v>198</v>
      </c>
      <c r="E615" s="0" t="s">
        <v>44</v>
      </c>
      <c r="F615" s="0" t="n">
        <v>9.8</v>
      </c>
      <c r="G615" s="0" t="s">
        <v>276</v>
      </c>
      <c r="H615" s="0" t="s">
        <v>1926</v>
      </c>
      <c r="I615" s="0" t="s">
        <v>326</v>
      </c>
      <c r="J615" s="0" t="s">
        <v>2244</v>
      </c>
      <c r="K615" s="0" t="s">
        <v>2245</v>
      </c>
      <c r="L615" s="0" t="n">
        <v>9.9</v>
      </c>
      <c r="M615" s="0" t="n">
        <v>1</v>
      </c>
      <c r="N615" s="0" t="n">
        <v>3891.74</v>
      </c>
      <c r="O615" s="0" t="n">
        <v>4719.74</v>
      </c>
      <c r="P615" s="0" t="n">
        <v>958.71</v>
      </c>
      <c r="Q615" s="0" t="s">
        <v>25</v>
      </c>
      <c r="R615" s="0" t="s">
        <v>51</v>
      </c>
      <c r="S615" s="0" t="s">
        <v>222</v>
      </c>
    </row>
    <row r="616" customFormat="false" ht="15" hidden="false" customHeight="false" outlineLevel="0" collapsed="false">
      <c r="A616" s="0" t="s">
        <v>2246</v>
      </c>
      <c r="B616" s="0" t="s">
        <v>47</v>
      </c>
      <c r="C616" s="0" t="s">
        <v>209</v>
      </c>
      <c r="D616" s="0" t="s">
        <v>198</v>
      </c>
      <c r="E616" s="0" t="s">
        <v>43</v>
      </c>
      <c r="F616" s="0" t="n">
        <v>4.45</v>
      </c>
      <c r="G616" s="0" t="s">
        <v>381</v>
      </c>
      <c r="H616" s="0" t="s">
        <v>785</v>
      </c>
      <c r="I616" s="0" t="s">
        <v>2247</v>
      </c>
      <c r="J616" s="0" t="s">
        <v>2248</v>
      </c>
      <c r="K616" s="0" t="s">
        <v>2249</v>
      </c>
      <c r="L616" s="0" t="n">
        <v>4.2</v>
      </c>
      <c r="M616" s="0" t="n">
        <v>1</v>
      </c>
      <c r="N616" s="0" t="n">
        <v>2782.84</v>
      </c>
      <c r="O616" s="0" t="n">
        <v>2528.22</v>
      </c>
      <c r="P616" s="0" t="n">
        <v>528.23</v>
      </c>
      <c r="Q616" s="0" t="s">
        <v>25</v>
      </c>
      <c r="R616" s="0" t="s">
        <v>51</v>
      </c>
      <c r="S616" s="0" t="s">
        <v>254</v>
      </c>
    </row>
    <row r="617" customFormat="false" ht="15" hidden="false" customHeight="false" outlineLevel="0" collapsed="false">
      <c r="A617" s="0" t="s">
        <v>2250</v>
      </c>
      <c r="B617" s="0" t="s">
        <v>47</v>
      </c>
      <c r="C617" s="0" t="s">
        <v>205</v>
      </c>
      <c r="D617" s="0" t="s">
        <v>198</v>
      </c>
      <c r="E617" s="0" t="s">
        <v>42</v>
      </c>
      <c r="F617" s="0" t="n">
        <v>17.25</v>
      </c>
      <c r="G617" s="0" t="s">
        <v>374</v>
      </c>
      <c r="H617" s="0" t="s">
        <v>577</v>
      </c>
      <c r="I617" s="0" t="s">
        <v>1332</v>
      </c>
      <c r="J617" s="0" t="s">
        <v>2251</v>
      </c>
      <c r="K617" s="0" t="s">
        <v>2252</v>
      </c>
      <c r="L617" s="0" t="n">
        <v>1.5</v>
      </c>
      <c r="M617" s="0" t="n">
        <v>1</v>
      </c>
      <c r="N617" s="0" t="n">
        <v>6771.29</v>
      </c>
      <c r="O617" s="0" t="n">
        <v>4848.85</v>
      </c>
      <c r="P617" s="0" t="n">
        <v>1464.49</v>
      </c>
      <c r="Q617" s="0" t="s">
        <v>25</v>
      </c>
      <c r="R617" s="0" t="s">
        <v>52</v>
      </c>
      <c r="S617" s="0" t="s">
        <v>247</v>
      </c>
    </row>
    <row r="618" customFormat="false" ht="15" hidden="false" customHeight="false" outlineLevel="0" collapsed="false">
      <c r="A618" s="0" t="s">
        <v>2253</v>
      </c>
      <c r="B618" s="0" t="s">
        <v>48</v>
      </c>
      <c r="C618" s="0" t="s">
        <v>198</v>
      </c>
      <c r="D618" s="0" t="s">
        <v>207</v>
      </c>
      <c r="E618" s="0" t="s">
        <v>44</v>
      </c>
      <c r="F618" s="0" t="n">
        <v>6.5</v>
      </c>
      <c r="G618" s="0" t="s">
        <v>348</v>
      </c>
      <c r="H618" s="0" t="s">
        <v>357</v>
      </c>
      <c r="I618" s="0" t="s">
        <v>507</v>
      </c>
      <c r="J618" s="0" t="s">
        <v>2254</v>
      </c>
      <c r="K618" s="0" t="s">
        <v>2255</v>
      </c>
      <c r="L618" s="0" t="n">
        <v>4.6</v>
      </c>
      <c r="M618" s="0" t="n">
        <v>1</v>
      </c>
      <c r="N618" s="0" t="n">
        <v>2691.15</v>
      </c>
      <c r="O618" s="0" t="n">
        <v>2627.59</v>
      </c>
      <c r="P618" s="0" t="n">
        <v>720.7</v>
      </c>
      <c r="Q618" s="0" t="s">
        <v>23</v>
      </c>
      <c r="R618" s="0" t="s">
        <v>51</v>
      </c>
      <c r="S618" s="0" t="s">
        <v>222</v>
      </c>
    </row>
    <row r="619" customFormat="false" ht="15" hidden="false" customHeight="false" outlineLevel="0" collapsed="false">
      <c r="A619" s="0" t="s">
        <v>2256</v>
      </c>
      <c r="B619" s="0" t="s">
        <v>47</v>
      </c>
      <c r="C619" s="0" t="s">
        <v>206</v>
      </c>
      <c r="D619" s="0" t="s">
        <v>198</v>
      </c>
      <c r="E619" s="0" t="s">
        <v>44</v>
      </c>
      <c r="F619" s="0" t="n">
        <v>11.13</v>
      </c>
      <c r="G619" s="0" t="s">
        <v>257</v>
      </c>
      <c r="H619" s="0" t="s">
        <v>445</v>
      </c>
      <c r="I619" s="0" t="s">
        <v>2257</v>
      </c>
      <c r="J619" s="0" t="s">
        <v>2258</v>
      </c>
      <c r="K619" s="0" t="s">
        <v>2259</v>
      </c>
      <c r="L619" s="0" t="n">
        <v>2.8</v>
      </c>
      <c r="M619" s="0" t="n">
        <v>1</v>
      </c>
      <c r="N619" s="0" t="n">
        <v>4433.28</v>
      </c>
      <c r="O619" s="0" t="n">
        <v>1827.19</v>
      </c>
      <c r="P619" s="0" t="n">
        <v>1425.06</v>
      </c>
      <c r="Q619" s="0" t="s">
        <v>25</v>
      </c>
      <c r="R619" s="0" t="s">
        <v>52</v>
      </c>
      <c r="S619" s="0" t="s">
        <v>228</v>
      </c>
    </row>
    <row r="620" customFormat="false" ht="15" hidden="false" customHeight="false" outlineLevel="0" collapsed="false">
      <c r="A620" s="0" t="s">
        <v>2260</v>
      </c>
      <c r="B620" s="0" t="s">
        <v>47</v>
      </c>
      <c r="C620" s="0" t="s">
        <v>205</v>
      </c>
      <c r="D620" s="0" t="s">
        <v>198</v>
      </c>
      <c r="E620" s="0" t="s">
        <v>43</v>
      </c>
      <c r="F620" s="0" t="n">
        <v>7.96</v>
      </c>
      <c r="G620" s="0" t="s">
        <v>321</v>
      </c>
      <c r="H620" s="0" t="s">
        <v>450</v>
      </c>
      <c r="I620" s="0" t="s">
        <v>243</v>
      </c>
      <c r="J620" s="0" t="s">
        <v>1773</v>
      </c>
      <c r="K620" s="0" t="s">
        <v>1283</v>
      </c>
      <c r="L620" s="0" t="n">
        <v>4.9</v>
      </c>
      <c r="M620" s="0" t="n">
        <v>1</v>
      </c>
      <c r="N620" s="0" t="n">
        <v>6191.13</v>
      </c>
      <c r="O620" s="0" t="n">
        <v>3968.09</v>
      </c>
      <c r="P620" s="0" t="n">
        <v>531.51</v>
      </c>
      <c r="Q620" s="0" t="s">
        <v>21</v>
      </c>
      <c r="R620" s="0" t="s">
        <v>51</v>
      </c>
      <c r="S620" s="0" t="s">
        <v>247</v>
      </c>
    </row>
    <row r="621" customFormat="false" ht="15" hidden="false" customHeight="false" outlineLevel="0" collapsed="false">
      <c r="A621" s="0" t="s">
        <v>2261</v>
      </c>
      <c r="B621" s="0" t="s">
        <v>47</v>
      </c>
      <c r="C621" s="0" t="s">
        <v>199</v>
      </c>
      <c r="D621" s="0" t="s">
        <v>198</v>
      </c>
      <c r="E621" s="0" t="s">
        <v>43</v>
      </c>
      <c r="F621" s="0" t="n">
        <v>3.31</v>
      </c>
      <c r="G621" s="0" t="s">
        <v>232</v>
      </c>
      <c r="H621" s="0" t="s">
        <v>620</v>
      </c>
      <c r="I621" s="0" t="s">
        <v>696</v>
      </c>
      <c r="J621" s="0" t="s">
        <v>2262</v>
      </c>
      <c r="K621" s="0" t="s">
        <v>2263</v>
      </c>
      <c r="L621" s="0" t="n">
        <v>3.6</v>
      </c>
      <c r="M621" s="0" t="n">
        <v>1</v>
      </c>
      <c r="N621" s="0" t="n">
        <v>2471.61</v>
      </c>
      <c r="O621" s="0" t="n">
        <v>1557.21</v>
      </c>
      <c r="P621" s="0" t="n">
        <v>1020.23</v>
      </c>
      <c r="Q621" s="0" t="s">
        <v>22</v>
      </c>
      <c r="R621" s="0" t="s">
        <v>51</v>
      </c>
      <c r="S621" s="0" t="s">
        <v>222</v>
      </c>
    </row>
    <row r="622" customFormat="false" ht="15" hidden="false" customHeight="false" outlineLevel="0" collapsed="false">
      <c r="A622" s="0" t="s">
        <v>2264</v>
      </c>
      <c r="B622" s="0" t="s">
        <v>48</v>
      </c>
      <c r="C622" s="0" t="s">
        <v>198</v>
      </c>
      <c r="D622" s="0" t="s">
        <v>199</v>
      </c>
      <c r="E622" s="0" t="s">
        <v>44</v>
      </c>
      <c r="F622" s="0" t="n">
        <v>1.71</v>
      </c>
      <c r="G622" s="0" t="s">
        <v>492</v>
      </c>
      <c r="H622" s="0" t="s">
        <v>320</v>
      </c>
      <c r="I622" s="0" t="s">
        <v>321</v>
      </c>
      <c r="J622" s="0" t="s">
        <v>2265</v>
      </c>
      <c r="K622" s="0" t="s">
        <v>2266</v>
      </c>
      <c r="L622" s="0" t="n">
        <v>3.5</v>
      </c>
      <c r="M622" s="0" t="n">
        <v>1</v>
      </c>
      <c r="N622" s="0" t="n">
        <v>2394.04</v>
      </c>
      <c r="O622" s="0" t="n">
        <v>1591.41</v>
      </c>
      <c r="P622" s="0" t="n">
        <v>1440.88</v>
      </c>
      <c r="Q622" s="0" t="s">
        <v>24</v>
      </c>
      <c r="R622" s="0" t="s">
        <v>51</v>
      </c>
      <c r="S622" s="0" t="s">
        <v>272</v>
      </c>
    </row>
    <row r="623" customFormat="false" ht="15" hidden="false" customHeight="false" outlineLevel="0" collapsed="false">
      <c r="A623" s="0" t="s">
        <v>2267</v>
      </c>
      <c r="B623" s="0" t="s">
        <v>47</v>
      </c>
      <c r="C623" s="0" t="s">
        <v>209</v>
      </c>
      <c r="D623" s="0" t="s">
        <v>198</v>
      </c>
      <c r="E623" s="0" t="s">
        <v>42</v>
      </c>
      <c r="F623" s="0" t="n">
        <v>4.47</v>
      </c>
      <c r="G623" s="0" t="s">
        <v>1255</v>
      </c>
      <c r="H623" s="0" t="s">
        <v>1265</v>
      </c>
      <c r="I623" s="0" t="s">
        <v>477</v>
      </c>
      <c r="J623" s="0" t="s">
        <v>2268</v>
      </c>
      <c r="K623" s="0" t="s">
        <v>2269</v>
      </c>
      <c r="L623" s="0" t="n">
        <v>3.6</v>
      </c>
      <c r="M623" s="0" t="n">
        <v>1</v>
      </c>
      <c r="N623" s="0" t="n">
        <v>2240.09</v>
      </c>
      <c r="O623" s="0" t="n">
        <v>4841.47</v>
      </c>
      <c r="P623" s="0" t="n">
        <v>544.59</v>
      </c>
      <c r="Q623" s="0" t="s">
        <v>25</v>
      </c>
      <c r="R623" s="0" t="s">
        <v>51</v>
      </c>
      <c r="S623" s="0" t="s">
        <v>222</v>
      </c>
    </row>
    <row r="624" customFormat="false" ht="15" hidden="false" customHeight="false" outlineLevel="0" collapsed="false">
      <c r="A624" s="0" t="s">
        <v>2270</v>
      </c>
      <c r="B624" s="0" t="s">
        <v>47</v>
      </c>
      <c r="C624" s="0" t="s">
        <v>205</v>
      </c>
      <c r="D624" s="0" t="s">
        <v>198</v>
      </c>
      <c r="E624" s="0" t="s">
        <v>42</v>
      </c>
      <c r="F624" s="0" t="n">
        <v>3.72</v>
      </c>
      <c r="G624" s="0" t="s">
        <v>261</v>
      </c>
      <c r="H624" s="0" t="s">
        <v>1417</v>
      </c>
      <c r="I624" s="0" t="s">
        <v>386</v>
      </c>
      <c r="J624" s="0" t="s">
        <v>2271</v>
      </c>
      <c r="K624" s="0" t="s">
        <v>2272</v>
      </c>
      <c r="L624" s="0" t="n">
        <v>2.4</v>
      </c>
      <c r="M624" s="0" t="n">
        <v>1</v>
      </c>
      <c r="N624" s="0" t="n">
        <v>2074.37</v>
      </c>
      <c r="O624" s="0" t="n">
        <v>2838.25</v>
      </c>
      <c r="P624" s="0" t="n">
        <v>998.97</v>
      </c>
      <c r="Q624" s="0" t="s">
        <v>21</v>
      </c>
      <c r="R624" s="0" t="s">
        <v>52</v>
      </c>
      <c r="S624" s="0" t="s">
        <v>254</v>
      </c>
    </row>
    <row r="625" customFormat="false" ht="15" hidden="false" customHeight="false" outlineLevel="0" collapsed="false">
      <c r="A625" s="0" t="s">
        <v>2273</v>
      </c>
      <c r="B625" s="0" t="s">
        <v>48</v>
      </c>
      <c r="C625" s="0" t="s">
        <v>198</v>
      </c>
      <c r="D625" s="0" t="s">
        <v>204</v>
      </c>
      <c r="E625" s="0" t="s">
        <v>44</v>
      </c>
      <c r="F625" s="0" t="n">
        <v>2.37</v>
      </c>
      <c r="G625" s="0" t="s">
        <v>424</v>
      </c>
      <c r="H625" s="0" t="s">
        <v>425</v>
      </c>
      <c r="I625" s="0" t="s">
        <v>426</v>
      </c>
      <c r="J625" s="0" t="s">
        <v>1761</v>
      </c>
      <c r="K625" s="0" t="s">
        <v>2274</v>
      </c>
      <c r="L625" s="0" t="n">
        <v>0.3</v>
      </c>
      <c r="M625" s="0" t="n">
        <v>1</v>
      </c>
      <c r="N625" s="0" t="n">
        <v>2340.34</v>
      </c>
      <c r="O625" s="0" t="n">
        <v>3146.1</v>
      </c>
      <c r="P625" s="0" t="n">
        <v>1359.94</v>
      </c>
      <c r="Q625" s="0" t="s">
        <v>25</v>
      </c>
      <c r="R625" s="0" t="s">
        <v>52</v>
      </c>
      <c r="S625" s="0" t="s">
        <v>247</v>
      </c>
    </row>
    <row r="626" customFormat="false" ht="15" hidden="false" customHeight="false" outlineLevel="0" collapsed="false">
      <c r="A626" s="0" t="s">
        <v>2275</v>
      </c>
      <c r="B626" s="0" t="s">
        <v>48</v>
      </c>
      <c r="C626" s="0" t="s">
        <v>198</v>
      </c>
      <c r="D626" s="0" t="s">
        <v>212</v>
      </c>
      <c r="E626" s="0" t="s">
        <v>42</v>
      </c>
      <c r="F626" s="0" t="n">
        <v>5.05</v>
      </c>
      <c r="G626" s="0" t="s">
        <v>992</v>
      </c>
      <c r="H626" s="0" t="s">
        <v>230</v>
      </c>
      <c r="I626" s="0" t="s">
        <v>993</v>
      </c>
      <c r="J626" s="0" t="s">
        <v>2276</v>
      </c>
      <c r="K626" s="0" t="s">
        <v>2277</v>
      </c>
      <c r="L626" s="0" t="n">
        <v>-0.4</v>
      </c>
      <c r="M626" s="0" t="n">
        <v>0</v>
      </c>
      <c r="N626" s="0" t="n">
        <v>1983.62</v>
      </c>
      <c r="O626" s="0" t="n">
        <v>1477.8</v>
      </c>
      <c r="P626" s="0" t="n">
        <v>1122.3</v>
      </c>
      <c r="Q626" s="0" t="s">
        <v>23</v>
      </c>
      <c r="R626" s="0" t="s">
        <v>51</v>
      </c>
      <c r="S626" s="0" t="s">
        <v>228</v>
      </c>
    </row>
    <row r="627" customFormat="false" ht="15" hidden="false" customHeight="false" outlineLevel="0" collapsed="false">
      <c r="A627" s="0" t="s">
        <v>2278</v>
      </c>
      <c r="B627" s="0" t="s">
        <v>48</v>
      </c>
      <c r="C627" s="0" t="s">
        <v>198</v>
      </c>
      <c r="D627" s="0" t="s">
        <v>213</v>
      </c>
      <c r="E627" s="0" t="s">
        <v>42</v>
      </c>
      <c r="F627" s="0" t="n">
        <v>18.75</v>
      </c>
      <c r="G627" s="0" t="s">
        <v>945</v>
      </c>
      <c r="H627" s="0" t="s">
        <v>287</v>
      </c>
      <c r="I627" s="0" t="s">
        <v>667</v>
      </c>
      <c r="J627" s="0" t="s">
        <v>2173</v>
      </c>
      <c r="K627" s="0" t="s">
        <v>2279</v>
      </c>
      <c r="L627" s="0" t="n">
        <v>2.1</v>
      </c>
      <c r="M627" s="0" t="n">
        <v>1</v>
      </c>
      <c r="N627" s="0" t="n">
        <v>9741.93</v>
      </c>
      <c r="O627" s="0" t="n">
        <v>4260.06</v>
      </c>
      <c r="P627" s="0" t="n">
        <v>760.68</v>
      </c>
      <c r="Q627" s="0" t="s">
        <v>22</v>
      </c>
      <c r="R627" s="0" t="s">
        <v>52</v>
      </c>
      <c r="S627" s="0" t="s">
        <v>247</v>
      </c>
    </row>
    <row r="628" customFormat="false" ht="15" hidden="false" customHeight="false" outlineLevel="0" collapsed="false">
      <c r="A628" s="0" t="s">
        <v>2280</v>
      </c>
      <c r="B628" s="0" t="s">
        <v>48</v>
      </c>
      <c r="C628" s="0" t="s">
        <v>198</v>
      </c>
      <c r="D628" s="0" t="s">
        <v>204</v>
      </c>
      <c r="E628" s="0" t="s">
        <v>43</v>
      </c>
      <c r="F628" s="0" t="n">
        <v>6.64</v>
      </c>
      <c r="G628" s="0" t="s">
        <v>1732</v>
      </c>
      <c r="H628" s="0" t="s">
        <v>261</v>
      </c>
      <c r="I628" s="0" t="s">
        <v>1625</v>
      </c>
      <c r="J628" s="0" t="s">
        <v>2281</v>
      </c>
      <c r="K628" s="0" t="s">
        <v>2282</v>
      </c>
      <c r="L628" s="0" t="n">
        <v>3.2</v>
      </c>
      <c r="M628" s="0" t="n">
        <v>1</v>
      </c>
      <c r="N628" s="0" t="n">
        <v>3745.07</v>
      </c>
      <c r="O628" s="0" t="n">
        <v>4155.66</v>
      </c>
      <c r="P628" s="0" t="n">
        <v>733.69</v>
      </c>
      <c r="Q628" s="0" t="s">
        <v>21</v>
      </c>
      <c r="R628" s="0" t="s">
        <v>52</v>
      </c>
      <c r="S628" s="0" t="s">
        <v>247</v>
      </c>
    </row>
    <row r="629" customFormat="false" ht="15" hidden="false" customHeight="false" outlineLevel="0" collapsed="false">
      <c r="A629" s="0" t="s">
        <v>2283</v>
      </c>
      <c r="B629" s="0" t="s">
        <v>48</v>
      </c>
      <c r="C629" s="0" t="s">
        <v>198</v>
      </c>
      <c r="D629" s="0" t="s">
        <v>211</v>
      </c>
      <c r="E629" s="0" t="s">
        <v>42</v>
      </c>
      <c r="F629" s="0" t="n">
        <v>13.14</v>
      </c>
      <c r="G629" s="0" t="s">
        <v>727</v>
      </c>
      <c r="H629" s="0" t="s">
        <v>305</v>
      </c>
      <c r="I629" s="0" t="s">
        <v>673</v>
      </c>
      <c r="J629" s="0" t="s">
        <v>2284</v>
      </c>
      <c r="K629" s="0" t="s">
        <v>1537</v>
      </c>
      <c r="L629" s="0" t="n">
        <v>0</v>
      </c>
      <c r="M629" s="0" t="n">
        <v>0</v>
      </c>
      <c r="N629" s="0" t="n">
        <v>5622.2</v>
      </c>
      <c r="O629" s="0" t="n">
        <v>1178.04</v>
      </c>
      <c r="P629" s="0" t="n">
        <v>789.14</v>
      </c>
      <c r="Q629" s="0" t="s">
        <v>21</v>
      </c>
      <c r="R629" s="0" t="s">
        <v>51</v>
      </c>
      <c r="S629" s="0" t="s">
        <v>222</v>
      </c>
    </row>
    <row r="630" customFormat="false" ht="15" hidden="false" customHeight="false" outlineLevel="0" collapsed="false">
      <c r="A630" s="0" t="s">
        <v>2285</v>
      </c>
      <c r="B630" s="0" t="s">
        <v>47</v>
      </c>
      <c r="C630" s="0" t="s">
        <v>209</v>
      </c>
      <c r="D630" s="0" t="s">
        <v>198</v>
      </c>
      <c r="E630" s="0" t="s">
        <v>43</v>
      </c>
      <c r="F630" s="0" t="n">
        <v>9.57</v>
      </c>
      <c r="G630" s="0" t="s">
        <v>281</v>
      </c>
      <c r="H630" s="0" t="s">
        <v>705</v>
      </c>
      <c r="I630" s="0" t="s">
        <v>466</v>
      </c>
      <c r="J630" s="0" t="s">
        <v>2286</v>
      </c>
      <c r="K630" s="0" t="s">
        <v>693</v>
      </c>
      <c r="L630" s="0" t="n">
        <v>2</v>
      </c>
      <c r="M630" s="0" t="n">
        <v>1</v>
      </c>
      <c r="N630" s="0" t="n">
        <v>3922.2</v>
      </c>
      <c r="O630" s="0" t="n">
        <v>2445.95</v>
      </c>
      <c r="P630" s="0" t="n">
        <v>858.73</v>
      </c>
      <c r="Q630" s="0" t="s">
        <v>22</v>
      </c>
      <c r="R630" s="0" t="s">
        <v>52</v>
      </c>
      <c r="S630" s="0" t="s">
        <v>247</v>
      </c>
    </row>
    <row r="631" customFormat="false" ht="15" hidden="false" customHeight="false" outlineLevel="0" collapsed="false">
      <c r="A631" s="0" t="s">
        <v>2287</v>
      </c>
      <c r="B631" s="0" t="s">
        <v>48</v>
      </c>
      <c r="C631" s="0" t="s">
        <v>198</v>
      </c>
      <c r="D631" s="0" t="s">
        <v>201</v>
      </c>
      <c r="E631" s="0" t="s">
        <v>42</v>
      </c>
      <c r="F631" s="0" t="n">
        <v>11.06</v>
      </c>
      <c r="G631" s="0" t="s">
        <v>541</v>
      </c>
      <c r="H631" s="0" t="s">
        <v>681</v>
      </c>
      <c r="I631" s="0" t="s">
        <v>268</v>
      </c>
      <c r="J631" s="0" t="s">
        <v>2288</v>
      </c>
      <c r="K631" s="0" t="s">
        <v>2289</v>
      </c>
      <c r="L631" s="0" t="n">
        <v>-0.9</v>
      </c>
      <c r="M631" s="0" t="n">
        <v>0</v>
      </c>
      <c r="N631" s="0" t="n">
        <v>6739.32</v>
      </c>
      <c r="O631" s="0" t="n">
        <v>4327.77</v>
      </c>
      <c r="P631" s="0" t="n">
        <v>903.52</v>
      </c>
      <c r="Q631" s="0" t="s">
        <v>24</v>
      </c>
      <c r="R631" s="0" t="s">
        <v>52</v>
      </c>
      <c r="S631" s="0" t="s">
        <v>247</v>
      </c>
    </row>
    <row r="632" customFormat="false" ht="15" hidden="false" customHeight="false" outlineLevel="0" collapsed="false">
      <c r="A632" s="0" t="s">
        <v>2290</v>
      </c>
      <c r="B632" s="0" t="s">
        <v>48</v>
      </c>
      <c r="C632" s="0" t="s">
        <v>198</v>
      </c>
      <c r="D632" s="0" t="s">
        <v>212</v>
      </c>
      <c r="E632" s="0" t="s">
        <v>44</v>
      </c>
      <c r="F632" s="0" t="n">
        <v>7.33</v>
      </c>
      <c r="G632" s="0" t="s">
        <v>357</v>
      </c>
      <c r="H632" s="0" t="s">
        <v>1926</v>
      </c>
      <c r="I632" s="0" t="s">
        <v>326</v>
      </c>
      <c r="J632" s="0" t="s">
        <v>2291</v>
      </c>
      <c r="K632" s="0" t="s">
        <v>2255</v>
      </c>
      <c r="L632" s="0" t="n">
        <v>2.6</v>
      </c>
      <c r="M632" s="0" t="n">
        <v>1</v>
      </c>
      <c r="N632" s="0" t="n">
        <v>2799.77</v>
      </c>
      <c r="O632" s="0" t="n">
        <v>1955.38</v>
      </c>
      <c r="P632" s="0" t="n">
        <v>1449.28</v>
      </c>
      <c r="Q632" s="0" t="s">
        <v>23</v>
      </c>
      <c r="R632" s="0" t="s">
        <v>51</v>
      </c>
      <c r="S632" s="0" t="s">
        <v>247</v>
      </c>
    </row>
    <row r="633" customFormat="false" ht="15" hidden="false" customHeight="false" outlineLevel="0" collapsed="false">
      <c r="A633" s="0" t="s">
        <v>2292</v>
      </c>
      <c r="B633" s="0" t="s">
        <v>48</v>
      </c>
      <c r="C633" s="0" t="s">
        <v>198</v>
      </c>
      <c r="D633" s="0" t="s">
        <v>199</v>
      </c>
      <c r="E633" s="0" t="s">
        <v>42</v>
      </c>
      <c r="F633" s="0" t="n">
        <v>6.8</v>
      </c>
      <c r="G633" s="0" t="s">
        <v>468</v>
      </c>
      <c r="H633" s="0" t="s">
        <v>1000</v>
      </c>
      <c r="I633" s="0" t="s">
        <v>415</v>
      </c>
      <c r="J633" s="0" t="s">
        <v>2293</v>
      </c>
      <c r="K633" s="0" t="s">
        <v>2294</v>
      </c>
      <c r="L633" s="0" t="n">
        <v>4.4</v>
      </c>
      <c r="M633" s="0" t="n">
        <v>1</v>
      </c>
      <c r="N633" s="0" t="n">
        <v>3565.32</v>
      </c>
      <c r="O633" s="0" t="n">
        <v>3206.85</v>
      </c>
      <c r="P633" s="0" t="n">
        <v>856.56</v>
      </c>
      <c r="Q633" s="0" t="s">
        <v>22</v>
      </c>
      <c r="R633" s="0" t="s">
        <v>52</v>
      </c>
      <c r="S633" s="0" t="s">
        <v>247</v>
      </c>
    </row>
    <row r="634" customFormat="false" ht="15" hidden="false" customHeight="false" outlineLevel="0" collapsed="false">
      <c r="A634" s="0" t="s">
        <v>2295</v>
      </c>
      <c r="B634" s="0" t="s">
        <v>47</v>
      </c>
      <c r="C634" s="0" t="s">
        <v>209</v>
      </c>
      <c r="D634" s="0" t="s">
        <v>198</v>
      </c>
      <c r="E634" s="0" t="s">
        <v>42</v>
      </c>
      <c r="F634" s="0" t="n">
        <v>9.5</v>
      </c>
      <c r="G634" s="0" t="s">
        <v>409</v>
      </c>
      <c r="H634" s="0" t="s">
        <v>873</v>
      </c>
      <c r="I634" s="0" t="s">
        <v>1105</v>
      </c>
      <c r="J634" s="0" t="s">
        <v>2296</v>
      </c>
      <c r="K634" s="0" t="s">
        <v>2297</v>
      </c>
      <c r="L634" s="0" t="n">
        <v>2</v>
      </c>
      <c r="M634" s="0" t="n">
        <v>1</v>
      </c>
      <c r="N634" s="0" t="n">
        <v>4781.98</v>
      </c>
      <c r="O634" s="0" t="n">
        <v>3837.18</v>
      </c>
      <c r="P634" s="0" t="n">
        <v>521.15</v>
      </c>
      <c r="Q634" s="0" t="s">
        <v>22</v>
      </c>
      <c r="R634" s="0" t="s">
        <v>51</v>
      </c>
      <c r="S634" s="0" t="s">
        <v>247</v>
      </c>
    </row>
    <row r="635" customFormat="false" ht="15" hidden="false" customHeight="false" outlineLevel="0" collapsed="false">
      <c r="A635" s="0" t="s">
        <v>2298</v>
      </c>
      <c r="B635" s="0" t="s">
        <v>47</v>
      </c>
      <c r="C635" s="0" t="s">
        <v>209</v>
      </c>
      <c r="D635" s="0" t="s">
        <v>198</v>
      </c>
      <c r="E635" s="0" t="s">
        <v>42</v>
      </c>
      <c r="F635" s="0" t="n">
        <v>8.96</v>
      </c>
      <c r="G635" s="0" t="s">
        <v>473</v>
      </c>
      <c r="H635" s="0" t="s">
        <v>364</v>
      </c>
      <c r="I635" s="0" t="s">
        <v>1080</v>
      </c>
      <c r="J635" s="0" t="s">
        <v>2299</v>
      </c>
      <c r="K635" s="0" t="s">
        <v>1518</v>
      </c>
      <c r="L635" s="0" t="n">
        <v>-1</v>
      </c>
      <c r="M635" s="0" t="n">
        <v>0</v>
      </c>
      <c r="N635" s="0" t="n">
        <v>4410.72</v>
      </c>
      <c r="O635" s="0" t="n">
        <v>1209.12</v>
      </c>
      <c r="P635" s="0" t="n">
        <v>1352.54</v>
      </c>
      <c r="Q635" s="0" t="s">
        <v>21</v>
      </c>
      <c r="R635" s="0" t="s">
        <v>51</v>
      </c>
      <c r="S635" s="0" t="s">
        <v>247</v>
      </c>
    </row>
    <row r="636" customFormat="false" ht="15" hidden="false" customHeight="false" outlineLevel="0" collapsed="false">
      <c r="A636" s="0" t="s">
        <v>2300</v>
      </c>
      <c r="B636" s="0" t="s">
        <v>48</v>
      </c>
      <c r="C636" s="0" t="s">
        <v>198</v>
      </c>
      <c r="D636" s="0" t="s">
        <v>199</v>
      </c>
      <c r="E636" s="0" t="s">
        <v>44</v>
      </c>
      <c r="F636" s="0" t="n">
        <v>4.77</v>
      </c>
      <c r="G636" s="0" t="s">
        <v>686</v>
      </c>
      <c r="H636" s="0" t="s">
        <v>687</v>
      </c>
      <c r="I636" s="0" t="s">
        <v>1269</v>
      </c>
      <c r="J636" s="0" t="s">
        <v>2301</v>
      </c>
      <c r="K636" s="0" t="s">
        <v>2302</v>
      </c>
      <c r="L636" s="0" t="n">
        <v>-1</v>
      </c>
      <c r="M636" s="0" t="n">
        <v>0</v>
      </c>
      <c r="N636" s="0" t="n">
        <v>1975</v>
      </c>
      <c r="O636" s="0" t="n">
        <v>2972.12</v>
      </c>
      <c r="P636" s="0" t="n">
        <v>581.94</v>
      </c>
      <c r="Q636" s="0" t="s">
        <v>25</v>
      </c>
      <c r="R636" s="0" t="s">
        <v>52</v>
      </c>
      <c r="S636" s="0" t="s">
        <v>254</v>
      </c>
    </row>
    <row r="637" customFormat="false" ht="15" hidden="false" customHeight="false" outlineLevel="0" collapsed="false">
      <c r="A637" s="0" t="s">
        <v>2303</v>
      </c>
      <c r="B637" s="0" t="s">
        <v>48</v>
      </c>
      <c r="C637" s="0" t="s">
        <v>198</v>
      </c>
      <c r="D637" s="0" t="s">
        <v>213</v>
      </c>
      <c r="E637" s="0" t="s">
        <v>44</v>
      </c>
      <c r="F637" s="0" t="n">
        <v>4.72</v>
      </c>
      <c r="G637" s="0" t="s">
        <v>408</v>
      </c>
      <c r="H637" s="0" t="s">
        <v>1907</v>
      </c>
      <c r="I637" s="0" t="s">
        <v>409</v>
      </c>
      <c r="J637" s="0" t="s">
        <v>2304</v>
      </c>
      <c r="K637" s="0" t="s">
        <v>2305</v>
      </c>
      <c r="L637" s="0" t="n">
        <v>1.1</v>
      </c>
      <c r="M637" s="0" t="n">
        <v>1</v>
      </c>
      <c r="N637" s="0" t="n">
        <v>3841.1</v>
      </c>
      <c r="O637" s="0" t="n">
        <v>2078.97</v>
      </c>
      <c r="P637" s="0" t="n">
        <v>1202.4</v>
      </c>
      <c r="Q637" s="0" t="s">
        <v>21</v>
      </c>
      <c r="R637" s="0" t="s">
        <v>52</v>
      </c>
      <c r="S637" s="0" t="s">
        <v>254</v>
      </c>
    </row>
    <row r="638" customFormat="false" ht="15" hidden="false" customHeight="false" outlineLevel="0" collapsed="false">
      <c r="A638" s="0" t="s">
        <v>2306</v>
      </c>
      <c r="B638" s="0" t="s">
        <v>48</v>
      </c>
      <c r="C638" s="0" t="s">
        <v>198</v>
      </c>
      <c r="D638" s="0" t="s">
        <v>204</v>
      </c>
      <c r="E638" s="0" t="s">
        <v>43</v>
      </c>
      <c r="F638" s="0" t="n">
        <v>13.52</v>
      </c>
      <c r="G638" s="0" t="s">
        <v>1174</v>
      </c>
      <c r="H638" s="0" t="s">
        <v>257</v>
      </c>
      <c r="I638" s="0" t="s">
        <v>1360</v>
      </c>
      <c r="J638" s="0" t="s">
        <v>2307</v>
      </c>
      <c r="K638" s="0" t="s">
        <v>1885</v>
      </c>
      <c r="L638" s="0" t="n">
        <v>-1</v>
      </c>
      <c r="M638" s="0" t="n">
        <v>0</v>
      </c>
      <c r="N638" s="0" t="n">
        <v>5578.44</v>
      </c>
      <c r="O638" s="0" t="n">
        <v>4209.09</v>
      </c>
      <c r="P638" s="0" t="n">
        <v>1286.72</v>
      </c>
      <c r="Q638" s="0" t="s">
        <v>22</v>
      </c>
      <c r="R638" s="0" t="s">
        <v>51</v>
      </c>
      <c r="S638" s="0" t="s">
        <v>254</v>
      </c>
    </row>
    <row r="639" customFormat="false" ht="15" hidden="false" customHeight="false" outlineLevel="0" collapsed="false">
      <c r="A639" s="0" t="s">
        <v>2308</v>
      </c>
      <c r="B639" s="0" t="s">
        <v>48</v>
      </c>
      <c r="C639" s="0" t="s">
        <v>198</v>
      </c>
      <c r="D639" s="0" t="s">
        <v>207</v>
      </c>
      <c r="E639" s="0" t="s">
        <v>43</v>
      </c>
      <c r="F639" s="0" t="n">
        <v>10.68</v>
      </c>
      <c r="G639" s="0" t="s">
        <v>381</v>
      </c>
      <c r="H639" s="0" t="s">
        <v>785</v>
      </c>
      <c r="I639" s="0" t="s">
        <v>483</v>
      </c>
      <c r="J639" s="0" t="s">
        <v>2309</v>
      </c>
      <c r="K639" s="0" t="s">
        <v>2136</v>
      </c>
      <c r="L639" s="0" t="n">
        <v>2.4</v>
      </c>
      <c r="M639" s="0" t="n">
        <v>1</v>
      </c>
      <c r="N639" s="0" t="n">
        <v>5351.59</v>
      </c>
      <c r="O639" s="0" t="n">
        <v>1779.99</v>
      </c>
      <c r="P639" s="0" t="n">
        <v>813.48</v>
      </c>
      <c r="Q639" s="0" t="s">
        <v>24</v>
      </c>
      <c r="R639" s="0" t="s">
        <v>52</v>
      </c>
      <c r="S639" s="0" t="s">
        <v>254</v>
      </c>
    </row>
    <row r="640" customFormat="false" ht="15" hidden="false" customHeight="false" outlineLevel="0" collapsed="false">
      <c r="A640" s="0" t="s">
        <v>2310</v>
      </c>
      <c r="B640" s="0" t="s">
        <v>47</v>
      </c>
      <c r="C640" s="0" t="s">
        <v>209</v>
      </c>
      <c r="D640" s="0" t="s">
        <v>198</v>
      </c>
      <c r="E640" s="0" t="s">
        <v>43</v>
      </c>
      <c r="F640" s="0" t="n">
        <v>12.79</v>
      </c>
      <c r="G640" s="0" t="s">
        <v>700</v>
      </c>
      <c r="H640" s="0" t="s">
        <v>701</v>
      </c>
      <c r="I640" s="0" t="s">
        <v>866</v>
      </c>
      <c r="J640" s="0" t="s">
        <v>2311</v>
      </c>
      <c r="K640" s="0" t="s">
        <v>2312</v>
      </c>
      <c r="L640" s="0" t="n">
        <v>1.5</v>
      </c>
      <c r="M640" s="0" t="n">
        <v>1</v>
      </c>
      <c r="N640" s="0" t="n">
        <v>9652.96</v>
      </c>
      <c r="O640" s="0" t="n">
        <v>1472.02</v>
      </c>
      <c r="P640" s="0" t="n">
        <v>1256.54</v>
      </c>
      <c r="Q640" s="0" t="s">
        <v>25</v>
      </c>
      <c r="R640" s="0" t="s">
        <v>52</v>
      </c>
      <c r="S640" s="0" t="s">
        <v>254</v>
      </c>
    </row>
    <row r="641" customFormat="false" ht="15" hidden="false" customHeight="false" outlineLevel="0" collapsed="false">
      <c r="A641" s="0" t="s">
        <v>2313</v>
      </c>
      <c r="B641" s="0" t="s">
        <v>48</v>
      </c>
      <c r="C641" s="0" t="s">
        <v>198</v>
      </c>
      <c r="D641" s="0" t="s">
        <v>204</v>
      </c>
      <c r="E641" s="0" t="s">
        <v>43</v>
      </c>
      <c r="F641" s="0" t="n">
        <v>2.81</v>
      </c>
      <c r="G641" s="0" t="s">
        <v>263</v>
      </c>
      <c r="H641" s="0" t="s">
        <v>1370</v>
      </c>
      <c r="I641" s="0" t="s">
        <v>511</v>
      </c>
      <c r="J641" s="0" t="s">
        <v>2314</v>
      </c>
      <c r="K641" s="0" t="s">
        <v>2315</v>
      </c>
      <c r="L641" s="0" t="n">
        <v>6.2</v>
      </c>
      <c r="M641" s="0" t="n">
        <v>1</v>
      </c>
      <c r="N641" s="0" t="n">
        <v>2172.43</v>
      </c>
      <c r="O641" s="0" t="n">
        <v>1693.58</v>
      </c>
      <c r="P641" s="0" t="n">
        <v>1224.79</v>
      </c>
      <c r="Q641" s="0" t="s">
        <v>21</v>
      </c>
      <c r="R641" s="0" t="s">
        <v>51</v>
      </c>
      <c r="S641" s="0" t="s">
        <v>272</v>
      </c>
    </row>
    <row r="642" customFormat="false" ht="15" hidden="false" customHeight="false" outlineLevel="0" collapsed="false">
      <c r="A642" s="0" t="s">
        <v>2316</v>
      </c>
      <c r="B642" s="0" t="s">
        <v>47</v>
      </c>
      <c r="C642" s="0" t="s">
        <v>209</v>
      </c>
      <c r="D642" s="0" t="s">
        <v>198</v>
      </c>
      <c r="E642" s="0" t="s">
        <v>44</v>
      </c>
      <c r="F642" s="0" t="n">
        <v>10.6</v>
      </c>
      <c r="G642" s="0" t="s">
        <v>913</v>
      </c>
      <c r="H642" s="0" t="s">
        <v>596</v>
      </c>
      <c r="I642" s="0" t="s">
        <v>1064</v>
      </c>
      <c r="J642" s="0" t="s">
        <v>915</v>
      </c>
      <c r="K642" s="0" t="s">
        <v>1749</v>
      </c>
      <c r="L642" s="0" t="n">
        <v>0</v>
      </c>
      <c r="M642" s="0" t="n">
        <v>0</v>
      </c>
      <c r="N642" s="0" t="n">
        <v>6781.72</v>
      </c>
      <c r="O642" s="0" t="n">
        <v>1063.41</v>
      </c>
      <c r="P642" s="0" t="n">
        <v>1229.92</v>
      </c>
      <c r="Q642" s="0" t="s">
        <v>23</v>
      </c>
      <c r="R642" s="0" t="s">
        <v>51</v>
      </c>
      <c r="S642" s="0" t="s">
        <v>254</v>
      </c>
    </row>
    <row r="643" customFormat="false" ht="15" hidden="false" customHeight="false" outlineLevel="0" collapsed="false">
      <c r="A643" s="0" t="s">
        <v>2317</v>
      </c>
      <c r="B643" s="0" t="s">
        <v>47</v>
      </c>
      <c r="C643" s="0" t="s">
        <v>209</v>
      </c>
      <c r="D643" s="0" t="s">
        <v>198</v>
      </c>
      <c r="E643" s="0" t="s">
        <v>42</v>
      </c>
      <c r="F643" s="0" t="n">
        <v>17.89</v>
      </c>
      <c r="G643" s="0" t="s">
        <v>420</v>
      </c>
      <c r="H643" s="0" t="s">
        <v>793</v>
      </c>
      <c r="I643" s="0" t="s">
        <v>581</v>
      </c>
      <c r="J643" s="0" t="s">
        <v>2318</v>
      </c>
      <c r="K643" s="0" t="s">
        <v>1977</v>
      </c>
      <c r="L643" s="0" t="n">
        <v>3.2</v>
      </c>
      <c r="M643" s="0" t="n">
        <v>1</v>
      </c>
      <c r="N643" s="0" t="n">
        <v>9558.78</v>
      </c>
      <c r="O643" s="0" t="n">
        <v>2210.49</v>
      </c>
      <c r="P643" s="0" t="n">
        <v>959.98</v>
      </c>
      <c r="Q643" s="0" t="s">
        <v>25</v>
      </c>
      <c r="R643" s="0" t="s">
        <v>52</v>
      </c>
      <c r="S643" s="0" t="s">
        <v>272</v>
      </c>
    </row>
    <row r="644" customFormat="false" ht="15" hidden="false" customHeight="false" outlineLevel="0" collapsed="false">
      <c r="A644" s="0" t="s">
        <v>2319</v>
      </c>
      <c r="B644" s="0" t="s">
        <v>47</v>
      </c>
      <c r="C644" s="0" t="s">
        <v>203</v>
      </c>
      <c r="D644" s="0" t="s">
        <v>198</v>
      </c>
      <c r="E644" s="0" t="s">
        <v>42</v>
      </c>
      <c r="F644" s="0" t="n">
        <v>6.31</v>
      </c>
      <c r="G644" s="0" t="s">
        <v>577</v>
      </c>
      <c r="H644" s="0" t="s">
        <v>557</v>
      </c>
      <c r="I644" s="0" t="s">
        <v>1007</v>
      </c>
      <c r="J644" s="0" t="s">
        <v>997</v>
      </c>
      <c r="K644" s="0" t="s">
        <v>2320</v>
      </c>
      <c r="L644" s="0" t="n">
        <v>2.6</v>
      </c>
      <c r="M644" s="0" t="n">
        <v>1</v>
      </c>
      <c r="N644" s="0" t="n">
        <v>3482.89</v>
      </c>
      <c r="O644" s="0" t="n">
        <v>1840.47</v>
      </c>
      <c r="P644" s="0" t="n">
        <v>616.33</v>
      </c>
      <c r="Q644" s="0" t="s">
        <v>24</v>
      </c>
      <c r="R644" s="0" t="s">
        <v>52</v>
      </c>
      <c r="S644" s="0" t="s">
        <v>254</v>
      </c>
    </row>
    <row r="645" customFormat="false" ht="15" hidden="false" customHeight="false" outlineLevel="0" collapsed="false">
      <c r="A645" s="0" t="s">
        <v>2321</v>
      </c>
      <c r="B645" s="0" t="s">
        <v>48</v>
      </c>
      <c r="C645" s="0" t="s">
        <v>198</v>
      </c>
      <c r="D645" s="0" t="s">
        <v>212</v>
      </c>
      <c r="E645" s="0" t="s">
        <v>43</v>
      </c>
      <c r="F645" s="0" t="n">
        <v>19.43</v>
      </c>
      <c r="G645" s="0" t="s">
        <v>262</v>
      </c>
      <c r="H645" s="0" t="s">
        <v>1370</v>
      </c>
      <c r="I645" s="0" t="s">
        <v>419</v>
      </c>
      <c r="J645" s="0" t="s">
        <v>2322</v>
      </c>
      <c r="K645" s="0" t="s">
        <v>2323</v>
      </c>
      <c r="L645" s="0" t="n">
        <v>5</v>
      </c>
      <c r="M645" s="0" t="n">
        <v>1</v>
      </c>
      <c r="N645" s="0" t="n">
        <v>5119.92</v>
      </c>
      <c r="O645" s="0" t="n">
        <v>3789.73</v>
      </c>
      <c r="P645" s="0" t="n">
        <v>1142.81</v>
      </c>
      <c r="Q645" s="0" t="s">
        <v>23</v>
      </c>
      <c r="R645" s="0" t="s">
        <v>51</v>
      </c>
      <c r="S645" s="0" t="s">
        <v>247</v>
      </c>
    </row>
    <row r="646" customFormat="false" ht="15" hidden="false" customHeight="false" outlineLevel="0" collapsed="false">
      <c r="A646" s="0" t="s">
        <v>2324</v>
      </c>
      <c r="B646" s="0" t="s">
        <v>48</v>
      </c>
      <c r="C646" s="0" t="s">
        <v>198</v>
      </c>
      <c r="D646" s="0" t="s">
        <v>213</v>
      </c>
      <c r="E646" s="0" t="s">
        <v>42</v>
      </c>
      <c r="F646" s="0" t="n">
        <v>15.87</v>
      </c>
      <c r="G646" s="0" t="s">
        <v>1140</v>
      </c>
      <c r="H646" s="0" t="s">
        <v>709</v>
      </c>
      <c r="I646" s="0" t="s">
        <v>710</v>
      </c>
      <c r="J646" s="0" t="s">
        <v>2325</v>
      </c>
      <c r="K646" s="0" t="s">
        <v>2326</v>
      </c>
      <c r="L646" s="0" t="n">
        <v>2.4</v>
      </c>
      <c r="M646" s="0" t="n">
        <v>1</v>
      </c>
      <c r="N646" s="0" t="n">
        <v>8794.75</v>
      </c>
      <c r="O646" s="0" t="n">
        <v>3601.02</v>
      </c>
      <c r="P646" s="0" t="n">
        <v>590.42</v>
      </c>
      <c r="Q646" s="0" t="s">
        <v>25</v>
      </c>
      <c r="R646" s="0" t="s">
        <v>51</v>
      </c>
      <c r="S646" s="0" t="s">
        <v>272</v>
      </c>
    </row>
    <row r="647" customFormat="false" ht="15" hidden="false" customHeight="false" outlineLevel="0" collapsed="false">
      <c r="A647" s="0" t="s">
        <v>2327</v>
      </c>
      <c r="B647" s="0" t="s">
        <v>48</v>
      </c>
      <c r="C647" s="0" t="s">
        <v>198</v>
      </c>
      <c r="D647" s="0" t="s">
        <v>199</v>
      </c>
      <c r="E647" s="0" t="s">
        <v>43</v>
      </c>
      <c r="F647" s="0" t="n">
        <v>19.01</v>
      </c>
      <c r="G647" s="0" t="s">
        <v>516</v>
      </c>
      <c r="H647" s="0" t="s">
        <v>854</v>
      </c>
      <c r="I647" s="0" t="s">
        <v>517</v>
      </c>
      <c r="J647" s="0" t="s">
        <v>2328</v>
      </c>
      <c r="K647" s="0" t="s">
        <v>2329</v>
      </c>
      <c r="L647" s="0" t="n">
        <v>3.5</v>
      </c>
      <c r="M647" s="0" t="n">
        <v>1</v>
      </c>
      <c r="N647" s="0" t="n">
        <v>5845.83</v>
      </c>
      <c r="O647" s="0" t="n">
        <v>1493.27</v>
      </c>
      <c r="P647" s="0" t="n">
        <v>900.97</v>
      </c>
      <c r="Q647" s="0" t="s">
        <v>21</v>
      </c>
      <c r="R647" s="0" t="s">
        <v>52</v>
      </c>
      <c r="S647" s="0" t="s">
        <v>222</v>
      </c>
    </row>
    <row r="648" customFormat="false" ht="15" hidden="false" customHeight="false" outlineLevel="0" collapsed="false">
      <c r="A648" s="0" t="s">
        <v>2330</v>
      </c>
      <c r="B648" s="0" t="s">
        <v>47</v>
      </c>
      <c r="C648" s="0" t="s">
        <v>206</v>
      </c>
      <c r="D648" s="0" t="s">
        <v>198</v>
      </c>
      <c r="E648" s="0" t="s">
        <v>42</v>
      </c>
      <c r="F648" s="0" t="n">
        <v>7.66</v>
      </c>
      <c r="G648" s="0" t="s">
        <v>800</v>
      </c>
      <c r="H648" s="0" t="s">
        <v>342</v>
      </c>
      <c r="I648" s="0" t="s">
        <v>343</v>
      </c>
      <c r="J648" s="0" t="s">
        <v>2331</v>
      </c>
      <c r="K648" s="0" t="s">
        <v>2332</v>
      </c>
      <c r="L648" s="0" t="n">
        <v>3.1</v>
      </c>
      <c r="M648" s="0" t="n">
        <v>1</v>
      </c>
      <c r="N648" s="0" t="n">
        <v>4736.42</v>
      </c>
      <c r="O648" s="0" t="n">
        <v>2517.13</v>
      </c>
      <c r="P648" s="0" t="n">
        <v>547.22</v>
      </c>
      <c r="Q648" s="0" t="s">
        <v>21</v>
      </c>
      <c r="R648" s="0" t="s">
        <v>51</v>
      </c>
      <c r="S648" s="0" t="s">
        <v>272</v>
      </c>
    </row>
    <row r="649" customFormat="false" ht="15" hidden="false" customHeight="false" outlineLevel="0" collapsed="false">
      <c r="A649" s="0" t="s">
        <v>2333</v>
      </c>
      <c r="B649" s="0" t="s">
        <v>48</v>
      </c>
      <c r="C649" s="0" t="s">
        <v>198</v>
      </c>
      <c r="D649" s="0" t="s">
        <v>211</v>
      </c>
      <c r="E649" s="0" t="s">
        <v>44</v>
      </c>
      <c r="F649" s="0" t="n">
        <v>4.35</v>
      </c>
      <c r="G649" s="0" t="s">
        <v>710</v>
      </c>
      <c r="H649" s="0" t="s">
        <v>1907</v>
      </c>
      <c r="I649" s="0" t="s">
        <v>256</v>
      </c>
      <c r="J649" s="0" t="s">
        <v>2334</v>
      </c>
      <c r="K649" s="0" t="s">
        <v>809</v>
      </c>
      <c r="L649" s="0" t="n">
        <v>0.7</v>
      </c>
      <c r="M649" s="0" t="n">
        <v>1</v>
      </c>
      <c r="N649" s="0" t="n">
        <v>3774.63</v>
      </c>
      <c r="O649" s="0" t="n">
        <v>3216.4</v>
      </c>
      <c r="P649" s="0" t="n">
        <v>674.5</v>
      </c>
      <c r="Q649" s="0" t="s">
        <v>24</v>
      </c>
      <c r="R649" s="0" t="s">
        <v>52</v>
      </c>
      <c r="S649" s="0" t="s">
        <v>254</v>
      </c>
    </row>
    <row r="650" customFormat="false" ht="15" hidden="false" customHeight="false" outlineLevel="0" collapsed="false">
      <c r="A650" s="0" t="s">
        <v>2335</v>
      </c>
      <c r="B650" s="0" t="s">
        <v>48</v>
      </c>
      <c r="C650" s="0" t="s">
        <v>198</v>
      </c>
      <c r="D650" s="0" t="s">
        <v>214</v>
      </c>
      <c r="E650" s="0" t="s">
        <v>44</v>
      </c>
      <c r="F650" s="0" t="n">
        <v>8.2</v>
      </c>
      <c r="G650" s="0" t="s">
        <v>249</v>
      </c>
      <c r="H650" s="0" t="s">
        <v>1087</v>
      </c>
      <c r="I650" s="0" t="s">
        <v>299</v>
      </c>
      <c r="J650" s="0" t="s">
        <v>2336</v>
      </c>
      <c r="K650" s="0" t="s">
        <v>2016</v>
      </c>
      <c r="L650" s="0" t="n">
        <v>-1</v>
      </c>
      <c r="M650" s="0" t="n">
        <v>0</v>
      </c>
      <c r="N650" s="0" t="n">
        <v>4247.66</v>
      </c>
      <c r="O650" s="0" t="n">
        <v>3176.5</v>
      </c>
      <c r="P650" s="0" t="n">
        <v>1240.51</v>
      </c>
      <c r="Q650" s="0" t="s">
        <v>24</v>
      </c>
      <c r="R650" s="0" t="s">
        <v>52</v>
      </c>
      <c r="S650" s="0" t="s">
        <v>222</v>
      </c>
    </row>
    <row r="651" customFormat="false" ht="15" hidden="false" customHeight="false" outlineLevel="0" collapsed="false">
      <c r="A651" s="0" t="s">
        <v>2337</v>
      </c>
      <c r="B651" s="0" t="s">
        <v>47</v>
      </c>
      <c r="C651" s="0" t="s">
        <v>203</v>
      </c>
      <c r="D651" s="0" t="s">
        <v>198</v>
      </c>
      <c r="E651" s="0" t="s">
        <v>43</v>
      </c>
      <c r="F651" s="0" t="n">
        <v>15.38</v>
      </c>
      <c r="G651" s="0" t="s">
        <v>992</v>
      </c>
      <c r="H651" s="0" t="s">
        <v>230</v>
      </c>
      <c r="I651" s="0" t="s">
        <v>619</v>
      </c>
      <c r="J651" s="0" t="s">
        <v>2338</v>
      </c>
      <c r="K651" s="0" t="s">
        <v>2339</v>
      </c>
      <c r="L651" s="0" t="n">
        <v>-1</v>
      </c>
      <c r="M651" s="0" t="n">
        <v>0</v>
      </c>
      <c r="N651" s="0" t="n">
        <v>6364.97</v>
      </c>
      <c r="O651" s="0" t="n">
        <v>2855.24</v>
      </c>
      <c r="P651" s="0" t="n">
        <v>673.98</v>
      </c>
      <c r="Q651" s="0" t="s">
        <v>25</v>
      </c>
      <c r="R651" s="0" t="s">
        <v>51</v>
      </c>
      <c r="S651" s="0" t="s">
        <v>222</v>
      </c>
    </row>
    <row r="652" customFormat="false" ht="15" hidden="false" customHeight="false" outlineLevel="0" collapsed="false">
      <c r="A652" s="0" t="s">
        <v>2340</v>
      </c>
      <c r="B652" s="0" t="s">
        <v>47</v>
      </c>
      <c r="C652" s="0" t="s">
        <v>199</v>
      </c>
      <c r="D652" s="0" t="s">
        <v>198</v>
      </c>
      <c r="E652" s="0" t="s">
        <v>42</v>
      </c>
      <c r="F652" s="0" t="n">
        <v>7.41</v>
      </c>
      <c r="G652" s="0" t="s">
        <v>884</v>
      </c>
      <c r="H652" s="0" t="s">
        <v>1417</v>
      </c>
      <c r="I652" s="0" t="s">
        <v>386</v>
      </c>
      <c r="J652" s="0" t="s">
        <v>1230</v>
      </c>
      <c r="K652" s="0" t="s">
        <v>2341</v>
      </c>
      <c r="L652" s="0" t="n">
        <v>1.8</v>
      </c>
      <c r="M652" s="0" t="n">
        <v>1</v>
      </c>
      <c r="N652" s="0" t="n">
        <v>4195.22</v>
      </c>
      <c r="O652" s="0" t="n">
        <v>4370.15</v>
      </c>
      <c r="P652" s="0" t="n">
        <v>1000.88</v>
      </c>
      <c r="Q652" s="0" t="s">
        <v>22</v>
      </c>
      <c r="R652" s="0" t="s">
        <v>51</v>
      </c>
      <c r="S652" s="0" t="s">
        <v>272</v>
      </c>
    </row>
    <row r="653" customFormat="false" ht="15" hidden="false" customHeight="false" outlineLevel="0" collapsed="false">
      <c r="A653" s="0" t="s">
        <v>2342</v>
      </c>
      <c r="B653" s="0" t="s">
        <v>47</v>
      </c>
      <c r="C653" s="0" t="s">
        <v>199</v>
      </c>
      <c r="D653" s="0" t="s">
        <v>198</v>
      </c>
      <c r="E653" s="0" t="s">
        <v>44</v>
      </c>
      <c r="F653" s="0" t="n">
        <v>19.65</v>
      </c>
      <c r="G653" s="0" t="s">
        <v>454</v>
      </c>
      <c r="H653" s="0" t="s">
        <v>321</v>
      </c>
      <c r="I653" s="0" t="s">
        <v>705</v>
      </c>
      <c r="J653" s="0" t="s">
        <v>322</v>
      </c>
      <c r="K653" s="0" t="s">
        <v>2343</v>
      </c>
      <c r="L653" s="0" t="n">
        <v>5.1</v>
      </c>
      <c r="M653" s="0" t="n">
        <v>1</v>
      </c>
      <c r="N653" s="0" t="n">
        <v>10139.3</v>
      </c>
      <c r="O653" s="0" t="n">
        <v>1262.5</v>
      </c>
      <c r="P653" s="0" t="n">
        <v>1049.41</v>
      </c>
      <c r="Q653" s="0" t="s">
        <v>21</v>
      </c>
      <c r="R653" s="0" t="s">
        <v>51</v>
      </c>
      <c r="S653" s="0" t="s">
        <v>228</v>
      </c>
    </row>
    <row r="654" customFormat="false" ht="15" hidden="false" customHeight="false" outlineLevel="0" collapsed="false">
      <c r="A654" s="0" t="s">
        <v>2344</v>
      </c>
      <c r="B654" s="0" t="s">
        <v>48</v>
      </c>
      <c r="C654" s="0" t="s">
        <v>198</v>
      </c>
      <c r="D654" s="0" t="s">
        <v>208</v>
      </c>
      <c r="E654" s="0" t="s">
        <v>42</v>
      </c>
      <c r="F654" s="0" t="n">
        <v>12.23</v>
      </c>
      <c r="G654" s="0" t="s">
        <v>695</v>
      </c>
      <c r="H654" s="0" t="s">
        <v>440</v>
      </c>
      <c r="I654" s="0" t="s">
        <v>850</v>
      </c>
      <c r="J654" s="0" t="s">
        <v>2345</v>
      </c>
      <c r="K654" s="0" t="s">
        <v>2346</v>
      </c>
      <c r="L654" s="0" t="n">
        <v>5.2</v>
      </c>
      <c r="M654" s="0" t="n">
        <v>1</v>
      </c>
      <c r="N654" s="0" t="n">
        <v>7735.94</v>
      </c>
      <c r="O654" s="0" t="n">
        <v>4048.75</v>
      </c>
      <c r="P654" s="0" t="n">
        <v>1213.61</v>
      </c>
      <c r="Q654" s="0" t="s">
        <v>23</v>
      </c>
      <c r="R654" s="0" t="s">
        <v>51</v>
      </c>
      <c r="S654" s="0" t="s">
        <v>272</v>
      </c>
    </row>
    <row r="655" customFormat="false" ht="15" hidden="false" customHeight="false" outlineLevel="0" collapsed="false">
      <c r="A655" s="0" t="s">
        <v>2347</v>
      </c>
      <c r="B655" s="0" t="s">
        <v>47</v>
      </c>
      <c r="C655" s="0" t="s">
        <v>203</v>
      </c>
      <c r="D655" s="0" t="s">
        <v>198</v>
      </c>
      <c r="E655" s="0" t="s">
        <v>43</v>
      </c>
      <c r="F655" s="0" t="n">
        <v>4.94</v>
      </c>
      <c r="G655" s="0" t="s">
        <v>1255</v>
      </c>
      <c r="H655" s="0" t="s">
        <v>477</v>
      </c>
      <c r="I655" s="0" t="s">
        <v>978</v>
      </c>
      <c r="J655" s="0" t="s">
        <v>2348</v>
      </c>
      <c r="K655" s="0" t="s">
        <v>2349</v>
      </c>
      <c r="L655" s="0" t="n">
        <v>3</v>
      </c>
      <c r="M655" s="0" t="n">
        <v>1</v>
      </c>
      <c r="N655" s="0" t="n">
        <v>2392.23</v>
      </c>
      <c r="O655" s="0" t="n">
        <v>2557.74</v>
      </c>
      <c r="P655" s="0" t="n">
        <v>1451.7</v>
      </c>
      <c r="Q655" s="0" t="s">
        <v>22</v>
      </c>
      <c r="R655" s="0" t="s">
        <v>52</v>
      </c>
      <c r="S655" s="0" t="s">
        <v>254</v>
      </c>
    </row>
    <row r="656" customFormat="false" ht="15" hidden="false" customHeight="false" outlineLevel="0" collapsed="false">
      <c r="A656" s="0" t="s">
        <v>2350</v>
      </c>
      <c r="B656" s="0" t="s">
        <v>48</v>
      </c>
      <c r="C656" s="0" t="s">
        <v>198</v>
      </c>
      <c r="D656" s="0" t="s">
        <v>199</v>
      </c>
      <c r="E656" s="0" t="s">
        <v>42</v>
      </c>
      <c r="F656" s="0" t="n">
        <v>7.07</v>
      </c>
      <c r="G656" s="0" t="s">
        <v>685</v>
      </c>
      <c r="H656" s="0" t="s">
        <v>687</v>
      </c>
      <c r="I656" s="0" t="s">
        <v>1582</v>
      </c>
      <c r="J656" s="0" t="s">
        <v>2351</v>
      </c>
      <c r="K656" s="0" t="s">
        <v>2352</v>
      </c>
      <c r="L656" s="0" t="n">
        <v>5.6</v>
      </c>
      <c r="M656" s="0" t="n">
        <v>1</v>
      </c>
      <c r="N656" s="0" t="n">
        <v>4144.86</v>
      </c>
      <c r="O656" s="0" t="n">
        <v>2770.62</v>
      </c>
      <c r="P656" s="0" t="n">
        <v>985.27</v>
      </c>
      <c r="Q656" s="0" t="s">
        <v>23</v>
      </c>
      <c r="R656" s="0" t="s">
        <v>52</v>
      </c>
      <c r="S656" s="0" t="s">
        <v>254</v>
      </c>
    </row>
    <row r="657" customFormat="false" ht="15" hidden="false" customHeight="false" outlineLevel="0" collapsed="false">
      <c r="A657" s="0" t="s">
        <v>2353</v>
      </c>
      <c r="B657" s="0" t="s">
        <v>48</v>
      </c>
      <c r="C657" s="0" t="s">
        <v>198</v>
      </c>
      <c r="D657" s="0" t="s">
        <v>207</v>
      </c>
      <c r="E657" s="0" t="s">
        <v>44</v>
      </c>
      <c r="F657" s="0" t="n">
        <v>15.78</v>
      </c>
      <c r="G657" s="0" t="s">
        <v>1332</v>
      </c>
      <c r="H657" s="0" t="s">
        <v>559</v>
      </c>
      <c r="I657" s="0" t="s">
        <v>1685</v>
      </c>
      <c r="J657" s="0" t="s">
        <v>2354</v>
      </c>
      <c r="K657" s="0" t="s">
        <v>2355</v>
      </c>
      <c r="L657" s="0" t="n">
        <v>5.1</v>
      </c>
      <c r="M657" s="0" t="n">
        <v>1</v>
      </c>
      <c r="N657" s="0" t="n">
        <v>6886.31</v>
      </c>
      <c r="O657" s="0" t="n">
        <v>4235.2</v>
      </c>
      <c r="P657" s="0" t="n">
        <v>861.77</v>
      </c>
      <c r="Q657" s="0" t="s">
        <v>22</v>
      </c>
      <c r="R657" s="0" t="s">
        <v>51</v>
      </c>
      <c r="S657" s="0" t="s">
        <v>254</v>
      </c>
    </row>
    <row r="658" customFormat="false" ht="15" hidden="false" customHeight="false" outlineLevel="0" collapsed="false">
      <c r="A658" s="0" t="s">
        <v>2356</v>
      </c>
      <c r="B658" s="0" t="s">
        <v>48</v>
      </c>
      <c r="C658" s="0" t="s">
        <v>198</v>
      </c>
      <c r="D658" s="0" t="s">
        <v>208</v>
      </c>
      <c r="E658" s="0" t="s">
        <v>42</v>
      </c>
      <c r="F658" s="0" t="n">
        <v>10.96</v>
      </c>
      <c r="G658" s="0" t="s">
        <v>867</v>
      </c>
      <c r="H658" s="0" t="s">
        <v>913</v>
      </c>
      <c r="I658" s="0" t="s">
        <v>424</v>
      </c>
      <c r="J658" s="0" t="s">
        <v>2357</v>
      </c>
      <c r="K658" s="0" t="s">
        <v>915</v>
      </c>
      <c r="L658" s="0" t="n">
        <v>-1</v>
      </c>
      <c r="M658" s="0" t="n">
        <v>0</v>
      </c>
      <c r="N658" s="0" t="n">
        <v>6379.56</v>
      </c>
      <c r="O658" s="0" t="n">
        <v>1117.2</v>
      </c>
      <c r="P658" s="0" t="n">
        <v>1118.1</v>
      </c>
      <c r="Q658" s="0" t="s">
        <v>22</v>
      </c>
      <c r="R658" s="0" t="s">
        <v>51</v>
      </c>
      <c r="S658" s="0" t="s">
        <v>247</v>
      </c>
    </row>
    <row r="659" customFormat="false" ht="15" hidden="false" customHeight="false" outlineLevel="0" collapsed="false">
      <c r="A659" s="0" t="s">
        <v>2358</v>
      </c>
      <c r="B659" s="0" t="s">
        <v>47</v>
      </c>
      <c r="C659" s="0" t="s">
        <v>199</v>
      </c>
      <c r="D659" s="0" t="s">
        <v>198</v>
      </c>
      <c r="E659" s="0" t="s">
        <v>44</v>
      </c>
      <c r="F659" s="0" t="n">
        <v>10.68</v>
      </c>
      <c r="G659" s="0" t="s">
        <v>964</v>
      </c>
      <c r="H659" s="0" t="s">
        <v>353</v>
      </c>
      <c r="I659" s="0" t="s">
        <v>938</v>
      </c>
      <c r="J659" s="0" t="s">
        <v>2359</v>
      </c>
      <c r="K659" s="0" t="s">
        <v>2360</v>
      </c>
      <c r="L659" s="0" t="n">
        <v>0.3</v>
      </c>
      <c r="M659" s="0" t="n">
        <v>1</v>
      </c>
      <c r="N659" s="0" t="n">
        <v>6714.41</v>
      </c>
      <c r="O659" s="0" t="n">
        <v>2866.73</v>
      </c>
      <c r="P659" s="0" t="n">
        <v>552.71</v>
      </c>
      <c r="Q659" s="0" t="s">
        <v>25</v>
      </c>
      <c r="R659" s="0" t="s">
        <v>51</v>
      </c>
      <c r="S659" s="0" t="s">
        <v>247</v>
      </c>
    </row>
    <row r="660" customFormat="false" ht="15" hidden="false" customHeight="false" outlineLevel="0" collapsed="false">
      <c r="A660" s="0" t="s">
        <v>2361</v>
      </c>
      <c r="B660" s="0" t="s">
        <v>48</v>
      </c>
      <c r="C660" s="0" t="s">
        <v>198</v>
      </c>
      <c r="D660" s="0" t="s">
        <v>199</v>
      </c>
      <c r="E660" s="0" t="s">
        <v>44</v>
      </c>
      <c r="F660" s="0" t="n">
        <v>1.71</v>
      </c>
      <c r="G660" s="0" t="s">
        <v>461</v>
      </c>
      <c r="H660" s="0" t="s">
        <v>1046</v>
      </c>
      <c r="I660" s="0" t="s">
        <v>362</v>
      </c>
      <c r="J660" s="0" t="s">
        <v>2362</v>
      </c>
      <c r="K660" s="0" t="s">
        <v>2363</v>
      </c>
      <c r="L660" s="0" t="n">
        <v>4.4</v>
      </c>
      <c r="M660" s="0" t="n">
        <v>1</v>
      </c>
      <c r="N660" s="0" t="n">
        <v>2073.39</v>
      </c>
      <c r="O660" s="0" t="n">
        <v>4601.25</v>
      </c>
      <c r="P660" s="0" t="n">
        <v>1164.82</v>
      </c>
      <c r="Q660" s="0" t="s">
        <v>24</v>
      </c>
      <c r="R660" s="0" t="s">
        <v>52</v>
      </c>
      <c r="S660" s="0" t="s">
        <v>222</v>
      </c>
    </row>
    <row r="661" customFormat="false" ht="15" hidden="false" customHeight="false" outlineLevel="0" collapsed="false">
      <c r="A661" s="0" t="s">
        <v>2364</v>
      </c>
      <c r="B661" s="0" t="s">
        <v>47</v>
      </c>
      <c r="C661" s="0" t="s">
        <v>203</v>
      </c>
      <c r="D661" s="0" t="s">
        <v>198</v>
      </c>
      <c r="E661" s="0" t="s">
        <v>43</v>
      </c>
      <c r="F661" s="0" t="n">
        <v>3</v>
      </c>
      <c r="G661" s="0" t="s">
        <v>867</v>
      </c>
      <c r="H661" s="0" t="s">
        <v>596</v>
      </c>
      <c r="I661" s="0" t="s">
        <v>896</v>
      </c>
      <c r="J661" s="0" t="s">
        <v>2365</v>
      </c>
      <c r="K661" s="0" t="s">
        <v>2366</v>
      </c>
      <c r="L661" s="0" t="n">
        <v>-0.5</v>
      </c>
      <c r="M661" s="0" t="n">
        <v>0</v>
      </c>
      <c r="N661" s="0" t="n">
        <v>1651.73</v>
      </c>
      <c r="O661" s="0" t="n">
        <v>4920.02</v>
      </c>
      <c r="P661" s="0" t="n">
        <v>1096.26</v>
      </c>
      <c r="Q661" s="0" t="s">
        <v>24</v>
      </c>
      <c r="R661" s="0" t="s">
        <v>52</v>
      </c>
      <c r="S661" s="0" t="s">
        <v>222</v>
      </c>
    </row>
    <row r="662" customFormat="false" ht="15" hidden="false" customHeight="false" outlineLevel="0" collapsed="false">
      <c r="A662" s="0" t="s">
        <v>2367</v>
      </c>
      <c r="B662" s="0" t="s">
        <v>47</v>
      </c>
      <c r="C662" s="0" t="s">
        <v>199</v>
      </c>
      <c r="D662" s="0" t="s">
        <v>198</v>
      </c>
      <c r="E662" s="0" t="s">
        <v>43</v>
      </c>
      <c r="F662" s="0" t="n">
        <v>14.49</v>
      </c>
      <c r="G662" s="0" t="s">
        <v>1228</v>
      </c>
      <c r="H662" s="0" t="s">
        <v>884</v>
      </c>
      <c r="I662" s="0" t="s">
        <v>1625</v>
      </c>
      <c r="J662" s="0" t="s">
        <v>2368</v>
      </c>
      <c r="K662" s="0" t="s">
        <v>2272</v>
      </c>
      <c r="L662" s="0" t="n">
        <v>4.4</v>
      </c>
      <c r="M662" s="0" t="n">
        <v>1</v>
      </c>
      <c r="N662" s="0" t="n">
        <v>7002.16</v>
      </c>
      <c r="O662" s="0" t="n">
        <v>4780.07</v>
      </c>
      <c r="P662" s="0" t="n">
        <v>1173.61</v>
      </c>
      <c r="Q662" s="0" t="s">
        <v>22</v>
      </c>
      <c r="R662" s="0" t="s">
        <v>52</v>
      </c>
      <c r="S662" s="0" t="s">
        <v>222</v>
      </c>
    </row>
    <row r="663" customFormat="false" ht="15" hidden="false" customHeight="false" outlineLevel="0" collapsed="false">
      <c r="A663" s="0" t="s">
        <v>2369</v>
      </c>
      <c r="B663" s="0" t="s">
        <v>48</v>
      </c>
      <c r="C663" s="0" t="s">
        <v>198</v>
      </c>
      <c r="D663" s="0" t="s">
        <v>207</v>
      </c>
      <c r="E663" s="0" t="s">
        <v>43</v>
      </c>
      <c r="F663" s="0" t="n">
        <v>2.23</v>
      </c>
      <c r="G663" s="0" t="s">
        <v>880</v>
      </c>
      <c r="H663" s="0" t="s">
        <v>950</v>
      </c>
      <c r="I663" s="0" t="s">
        <v>276</v>
      </c>
      <c r="J663" s="0" t="s">
        <v>2370</v>
      </c>
      <c r="K663" s="0" t="s">
        <v>2371</v>
      </c>
      <c r="L663" s="0" t="n">
        <v>2.4</v>
      </c>
      <c r="M663" s="0" t="n">
        <v>1</v>
      </c>
      <c r="N663" s="0" t="n">
        <v>2113.98</v>
      </c>
      <c r="O663" s="0" t="n">
        <v>2427.08</v>
      </c>
      <c r="P663" s="0" t="n">
        <v>664.27</v>
      </c>
      <c r="Q663" s="0" t="s">
        <v>23</v>
      </c>
      <c r="R663" s="0" t="s">
        <v>52</v>
      </c>
      <c r="S663" s="0" t="s">
        <v>222</v>
      </c>
    </row>
    <row r="664" customFormat="false" ht="15" hidden="false" customHeight="false" outlineLevel="0" collapsed="false">
      <c r="A664" s="0" t="s">
        <v>2372</v>
      </c>
      <c r="B664" s="0" t="s">
        <v>47</v>
      </c>
      <c r="C664" s="0" t="s">
        <v>205</v>
      </c>
      <c r="D664" s="0" t="s">
        <v>198</v>
      </c>
      <c r="E664" s="0" t="s">
        <v>44</v>
      </c>
      <c r="F664" s="0" t="n">
        <v>10.57</v>
      </c>
      <c r="G664" s="0" t="s">
        <v>430</v>
      </c>
      <c r="H664" s="0" t="s">
        <v>249</v>
      </c>
      <c r="I664" s="0" t="s">
        <v>250</v>
      </c>
      <c r="J664" s="0" t="s">
        <v>2373</v>
      </c>
      <c r="K664" s="0" t="s">
        <v>2374</v>
      </c>
      <c r="L664" s="0" t="n">
        <v>3.3</v>
      </c>
      <c r="M664" s="0" t="n">
        <v>1</v>
      </c>
      <c r="N664" s="0" t="n">
        <v>3126.51</v>
      </c>
      <c r="O664" s="0" t="n">
        <v>3965.23</v>
      </c>
      <c r="P664" s="0" t="n">
        <v>1327.61</v>
      </c>
      <c r="Q664" s="0" t="s">
        <v>24</v>
      </c>
      <c r="R664" s="0" t="s">
        <v>51</v>
      </c>
      <c r="S664" s="0" t="s">
        <v>272</v>
      </c>
    </row>
    <row r="665" customFormat="false" ht="15" hidden="false" customHeight="false" outlineLevel="0" collapsed="false">
      <c r="A665" s="0" t="s">
        <v>2375</v>
      </c>
      <c r="B665" s="0" t="s">
        <v>48</v>
      </c>
      <c r="C665" s="0" t="s">
        <v>198</v>
      </c>
      <c r="D665" s="0" t="s">
        <v>201</v>
      </c>
      <c r="E665" s="0" t="s">
        <v>44</v>
      </c>
      <c r="F665" s="0" t="n">
        <v>19.39</v>
      </c>
      <c r="G665" s="0" t="s">
        <v>1799</v>
      </c>
      <c r="H665" s="0" t="s">
        <v>1582</v>
      </c>
      <c r="I665" s="0" t="s">
        <v>614</v>
      </c>
      <c r="J665" s="0" t="s">
        <v>2376</v>
      </c>
      <c r="K665" s="0" t="s">
        <v>2377</v>
      </c>
      <c r="L665" s="0" t="n">
        <v>-1</v>
      </c>
      <c r="M665" s="0" t="n">
        <v>0</v>
      </c>
      <c r="N665" s="0" t="n">
        <v>4902.16</v>
      </c>
      <c r="O665" s="0" t="n">
        <v>2838.46</v>
      </c>
      <c r="P665" s="0" t="n">
        <v>1128.5</v>
      </c>
      <c r="Q665" s="0" t="s">
        <v>21</v>
      </c>
      <c r="R665" s="0" t="s">
        <v>52</v>
      </c>
      <c r="S665" s="0" t="s">
        <v>254</v>
      </c>
    </row>
    <row r="666" customFormat="false" ht="15" hidden="false" customHeight="false" outlineLevel="0" collapsed="false">
      <c r="A666" s="0" t="s">
        <v>2378</v>
      </c>
      <c r="B666" s="0" t="s">
        <v>48</v>
      </c>
      <c r="C666" s="0" t="s">
        <v>198</v>
      </c>
      <c r="D666" s="0" t="s">
        <v>208</v>
      </c>
      <c r="E666" s="0" t="s">
        <v>43</v>
      </c>
      <c r="F666" s="0" t="n">
        <v>11.59</v>
      </c>
      <c r="G666" s="0" t="s">
        <v>982</v>
      </c>
      <c r="H666" s="0" t="s">
        <v>362</v>
      </c>
      <c r="I666" s="0" t="s">
        <v>1047</v>
      </c>
      <c r="J666" s="0" t="s">
        <v>2379</v>
      </c>
      <c r="K666" s="0" t="s">
        <v>2380</v>
      </c>
      <c r="L666" s="0" t="n">
        <v>7.7</v>
      </c>
      <c r="M666" s="0" t="n">
        <v>1</v>
      </c>
      <c r="N666" s="0" t="n">
        <v>7617.56</v>
      </c>
      <c r="O666" s="0" t="n">
        <v>4962.57</v>
      </c>
      <c r="P666" s="0" t="n">
        <v>777.89</v>
      </c>
      <c r="Q666" s="0" t="s">
        <v>23</v>
      </c>
      <c r="R666" s="0" t="s">
        <v>51</v>
      </c>
      <c r="S666" s="0" t="s">
        <v>222</v>
      </c>
    </row>
    <row r="667" customFormat="false" ht="15" hidden="false" customHeight="false" outlineLevel="0" collapsed="false">
      <c r="A667" s="0" t="s">
        <v>2381</v>
      </c>
      <c r="B667" s="0" t="s">
        <v>47</v>
      </c>
      <c r="C667" s="0" t="s">
        <v>203</v>
      </c>
      <c r="D667" s="0" t="s">
        <v>198</v>
      </c>
      <c r="E667" s="0" t="s">
        <v>42</v>
      </c>
      <c r="F667" s="0" t="n">
        <v>10.47</v>
      </c>
      <c r="G667" s="0" t="s">
        <v>888</v>
      </c>
      <c r="H667" s="0" t="s">
        <v>714</v>
      </c>
      <c r="I667" s="0" t="s">
        <v>632</v>
      </c>
      <c r="J667" s="0" t="s">
        <v>2382</v>
      </c>
      <c r="K667" s="0" t="s">
        <v>2383</v>
      </c>
      <c r="L667" s="0" t="n">
        <v>-0.8</v>
      </c>
      <c r="M667" s="0" t="n">
        <v>0</v>
      </c>
      <c r="N667" s="0" t="n">
        <v>7433.19</v>
      </c>
      <c r="O667" s="0" t="n">
        <v>1814.04</v>
      </c>
      <c r="P667" s="0" t="n">
        <v>1373.36</v>
      </c>
      <c r="Q667" s="0" t="s">
        <v>21</v>
      </c>
      <c r="R667" s="0" t="s">
        <v>51</v>
      </c>
      <c r="S667" s="0" t="s">
        <v>247</v>
      </c>
    </row>
    <row r="668" customFormat="false" ht="15" hidden="false" customHeight="false" outlineLevel="0" collapsed="false">
      <c r="A668" s="0" t="s">
        <v>2384</v>
      </c>
      <c r="B668" s="0" t="s">
        <v>48</v>
      </c>
      <c r="C668" s="0" t="s">
        <v>198</v>
      </c>
      <c r="D668" s="0" t="s">
        <v>214</v>
      </c>
      <c r="E668" s="0" t="s">
        <v>43</v>
      </c>
      <c r="F668" s="0" t="n">
        <v>2.14</v>
      </c>
      <c r="G668" s="0" t="s">
        <v>1799</v>
      </c>
      <c r="H668" s="0" t="s">
        <v>741</v>
      </c>
      <c r="I668" s="0" t="s">
        <v>614</v>
      </c>
      <c r="J668" s="0" t="s">
        <v>2385</v>
      </c>
      <c r="K668" s="0" t="s">
        <v>798</v>
      </c>
      <c r="L668" s="0" t="n">
        <v>5.1</v>
      </c>
      <c r="M668" s="0" t="n">
        <v>1</v>
      </c>
      <c r="N668" s="0" t="n">
        <v>2315.12</v>
      </c>
      <c r="O668" s="0" t="n">
        <v>2584.22</v>
      </c>
      <c r="P668" s="0" t="n">
        <v>699.16</v>
      </c>
      <c r="Q668" s="0" t="s">
        <v>24</v>
      </c>
      <c r="R668" s="0" t="s">
        <v>52</v>
      </c>
      <c r="S668" s="0" t="s">
        <v>254</v>
      </c>
    </row>
    <row r="669" customFormat="false" ht="15" hidden="false" customHeight="false" outlineLevel="0" collapsed="false">
      <c r="A669" s="0" t="s">
        <v>2386</v>
      </c>
      <c r="B669" s="0" t="s">
        <v>47</v>
      </c>
      <c r="C669" s="0" t="s">
        <v>203</v>
      </c>
      <c r="D669" s="0" t="s">
        <v>198</v>
      </c>
      <c r="E669" s="0" t="s">
        <v>42</v>
      </c>
      <c r="F669" s="0" t="n">
        <v>9.07</v>
      </c>
      <c r="G669" s="0" t="s">
        <v>1007</v>
      </c>
      <c r="H669" s="0" t="s">
        <v>533</v>
      </c>
      <c r="I669" s="0" t="s">
        <v>534</v>
      </c>
      <c r="J669" s="0" t="s">
        <v>2387</v>
      </c>
      <c r="K669" s="0" t="s">
        <v>2388</v>
      </c>
      <c r="L669" s="0" t="n">
        <v>-0.5</v>
      </c>
      <c r="M669" s="0" t="n">
        <v>0</v>
      </c>
      <c r="N669" s="0" t="n">
        <v>6248.53</v>
      </c>
      <c r="O669" s="0" t="n">
        <v>2861.11</v>
      </c>
      <c r="P669" s="0" t="n">
        <v>558.24</v>
      </c>
      <c r="Q669" s="0" t="s">
        <v>24</v>
      </c>
      <c r="R669" s="0" t="s">
        <v>52</v>
      </c>
      <c r="S669" s="0" t="s">
        <v>222</v>
      </c>
    </row>
    <row r="670" customFormat="false" ht="15" hidden="false" customHeight="false" outlineLevel="0" collapsed="false">
      <c r="A670" s="0" t="s">
        <v>2389</v>
      </c>
      <c r="B670" s="0" t="s">
        <v>47</v>
      </c>
      <c r="C670" s="0" t="s">
        <v>199</v>
      </c>
      <c r="D670" s="0" t="s">
        <v>198</v>
      </c>
      <c r="E670" s="0" t="s">
        <v>43</v>
      </c>
      <c r="F670" s="0" t="n">
        <v>5.98</v>
      </c>
      <c r="G670" s="0" t="s">
        <v>527</v>
      </c>
      <c r="H670" s="0" t="s">
        <v>398</v>
      </c>
      <c r="I670" s="0" t="s">
        <v>315</v>
      </c>
      <c r="J670" s="0" t="s">
        <v>1683</v>
      </c>
      <c r="K670" s="0" t="s">
        <v>2390</v>
      </c>
      <c r="L670" s="0" t="n">
        <v>5.9</v>
      </c>
      <c r="M670" s="0" t="n">
        <v>1</v>
      </c>
      <c r="N670" s="0" t="n">
        <v>4249</v>
      </c>
      <c r="O670" s="0" t="n">
        <v>4765.12</v>
      </c>
      <c r="P670" s="0" t="n">
        <v>1381.64</v>
      </c>
      <c r="Q670" s="0" t="s">
        <v>23</v>
      </c>
      <c r="R670" s="0" t="s">
        <v>52</v>
      </c>
      <c r="S670" s="0" t="s">
        <v>228</v>
      </c>
    </row>
    <row r="671" customFormat="false" ht="15" hidden="false" customHeight="false" outlineLevel="0" collapsed="false">
      <c r="A671" s="0" t="s">
        <v>2391</v>
      </c>
      <c r="B671" s="0" t="s">
        <v>47</v>
      </c>
      <c r="C671" s="0" t="s">
        <v>206</v>
      </c>
      <c r="D671" s="0" t="s">
        <v>198</v>
      </c>
      <c r="E671" s="0" t="s">
        <v>42</v>
      </c>
      <c r="F671" s="0" t="n">
        <v>10.79</v>
      </c>
      <c r="G671" s="0" t="s">
        <v>473</v>
      </c>
      <c r="H671" s="0" t="s">
        <v>342</v>
      </c>
      <c r="I671" s="0" t="s">
        <v>292</v>
      </c>
      <c r="J671" s="0" t="s">
        <v>2392</v>
      </c>
      <c r="K671" s="0" t="s">
        <v>2393</v>
      </c>
      <c r="L671" s="0" t="n">
        <v>0.5</v>
      </c>
      <c r="M671" s="0" t="n">
        <v>1</v>
      </c>
      <c r="N671" s="0" t="n">
        <v>3135.17</v>
      </c>
      <c r="O671" s="0" t="n">
        <v>3118.13</v>
      </c>
      <c r="P671" s="0" t="n">
        <v>768.86</v>
      </c>
      <c r="Q671" s="0" t="s">
        <v>24</v>
      </c>
      <c r="R671" s="0" t="s">
        <v>51</v>
      </c>
      <c r="S671" s="0" t="s">
        <v>228</v>
      </c>
    </row>
    <row r="672" customFormat="false" ht="15" hidden="false" customHeight="false" outlineLevel="0" collapsed="false">
      <c r="A672" s="0" t="s">
        <v>2394</v>
      </c>
      <c r="B672" s="0" t="s">
        <v>47</v>
      </c>
      <c r="C672" s="0" t="s">
        <v>205</v>
      </c>
      <c r="D672" s="0" t="s">
        <v>198</v>
      </c>
      <c r="E672" s="0" t="s">
        <v>42</v>
      </c>
      <c r="F672" s="0" t="n">
        <v>1.4</v>
      </c>
      <c r="G672" s="0" t="s">
        <v>833</v>
      </c>
      <c r="H672" s="0" t="s">
        <v>462</v>
      </c>
      <c r="I672" s="0" t="s">
        <v>402</v>
      </c>
      <c r="J672" s="0" t="s">
        <v>2395</v>
      </c>
      <c r="K672" s="0" t="s">
        <v>2396</v>
      </c>
      <c r="L672" s="0" t="n">
        <v>3.5</v>
      </c>
      <c r="M672" s="0" t="n">
        <v>1</v>
      </c>
      <c r="N672" s="0" t="n">
        <v>1463.52</v>
      </c>
      <c r="O672" s="0" t="n">
        <v>3415.68</v>
      </c>
      <c r="P672" s="0" t="n">
        <v>549.59</v>
      </c>
      <c r="Q672" s="0" t="s">
        <v>23</v>
      </c>
      <c r="R672" s="0" t="s">
        <v>51</v>
      </c>
      <c r="S672" s="0" t="s">
        <v>254</v>
      </c>
    </row>
    <row r="673" customFormat="false" ht="15" hidden="false" customHeight="false" outlineLevel="0" collapsed="false">
      <c r="A673" s="0" t="s">
        <v>2397</v>
      </c>
      <c r="B673" s="0" t="s">
        <v>48</v>
      </c>
      <c r="C673" s="0" t="s">
        <v>198</v>
      </c>
      <c r="D673" s="0" t="s">
        <v>208</v>
      </c>
      <c r="E673" s="0" t="s">
        <v>44</v>
      </c>
      <c r="F673" s="0" t="n">
        <v>2.8</v>
      </c>
      <c r="G673" s="0" t="s">
        <v>1625</v>
      </c>
      <c r="H673" s="0" t="s">
        <v>386</v>
      </c>
      <c r="I673" s="0" t="s">
        <v>391</v>
      </c>
      <c r="J673" s="0" t="s">
        <v>2398</v>
      </c>
      <c r="K673" s="0" t="s">
        <v>2399</v>
      </c>
      <c r="L673" s="0" t="n">
        <v>2.1</v>
      </c>
      <c r="M673" s="0" t="n">
        <v>1</v>
      </c>
      <c r="N673" s="0" t="n">
        <v>1575.3</v>
      </c>
      <c r="O673" s="0" t="n">
        <v>2389.15</v>
      </c>
      <c r="P673" s="0" t="n">
        <v>765.23</v>
      </c>
      <c r="Q673" s="0" t="s">
        <v>24</v>
      </c>
      <c r="R673" s="0" t="s">
        <v>51</v>
      </c>
      <c r="S673" s="0" t="s">
        <v>272</v>
      </c>
    </row>
    <row r="674" customFormat="false" ht="15" hidden="false" customHeight="false" outlineLevel="0" collapsed="false">
      <c r="A674" s="0" t="s">
        <v>2400</v>
      </c>
      <c r="B674" s="0" t="s">
        <v>47</v>
      </c>
      <c r="C674" s="0" t="s">
        <v>205</v>
      </c>
      <c r="D674" s="0" t="s">
        <v>198</v>
      </c>
      <c r="E674" s="0" t="s">
        <v>43</v>
      </c>
      <c r="F674" s="0" t="n">
        <v>14.04</v>
      </c>
      <c r="G674" s="0" t="s">
        <v>709</v>
      </c>
      <c r="H674" s="0" t="s">
        <v>710</v>
      </c>
      <c r="I674" s="0" t="s">
        <v>873</v>
      </c>
      <c r="J674" s="0" t="s">
        <v>2401</v>
      </c>
      <c r="K674" s="0" t="s">
        <v>2402</v>
      </c>
      <c r="L674" s="0" t="n">
        <v>4.4</v>
      </c>
      <c r="M674" s="0" t="n">
        <v>1</v>
      </c>
      <c r="N674" s="0" t="n">
        <v>5968.17</v>
      </c>
      <c r="O674" s="0" t="n">
        <v>4065.41</v>
      </c>
      <c r="P674" s="0" t="n">
        <v>1157.95</v>
      </c>
      <c r="Q674" s="0" t="s">
        <v>22</v>
      </c>
      <c r="R674" s="0" t="s">
        <v>51</v>
      </c>
      <c r="S674" s="0" t="s">
        <v>247</v>
      </c>
    </row>
    <row r="675" customFormat="false" ht="15" hidden="false" customHeight="false" outlineLevel="0" collapsed="false">
      <c r="A675" s="0" t="s">
        <v>2403</v>
      </c>
      <c r="B675" s="0" t="s">
        <v>47</v>
      </c>
      <c r="C675" s="0" t="s">
        <v>206</v>
      </c>
      <c r="D675" s="0" t="s">
        <v>198</v>
      </c>
      <c r="E675" s="0" t="s">
        <v>43</v>
      </c>
      <c r="F675" s="0" t="n">
        <v>16.65</v>
      </c>
      <c r="G675" s="0" t="s">
        <v>701</v>
      </c>
      <c r="H675" s="0" t="s">
        <v>866</v>
      </c>
      <c r="I675" s="0" t="s">
        <v>867</v>
      </c>
      <c r="J675" s="0" t="s">
        <v>2404</v>
      </c>
      <c r="K675" s="0" t="s">
        <v>2169</v>
      </c>
      <c r="L675" s="0" t="n">
        <v>3.4</v>
      </c>
      <c r="M675" s="0" t="n">
        <v>1</v>
      </c>
      <c r="N675" s="0" t="n">
        <v>6096.95</v>
      </c>
      <c r="O675" s="0" t="n">
        <v>3112.71</v>
      </c>
      <c r="P675" s="0" t="n">
        <v>626.87</v>
      </c>
      <c r="Q675" s="0" t="s">
        <v>24</v>
      </c>
      <c r="R675" s="0" t="s">
        <v>51</v>
      </c>
      <c r="S675" s="0" t="s">
        <v>254</v>
      </c>
    </row>
    <row r="676" customFormat="false" ht="15" hidden="false" customHeight="false" outlineLevel="0" collapsed="false">
      <c r="A676" s="0" t="s">
        <v>2405</v>
      </c>
      <c r="B676" s="0" t="s">
        <v>47</v>
      </c>
      <c r="C676" s="0" t="s">
        <v>203</v>
      </c>
      <c r="D676" s="0" t="s">
        <v>198</v>
      </c>
      <c r="E676" s="0" t="s">
        <v>43</v>
      </c>
      <c r="F676" s="0" t="n">
        <v>12.26</v>
      </c>
      <c r="G676" s="0" t="s">
        <v>506</v>
      </c>
      <c r="H676" s="0" t="s">
        <v>357</v>
      </c>
      <c r="I676" s="0" t="s">
        <v>522</v>
      </c>
      <c r="J676" s="0" t="s">
        <v>1014</v>
      </c>
      <c r="K676" s="0" t="s">
        <v>2406</v>
      </c>
      <c r="L676" s="0" t="n">
        <v>1.8</v>
      </c>
      <c r="M676" s="0" t="n">
        <v>1</v>
      </c>
      <c r="N676" s="0" t="n">
        <v>6518.13</v>
      </c>
      <c r="O676" s="0" t="n">
        <v>3415.17</v>
      </c>
      <c r="P676" s="0" t="n">
        <v>798.93</v>
      </c>
      <c r="Q676" s="0" t="s">
        <v>22</v>
      </c>
      <c r="R676" s="0" t="s">
        <v>51</v>
      </c>
      <c r="S676" s="0" t="s">
        <v>272</v>
      </c>
    </row>
    <row r="677" customFormat="false" ht="15" hidden="false" customHeight="false" outlineLevel="0" collapsed="false">
      <c r="A677" s="0" t="s">
        <v>2407</v>
      </c>
      <c r="B677" s="0" t="s">
        <v>48</v>
      </c>
      <c r="C677" s="0" t="s">
        <v>198</v>
      </c>
      <c r="D677" s="0" t="s">
        <v>214</v>
      </c>
      <c r="E677" s="0" t="s">
        <v>42</v>
      </c>
      <c r="F677" s="0" t="n">
        <v>8.81</v>
      </c>
      <c r="G677" s="0" t="s">
        <v>304</v>
      </c>
      <c r="H677" s="0" t="s">
        <v>488</v>
      </c>
      <c r="I677" s="0" t="s">
        <v>515</v>
      </c>
      <c r="J677" s="0" t="s">
        <v>2408</v>
      </c>
      <c r="K677" s="0" t="s">
        <v>490</v>
      </c>
      <c r="L677" s="0" t="n">
        <v>-1</v>
      </c>
      <c r="M677" s="0" t="n">
        <v>0</v>
      </c>
      <c r="N677" s="0" t="n">
        <v>3063.54</v>
      </c>
      <c r="O677" s="0" t="n">
        <v>1887.12</v>
      </c>
      <c r="P677" s="0" t="n">
        <v>1280.47</v>
      </c>
      <c r="Q677" s="0" t="s">
        <v>24</v>
      </c>
      <c r="R677" s="0" t="s">
        <v>52</v>
      </c>
      <c r="S677" s="0" t="s">
        <v>222</v>
      </c>
    </row>
    <row r="678" customFormat="false" ht="15" hidden="false" customHeight="false" outlineLevel="0" collapsed="false">
      <c r="A678" s="0" t="s">
        <v>2409</v>
      </c>
      <c r="B678" s="0" t="s">
        <v>47</v>
      </c>
      <c r="C678" s="0" t="s">
        <v>203</v>
      </c>
      <c r="D678" s="0" t="s">
        <v>198</v>
      </c>
      <c r="E678" s="0" t="s">
        <v>44</v>
      </c>
      <c r="F678" s="0" t="n">
        <v>4.82</v>
      </c>
      <c r="G678" s="0" t="s">
        <v>492</v>
      </c>
      <c r="H678" s="0" t="s">
        <v>550</v>
      </c>
      <c r="I678" s="0" t="s">
        <v>449</v>
      </c>
      <c r="J678" s="0" t="s">
        <v>2410</v>
      </c>
      <c r="K678" s="0" t="s">
        <v>2411</v>
      </c>
      <c r="L678" s="0" t="n">
        <v>2.3</v>
      </c>
      <c r="M678" s="0" t="n">
        <v>1</v>
      </c>
      <c r="N678" s="0" t="n">
        <v>4436.39</v>
      </c>
      <c r="O678" s="0" t="n">
        <v>4418.06</v>
      </c>
      <c r="P678" s="0" t="n">
        <v>1183.18</v>
      </c>
      <c r="Q678" s="0" t="s">
        <v>25</v>
      </c>
      <c r="R678" s="0" t="s">
        <v>52</v>
      </c>
      <c r="S678" s="0" t="s">
        <v>247</v>
      </c>
    </row>
    <row r="679" customFormat="false" ht="15" hidden="false" customHeight="false" outlineLevel="0" collapsed="false">
      <c r="A679" s="0" t="s">
        <v>2412</v>
      </c>
      <c r="B679" s="0" t="s">
        <v>47</v>
      </c>
      <c r="C679" s="0" t="s">
        <v>209</v>
      </c>
      <c r="D679" s="0" t="s">
        <v>198</v>
      </c>
      <c r="E679" s="0" t="s">
        <v>42</v>
      </c>
      <c r="F679" s="0" t="n">
        <v>1.99</v>
      </c>
      <c r="G679" s="0" t="s">
        <v>364</v>
      </c>
      <c r="H679" s="0" t="s">
        <v>343</v>
      </c>
      <c r="I679" s="0" t="s">
        <v>293</v>
      </c>
      <c r="J679" s="0" t="s">
        <v>2413</v>
      </c>
      <c r="K679" s="0" t="s">
        <v>2414</v>
      </c>
      <c r="L679" s="0" t="n">
        <v>1.2</v>
      </c>
      <c r="M679" s="0" t="n">
        <v>1</v>
      </c>
      <c r="N679" s="0" t="n">
        <v>2368.87</v>
      </c>
      <c r="O679" s="0" t="n">
        <v>3988.94</v>
      </c>
      <c r="P679" s="0" t="n">
        <v>709.42</v>
      </c>
      <c r="Q679" s="0" t="s">
        <v>24</v>
      </c>
      <c r="R679" s="0" t="s">
        <v>52</v>
      </c>
      <c r="S679" s="0" t="s">
        <v>222</v>
      </c>
    </row>
    <row r="680" customFormat="false" ht="15" hidden="false" customHeight="false" outlineLevel="0" collapsed="false">
      <c r="A680" s="0" t="s">
        <v>2415</v>
      </c>
      <c r="B680" s="0" t="s">
        <v>47</v>
      </c>
      <c r="C680" s="0" t="s">
        <v>203</v>
      </c>
      <c r="D680" s="0" t="s">
        <v>198</v>
      </c>
      <c r="E680" s="0" t="s">
        <v>42</v>
      </c>
      <c r="F680" s="0" t="n">
        <v>11.2</v>
      </c>
      <c r="G680" s="0" t="s">
        <v>1051</v>
      </c>
      <c r="H680" s="0" t="s">
        <v>362</v>
      </c>
      <c r="I680" s="0" t="s">
        <v>1261</v>
      </c>
      <c r="J680" s="0" t="s">
        <v>2416</v>
      </c>
      <c r="K680" s="0" t="s">
        <v>2417</v>
      </c>
      <c r="L680" s="0" t="n">
        <v>0.3</v>
      </c>
      <c r="M680" s="0" t="n">
        <v>1</v>
      </c>
      <c r="N680" s="0" t="n">
        <v>8245.24</v>
      </c>
      <c r="O680" s="0" t="n">
        <v>3941.85</v>
      </c>
      <c r="P680" s="0" t="n">
        <v>580.02</v>
      </c>
      <c r="Q680" s="0" t="s">
        <v>24</v>
      </c>
      <c r="R680" s="0" t="s">
        <v>51</v>
      </c>
      <c r="S680" s="0" t="s">
        <v>254</v>
      </c>
    </row>
    <row r="681" customFormat="false" ht="15" hidden="false" customHeight="false" outlineLevel="0" collapsed="false">
      <c r="A681" s="0" t="s">
        <v>2418</v>
      </c>
      <c r="B681" s="0" t="s">
        <v>47</v>
      </c>
      <c r="C681" s="0" t="s">
        <v>199</v>
      </c>
      <c r="D681" s="0" t="s">
        <v>198</v>
      </c>
      <c r="E681" s="0" t="s">
        <v>44</v>
      </c>
      <c r="F681" s="0" t="n">
        <v>7.83</v>
      </c>
      <c r="G681" s="0" t="s">
        <v>251</v>
      </c>
      <c r="H681" s="0" t="s">
        <v>298</v>
      </c>
      <c r="I681" s="0" t="s">
        <v>686</v>
      </c>
      <c r="J681" s="0" t="s">
        <v>2419</v>
      </c>
      <c r="K681" s="0" t="s">
        <v>2420</v>
      </c>
      <c r="L681" s="0" t="n">
        <v>3.6</v>
      </c>
      <c r="M681" s="0" t="n">
        <v>1</v>
      </c>
      <c r="N681" s="0" t="n">
        <v>3179.77</v>
      </c>
      <c r="O681" s="0" t="n">
        <v>4701.15</v>
      </c>
      <c r="P681" s="0" t="n">
        <v>1367.97</v>
      </c>
      <c r="Q681" s="0" t="s">
        <v>23</v>
      </c>
      <c r="R681" s="0" t="s">
        <v>51</v>
      </c>
      <c r="S681" s="0" t="s">
        <v>254</v>
      </c>
    </row>
    <row r="682" customFormat="false" ht="15" hidden="false" customHeight="false" outlineLevel="0" collapsed="false">
      <c r="A682" s="0" t="s">
        <v>2421</v>
      </c>
      <c r="B682" s="0" t="s">
        <v>47</v>
      </c>
      <c r="C682" s="0" t="s">
        <v>206</v>
      </c>
      <c r="D682" s="0" t="s">
        <v>198</v>
      </c>
      <c r="E682" s="0" t="s">
        <v>42</v>
      </c>
      <c r="F682" s="0" t="n">
        <v>10.49</v>
      </c>
      <c r="G682" s="0" t="s">
        <v>420</v>
      </c>
      <c r="H682" s="0" t="s">
        <v>1097</v>
      </c>
      <c r="I682" s="0" t="s">
        <v>550</v>
      </c>
      <c r="J682" s="0" t="s">
        <v>2422</v>
      </c>
      <c r="K682" s="0" t="s">
        <v>2423</v>
      </c>
      <c r="L682" s="0" t="n">
        <v>3.6</v>
      </c>
      <c r="M682" s="0" t="n">
        <v>1</v>
      </c>
      <c r="N682" s="0" t="n">
        <v>4835.47</v>
      </c>
      <c r="O682" s="0" t="n">
        <v>4917.05</v>
      </c>
      <c r="P682" s="0" t="n">
        <v>1196.36</v>
      </c>
      <c r="Q682" s="0" t="s">
        <v>23</v>
      </c>
      <c r="R682" s="0" t="s">
        <v>51</v>
      </c>
      <c r="S682" s="0" t="s">
        <v>228</v>
      </c>
    </row>
    <row r="683" customFormat="false" ht="15" hidden="false" customHeight="false" outlineLevel="0" collapsed="false">
      <c r="A683" s="0" t="s">
        <v>2424</v>
      </c>
      <c r="B683" s="0" t="s">
        <v>48</v>
      </c>
      <c r="C683" s="0" t="s">
        <v>198</v>
      </c>
      <c r="D683" s="0" t="s">
        <v>211</v>
      </c>
      <c r="E683" s="0" t="s">
        <v>42</v>
      </c>
      <c r="F683" s="0" t="n">
        <v>13.77</v>
      </c>
      <c r="G683" s="0" t="s">
        <v>672</v>
      </c>
      <c r="H683" s="0" t="s">
        <v>515</v>
      </c>
      <c r="I683" s="0" t="s">
        <v>854</v>
      </c>
      <c r="J683" s="0" t="s">
        <v>2425</v>
      </c>
      <c r="K683" s="0" t="s">
        <v>2426</v>
      </c>
      <c r="L683" s="0" t="n">
        <v>0.4</v>
      </c>
      <c r="M683" s="0" t="n">
        <v>1</v>
      </c>
      <c r="N683" s="0" t="n">
        <v>5766.69</v>
      </c>
      <c r="O683" s="0" t="n">
        <v>2178.41</v>
      </c>
      <c r="P683" s="0" t="n">
        <v>758.71</v>
      </c>
      <c r="Q683" s="0" t="s">
        <v>22</v>
      </c>
      <c r="R683" s="0" t="s">
        <v>51</v>
      </c>
      <c r="S683" s="0" t="s">
        <v>254</v>
      </c>
    </row>
    <row r="684" customFormat="false" ht="15" hidden="false" customHeight="false" outlineLevel="0" collapsed="false">
      <c r="A684" s="0" t="s">
        <v>2427</v>
      </c>
      <c r="B684" s="0" t="s">
        <v>48</v>
      </c>
      <c r="C684" s="0" t="s">
        <v>198</v>
      </c>
      <c r="D684" s="0" t="s">
        <v>213</v>
      </c>
      <c r="E684" s="0" t="s">
        <v>43</v>
      </c>
      <c r="F684" s="0" t="n">
        <v>1.49</v>
      </c>
      <c r="G684" s="0" t="s">
        <v>482</v>
      </c>
      <c r="H684" s="0" t="s">
        <v>380</v>
      </c>
      <c r="I684" s="0" t="s">
        <v>1195</v>
      </c>
      <c r="J684" s="0" t="s">
        <v>2428</v>
      </c>
      <c r="K684" s="0" t="s">
        <v>2429</v>
      </c>
      <c r="L684" s="0" t="n">
        <v>3.9</v>
      </c>
      <c r="M684" s="0" t="n">
        <v>1</v>
      </c>
      <c r="N684" s="0" t="n">
        <v>1339.71</v>
      </c>
      <c r="O684" s="0" t="n">
        <v>3307.74</v>
      </c>
      <c r="P684" s="0" t="n">
        <v>654.84</v>
      </c>
      <c r="Q684" s="0" t="s">
        <v>25</v>
      </c>
      <c r="R684" s="0" t="s">
        <v>52</v>
      </c>
      <c r="S684" s="0" t="s">
        <v>247</v>
      </c>
    </row>
    <row r="685" customFormat="false" ht="15" hidden="false" customHeight="false" outlineLevel="0" collapsed="false">
      <c r="A685" s="0" t="s">
        <v>2430</v>
      </c>
      <c r="B685" s="0" t="s">
        <v>47</v>
      </c>
      <c r="C685" s="0" t="s">
        <v>206</v>
      </c>
      <c r="D685" s="0" t="s">
        <v>198</v>
      </c>
      <c r="E685" s="0" t="s">
        <v>42</v>
      </c>
      <c r="F685" s="0" t="n">
        <v>7.77</v>
      </c>
      <c r="G685" s="0" t="s">
        <v>896</v>
      </c>
      <c r="H685" s="0" t="s">
        <v>597</v>
      </c>
      <c r="I685" s="0" t="s">
        <v>1046</v>
      </c>
      <c r="J685" s="0" t="s">
        <v>2431</v>
      </c>
      <c r="K685" s="0" t="s">
        <v>2432</v>
      </c>
      <c r="L685" s="0" t="n">
        <v>0.9</v>
      </c>
      <c r="M685" s="0" t="n">
        <v>1</v>
      </c>
      <c r="N685" s="0" t="n">
        <v>4217.27</v>
      </c>
      <c r="O685" s="0" t="n">
        <v>1023.46</v>
      </c>
      <c r="P685" s="0" t="n">
        <v>578.51</v>
      </c>
      <c r="Q685" s="0" t="s">
        <v>24</v>
      </c>
      <c r="R685" s="0" t="s">
        <v>52</v>
      </c>
      <c r="S685" s="0" t="s">
        <v>254</v>
      </c>
    </row>
    <row r="686" customFormat="false" ht="15" hidden="false" customHeight="false" outlineLevel="0" collapsed="false">
      <c r="A686" s="0" t="s">
        <v>2433</v>
      </c>
      <c r="B686" s="0" t="s">
        <v>47</v>
      </c>
      <c r="C686" s="0" t="s">
        <v>209</v>
      </c>
      <c r="D686" s="0" t="s">
        <v>198</v>
      </c>
      <c r="E686" s="0" t="s">
        <v>43</v>
      </c>
      <c r="F686" s="0" t="n">
        <v>17.74</v>
      </c>
      <c r="G686" s="0" t="s">
        <v>237</v>
      </c>
      <c r="H686" s="0" t="s">
        <v>550</v>
      </c>
      <c r="I686" s="0" t="s">
        <v>321</v>
      </c>
      <c r="J686" s="0" t="s">
        <v>2434</v>
      </c>
      <c r="K686" s="0" t="s">
        <v>1109</v>
      </c>
      <c r="L686" s="0" t="n">
        <v>4</v>
      </c>
      <c r="M686" s="0" t="n">
        <v>1</v>
      </c>
      <c r="N686" s="0" t="n">
        <v>13484.91</v>
      </c>
      <c r="O686" s="0" t="n">
        <v>3958.25</v>
      </c>
      <c r="P686" s="0" t="n">
        <v>586.62</v>
      </c>
      <c r="Q686" s="0" t="s">
        <v>21</v>
      </c>
      <c r="R686" s="0" t="s">
        <v>52</v>
      </c>
      <c r="S686" s="0" t="s">
        <v>247</v>
      </c>
    </row>
    <row r="687" customFormat="false" ht="15" hidden="false" customHeight="false" outlineLevel="0" collapsed="false">
      <c r="A687" s="0" t="s">
        <v>2435</v>
      </c>
      <c r="B687" s="0" t="s">
        <v>47</v>
      </c>
      <c r="C687" s="0" t="s">
        <v>205</v>
      </c>
      <c r="D687" s="0" t="s">
        <v>198</v>
      </c>
      <c r="E687" s="0" t="s">
        <v>42</v>
      </c>
      <c r="F687" s="0" t="n">
        <v>13.71</v>
      </c>
      <c r="G687" s="0" t="s">
        <v>396</v>
      </c>
      <c r="H687" s="0" t="s">
        <v>658</v>
      </c>
      <c r="I687" s="0" t="s">
        <v>588</v>
      </c>
      <c r="J687" s="0" t="s">
        <v>2436</v>
      </c>
      <c r="K687" s="0" t="s">
        <v>2437</v>
      </c>
      <c r="L687" s="0" t="n">
        <v>1.4</v>
      </c>
      <c r="M687" s="0" t="n">
        <v>1</v>
      </c>
      <c r="N687" s="0" t="n">
        <v>6127.79</v>
      </c>
      <c r="O687" s="0" t="n">
        <v>2815.84</v>
      </c>
      <c r="P687" s="0" t="n">
        <v>801.66</v>
      </c>
      <c r="Q687" s="0" t="s">
        <v>23</v>
      </c>
      <c r="R687" s="0" t="s">
        <v>51</v>
      </c>
      <c r="S687" s="0" t="s">
        <v>222</v>
      </c>
    </row>
    <row r="688" customFormat="false" ht="15" hidden="false" customHeight="false" outlineLevel="0" collapsed="false">
      <c r="A688" s="0" t="s">
        <v>2438</v>
      </c>
      <c r="B688" s="0" t="s">
        <v>47</v>
      </c>
      <c r="C688" s="0" t="s">
        <v>203</v>
      </c>
      <c r="D688" s="0" t="s">
        <v>198</v>
      </c>
      <c r="E688" s="0" t="s">
        <v>43</v>
      </c>
      <c r="F688" s="0" t="n">
        <v>8.3</v>
      </c>
      <c r="G688" s="0" t="s">
        <v>502</v>
      </c>
      <c r="H688" s="0" t="s">
        <v>299</v>
      </c>
      <c r="I688" s="0" t="s">
        <v>687</v>
      </c>
      <c r="J688" s="0" t="s">
        <v>2439</v>
      </c>
      <c r="K688" s="0" t="s">
        <v>2440</v>
      </c>
      <c r="L688" s="0" t="n">
        <v>2.8</v>
      </c>
      <c r="M688" s="0" t="n">
        <v>1</v>
      </c>
      <c r="N688" s="0" t="n">
        <v>4470.96</v>
      </c>
      <c r="O688" s="0" t="n">
        <v>4777.85</v>
      </c>
      <c r="P688" s="0" t="n">
        <v>712.28</v>
      </c>
      <c r="Q688" s="0" t="s">
        <v>21</v>
      </c>
      <c r="R688" s="0" t="s">
        <v>51</v>
      </c>
      <c r="S688" s="0" t="s">
        <v>222</v>
      </c>
    </row>
    <row r="689" customFormat="false" ht="15" hidden="false" customHeight="false" outlineLevel="0" collapsed="false">
      <c r="A689" s="0" t="s">
        <v>2441</v>
      </c>
      <c r="B689" s="0" t="s">
        <v>47</v>
      </c>
      <c r="C689" s="0" t="s">
        <v>203</v>
      </c>
      <c r="D689" s="0" t="s">
        <v>198</v>
      </c>
      <c r="E689" s="0" t="s">
        <v>43</v>
      </c>
      <c r="F689" s="0" t="n">
        <v>10.88</v>
      </c>
      <c r="G689" s="0" t="s">
        <v>275</v>
      </c>
      <c r="H689" s="0" t="s">
        <v>506</v>
      </c>
      <c r="I689" s="0" t="s">
        <v>521</v>
      </c>
      <c r="J689" s="0" t="s">
        <v>2442</v>
      </c>
      <c r="K689" s="0" t="s">
        <v>2443</v>
      </c>
      <c r="L689" s="0" t="n">
        <v>1.5</v>
      </c>
      <c r="M689" s="0" t="n">
        <v>1</v>
      </c>
      <c r="N689" s="0" t="n">
        <v>8235.42</v>
      </c>
      <c r="O689" s="0" t="n">
        <v>1781.44</v>
      </c>
      <c r="P689" s="0" t="n">
        <v>586.75</v>
      </c>
      <c r="Q689" s="0" t="s">
        <v>24</v>
      </c>
      <c r="R689" s="0" t="s">
        <v>51</v>
      </c>
      <c r="S689" s="0" t="s">
        <v>247</v>
      </c>
    </row>
    <row r="690" customFormat="false" ht="15" hidden="false" customHeight="false" outlineLevel="0" collapsed="false">
      <c r="A690" s="0" t="s">
        <v>2444</v>
      </c>
      <c r="B690" s="0" t="s">
        <v>47</v>
      </c>
      <c r="C690" s="0" t="s">
        <v>203</v>
      </c>
      <c r="D690" s="0" t="s">
        <v>198</v>
      </c>
      <c r="E690" s="0" t="s">
        <v>43</v>
      </c>
      <c r="F690" s="0" t="n">
        <v>12.5</v>
      </c>
      <c r="G690" s="0" t="s">
        <v>392</v>
      </c>
      <c r="H690" s="0" t="s">
        <v>793</v>
      </c>
      <c r="I690" s="0" t="s">
        <v>237</v>
      </c>
      <c r="J690" s="0" t="s">
        <v>2445</v>
      </c>
      <c r="K690" s="0" t="s">
        <v>2446</v>
      </c>
      <c r="L690" s="0" t="n">
        <v>-0.5</v>
      </c>
      <c r="M690" s="0" t="n">
        <v>0</v>
      </c>
      <c r="N690" s="0" t="n">
        <v>4783.15</v>
      </c>
      <c r="O690" s="0" t="n">
        <v>2222.81</v>
      </c>
      <c r="P690" s="0" t="n">
        <v>1024.5</v>
      </c>
      <c r="Q690" s="0" t="s">
        <v>22</v>
      </c>
      <c r="R690" s="0" t="s">
        <v>51</v>
      </c>
      <c r="S690" s="0" t="s">
        <v>254</v>
      </c>
    </row>
    <row r="691" customFormat="false" ht="15" hidden="false" customHeight="false" outlineLevel="0" collapsed="false">
      <c r="A691" s="0" t="s">
        <v>2447</v>
      </c>
      <c r="B691" s="0" t="s">
        <v>47</v>
      </c>
      <c r="C691" s="0" t="s">
        <v>206</v>
      </c>
      <c r="D691" s="0" t="s">
        <v>198</v>
      </c>
      <c r="E691" s="0" t="s">
        <v>42</v>
      </c>
      <c r="F691" s="0" t="n">
        <v>13.39</v>
      </c>
      <c r="G691" s="0" t="s">
        <v>954</v>
      </c>
      <c r="H691" s="0" t="s">
        <v>801</v>
      </c>
      <c r="I691" s="0" t="s">
        <v>293</v>
      </c>
      <c r="J691" s="0" t="s">
        <v>1470</v>
      </c>
      <c r="K691" s="0" t="s">
        <v>2448</v>
      </c>
      <c r="L691" s="0" t="n">
        <v>3.9</v>
      </c>
      <c r="M691" s="0" t="n">
        <v>1</v>
      </c>
      <c r="N691" s="0" t="n">
        <v>8896.23</v>
      </c>
      <c r="O691" s="0" t="n">
        <v>3223.48</v>
      </c>
      <c r="P691" s="0" t="n">
        <v>1199.53</v>
      </c>
      <c r="Q691" s="0" t="s">
        <v>25</v>
      </c>
      <c r="R691" s="0" t="s">
        <v>52</v>
      </c>
      <c r="S691" s="0" t="s">
        <v>272</v>
      </c>
    </row>
    <row r="692" customFormat="false" ht="15" hidden="false" customHeight="false" outlineLevel="0" collapsed="false">
      <c r="A692" s="0" t="s">
        <v>2449</v>
      </c>
      <c r="B692" s="0" t="s">
        <v>47</v>
      </c>
      <c r="C692" s="0" t="s">
        <v>199</v>
      </c>
      <c r="D692" s="0" t="s">
        <v>198</v>
      </c>
      <c r="E692" s="0" t="s">
        <v>42</v>
      </c>
      <c r="F692" s="0" t="n">
        <v>8.83</v>
      </c>
      <c r="G692" s="0" t="s">
        <v>691</v>
      </c>
      <c r="H692" s="0" t="s">
        <v>1068</v>
      </c>
      <c r="I692" s="0" t="s">
        <v>413</v>
      </c>
      <c r="J692" s="0" t="s">
        <v>2450</v>
      </c>
      <c r="K692" s="0" t="s">
        <v>2451</v>
      </c>
      <c r="L692" s="0" t="n">
        <v>8.7</v>
      </c>
      <c r="M692" s="0" t="n">
        <v>1</v>
      </c>
      <c r="N692" s="0" t="n">
        <v>3335.93</v>
      </c>
      <c r="O692" s="0" t="n">
        <v>4025.42</v>
      </c>
      <c r="P692" s="0" t="n">
        <v>1294.13</v>
      </c>
      <c r="Q692" s="0" t="s">
        <v>24</v>
      </c>
      <c r="R692" s="0" t="s">
        <v>52</v>
      </c>
      <c r="S692" s="0" t="s">
        <v>228</v>
      </c>
    </row>
    <row r="693" customFormat="false" ht="15" hidden="false" customHeight="false" outlineLevel="0" collapsed="false">
      <c r="A693" s="0" t="s">
        <v>2452</v>
      </c>
      <c r="B693" s="0" t="s">
        <v>48</v>
      </c>
      <c r="C693" s="0" t="s">
        <v>198</v>
      </c>
      <c r="D693" s="0" t="s">
        <v>214</v>
      </c>
      <c r="E693" s="0" t="s">
        <v>42</v>
      </c>
      <c r="F693" s="0" t="n">
        <v>10.4</v>
      </c>
      <c r="G693" s="0" t="s">
        <v>741</v>
      </c>
      <c r="H693" s="0" t="s">
        <v>332</v>
      </c>
      <c r="I693" s="0" t="s">
        <v>1139</v>
      </c>
      <c r="J693" s="0" t="s">
        <v>2453</v>
      </c>
      <c r="K693" s="0" t="s">
        <v>2454</v>
      </c>
      <c r="L693" s="0" t="n">
        <v>-0.7</v>
      </c>
      <c r="M693" s="0" t="n">
        <v>0</v>
      </c>
      <c r="N693" s="0" t="n">
        <v>4980.64</v>
      </c>
      <c r="O693" s="0" t="n">
        <v>4568.95</v>
      </c>
      <c r="P693" s="0" t="n">
        <v>930.94</v>
      </c>
      <c r="Q693" s="0" t="s">
        <v>22</v>
      </c>
      <c r="R693" s="0" t="s">
        <v>51</v>
      </c>
      <c r="S693" s="0" t="s">
        <v>222</v>
      </c>
    </row>
    <row r="694" customFormat="false" ht="15" hidden="false" customHeight="false" outlineLevel="0" collapsed="false">
      <c r="A694" s="0" t="s">
        <v>2455</v>
      </c>
      <c r="B694" s="0" t="s">
        <v>47</v>
      </c>
      <c r="C694" s="0" t="s">
        <v>206</v>
      </c>
      <c r="D694" s="0" t="s">
        <v>198</v>
      </c>
      <c r="E694" s="0" t="s">
        <v>42</v>
      </c>
      <c r="F694" s="0" t="n">
        <v>4.76</v>
      </c>
      <c r="G694" s="0" t="s">
        <v>398</v>
      </c>
      <c r="H694" s="0" t="s">
        <v>528</v>
      </c>
      <c r="I694" s="0" t="s">
        <v>949</v>
      </c>
      <c r="J694" s="0" t="s">
        <v>2456</v>
      </c>
      <c r="K694" s="0" t="s">
        <v>2457</v>
      </c>
      <c r="L694" s="0" t="n">
        <v>0.6</v>
      </c>
      <c r="M694" s="0" t="n">
        <v>1</v>
      </c>
      <c r="N694" s="0" t="n">
        <v>1832.13</v>
      </c>
      <c r="O694" s="0" t="n">
        <v>3917.66</v>
      </c>
      <c r="P694" s="0" t="n">
        <v>1059.72</v>
      </c>
      <c r="Q694" s="0" t="s">
        <v>21</v>
      </c>
      <c r="R694" s="0" t="s">
        <v>52</v>
      </c>
      <c r="S694" s="0" t="s">
        <v>254</v>
      </c>
    </row>
    <row r="695" customFormat="false" ht="15" hidden="false" customHeight="false" outlineLevel="0" collapsed="false">
      <c r="A695" s="0" t="s">
        <v>2458</v>
      </c>
      <c r="B695" s="0" t="s">
        <v>48</v>
      </c>
      <c r="C695" s="0" t="s">
        <v>198</v>
      </c>
      <c r="D695" s="0" t="s">
        <v>199</v>
      </c>
      <c r="E695" s="0" t="s">
        <v>44</v>
      </c>
      <c r="F695" s="0" t="n">
        <v>7.82</v>
      </c>
      <c r="G695" s="0" t="s">
        <v>293</v>
      </c>
      <c r="H695" s="0" t="s">
        <v>876</v>
      </c>
      <c r="I695" s="0" t="s">
        <v>501</v>
      </c>
      <c r="J695" s="0" t="s">
        <v>2459</v>
      </c>
      <c r="K695" s="0" t="s">
        <v>2460</v>
      </c>
      <c r="L695" s="0" t="n">
        <v>-1</v>
      </c>
      <c r="M695" s="0" t="n">
        <v>0</v>
      </c>
      <c r="N695" s="0" t="n">
        <v>2792.36</v>
      </c>
      <c r="O695" s="0" t="n">
        <v>4730.56</v>
      </c>
      <c r="P695" s="0" t="n">
        <v>894.55</v>
      </c>
      <c r="Q695" s="0" t="s">
        <v>24</v>
      </c>
      <c r="R695" s="0" t="s">
        <v>52</v>
      </c>
      <c r="S695" s="0" t="s">
        <v>247</v>
      </c>
    </row>
    <row r="696" customFormat="false" ht="15" hidden="false" customHeight="false" outlineLevel="0" collapsed="false">
      <c r="A696" s="0" t="s">
        <v>2461</v>
      </c>
      <c r="B696" s="0" t="s">
        <v>47</v>
      </c>
      <c r="C696" s="0" t="s">
        <v>209</v>
      </c>
      <c r="D696" s="0" t="s">
        <v>198</v>
      </c>
      <c r="E696" s="0" t="s">
        <v>43</v>
      </c>
      <c r="F696" s="0" t="n">
        <v>16.06</v>
      </c>
      <c r="G696" s="0" t="s">
        <v>719</v>
      </c>
      <c r="H696" s="0" t="s">
        <v>784</v>
      </c>
      <c r="I696" s="0" t="s">
        <v>785</v>
      </c>
      <c r="J696" s="0" t="s">
        <v>2462</v>
      </c>
      <c r="K696" s="0" t="s">
        <v>2463</v>
      </c>
      <c r="L696" s="0" t="n">
        <v>-1</v>
      </c>
      <c r="M696" s="0" t="n">
        <v>0</v>
      </c>
      <c r="N696" s="0" t="n">
        <v>4344.86</v>
      </c>
      <c r="O696" s="0" t="n">
        <v>4503.05</v>
      </c>
      <c r="P696" s="0" t="n">
        <v>1252.35</v>
      </c>
      <c r="Q696" s="0" t="s">
        <v>24</v>
      </c>
      <c r="R696" s="0" t="s">
        <v>52</v>
      </c>
      <c r="S696" s="0" t="s">
        <v>228</v>
      </c>
    </row>
    <row r="697" customFormat="false" ht="15" hidden="false" customHeight="false" outlineLevel="0" collapsed="false">
      <c r="A697" s="0" t="s">
        <v>2464</v>
      </c>
      <c r="B697" s="0" t="s">
        <v>48</v>
      </c>
      <c r="C697" s="0" t="s">
        <v>198</v>
      </c>
      <c r="D697" s="0" t="s">
        <v>207</v>
      </c>
      <c r="E697" s="0" t="s">
        <v>42</v>
      </c>
      <c r="F697" s="0" t="n">
        <v>1.34</v>
      </c>
      <c r="G697" s="0" t="s">
        <v>523</v>
      </c>
      <c r="H697" s="0" t="s">
        <v>624</v>
      </c>
      <c r="I697" s="0" t="s">
        <v>570</v>
      </c>
      <c r="J697" s="0" t="s">
        <v>2465</v>
      </c>
      <c r="K697" s="0" t="s">
        <v>2466</v>
      </c>
      <c r="L697" s="0" t="n">
        <v>4.2</v>
      </c>
      <c r="M697" s="0" t="n">
        <v>1</v>
      </c>
      <c r="N697" s="0" t="n">
        <v>1457.94</v>
      </c>
      <c r="O697" s="0" t="n">
        <v>4195.79</v>
      </c>
      <c r="P697" s="0" t="n">
        <v>1303.04</v>
      </c>
      <c r="Q697" s="0" t="s">
        <v>25</v>
      </c>
      <c r="R697" s="0" t="s">
        <v>51</v>
      </c>
      <c r="S697" s="0" t="s">
        <v>222</v>
      </c>
    </row>
    <row r="698" customFormat="false" ht="15" hidden="false" customHeight="false" outlineLevel="0" collapsed="false">
      <c r="A698" s="0" t="s">
        <v>2467</v>
      </c>
      <c r="B698" s="0" t="s">
        <v>48</v>
      </c>
      <c r="C698" s="0" t="s">
        <v>198</v>
      </c>
      <c r="D698" s="0" t="s">
        <v>211</v>
      </c>
      <c r="E698" s="0" t="s">
        <v>42</v>
      </c>
      <c r="F698" s="0" t="n">
        <v>8.89</v>
      </c>
      <c r="G698" s="0" t="s">
        <v>482</v>
      </c>
      <c r="H698" s="0" t="s">
        <v>826</v>
      </c>
      <c r="I698" s="0" t="s">
        <v>381</v>
      </c>
      <c r="J698" s="0" t="s">
        <v>2468</v>
      </c>
      <c r="K698" s="0" t="s">
        <v>2469</v>
      </c>
      <c r="L698" s="0" t="n">
        <v>4.5</v>
      </c>
      <c r="M698" s="0" t="n">
        <v>1</v>
      </c>
      <c r="N698" s="0" t="n">
        <v>4703.38</v>
      </c>
      <c r="O698" s="0" t="n">
        <v>2218.09</v>
      </c>
      <c r="P698" s="0" t="n">
        <v>524.86</v>
      </c>
      <c r="Q698" s="0" t="s">
        <v>21</v>
      </c>
      <c r="R698" s="0" t="s">
        <v>51</v>
      </c>
      <c r="S698" s="0" t="s">
        <v>222</v>
      </c>
    </row>
    <row r="699" customFormat="false" ht="15" hidden="false" customHeight="false" outlineLevel="0" collapsed="false">
      <c r="A699" s="0" t="s">
        <v>2470</v>
      </c>
      <c r="B699" s="0" t="s">
        <v>47</v>
      </c>
      <c r="C699" s="0" t="s">
        <v>205</v>
      </c>
      <c r="D699" s="0" t="s">
        <v>198</v>
      </c>
      <c r="E699" s="0" t="s">
        <v>42</v>
      </c>
      <c r="F699" s="0" t="n">
        <v>1.07</v>
      </c>
      <c r="G699" s="0" t="s">
        <v>288</v>
      </c>
      <c r="H699" s="0" t="s">
        <v>727</v>
      </c>
      <c r="I699" s="0" t="s">
        <v>672</v>
      </c>
      <c r="J699" s="0" t="s">
        <v>2471</v>
      </c>
      <c r="K699" s="0" t="s">
        <v>2472</v>
      </c>
      <c r="L699" s="0" t="n">
        <v>5.7</v>
      </c>
      <c r="M699" s="0" t="n">
        <v>1</v>
      </c>
      <c r="N699" s="0" t="n">
        <v>1787.11</v>
      </c>
      <c r="O699" s="0" t="n">
        <v>3645.86</v>
      </c>
      <c r="P699" s="0" t="n">
        <v>1403.27</v>
      </c>
      <c r="Q699" s="0" t="s">
        <v>23</v>
      </c>
      <c r="R699" s="0" t="s">
        <v>52</v>
      </c>
      <c r="S699" s="0" t="s">
        <v>228</v>
      </c>
    </row>
    <row r="700" customFormat="false" ht="15" hidden="false" customHeight="false" outlineLevel="0" collapsed="false">
      <c r="A700" s="0" t="s">
        <v>2473</v>
      </c>
      <c r="B700" s="0" t="s">
        <v>47</v>
      </c>
      <c r="C700" s="0" t="s">
        <v>206</v>
      </c>
      <c r="D700" s="0" t="s">
        <v>198</v>
      </c>
      <c r="E700" s="0" t="s">
        <v>42</v>
      </c>
      <c r="F700" s="0" t="n">
        <v>2.87</v>
      </c>
      <c r="G700" s="0" t="s">
        <v>488</v>
      </c>
      <c r="H700" s="0" t="s">
        <v>672</v>
      </c>
      <c r="I700" s="0" t="s">
        <v>516</v>
      </c>
      <c r="J700" s="0" t="s">
        <v>2474</v>
      </c>
      <c r="K700" s="0" t="s">
        <v>2475</v>
      </c>
      <c r="L700" s="0" t="n">
        <v>3.4</v>
      </c>
      <c r="M700" s="0" t="n">
        <v>1</v>
      </c>
      <c r="N700" s="0" t="n">
        <v>1779.47</v>
      </c>
      <c r="O700" s="0" t="n">
        <v>4089.07</v>
      </c>
      <c r="P700" s="0" t="n">
        <v>575.53</v>
      </c>
      <c r="Q700" s="0" t="s">
        <v>24</v>
      </c>
      <c r="R700" s="0" t="s">
        <v>52</v>
      </c>
      <c r="S700" s="0" t="s">
        <v>254</v>
      </c>
    </row>
    <row r="701" customFormat="false" ht="15" hidden="false" customHeight="false" outlineLevel="0" collapsed="false">
      <c r="A701" s="0" t="s">
        <v>2476</v>
      </c>
      <c r="B701" s="0" t="s">
        <v>48</v>
      </c>
      <c r="C701" s="0" t="s">
        <v>198</v>
      </c>
      <c r="D701" s="0" t="s">
        <v>207</v>
      </c>
      <c r="E701" s="0" t="s">
        <v>43</v>
      </c>
      <c r="F701" s="0" t="n">
        <v>16.72</v>
      </c>
      <c r="G701" s="0" t="s">
        <v>648</v>
      </c>
      <c r="H701" s="0" t="s">
        <v>398</v>
      </c>
      <c r="I701" s="0" t="s">
        <v>315</v>
      </c>
      <c r="J701" s="0" t="s">
        <v>2477</v>
      </c>
      <c r="K701" s="0" t="s">
        <v>2478</v>
      </c>
      <c r="L701" s="0" t="n">
        <v>-0.4</v>
      </c>
      <c r="M701" s="0" t="n">
        <v>0</v>
      </c>
      <c r="N701" s="0" t="n">
        <v>5207.97</v>
      </c>
      <c r="O701" s="0" t="n">
        <v>4846.17</v>
      </c>
      <c r="P701" s="0" t="n">
        <v>1307.26</v>
      </c>
      <c r="Q701" s="0" t="s">
        <v>23</v>
      </c>
      <c r="R701" s="0" t="s">
        <v>52</v>
      </c>
      <c r="S701" s="0" t="s">
        <v>222</v>
      </c>
    </row>
    <row r="702" customFormat="false" ht="15" hidden="false" customHeight="false" outlineLevel="0" collapsed="false">
      <c r="A702" s="0" t="s">
        <v>2479</v>
      </c>
      <c r="B702" s="0" t="s">
        <v>47</v>
      </c>
      <c r="C702" s="0" t="s">
        <v>199</v>
      </c>
      <c r="D702" s="0" t="s">
        <v>198</v>
      </c>
      <c r="E702" s="0" t="s">
        <v>43</v>
      </c>
      <c r="F702" s="0" t="n">
        <v>9.73</v>
      </c>
      <c r="G702" s="0" t="s">
        <v>487</v>
      </c>
      <c r="H702" s="0" t="s">
        <v>668</v>
      </c>
      <c r="I702" s="0" t="s">
        <v>673</v>
      </c>
      <c r="J702" s="0" t="s">
        <v>2480</v>
      </c>
      <c r="K702" s="0" t="s">
        <v>2481</v>
      </c>
      <c r="L702" s="0" t="n">
        <v>5.7</v>
      </c>
      <c r="M702" s="0" t="n">
        <v>1</v>
      </c>
      <c r="N702" s="0" t="n">
        <v>2858.67</v>
      </c>
      <c r="O702" s="0" t="n">
        <v>4753.79</v>
      </c>
      <c r="P702" s="0" t="n">
        <v>671.09</v>
      </c>
      <c r="Q702" s="0" t="s">
        <v>21</v>
      </c>
      <c r="R702" s="0" t="s">
        <v>51</v>
      </c>
      <c r="S702" s="0" t="s">
        <v>247</v>
      </c>
    </row>
    <row r="703" customFormat="false" ht="15" hidden="false" customHeight="false" outlineLevel="0" collapsed="false">
      <c r="A703" s="0" t="s">
        <v>2482</v>
      </c>
      <c r="B703" s="0" t="s">
        <v>48</v>
      </c>
      <c r="C703" s="0" t="s">
        <v>198</v>
      </c>
      <c r="D703" s="0" t="s">
        <v>214</v>
      </c>
      <c r="E703" s="0" t="s">
        <v>43</v>
      </c>
      <c r="F703" s="0" t="n">
        <v>3.15</v>
      </c>
      <c r="G703" s="0" t="s">
        <v>337</v>
      </c>
      <c r="H703" s="0" t="s">
        <v>541</v>
      </c>
      <c r="I703" s="0" t="s">
        <v>267</v>
      </c>
      <c r="J703" s="0" t="s">
        <v>2483</v>
      </c>
      <c r="K703" s="0" t="s">
        <v>544</v>
      </c>
      <c r="L703" s="0" t="n">
        <v>5</v>
      </c>
      <c r="M703" s="0" t="n">
        <v>1</v>
      </c>
      <c r="N703" s="0" t="n">
        <v>3277.66</v>
      </c>
      <c r="O703" s="0" t="n">
        <v>1296.3</v>
      </c>
      <c r="P703" s="0" t="n">
        <v>1492.83</v>
      </c>
      <c r="Q703" s="0" t="s">
        <v>21</v>
      </c>
      <c r="R703" s="0" t="s">
        <v>51</v>
      </c>
      <c r="S703" s="0" t="s">
        <v>228</v>
      </c>
    </row>
    <row r="704" customFormat="false" ht="15" hidden="false" customHeight="false" outlineLevel="0" collapsed="false">
      <c r="A704" s="0" t="s">
        <v>2484</v>
      </c>
      <c r="B704" s="0" t="s">
        <v>47</v>
      </c>
      <c r="C704" s="0" t="s">
        <v>203</v>
      </c>
      <c r="D704" s="0" t="s">
        <v>198</v>
      </c>
      <c r="E704" s="0" t="s">
        <v>43</v>
      </c>
      <c r="F704" s="0" t="n">
        <v>8.75</v>
      </c>
      <c r="G704" s="0" t="s">
        <v>784</v>
      </c>
      <c r="H704" s="0" t="s">
        <v>311</v>
      </c>
      <c r="I704" s="0" t="s">
        <v>785</v>
      </c>
      <c r="J704" s="0" t="s">
        <v>2485</v>
      </c>
      <c r="K704" s="0" t="s">
        <v>2463</v>
      </c>
      <c r="L704" s="0" t="n">
        <v>-1</v>
      </c>
      <c r="M704" s="0" t="n">
        <v>0</v>
      </c>
      <c r="N704" s="0" t="n">
        <v>5446.43</v>
      </c>
      <c r="O704" s="0" t="n">
        <v>3289.26</v>
      </c>
      <c r="P704" s="0" t="n">
        <v>1499.21</v>
      </c>
      <c r="Q704" s="0" t="s">
        <v>22</v>
      </c>
      <c r="R704" s="0" t="s">
        <v>51</v>
      </c>
      <c r="S704" s="0" t="s">
        <v>228</v>
      </c>
    </row>
    <row r="705" customFormat="false" ht="15" hidden="false" customHeight="false" outlineLevel="0" collapsed="false">
      <c r="A705" s="0" t="s">
        <v>2486</v>
      </c>
      <c r="B705" s="0" t="s">
        <v>47</v>
      </c>
      <c r="C705" s="0" t="s">
        <v>206</v>
      </c>
      <c r="D705" s="0" t="s">
        <v>198</v>
      </c>
      <c r="E705" s="0" t="s">
        <v>42</v>
      </c>
      <c r="F705" s="0" t="n">
        <v>6.45</v>
      </c>
      <c r="G705" s="0" t="s">
        <v>310</v>
      </c>
      <c r="H705" s="0" t="s">
        <v>482</v>
      </c>
      <c r="I705" s="0" t="s">
        <v>785</v>
      </c>
      <c r="J705" s="0" t="s">
        <v>1508</v>
      </c>
      <c r="K705" s="0" t="s">
        <v>2487</v>
      </c>
      <c r="L705" s="0" t="n">
        <v>3</v>
      </c>
      <c r="M705" s="0" t="n">
        <v>1</v>
      </c>
      <c r="N705" s="0" t="n">
        <v>4926.19</v>
      </c>
      <c r="O705" s="0" t="n">
        <v>3239.18</v>
      </c>
      <c r="P705" s="0" t="n">
        <v>1020.12</v>
      </c>
      <c r="Q705" s="0" t="s">
        <v>21</v>
      </c>
      <c r="R705" s="0" t="s">
        <v>51</v>
      </c>
      <c r="S705" s="0" t="s">
        <v>254</v>
      </c>
    </row>
    <row r="706" customFormat="false" ht="15" hidden="false" customHeight="false" outlineLevel="0" collapsed="false">
      <c r="A706" s="0" t="s">
        <v>2488</v>
      </c>
      <c r="B706" s="0" t="s">
        <v>47</v>
      </c>
      <c r="C706" s="0" t="s">
        <v>205</v>
      </c>
      <c r="D706" s="0" t="s">
        <v>198</v>
      </c>
      <c r="E706" s="0" t="s">
        <v>42</v>
      </c>
      <c r="F706" s="0" t="n">
        <v>12.6</v>
      </c>
      <c r="G706" s="0" t="s">
        <v>854</v>
      </c>
      <c r="H706" s="0" t="s">
        <v>846</v>
      </c>
      <c r="I706" s="0" t="s">
        <v>826</v>
      </c>
      <c r="J706" s="0" t="s">
        <v>1491</v>
      </c>
      <c r="K706" s="0" t="s">
        <v>2463</v>
      </c>
      <c r="L706" s="0" t="n">
        <v>3</v>
      </c>
      <c r="M706" s="0" t="n">
        <v>1</v>
      </c>
      <c r="N706" s="0" t="n">
        <v>7916.7</v>
      </c>
      <c r="O706" s="0" t="n">
        <v>1627.67</v>
      </c>
      <c r="P706" s="0" t="n">
        <v>515.02</v>
      </c>
      <c r="Q706" s="0" t="s">
        <v>23</v>
      </c>
      <c r="R706" s="0" t="s">
        <v>51</v>
      </c>
      <c r="S706" s="0" t="s">
        <v>247</v>
      </c>
    </row>
    <row r="707" customFormat="false" ht="15" hidden="false" customHeight="false" outlineLevel="0" collapsed="false">
      <c r="A707" s="0" t="s">
        <v>2489</v>
      </c>
      <c r="B707" s="0" t="s">
        <v>47</v>
      </c>
      <c r="C707" s="0" t="s">
        <v>203</v>
      </c>
      <c r="D707" s="0" t="s">
        <v>198</v>
      </c>
      <c r="E707" s="0" t="s">
        <v>43</v>
      </c>
      <c r="F707" s="0" t="n">
        <v>6.94</v>
      </c>
      <c r="G707" s="0" t="s">
        <v>978</v>
      </c>
      <c r="H707" s="0" t="s">
        <v>542</v>
      </c>
      <c r="I707" s="0" t="s">
        <v>681</v>
      </c>
      <c r="J707" s="0" t="s">
        <v>2490</v>
      </c>
      <c r="K707" s="0" t="s">
        <v>2491</v>
      </c>
      <c r="L707" s="0" t="n">
        <v>4.7</v>
      </c>
      <c r="M707" s="0" t="n">
        <v>1</v>
      </c>
      <c r="N707" s="0" t="n">
        <v>4313.51</v>
      </c>
      <c r="O707" s="0" t="n">
        <v>2097.65</v>
      </c>
      <c r="P707" s="0" t="n">
        <v>900.03</v>
      </c>
      <c r="Q707" s="0" t="s">
        <v>21</v>
      </c>
      <c r="R707" s="0" t="s">
        <v>51</v>
      </c>
      <c r="S707" s="0" t="s">
        <v>222</v>
      </c>
    </row>
    <row r="708" customFormat="false" ht="15" hidden="false" customHeight="false" outlineLevel="0" collapsed="false">
      <c r="A708" s="0" t="s">
        <v>2492</v>
      </c>
      <c r="B708" s="0" t="s">
        <v>47</v>
      </c>
      <c r="C708" s="0" t="s">
        <v>209</v>
      </c>
      <c r="D708" s="0" t="s">
        <v>198</v>
      </c>
      <c r="E708" s="0" t="s">
        <v>42</v>
      </c>
      <c r="F708" s="0" t="n">
        <v>15.79</v>
      </c>
      <c r="G708" s="0" t="s">
        <v>1019</v>
      </c>
      <c r="H708" s="0" t="s">
        <v>710</v>
      </c>
      <c r="I708" s="0" t="s">
        <v>218</v>
      </c>
      <c r="J708" s="0" t="s">
        <v>2493</v>
      </c>
      <c r="K708" s="0" t="s">
        <v>2494</v>
      </c>
      <c r="L708" s="0" t="n">
        <v>5.8</v>
      </c>
      <c r="M708" s="0" t="n">
        <v>1</v>
      </c>
      <c r="N708" s="0" t="n">
        <v>4154.21</v>
      </c>
      <c r="O708" s="0" t="n">
        <v>3753.43</v>
      </c>
      <c r="P708" s="0" t="n">
        <v>759.79</v>
      </c>
      <c r="Q708" s="0" t="s">
        <v>23</v>
      </c>
      <c r="R708" s="0" t="s">
        <v>51</v>
      </c>
      <c r="S708" s="0" t="s">
        <v>222</v>
      </c>
    </row>
    <row r="709" customFormat="false" ht="15" hidden="false" customHeight="false" outlineLevel="0" collapsed="false">
      <c r="A709" s="0" t="s">
        <v>2495</v>
      </c>
      <c r="B709" s="0" t="s">
        <v>48</v>
      </c>
      <c r="C709" s="0" t="s">
        <v>198</v>
      </c>
      <c r="D709" s="0" t="s">
        <v>208</v>
      </c>
      <c r="E709" s="0" t="s">
        <v>44</v>
      </c>
      <c r="F709" s="0" t="n">
        <v>5.84</v>
      </c>
      <c r="G709" s="0" t="s">
        <v>444</v>
      </c>
      <c r="H709" s="0" t="s">
        <v>497</v>
      </c>
      <c r="I709" s="0" t="s">
        <v>445</v>
      </c>
      <c r="J709" s="0" t="s">
        <v>2226</v>
      </c>
      <c r="K709" s="0" t="s">
        <v>2496</v>
      </c>
      <c r="L709" s="0" t="n">
        <v>2.6</v>
      </c>
      <c r="M709" s="0" t="n">
        <v>1</v>
      </c>
      <c r="N709" s="0" t="n">
        <v>2822.8</v>
      </c>
      <c r="O709" s="0" t="n">
        <v>3511.46</v>
      </c>
      <c r="P709" s="0" t="n">
        <v>865.23</v>
      </c>
      <c r="Q709" s="0" t="s">
        <v>23</v>
      </c>
      <c r="R709" s="0" t="s">
        <v>52</v>
      </c>
      <c r="S709" s="0" t="s">
        <v>247</v>
      </c>
    </row>
    <row r="710" customFormat="false" ht="15" hidden="false" customHeight="false" outlineLevel="0" collapsed="false">
      <c r="A710" s="0" t="s">
        <v>2497</v>
      </c>
      <c r="B710" s="0" t="s">
        <v>47</v>
      </c>
      <c r="C710" s="0" t="s">
        <v>209</v>
      </c>
      <c r="D710" s="0" t="s">
        <v>198</v>
      </c>
      <c r="E710" s="0" t="s">
        <v>43</v>
      </c>
      <c r="F710" s="0" t="n">
        <v>11.17</v>
      </c>
      <c r="G710" s="0" t="s">
        <v>1080</v>
      </c>
      <c r="H710" s="0" t="s">
        <v>1205</v>
      </c>
      <c r="I710" s="0" t="s">
        <v>293</v>
      </c>
      <c r="J710" s="0" t="s">
        <v>2498</v>
      </c>
      <c r="K710" s="0" t="s">
        <v>345</v>
      </c>
      <c r="L710" s="0" t="n">
        <v>-1</v>
      </c>
      <c r="M710" s="0" t="n">
        <v>0</v>
      </c>
      <c r="N710" s="0" t="n">
        <v>3336.71</v>
      </c>
      <c r="O710" s="0" t="n">
        <v>1218.05</v>
      </c>
      <c r="P710" s="0" t="n">
        <v>1166.53</v>
      </c>
      <c r="Q710" s="0" t="s">
        <v>22</v>
      </c>
      <c r="R710" s="0" t="s">
        <v>52</v>
      </c>
      <c r="S710" s="0" t="s">
        <v>272</v>
      </c>
    </row>
    <row r="711" customFormat="false" ht="15" hidden="false" customHeight="false" outlineLevel="0" collapsed="false">
      <c r="A711" s="0" t="s">
        <v>2499</v>
      </c>
      <c r="B711" s="0" t="s">
        <v>47</v>
      </c>
      <c r="C711" s="0" t="s">
        <v>209</v>
      </c>
      <c r="D711" s="0" t="s">
        <v>198</v>
      </c>
      <c r="E711" s="0" t="s">
        <v>43</v>
      </c>
      <c r="F711" s="0" t="n">
        <v>16.34</v>
      </c>
      <c r="G711" s="0" t="s">
        <v>507</v>
      </c>
      <c r="H711" s="0" t="s">
        <v>325</v>
      </c>
      <c r="I711" s="0" t="s">
        <v>624</v>
      </c>
      <c r="J711" s="0" t="s">
        <v>2500</v>
      </c>
      <c r="K711" s="0" t="s">
        <v>629</v>
      </c>
      <c r="L711" s="0" t="n">
        <v>-0.4</v>
      </c>
      <c r="M711" s="0" t="n">
        <v>0</v>
      </c>
      <c r="N711" s="0" t="n">
        <v>10788.36</v>
      </c>
      <c r="O711" s="0" t="n">
        <v>4237.71</v>
      </c>
      <c r="P711" s="0" t="n">
        <v>1300.15</v>
      </c>
      <c r="Q711" s="0" t="s">
        <v>25</v>
      </c>
      <c r="R711" s="0" t="s">
        <v>52</v>
      </c>
      <c r="S711" s="0" t="s">
        <v>228</v>
      </c>
    </row>
    <row r="712" customFormat="false" ht="15" hidden="false" customHeight="false" outlineLevel="0" collapsed="false">
      <c r="A712" s="0" t="s">
        <v>2501</v>
      </c>
      <c r="B712" s="0" t="s">
        <v>47</v>
      </c>
      <c r="C712" s="0" t="s">
        <v>206</v>
      </c>
      <c r="D712" s="0" t="s">
        <v>198</v>
      </c>
      <c r="E712" s="0" t="s">
        <v>42</v>
      </c>
      <c r="F712" s="0" t="n">
        <v>18.71</v>
      </c>
      <c r="G712" s="0" t="s">
        <v>800</v>
      </c>
      <c r="H712" s="0" t="s">
        <v>364</v>
      </c>
      <c r="I712" s="0" t="s">
        <v>801</v>
      </c>
      <c r="J712" s="0" t="s">
        <v>1517</v>
      </c>
      <c r="K712" s="0" t="s">
        <v>2502</v>
      </c>
      <c r="L712" s="0" t="n">
        <v>0.4</v>
      </c>
      <c r="M712" s="0" t="n">
        <v>1</v>
      </c>
      <c r="N712" s="0" t="n">
        <v>8016.7</v>
      </c>
      <c r="O712" s="0" t="n">
        <v>2159.7</v>
      </c>
      <c r="P712" s="0" t="n">
        <v>1352.94</v>
      </c>
      <c r="Q712" s="0" t="s">
        <v>21</v>
      </c>
      <c r="R712" s="0" t="s">
        <v>52</v>
      </c>
      <c r="S712" s="0" t="s">
        <v>228</v>
      </c>
    </row>
    <row r="713" customFormat="false" ht="15" hidden="false" customHeight="false" outlineLevel="0" collapsed="false">
      <c r="A713" s="0" t="s">
        <v>2503</v>
      </c>
      <c r="B713" s="0" t="s">
        <v>47</v>
      </c>
      <c r="C713" s="0" t="s">
        <v>199</v>
      </c>
      <c r="D713" s="0" t="s">
        <v>198</v>
      </c>
      <c r="E713" s="0" t="s">
        <v>42</v>
      </c>
      <c r="F713" s="0" t="n">
        <v>8.36</v>
      </c>
      <c r="G713" s="0" t="s">
        <v>2247</v>
      </c>
      <c r="H713" s="0" t="s">
        <v>714</v>
      </c>
      <c r="I713" s="0" t="s">
        <v>576</v>
      </c>
      <c r="J713" s="0" t="s">
        <v>2504</v>
      </c>
      <c r="K713" s="0" t="s">
        <v>910</v>
      </c>
      <c r="L713" s="0" t="n">
        <v>3.6</v>
      </c>
      <c r="M713" s="0" t="n">
        <v>1</v>
      </c>
      <c r="N713" s="0" t="n">
        <v>3191.8</v>
      </c>
      <c r="O713" s="0" t="n">
        <v>3681.79</v>
      </c>
      <c r="P713" s="0" t="n">
        <v>788.84</v>
      </c>
      <c r="Q713" s="0" t="s">
        <v>21</v>
      </c>
      <c r="R713" s="0" t="s">
        <v>51</v>
      </c>
      <c r="S713" s="0" t="s">
        <v>222</v>
      </c>
    </row>
    <row r="714" customFormat="false" ht="15" hidden="false" customHeight="false" outlineLevel="0" collapsed="false">
      <c r="A714" s="0" t="s">
        <v>2505</v>
      </c>
      <c r="B714" s="0" t="s">
        <v>47</v>
      </c>
      <c r="C714" s="0" t="s">
        <v>206</v>
      </c>
      <c r="D714" s="0" t="s">
        <v>198</v>
      </c>
      <c r="E714" s="0" t="s">
        <v>43</v>
      </c>
      <c r="F714" s="0" t="n">
        <v>12.13</v>
      </c>
      <c r="G714" s="0" t="s">
        <v>542</v>
      </c>
      <c r="H714" s="0" t="s">
        <v>478</v>
      </c>
      <c r="I714" s="0" t="s">
        <v>230</v>
      </c>
      <c r="J714" s="0" t="s">
        <v>2506</v>
      </c>
      <c r="K714" s="0" t="s">
        <v>2507</v>
      </c>
      <c r="L714" s="0" t="n">
        <v>0.9</v>
      </c>
      <c r="M714" s="0" t="n">
        <v>1</v>
      </c>
      <c r="N714" s="0" t="n">
        <v>5699.27</v>
      </c>
      <c r="O714" s="0" t="n">
        <v>4420.31</v>
      </c>
      <c r="P714" s="0" t="n">
        <v>931.92</v>
      </c>
      <c r="Q714" s="0" t="s">
        <v>24</v>
      </c>
      <c r="R714" s="0" t="s">
        <v>52</v>
      </c>
      <c r="S714" s="0" t="s">
        <v>272</v>
      </c>
    </row>
    <row r="715" customFormat="false" ht="15" hidden="false" customHeight="false" outlineLevel="0" collapsed="false">
      <c r="A715" s="0" t="s">
        <v>2508</v>
      </c>
      <c r="B715" s="0" t="s">
        <v>47</v>
      </c>
      <c r="C715" s="0" t="s">
        <v>209</v>
      </c>
      <c r="D715" s="0" t="s">
        <v>198</v>
      </c>
      <c r="E715" s="0" t="s">
        <v>42</v>
      </c>
      <c r="F715" s="0" t="n">
        <v>8.34</v>
      </c>
      <c r="G715" s="0" t="s">
        <v>895</v>
      </c>
      <c r="H715" s="0" t="s">
        <v>896</v>
      </c>
      <c r="I715" s="0" t="s">
        <v>461</v>
      </c>
      <c r="J715" s="0" t="s">
        <v>2509</v>
      </c>
      <c r="K715" s="0" t="s">
        <v>2510</v>
      </c>
      <c r="L715" s="0" t="n">
        <v>-1</v>
      </c>
      <c r="M715" s="0" t="n">
        <v>0</v>
      </c>
      <c r="N715" s="0" t="n">
        <v>6737.24</v>
      </c>
      <c r="O715" s="0" t="n">
        <v>3516.59</v>
      </c>
      <c r="P715" s="0" t="n">
        <v>870.29</v>
      </c>
      <c r="Q715" s="0" t="s">
        <v>21</v>
      </c>
      <c r="R715" s="0" t="s">
        <v>52</v>
      </c>
      <c r="S715" s="0" t="s">
        <v>247</v>
      </c>
    </row>
    <row r="716" customFormat="false" ht="15" hidden="false" customHeight="false" outlineLevel="0" collapsed="false">
      <c r="A716" s="0" t="s">
        <v>2511</v>
      </c>
      <c r="B716" s="0" t="s">
        <v>47</v>
      </c>
      <c r="C716" s="0" t="s">
        <v>206</v>
      </c>
      <c r="D716" s="0" t="s">
        <v>198</v>
      </c>
      <c r="E716" s="0" t="s">
        <v>42</v>
      </c>
      <c r="F716" s="0" t="n">
        <v>5.3</v>
      </c>
      <c r="G716" s="0" t="s">
        <v>723</v>
      </c>
      <c r="H716" s="0" t="s">
        <v>331</v>
      </c>
      <c r="I716" s="0" t="s">
        <v>741</v>
      </c>
      <c r="J716" s="0" t="s">
        <v>2512</v>
      </c>
      <c r="K716" s="0" t="s">
        <v>1271</v>
      </c>
      <c r="L716" s="0" t="n">
        <v>-1</v>
      </c>
      <c r="M716" s="0" t="n">
        <v>0</v>
      </c>
      <c r="N716" s="0" t="n">
        <v>2597.85</v>
      </c>
      <c r="O716" s="0" t="n">
        <v>1609.16</v>
      </c>
      <c r="P716" s="0" t="n">
        <v>763.98</v>
      </c>
      <c r="Q716" s="0" t="s">
        <v>24</v>
      </c>
      <c r="R716" s="0" t="s">
        <v>51</v>
      </c>
      <c r="S716" s="0" t="s">
        <v>272</v>
      </c>
    </row>
    <row r="717" customFormat="false" ht="15" hidden="false" customHeight="false" outlineLevel="0" collapsed="false">
      <c r="A717" s="0" t="s">
        <v>2513</v>
      </c>
      <c r="B717" s="0" t="s">
        <v>48</v>
      </c>
      <c r="C717" s="0" t="s">
        <v>198</v>
      </c>
      <c r="D717" s="0" t="s">
        <v>204</v>
      </c>
      <c r="E717" s="0" t="s">
        <v>43</v>
      </c>
      <c r="F717" s="0" t="n">
        <v>9.12</v>
      </c>
      <c r="G717" s="0" t="s">
        <v>731</v>
      </c>
      <c r="H717" s="0" t="s">
        <v>1051</v>
      </c>
      <c r="I717" s="0" t="s">
        <v>362</v>
      </c>
      <c r="J717" s="0" t="s">
        <v>2514</v>
      </c>
      <c r="K717" s="0" t="s">
        <v>2515</v>
      </c>
      <c r="L717" s="0" t="n">
        <v>2.9</v>
      </c>
      <c r="M717" s="0" t="n">
        <v>1</v>
      </c>
      <c r="N717" s="0" t="n">
        <v>4089.27</v>
      </c>
      <c r="O717" s="0" t="n">
        <v>1722.55</v>
      </c>
      <c r="P717" s="0" t="n">
        <v>985.63</v>
      </c>
      <c r="Q717" s="0" t="s">
        <v>22</v>
      </c>
      <c r="R717" s="0" t="s">
        <v>51</v>
      </c>
      <c r="S717" s="0" t="s">
        <v>272</v>
      </c>
    </row>
    <row r="718" customFormat="false" ht="15" hidden="false" customHeight="false" outlineLevel="0" collapsed="false">
      <c r="A718" s="0" t="s">
        <v>2516</v>
      </c>
      <c r="B718" s="0" t="s">
        <v>48</v>
      </c>
      <c r="C718" s="0" t="s">
        <v>198</v>
      </c>
      <c r="D718" s="0" t="s">
        <v>213</v>
      </c>
      <c r="E718" s="0" t="s">
        <v>44</v>
      </c>
      <c r="F718" s="0" t="n">
        <v>14.38</v>
      </c>
      <c r="G718" s="0" t="s">
        <v>263</v>
      </c>
      <c r="H718" s="0" t="s">
        <v>1625</v>
      </c>
      <c r="I718" s="0" t="s">
        <v>511</v>
      </c>
      <c r="J718" s="0" t="s">
        <v>2517</v>
      </c>
      <c r="K718" s="0" t="s">
        <v>2518</v>
      </c>
      <c r="L718" s="0" t="n">
        <v>0.9</v>
      </c>
      <c r="M718" s="0" t="n">
        <v>1</v>
      </c>
      <c r="N718" s="0" t="n">
        <v>5672.82</v>
      </c>
      <c r="O718" s="0" t="n">
        <v>1425.11</v>
      </c>
      <c r="P718" s="0" t="n">
        <v>1341.98</v>
      </c>
      <c r="Q718" s="0" t="s">
        <v>23</v>
      </c>
      <c r="R718" s="0" t="s">
        <v>52</v>
      </c>
      <c r="S718" s="0" t="s">
        <v>247</v>
      </c>
    </row>
    <row r="719" customFormat="false" ht="15" hidden="false" customHeight="false" outlineLevel="0" collapsed="false">
      <c r="A719" s="0" t="s">
        <v>2519</v>
      </c>
      <c r="B719" s="0" t="s">
        <v>47</v>
      </c>
      <c r="C719" s="0" t="s">
        <v>205</v>
      </c>
      <c r="D719" s="0" t="s">
        <v>198</v>
      </c>
      <c r="E719" s="0" t="s">
        <v>43</v>
      </c>
      <c r="F719" s="0" t="n">
        <v>10.17</v>
      </c>
      <c r="G719" s="0" t="s">
        <v>440</v>
      </c>
      <c r="H719" s="0" t="s">
        <v>912</v>
      </c>
      <c r="I719" s="0" t="s">
        <v>895</v>
      </c>
      <c r="J719" s="0" t="s">
        <v>2520</v>
      </c>
      <c r="K719" s="0" t="s">
        <v>1849</v>
      </c>
      <c r="L719" s="0" t="n">
        <v>-1</v>
      </c>
      <c r="M719" s="0" t="n">
        <v>0</v>
      </c>
      <c r="N719" s="0" t="n">
        <v>7418.19</v>
      </c>
      <c r="O719" s="0" t="n">
        <v>2933.61</v>
      </c>
      <c r="P719" s="0" t="n">
        <v>611.64</v>
      </c>
      <c r="Q719" s="0" t="s">
        <v>22</v>
      </c>
      <c r="R719" s="0" t="s">
        <v>52</v>
      </c>
      <c r="S719" s="0" t="s">
        <v>228</v>
      </c>
    </row>
    <row r="720" customFormat="false" ht="15" hidden="false" customHeight="false" outlineLevel="0" collapsed="false">
      <c r="A720" s="0" t="s">
        <v>2521</v>
      </c>
      <c r="B720" s="0" t="s">
        <v>48</v>
      </c>
      <c r="C720" s="0" t="s">
        <v>198</v>
      </c>
      <c r="D720" s="0" t="s">
        <v>204</v>
      </c>
      <c r="E720" s="0" t="s">
        <v>44</v>
      </c>
      <c r="F720" s="0" t="n">
        <v>3.19</v>
      </c>
      <c r="G720" s="0" t="s">
        <v>1205</v>
      </c>
      <c r="H720" s="0" t="s">
        <v>1158</v>
      </c>
      <c r="I720" s="0" t="s">
        <v>1144</v>
      </c>
      <c r="J720" s="0" t="s">
        <v>2522</v>
      </c>
      <c r="K720" s="0" t="s">
        <v>2523</v>
      </c>
      <c r="L720" s="0" t="n">
        <v>-0.1</v>
      </c>
      <c r="M720" s="0" t="n">
        <v>0</v>
      </c>
      <c r="N720" s="0" t="n">
        <v>2987.92</v>
      </c>
      <c r="O720" s="0" t="n">
        <v>4061.08</v>
      </c>
      <c r="P720" s="0" t="n">
        <v>856.26</v>
      </c>
      <c r="Q720" s="0" t="s">
        <v>23</v>
      </c>
      <c r="R720" s="0" t="s">
        <v>52</v>
      </c>
      <c r="S720" s="0" t="s">
        <v>222</v>
      </c>
    </row>
    <row r="721" customFormat="false" ht="15" hidden="false" customHeight="false" outlineLevel="0" collapsed="false">
      <c r="A721" s="0" t="s">
        <v>2524</v>
      </c>
      <c r="B721" s="0" t="s">
        <v>47</v>
      </c>
      <c r="C721" s="0" t="s">
        <v>199</v>
      </c>
      <c r="D721" s="0" t="s">
        <v>198</v>
      </c>
      <c r="E721" s="0" t="s">
        <v>43</v>
      </c>
      <c r="F721" s="0" t="n">
        <v>6.21</v>
      </c>
      <c r="G721" s="0" t="s">
        <v>1205</v>
      </c>
      <c r="H721" s="0" t="s">
        <v>293</v>
      </c>
      <c r="I721" s="0" t="s">
        <v>605</v>
      </c>
      <c r="J721" s="0" t="s">
        <v>2525</v>
      </c>
      <c r="K721" s="0" t="s">
        <v>2526</v>
      </c>
      <c r="L721" s="0" t="n">
        <v>0.1</v>
      </c>
      <c r="M721" s="0" t="n">
        <v>1</v>
      </c>
      <c r="N721" s="0" t="n">
        <v>3821.52</v>
      </c>
      <c r="O721" s="0" t="n">
        <v>1861.44</v>
      </c>
      <c r="P721" s="0" t="n">
        <v>791.87</v>
      </c>
      <c r="Q721" s="0" t="s">
        <v>25</v>
      </c>
      <c r="R721" s="0" t="s">
        <v>51</v>
      </c>
      <c r="S721" s="0" t="s">
        <v>272</v>
      </c>
    </row>
    <row r="722" customFormat="false" ht="15" hidden="false" customHeight="false" outlineLevel="0" collapsed="false">
      <c r="A722" s="0" t="s">
        <v>2527</v>
      </c>
      <c r="B722" s="0" t="s">
        <v>47</v>
      </c>
      <c r="C722" s="0" t="s">
        <v>209</v>
      </c>
      <c r="D722" s="0" t="s">
        <v>198</v>
      </c>
      <c r="E722" s="0" t="s">
        <v>42</v>
      </c>
      <c r="F722" s="0" t="n">
        <v>4.28</v>
      </c>
      <c r="G722" s="0" t="s">
        <v>558</v>
      </c>
      <c r="H722" s="0" t="s">
        <v>532</v>
      </c>
      <c r="I722" s="0" t="s">
        <v>534</v>
      </c>
      <c r="J722" s="0" t="s">
        <v>2528</v>
      </c>
      <c r="K722" s="0" t="s">
        <v>2529</v>
      </c>
      <c r="L722" s="0" t="n">
        <v>1.5</v>
      </c>
      <c r="M722" s="0" t="n">
        <v>1</v>
      </c>
      <c r="N722" s="0" t="n">
        <v>3178.89</v>
      </c>
      <c r="O722" s="0" t="n">
        <v>1158.23</v>
      </c>
      <c r="P722" s="0" t="n">
        <v>903.04</v>
      </c>
      <c r="Q722" s="0" t="s">
        <v>24</v>
      </c>
      <c r="R722" s="0" t="s">
        <v>51</v>
      </c>
      <c r="S722" s="0" t="s">
        <v>222</v>
      </c>
    </row>
    <row r="723" customFormat="false" ht="15" hidden="false" customHeight="false" outlineLevel="0" collapsed="false">
      <c r="A723" s="0" t="s">
        <v>2530</v>
      </c>
      <c r="B723" s="0" t="s">
        <v>47</v>
      </c>
      <c r="C723" s="0" t="s">
        <v>203</v>
      </c>
      <c r="D723" s="0" t="s">
        <v>198</v>
      </c>
      <c r="E723" s="0" t="s">
        <v>42</v>
      </c>
      <c r="F723" s="0" t="n">
        <v>13.33</v>
      </c>
      <c r="G723" s="0" t="s">
        <v>896</v>
      </c>
      <c r="H723" s="0" t="s">
        <v>597</v>
      </c>
      <c r="I723" s="0" t="s">
        <v>461</v>
      </c>
      <c r="J723" s="0" t="s">
        <v>1129</v>
      </c>
      <c r="K723" s="0" t="s">
        <v>2531</v>
      </c>
      <c r="L723" s="0" t="n">
        <v>2.6</v>
      </c>
      <c r="M723" s="0" t="n">
        <v>1</v>
      </c>
      <c r="N723" s="0" t="n">
        <v>5204.91</v>
      </c>
      <c r="O723" s="0" t="n">
        <v>1213.83</v>
      </c>
      <c r="P723" s="0" t="n">
        <v>945.69</v>
      </c>
      <c r="Q723" s="0" t="s">
        <v>23</v>
      </c>
      <c r="R723" s="0" t="s">
        <v>51</v>
      </c>
      <c r="S723" s="0" t="s">
        <v>272</v>
      </c>
    </row>
    <row r="724" customFormat="false" ht="15" hidden="false" customHeight="false" outlineLevel="0" collapsed="false">
      <c r="A724" s="0" t="s">
        <v>2532</v>
      </c>
      <c r="B724" s="0" t="s">
        <v>47</v>
      </c>
      <c r="C724" s="0" t="s">
        <v>205</v>
      </c>
      <c r="D724" s="0" t="s">
        <v>198</v>
      </c>
      <c r="E724" s="0" t="s">
        <v>43</v>
      </c>
      <c r="F724" s="0" t="n">
        <v>1.94</v>
      </c>
      <c r="G724" s="0" t="s">
        <v>1255</v>
      </c>
      <c r="H724" s="0" t="s">
        <v>1265</v>
      </c>
      <c r="I724" s="0" t="s">
        <v>774</v>
      </c>
      <c r="J724" s="0" t="s">
        <v>1602</v>
      </c>
      <c r="K724" s="0" t="s">
        <v>2533</v>
      </c>
      <c r="L724" s="0" t="n">
        <v>2.9</v>
      </c>
      <c r="M724" s="0" t="n">
        <v>1</v>
      </c>
      <c r="N724" s="0" t="n">
        <v>1183.07</v>
      </c>
      <c r="O724" s="0" t="n">
        <v>2161.47</v>
      </c>
      <c r="P724" s="0" t="n">
        <v>1382.24</v>
      </c>
      <c r="Q724" s="0" t="s">
        <v>23</v>
      </c>
      <c r="R724" s="0" t="s">
        <v>51</v>
      </c>
      <c r="S724" s="0" t="s">
        <v>272</v>
      </c>
    </row>
    <row r="725" customFormat="false" ht="15" hidden="false" customHeight="false" outlineLevel="0" collapsed="false">
      <c r="A725" s="0" t="s">
        <v>2534</v>
      </c>
      <c r="B725" s="0" t="s">
        <v>47</v>
      </c>
      <c r="C725" s="0" t="s">
        <v>205</v>
      </c>
      <c r="D725" s="0" t="s">
        <v>198</v>
      </c>
      <c r="E725" s="0" t="s">
        <v>42</v>
      </c>
      <c r="F725" s="0" t="n">
        <v>3.79</v>
      </c>
      <c r="G725" s="0" t="s">
        <v>832</v>
      </c>
      <c r="H725" s="0" t="s">
        <v>462</v>
      </c>
      <c r="I725" s="0" t="s">
        <v>636</v>
      </c>
      <c r="J725" s="0" t="s">
        <v>2535</v>
      </c>
      <c r="K725" s="0" t="s">
        <v>2536</v>
      </c>
      <c r="L725" s="0" t="n">
        <v>2.7</v>
      </c>
      <c r="M725" s="0" t="n">
        <v>1</v>
      </c>
      <c r="N725" s="0" t="n">
        <v>2555.61</v>
      </c>
      <c r="O725" s="0" t="n">
        <v>1028.39</v>
      </c>
      <c r="P725" s="0" t="n">
        <v>1319.4</v>
      </c>
      <c r="Q725" s="0" t="s">
        <v>23</v>
      </c>
      <c r="R725" s="0" t="s">
        <v>51</v>
      </c>
      <c r="S725" s="0" t="s">
        <v>247</v>
      </c>
    </row>
    <row r="726" customFormat="false" ht="15" hidden="false" customHeight="false" outlineLevel="0" collapsed="false">
      <c r="A726" s="0" t="s">
        <v>2537</v>
      </c>
      <c r="B726" s="0" t="s">
        <v>47</v>
      </c>
      <c r="C726" s="0" t="s">
        <v>203</v>
      </c>
      <c r="D726" s="0" t="s">
        <v>198</v>
      </c>
      <c r="E726" s="0" t="s">
        <v>42</v>
      </c>
      <c r="F726" s="0" t="n">
        <v>7.84</v>
      </c>
      <c r="G726" s="0" t="s">
        <v>352</v>
      </c>
      <c r="H726" s="0" t="s">
        <v>353</v>
      </c>
      <c r="I726" s="0" t="s">
        <v>977</v>
      </c>
      <c r="J726" s="0" t="s">
        <v>2538</v>
      </c>
      <c r="K726" s="0" t="s">
        <v>2539</v>
      </c>
      <c r="L726" s="0" t="n">
        <v>-1</v>
      </c>
      <c r="M726" s="0" t="n">
        <v>0</v>
      </c>
      <c r="N726" s="0" t="n">
        <v>6011.37</v>
      </c>
      <c r="O726" s="0" t="n">
        <v>2192.6</v>
      </c>
      <c r="P726" s="0" t="n">
        <v>626.46</v>
      </c>
      <c r="Q726" s="0" t="s">
        <v>24</v>
      </c>
      <c r="R726" s="0" t="s">
        <v>52</v>
      </c>
      <c r="S726" s="0" t="s">
        <v>247</v>
      </c>
    </row>
    <row r="727" customFormat="false" ht="15" hidden="false" customHeight="false" outlineLevel="0" collapsed="false">
      <c r="A727" s="0" t="s">
        <v>2540</v>
      </c>
      <c r="B727" s="0" t="s">
        <v>47</v>
      </c>
      <c r="C727" s="0" t="s">
        <v>199</v>
      </c>
      <c r="D727" s="0" t="s">
        <v>198</v>
      </c>
      <c r="E727" s="0" t="s">
        <v>42</v>
      </c>
      <c r="F727" s="0" t="n">
        <v>17.01</v>
      </c>
      <c r="G727" s="0" t="s">
        <v>1427</v>
      </c>
      <c r="H727" s="0" t="s">
        <v>557</v>
      </c>
      <c r="I727" s="0" t="s">
        <v>559</v>
      </c>
      <c r="J727" s="0" t="s">
        <v>2541</v>
      </c>
      <c r="K727" s="0" t="s">
        <v>2542</v>
      </c>
      <c r="L727" s="0" t="n">
        <v>2.3</v>
      </c>
      <c r="M727" s="0" t="n">
        <v>1</v>
      </c>
      <c r="N727" s="0" t="n">
        <v>6295.34</v>
      </c>
      <c r="O727" s="0" t="n">
        <v>2653.37</v>
      </c>
      <c r="P727" s="0" t="n">
        <v>1046.61</v>
      </c>
      <c r="Q727" s="0" t="s">
        <v>23</v>
      </c>
      <c r="R727" s="0" t="s">
        <v>51</v>
      </c>
      <c r="S727" s="0" t="s">
        <v>228</v>
      </c>
    </row>
    <row r="728" customFormat="false" ht="15" hidden="false" customHeight="false" outlineLevel="0" collapsed="false">
      <c r="A728" s="0" t="s">
        <v>2543</v>
      </c>
      <c r="B728" s="0" t="s">
        <v>47</v>
      </c>
      <c r="C728" s="0" t="s">
        <v>199</v>
      </c>
      <c r="D728" s="0" t="s">
        <v>198</v>
      </c>
      <c r="E728" s="0" t="s">
        <v>44</v>
      </c>
      <c r="F728" s="0" t="n">
        <v>9.28</v>
      </c>
      <c r="G728" s="0" t="s">
        <v>362</v>
      </c>
      <c r="H728" s="0" t="s">
        <v>363</v>
      </c>
      <c r="I728" s="0" t="s">
        <v>1261</v>
      </c>
      <c r="J728" s="0" t="s">
        <v>365</v>
      </c>
      <c r="K728" s="0" t="s">
        <v>638</v>
      </c>
      <c r="L728" s="0" t="n">
        <v>2.3</v>
      </c>
      <c r="M728" s="0" t="n">
        <v>1</v>
      </c>
      <c r="N728" s="0" t="n">
        <v>7557.19</v>
      </c>
      <c r="O728" s="0" t="n">
        <v>4370.14</v>
      </c>
      <c r="P728" s="0" t="n">
        <v>803.21</v>
      </c>
      <c r="Q728" s="0" t="s">
        <v>22</v>
      </c>
      <c r="R728" s="0" t="s">
        <v>51</v>
      </c>
      <c r="S728" s="0" t="s">
        <v>247</v>
      </c>
    </row>
    <row r="729" customFormat="false" ht="15" hidden="false" customHeight="false" outlineLevel="0" collapsed="false">
      <c r="A729" s="0" t="s">
        <v>2544</v>
      </c>
      <c r="B729" s="0" t="s">
        <v>48</v>
      </c>
      <c r="C729" s="0" t="s">
        <v>198</v>
      </c>
      <c r="D729" s="0" t="s">
        <v>211</v>
      </c>
      <c r="E729" s="0" t="s">
        <v>42</v>
      </c>
      <c r="F729" s="0" t="n">
        <v>9.16</v>
      </c>
      <c r="G729" s="0" t="s">
        <v>274</v>
      </c>
      <c r="H729" s="0" t="s">
        <v>275</v>
      </c>
      <c r="I729" s="0" t="s">
        <v>358</v>
      </c>
      <c r="J729" s="0" t="s">
        <v>1258</v>
      </c>
      <c r="K729" s="0" t="s">
        <v>2545</v>
      </c>
      <c r="L729" s="0" t="n">
        <v>8.2</v>
      </c>
      <c r="M729" s="0" t="n">
        <v>1</v>
      </c>
      <c r="N729" s="0" t="n">
        <v>5258.73</v>
      </c>
      <c r="O729" s="0" t="n">
        <v>3775.51</v>
      </c>
      <c r="P729" s="0" t="n">
        <v>659.63</v>
      </c>
      <c r="Q729" s="0" t="s">
        <v>23</v>
      </c>
      <c r="R729" s="0" t="s">
        <v>52</v>
      </c>
      <c r="S729" s="0" t="s">
        <v>254</v>
      </c>
    </row>
    <row r="730" customFormat="false" ht="15" hidden="false" customHeight="false" outlineLevel="0" collapsed="false">
      <c r="A730" s="0" t="s">
        <v>2546</v>
      </c>
      <c r="B730" s="0" t="s">
        <v>47</v>
      </c>
      <c r="C730" s="0" t="s">
        <v>199</v>
      </c>
      <c r="D730" s="0" t="s">
        <v>198</v>
      </c>
      <c r="E730" s="0" t="s">
        <v>44</v>
      </c>
      <c r="F730" s="0" t="n">
        <v>18.03</v>
      </c>
      <c r="G730" s="0" t="s">
        <v>657</v>
      </c>
      <c r="H730" s="0" t="s">
        <v>396</v>
      </c>
      <c r="I730" s="0" t="s">
        <v>397</v>
      </c>
      <c r="J730" s="0" t="s">
        <v>2547</v>
      </c>
      <c r="K730" s="0" t="s">
        <v>2548</v>
      </c>
      <c r="L730" s="0" t="n">
        <v>5.6</v>
      </c>
      <c r="M730" s="0" t="n">
        <v>1</v>
      </c>
      <c r="N730" s="0" t="n">
        <v>8792.06</v>
      </c>
      <c r="O730" s="0" t="n">
        <v>2474.81</v>
      </c>
      <c r="P730" s="0" t="n">
        <v>1190.03</v>
      </c>
      <c r="Q730" s="0" t="s">
        <v>25</v>
      </c>
      <c r="R730" s="0" t="s">
        <v>51</v>
      </c>
      <c r="S730" s="0" t="s">
        <v>222</v>
      </c>
    </row>
    <row r="731" customFormat="false" ht="15" hidden="false" customHeight="false" outlineLevel="0" collapsed="false">
      <c r="A731" s="0" t="s">
        <v>2549</v>
      </c>
      <c r="B731" s="0" t="s">
        <v>48</v>
      </c>
      <c r="C731" s="0" t="s">
        <v>198</v>
      </c>
      <c r="D731" s="0" t="s">
        <v>207</v>
      </c>
      <c r="E731" s="0" t="s">
        <v>44</v>
      </c>
      <c r="F731" s="0" t="n">
        <v>8.36</v>
      </c>
      <c r="G731" s="0" t="s">
        <v>632</v>
      </c>
      <c r="H731" s="0" t="s">
        <v>374</v>
      </c>
      <c r="I731" s="0" t="s">
        <v>376</v>
      </c>
      <c r="J731" s="0" t="s">
        <v>2550</v>
      </c>
      <c r="K731" s="0" t="s">
        <v>378</v>
      </c>
      <c r="L731" s="0" t="n">
        <v>-1</v>
      </c>
      <c r="M731" s="0" t="n">
        <v>0</v>
      </c>
      <c r="N731" s="0" t="n">
        <v>3115.47</v>
      </c>
      <c r="O731" s="0" t="n">
        <v>4223.62</v>
      </c>
      <c r="P731" s="0" t="n">
        <v>779.67</v>
      </c>
      <c r="Q731" s="0" t="s">
        <v>25</v>
      </c>
      <c r="R731" s="0" t="s">
        <v>52</v>
      </c>
      <c r="S731" s="0" t="s">
        <v>247</v>
      </c>
    </row>
    <row r="732" customFormat="false" ht="15" hidden="false" customHeight="false" outlineLevel="0" collapsed="false">
      <c r="A732" s="0" t="s">
        <v>2551</v>
      </c>
      <c r="B732" s="0" t="s">
        <v>48</v>
      </c>
      <c r="C732" s="0" t="s">
        <v>198</v>
      </c>
      <c r="D732" s="0" t="s">
        <v>201</v>
      </c>
      <c r="E732" s="0" t="s">
        <v>42</v>
      </c>
      <c r="F732" s="0" t="n">
        <v>4.64</v>
      </c>
      <c r="G732" s="0" t="s">
        <v>522</v>
      </c>
      <c r="H732" s="0" t="s">
        <v>523</v>
      </c>
      <c r="I732" s="0" t="s">
        <v>933</v>
      </c>
      <c r="J732" s="0" t="s">
        <v>2552</v>
      </c>
      <c r="K732" s="0" t="s">
        <v>2553</v>
      </c>
      <c r="L732" s="0" t="n">
        <v>1.3</v>
      </c>
      <c r="M732" s="0" t="n">
        <v>1</v>
      </c>
      <c r="N732" s="0" t="n">
        <v>4510.77</v>
      </c>
      <c r="O732" s="0" t="n">
        <v>4170.65</v>
      </c>
      <c r="P732" s="0" t="n">
        <v>1103.8</v>
      </c>
      <c r="Q732" s="0" t="s">
        <v>22</v>
      </c>
      <c r="R732" s="0" t="s">
        <v>51</v>
      </c>
      <c r="S732" s="0" t="s">
        <v>272</v>
      </c>
    </row>
    <row r="733" customFormat="false" ht="15" hidden="false" customHeight="false" outlineLevel="0" collapsed="false">
      <c r="A733" s="0" t="s">
        <v>2554</v>
      </c>
      <c r="B733" s="0" t="s">
        <v>47</v>
      </c>
      <c r="C733" s="0" t="s">
        <v>206</v>
      </c>
      <c r="D733" s="0" t="s">
        <v>198</v>
      </c>
      <c r="E733" s="0" t="s">
        <v>42</v>
      </c>
      <c r="F733" s="0" t="n">
        <v>10.37</v>
      </c>
      <c r="G733" s="0" t="s">
        <v>511</v>
      </c>
      <c r="H733" s="0" t="s">
        <v>435</v>
      </c>
      <c r="I733" s="0" t="s">
        <v>420</v>
      </c>
      <c r="J733" s="0" t="s">
        <v>2555</v>
      </c>
      <c r="K733" s="0" t="s">
        <v>583</v>
      </c>
      <c r="L733" s="0" t="n">
        <v>3</v>
      </c>
      <c r="M733" s="0" t="n">
        <v>1</v>
      </c>
      <c r="N733" s="0" t="n">
        <v>4493.71</v>
      </c>
      <c r="O733" s="0" t="n">
        <v>2137.15</v>
      </c>
      <c r="P733" s="0" t="n">
        <v>1085.78</v>
      </c>
      <c r="Q733" s="0" t="s">
        <v>24</v>
      </c>
      <c r="R733" s="0" t="s">
        <v>51</v>
      </c>
      <c r="S733" s="0" t="s">
        <v>247</v>
      </c>
    </row>
    <row r="734" customFormat="false" ht="15" hidden="false" customHeight="false" outlineLevel="0" collapsed="false">
      <c r="A734" s="0" t="s">
        <v>2556</v>
      </c>
      <c r="B734" s="0" t="s">
        <v>47</v>
      </c>
      <c r="C734" s="0" t="s">
        <v>205</v>
      </c>
      <c r="D734" s="0" t="s">
        <v>198</v>
      </c>
      <c r="E734" s="0" t="s">
        <v>43</v>
      </c>
      <c r="F734" s="0" t="n">
        <v>12.15</v>
      </c>
      <c r="G734" s="0" t="s">
        <v>528</v>
      </c>
      <c r="H734" s="0" t="s">
        <v>316</v>
      </c>
      <c r="I734" s="0" t="s">
        <v>950</v>
      </c>
      <c r="J734" s="0" t="s">
        <v>2084</v>
      </c>
      <c r="K734" s="0" t="s">
        <v>2557</v>
      </c>
      <c r="L734" s="0" t="n">
        <v>0.8</v>
      </c>
      <c r="M734" s="0" t="n">
        <v>1</v>
      </c>
      <c r="N734" s="0" t="n">
        <v>6097.21</v>
      </c>
      <c r="O734" s="0" t="n">
        <v>1602.44</v>
      </c>
      <c r="P734" s="0" t="n">
        <v>1432.65</v>
      </c>
      <c r="Q734" s="0" t="s">
        <v>24</v>
      </c>
      <c r="R734" s="0" t="s">
        <v>51</v>
      </c>
      <c r="S734" s="0" t="s">
        <v>222</v>
      </c>
    </row>
    <row r="735" customFormat="false" ht="15" hidden="false" customHeight="false" outlineLevel="0" collapsed="false">
      <c r="A735" s="0" t="s">
        <v>2558</v>
      </c>
      <c r="B735" s="0" t="s">
        <v>47</v>
      </c>
      <c r="C735" s="0" t="s">
        <v>206</v>
      </c>
      <c r="D735" s="0" t="s">
        <v>198</v>
      </c>
      <c r="E735" s="0" t="s">
        <v>44</v>
      </c>
      <c r="F735" s="0" t="n">
        <v>8.28</v>
      </c>
      <c r="G735" s="0" t="s">
        <v>1046</v>
      </c>
      <c r="H735" s="0" t="s">
        <v>731</v>
      </c>
      <c r="I735" s="0" t="s">
        <v>1051</v>
      </c>
      <c r="J735" s="0" t="s">
        <v>1641</v>
      </c>
      <c r="K735" s="0" t="s">
        <v>2559</v>
      </c>
      <c r="L735" s="0" t="n">
        <v>3.9</v>
      </c>
      <c r="M735" s="0" t="n">
        <v>1</v>
      </c>
      <c r="N735" s="0" t="n">
        <v>5469.4</v>
      </c>
      <c r="O735" s="0" t="n">
        <v>3109.02</v>
      </c>
      <c r="P735" s="0" t="n">
        <v>1429.87</v>
      </c>
      <c r="Q735" s="0" t="s">
        <v>25</v>
      </c>
      <c r="R735" s="0" t="s">
        <v>51</v>
      </c>
      <c r="S735" s="0" t="s">
        <v>222</v>
      </c>
    </row>
    <row r="736" customFormat="false" ht="15" hidden="false" customHeight="false" outlineLevel="0" collapsed="false">
      <c r="A736" s="0" t="s">
        <v>2560</v>
      </c>
      <c r="B736" s="0" t="s">
        <v>48</v>
      </c>
      <c r="C736" s="0" t="s">
        <v>198</v>
      </c>
      <c r="D736" s="0" t="s">
        <v>201</v>
      </c>
      <c r="E736" s="0" t="s">
        <v>42</v>
      </c>
      <c r="F736" s="0" t="n">
        <v>10.19</v>
      </c>
      <c r="G736" s="0" t="s">
        <v>357</v>
      </c>
      <c r="H736" s="0" t="s">
        <v>358</v>
      </c>
      <c r="I736" s="0" t="s">
        <v>1926</v>
      </c>
      <c r="J736" s="0" t="s">
        <v>2561</v>
      </c>
      <c r="K736" s="0" t="s">
        <v>2562</v>
      </c>
      <c r="L736" s="0" t="n">
        <v>8.5</v>
      </c>
      <c r="M736" s="0" t="n">
        <v>1</v>
      </c>
      <c r="N736" s="0" t="n">
        <v>8502.54</v>
      </c>
      <c r="O736" s="0" t="n">
        <v>3080.92</v>
      </c>
      <c r="P736" s="0" t="n">
        <v>1177.09</v>
      </c>
      <c r="Q736" s="0" t="s">
        <v>24</v>
      </c>
      <c r="R736" s="0" t="s">
        <v>51</v>
      </c>
      <c r="S736" s="0" t="s">
        <v>247</v>
      </c>
    </row>
    <row r="737" customFormat="false" ht="15" hidden="false" customHeight="false" outlineLevel="0" collapsed="false">
      <c r="A737" s="0" t="s">
        <v>2563</v>
      </c>
      <c r="B737" s="0" t="s">
        <v>48</v>
      </c>
      <c r="C737" s="0" t="s">
        <v>198</v>
      </c>
      <c r="D737" s="0" t="s">
        <v>211</v>
      </c>
      <c r="E737" s="0" t="s">
        <v>43</v>
      </c>
      <c r="F737" s="0" t="n">
        <v>15.79</v>
      </c>
      <c r="G737" s="0" t="s">
        <v>282</v>
      </c>
      <c r="H737" s="0" t="s">
        <v>244</v>
      </c>
      <c r="I737" s="0" t="s">
        <v>467</v>
      </c>
      <c r="J737" s="0" t="s">
        <v>2078</v>
      </c>
      <c r="K737" s="0" t="s">
        <v>693</v>
      </c>
      <c r="L737" s="0" t="n">
        <v>-1</v>
      </c>
      <c r="M737" s="0" t="n">
        <v>0</v>
      </c>
      <c r="N737" s="0" t="n">
        <v>5918.13</v>
      </c>
      <c r="O737" s="0" t="n">
        <v>1731.69</v>
      </c>
      <c r="P737" s="0" t="n">
        <v>865.05</v>
      </c>
      <c r="Q737" s="0" t="s">
        <v>25</v>
      </c>
      <c r="R737" s="0" t="s">
        <v>52</v>
      </c>
      <c r="S737" s="0" t="s">
        <v>247</v>
      </c>
    </row>
    <row r="738" customFormat="false" ht="15" hidden="false" customHeight="false" outlineLevel="0" collapsed="false">
      <c r="A738" s="0" t="s">
        <v>2564</v>
      </c>
      <c r="B738" s="0" t="s">
        <v>47</v>
      </c>
      <c r="C738" s="0" t="s">
        <v>209</v>
      </c>
      <c r="D738" s="0" t="s">
        <v>198</v>
      </c>
      <c r="E738" s="0" t="s">
        <v>43</v>
      </c>
      <c r="F738" s="0" t="n">
        <v>9.22</v>
      </c>
      <c r="G738" s="0" t="s">
        <v>619</v>
      </c>
      <c r="H738" s="0" t="s">
        <v>993</v>
      </c>
      <c r="I738" s="0" t="s">
        <v>1167</v>
      </c>
      <c r="J738" s="0" t="s">
        <v>2565</v>
      </c>
      <c r="K738" s="0" t="s">
        <v>2566</v>
      </c>
      <c r="L738" s="0" t="n">
        <v>1.5</v>
      </c>
      <c r="M738" s="0" t="n">
        <v>1</v>
      </c>
      <c r="N738" s="0" t="n">
        <v>4602.45</v>
      </c>
      <c r="O738" s="0" t="n">
        <v>3592.41</v>
      </c>
      <c r="P738" s="0" t="n">
        <v>518.36</v>
      </c>
      <c r="Q738" s="0" t="s">
        <v>21</v>
      </c>
      <c r="R738" s="0" t="s">
        <v>51</v>
      </c>
      <c r="S738" s="0" t="s">
        <v>222</v>
      </c>
    </row>
    <row r="739" customFormat="false" ht="15" hidden="false" customHeight="false" outlineLevel="0" collapsed="false">
      <c r="A739" s="0" t="s">
        <v>2567</v>
      </c>
      <c r="B739" s="0" t="s">
        <v>47</v>
      </c>
      <c r="C739" s="0" t="s">
        <v>203</v>
      </c>
      <c r="D739" s="0" t="s">
        <v>198</v>
      </c>
      <c r="E739" s="0" t="s">
        <v>44</v>
      </c>
      <c r="F739" s="0" t="n">
        <v>13.43</v>
      </c>
      <c r="G739" s="0" t="s">
        <v>268</v>
      </c>
      <c r="H739" s="0" t="s">
        <v>993</v>
      </c>
      <c r="I739" s="0" t="s">
        <v>232</v>
      </c>
      <c r="J739" s="0" t="s">
        <v>2568</v>
      </c>
      <c r="K739" s="0" t="s">
        <v>2569</v>
      </c>
      <c r="L739" s="0" t="n">
        <v>2.1</v>
      </c>
      <c r="M739" s="0" t="n">
        <v>1</v>
      </c>
      <c r="N739" s="0" t="n">
        <v>5860.78</v>
      </c>
      <c r="O739" s="0" t="n">
        <v>3757.12</v>
      </c>
      <c r="P739" s="0" t="n">
        <v>627.1</v>
      </c>
      <c r="Q739" s="0" t="s">
        <v>22</v>
      </c>
      <c r="R739" s="0" t="s">
        <v>52</v>
      </c>
      <c r="S739" s="0" t="s">
        <v>228</v>
      </c>
    </row>
    <row r="740" customFormat="false" ht="15" hidden="false" customHeight="false" outlineLevel="0" collapsed="false">
      <c r="A740" s="0" t="s">
        <v>2570</v>
      </c>
      <c r="B740" s="0" t="s">
        <v>47</v>
      </c>
      <c r="C740" s="0" t="s">
        <v>206</v>
      </c>
      <c r="D740" s="0" t="s">
        <v>198</v>
      </c>
      <c r="E740" s="0" t="s">
        <v>44</v>
      </c>
      <c r="F740" s="0" t="n">
        <v>7.78</v>
      </c>
      <c r="G740" s="0" t="s">
        <v>542</v>
      </c>
      <c r="H740" s="0" t="s">
        <v>267</v>
      </c>
      <c r="I740" s="0" t="s">
        <v>231</v>
      </c>
      <c r="J740" s="0" t="s">
        <v>2571</v>
      </c>
      <c r="K740" s="0" t="s">
        <v>2276</v>
      </c>
      <c r="L740" s="0" t="n">
        <v>-1</v>
      </c>
      <c r="M740" s="0" t="n">
        <v>0</v>
      </c>
      <c r="N740" s="0" t="n">
        <v>2425.27</v>
      </c>
      <c r="O740" s="0" t="n">
        <v>4836.1</v>
      </c>
      <c r="P740" s="0" t="n">
        <v>1113.4</v>
      </c>
      <c r="Q740" s="0" t="s">
        <v>21</v>
      </c>
      <c r="R740" s="0" t="s">
        <v>52</v>
      </c>
      <c r="S740" s="0" t="s">
        <v>222</v>
      </c>
    </row>
    <row r="741" customFormat="false" ht="15" hidden="false" customHeight="false" outlineLevel="0" collapsed="false">
      <c r="A741" s="0" t="s">
        <v>2572</v>
      </c>
      <c r="B741" s="0" t="s">
        <v>47</v>
      </c>
      <c r="C741" s="0" t="s">
        <v>209</v>
      </c>
      <c r="D741" s="0" t="s">
        <v>198</v>
      </c>
      <c r="E741" s="0" t="s">
        <v>43</v>
      </c>
      <c r="F741" s="0" t="n">
        <v>5.97</v>
      </c>
      <c r="G741" s="0" t="s">
        <v>793</v>
      </c>
      <c r="H741" s="0" t="s">
        <v>1097</v>
      </c>
      <c r="I741" s="0" t="s">
        <v>492</v>
      </c>
      <c r="J741" s="0" t="s">
        <v>2573</v>
      </c>
      <c r="K741" s="0" t="s">
        <v>389</v>
      </c>
      <c r="L741" s="0" t="n">
        <v>4.6</v>
      </c>
      <c r="M741" s="0" t="n">
        <v>1</v>
      </c>
      <c r="N741" s="0" t="n">
        <v>4116.59</v>
      </c>
      <c r="O741" s="0" t="n">
        <v>3881.33</v>
      </c>
      <c r="P741" s="0" t="n">
        <v>1418.29</v>
      </c>
      <c r="Q741" s="0" t="s">
        <v>24</v>
      </c>
      <c r="R741" s="0" t="s">
        <v>52</v>
      </c>
      <c r="S741" s="0" t="s">
        <v>247</v>
      </c>
    </row>
    <row r="742" customFormat="false" ht="15" hidden="false" customHeight="false" outlineLevel="0" collapsed="false">
      <c r="A742" s="0" t="s">
        <v>2574</v>
      </c>
      <c r="B742" s="0" t="s">
        <v>47</v>
      </c>
      <c r="C742" s="0" t="s">
        <v>205</v>
      </c>
      <c r="D742" s="0" t="s">
        <v>198</v>
      </c>
      <c r="E742" s="0" t="s">
        <v>44</v>
      </c>
      <c r="F742" s="0" t="n">
        <v>8.75</v>
      </c>
      <c r="G742" s="0" t="s">
        <v>368</v>
      </c>
      <c r="H742" s="0" t="s">
        <v>286</v>
      </c>
      <c r="I742" s="0" t="s">
        <v>304</v>
      </c>
      <c r="J742" s="0" t="s">
        <v>2575</v>
      </c>
      <c r="K742" s="0" t="s">
        <v>2576</v>
      </c>
      <c r="L742" s="0" t="n">
        <v>4</v>
      </c>
      <c r="M742" s="0" t="n">
        <v>1</v>
      </c>
      <c r="N742" s="0" t="n">
        <v>5468.43</v>
      </c>
      <c r="O742" s="0" t="n">
        <v>4137.12</v>
      </c>
      <c r="P742" s="0" t="n">
        <v>1083.93</v>
      </c>
      <c r="Q742" s="0" t="s">
        <v>24</v>
      </c>
      <c r="R742" s="0" t="s">
        <v>52</v>
      </c>
      <c r="S742" s="0" t="s">
        <v>247</v>
      </c>
    </row>
    <row r="743" customFormat="false" ht="15" hidden="false" customHeight="false" outlineLevel="0" collapsed="false">
      <c r="A743" s="0" t="s">
        <v>2577</v>
      </c>
      <c r="B743" s="0" t="s">
        <v>48</v>
      </c>
      <c r="C743" s="0" t="s">
        <v>198</v>
      </c>
      <c r="D743" s="0" t="s">
        <v>204</v>
      </c>
      <c r="E743" s="0" t="s">
        <v>42</v>
      </c>
      <c r="F743" s="0" t="n">
        <v>2.57</v>
      </c>
      <c r="G743" s="0" t="s">
        <v>1148</v>
      </c>
      <c r="H743" s="0" t="s">
        <v>1261</v>
      </c>
      <c r="I743" s="0" t="s">
        <v>473</v>
      </c>
      <c r="J743" s="0" t="s">
        <v>2578</v>
      </c>
      <c r="K743" s="0" t="s">
        <v>2579</v>
      </c>
      <c r="L743" s="0" t="n">
        <v>7.3</v>
      </c>
      <c r="M743" s="0" t="n">
        <v>1</v>
      </c>
      <c r="N743" s="0" t="n">
        <v>2184.81</v>
      </c>
      <c r="O743" s="0" t="n">
        <v>4646.36</v>
      </c>
      <c r="P743" s="0" t="n">
        <v>1054.13</v>
      </c>
      <c r="Q743" s="0" t="s">
        <v>23</v>
      </c>
      <c r="R743" s="0" t="s">
        <v>51</v>
      </c>
      <c r="S743" s="0" t="s">
        <v>228</v>
      </c>
    </row>
    <row r="744" customFormat="false" ht="15" hidden="false" customHeight="false" outlineLevel="0" collapsed="false">
      <c r="A744" s="0" t="s">
        <v>2580</v>
      </c>
      <c r="B744" s="0" t="s">
        <v>47</v>
      </c>
      <c r="C744" s="0" t="s">
        <v>205</v>
      </c>
      <c r="D744" s="0" t="s">
        <v>198</v>
      </c>
      <c r="E744" s="0" t="s">
        <v>43</v>
      </c>
      <c r="F744" s="0" t="n">
        <v>11.02</v>
      </c>
      <c r="G744" s="0" t="s">
        <v>1148</v>
      </c>
      <c r="H744" s="0" t="s">
        <v>1261</v>
      </c>
      <c r="I744" s="0" t="s">
        <v>364</v>
      </c>
      <c r="J744" s="0" t="s">
        <v>2581</v>
      </c>
      <c r="K744" s="0" t="s">
        <v>2582</v>
      </c>
      <c r="L744" s="0" t="n">
        <v>3</v>
      </c>
      <c r="M744" s="0" t="n">
        <v>1</v>
      </c>
      <c r="N744" s="0" t="n">
        <v>7566.13</v>
      </c>
      <c r="O744" s="0" t="n">
        <v>3624.81</v>
      </c>
      <c r="P744" s="0" t="n">
        <v>971.66</v>
      </c>
      <c r="Q744" s="0" t="s">
        <v>22</v>
      </c>
      <c r="R744" s="0" t="s">
        <v>51</v>
      </c>
      <c r="S744" s="0" t="s">
        <v>247</v>
      </c>
    </row>
    <row r="745" customFormat="false" ht="15" hidden="false" customHeight="false" outlineLevel="0" collapsed="false">
      <c r="A745" s="0" t="s">
        <v>2583</v>
      </c>
      <c r="B745" s="0" t="s">
        <v>48</v>
      </c>
      <c r="C745" s="0" t="s">
        <v>198</v>
      </c>
      <c r="D745" s="0" t="s">
        <v>208</v>
      </c>
      <c r="E745" s="0" t="s">
        <v>42</v>
      </c>
      <c r="F745" s="0" t="n">
        <v>11.86</v>
      </c>
      <c r="G745" s="0" t="s">
        <v>391</v>
      </c>
      <c r="H745" s="0" t="s">
        <v>435</v>
      </c>
      <c r="I745" s="0" t="s">
        <v>581</v>
      </c>
      <c r="J745" s="0" t="s">
        <v>2584</v>
      </c>
      <c r="K745" s="0" t="s">
        <v>2585</v>
      </c>
      <c r="L745" s="0" t="n">
        <v>4.9</v>
      </c>
      <c r="M745" s="0" t="n">
        <v>1</v>
      </c>
      <c r="N745" s="0" t="n">
        <v>7458.37</v>
      </c>
      <c r="O745" s="0" t="n">
        <v>1415.84</v>
      </c>
      <c r="P745" s="0" t="n">
        <v>1462.37</v>
      </c>
      <c r="Q745" s="0" t="s">
        <v>23</v>
      </c>
      <c r="R745" s="0" t="s">
        <v>51</v>
      </c>
      <c r="S745" s="0" t="s">
        <v>228</v>
      </c>
    </row>
    <row r="746" customFormat="false" ht="15" hidden="false" customHeight="false" outlineLevel="0" collapsed="false">
      <c r="A746" s="0" t="s">
        <v>2586</v>
      </c>
      <c r="B746" s="0" t="s">
        <v>48</v>
      </c>
      <c r="C746" s="0" t="s">
        <v>198</v>
      </c>
      <c r="D746" s="0" t="s">
        <v>212</v>
      </c>
      <c r="E746" s="0" t="s">
        <v>42</v>
      </c>
      <c r="F746" s="0" t="n">
        <v>17.91</v>
      </c>
      <c r="G746" s="0" t="s">
        <v>846</v>
      </c>
      <c r="H746" s="0" t="s">
        <v>482</v>
      </c>
      <c r="I746" s="0" t="s">
        <v>311</v>
      </c>
      <c r="J746" s="0" t="s">
        <v>2587</v>
      </c>
      <c r="K746" s="0" t="s">
        <v>2588</v>
      </c>
      <c r="L746" s="0" t="n">
        <v>5.4</v>
      </c>
      <c r="M746" s="0" t="n">
        <v>1</v>
      </c>
      <c r="N746" s="0" t="n">
        <v>10098.75</v>
      </c>
      <c r="O746" s="0" t="n">
        <v>2643.73</v>
      </c>
      <c r="P746" s="0" t="n">
        <v>1129.22</v>
      </c>
      <c r="Q746" s="0" t="s">
        <v>25</v>
      </c>
      <c r="R746" s="0" t="s">
        <v>51</v>
      </c>
      <c r="S746" s="0" t="s">
        <v>228</v>
      </c>
    </row>
    <row r="747" customFormat="false" ht="15" hidden="false" customHeight="false" outlineLevel="0" collapsed="false">
      <c r="A747" s="0" t="s">
        <v>2589</v>
      </c>
      <c r="B747" s="0" t="s">
        <v>47</v>
      </c>
      <c r="C747" s="0" t="s">
        <v>206</v>
      </c>
      <c r="D747" s="0" t="s">
        <v>198</v>
      </c>
      <c r="E747" s="0" t="s">
        <v>44</v>
      </c>
      <c r="F747" s="0" t="n">
        <v>14.29</v>
      </c>
      <c r="G747" s="0" t="s">
        <v>832</v>
      </c>
      <c r="H747" s="0" t="s">
        <v>1198</v>
      </c>
      <c r="I747" s="0" t="s">
        <v>1046</v>
      </c>
      <c r="J747" s="0" t="s">
        <v>2510</v>
      </c>
      <c r="K747" s="0" t="s">
        <v>2239</v>
      </c>
      <c r="L747" s="0" t="n">
        <v>-0.7</v>
      </c>
      <c r="M747" s="0" t="n">
        <v>0</v>
      </c>
      <c r="N747" s="0" t="n">
        <v>7051.34</v>
      </c>
      <c r="O747" s="0" t="n">
        <v>4619.85</v>
      </c>
      <c r="P747" s="0" t="n">
        <v>1317.85</v>
      </c>
      <c r="Q747" s="0" t="s">
        <v>25</v>
      </c>
      <c r="R747" s="0" t="s">
        <v>52</v>
      </c>
      <c r="S747" s="0" t="s">
        <v>254</v>
      </c>
    </row>
    <row r="748" customFormat="false" ht="15" hidden="false" customHeight="false" outlineLevel="0" collapsed="false">
      <c r="A748" s="0" t="s">
        <v>2590</v>
      </c>
      <c r="B748" s="0" t="s">
        <v>47</v>
      </c>
      <c r="C748" s="0" t="s">
        <v>206</v>
      </c>
      <c r="D748" s="0" t="s">
        <v>198</v>
      </c>
      <c r="E748" s="0" t="s">
        <v>42</v>
      </c>
      <c r="F748" s="0" t="n">
        <v>7.58</v>
      </c>
      <c r="G748" s="0" t="s">
        <v>293</v>
      </c>
      <c r="H748" s="0" t="s">
        <v>876</v>
      </c>
      <c r="I748" s="0" t="s">
        <v>604</v>
      </c>
      <c r="J748" s="0" t="s">
        <v>2591</v>
      </c>
      <c r="K748" s="0" t="s">
        <v>2592</v>
      </c>
      <c r="L748" s="0" t="n">
        <v>2.3</v>
      </c>
      <c r="M748" s="0" t="n">
        <v>1</v>
      </c>
      <c r="N748" s="0" t="n">
        <v>3446.97</v>
      </c>
      <c r="O748" s="0" t="n">
        <v>1934.5</v>
      </c>
      <c r="P748" s="0" t="n">
        <v>909.56</v>
      </c>
      <c r="Q748" s="0" t="s">
        <v>21</v>
      </c>
      <c r="R748" s="0" t="s">
        <v>51</v>
      </c>
      <c r="S748" s="0" t="s">
        <v>254</v>
      </c>
    </row>
    <row r="749" customFormat="false" ht="15" hidden="false" customHeight="false" outlineLevel="0" collapsed="false">
      <c r="A749" s="0" t="s">
        <v>2593</v>
      </c>
      <c r="B749" s="0" t="s">
        <v>47</v>
      </c>
      <c r="C749" s="0" t="s">
        <v>199</v>
      </c>
      <c r="D749" s="0" t="s">
        <v>198</v>
      </c>
      <c r="E749" s="0" t="s">
        <v>44</v>
      </c>
      <c r="F749" s="0" t="n">
        <v>15.82</v>
      </c>
      <c r="G749" s="0" t="s">
        <v>800</v>
      </c>
      <c r="H749" s="0" t="s">
        <v>473</v>
      </c>
      <c r="I749" s="0" t="s">
        <v>1080</v>
      </c>
      <c r="J749" s="0" t="s">
        <v>2594</v>
      </c>
      <c r="K749" s="0" t="s">
        <v>2595</v>
      </c>
      <c r="L749" s="0" t="n">
        <v>2.9</v>
      </c>
      <c r="M749" s="0" t="n">
        <v>1</v>
      </c>
      <c r="N749" s="0" t="n">
        <v>4505.7</v>
      </c>
      <c r="O749" s="0" t="n">
        <v>2019.07</v>
      </c>
      <c r="P749" s="0" t="n">
        <v>1414.53</v>
      </c>
      <c r="Q749" s="0" t="s">
        <v>21</v>
      </c>
      <c r="R749" s="0" t="s">
        <v>51</v>
      </c>
      <c r="S749" s="0" t="s">
        <v>222</v>
      </c>
    </row>
    <row r="750" customFormat="false" ht="15" hidden="false" customHeight="false" outlineLevel="0" collapsed="false">
      <c r="A750" s="0" t="s">
        <v>2596</v>
      </c>
      <c r="B750" s="0" t="s">
        <v>48</v>
      </c>
      <c r="C750" s="0" t="s">
        <v>198</v>
      </c>
      <c r="D750" s="0" t="s">
        <v>214</v>
      </c>
      <c r="E750" s="0" t="s">
        <v>42</v>
      </c>
      <c r="F750" s="0" t="n">
        <v>3.15</v>
      </c>
      <c r="G750" s="0" t="s">
        <v>1047</v>
      </c>
      <c r="H750" s="0" t="s">
        <v>800</v>
      </c>
      <c r="I750" s="0" t="s">
        <v>342</v>
      </c>
      <c r="J750" s="0" t="s">
        <v>2597</v>
      </c>
      <c r="K750" s="0" t="s">
        <v>2598</v>
      </c>
      <c r="L750" s="0" t="n">
        <v>-1</v>
      </c>
      <c r="M750" s="0" t="n">
        <v>0</v>
      </c>
      <c r="N750" s="0" t="n">
        <v>2040.02</v>
      </c>
      <c r="O750" s="0" t="n">
        <v>3937.24</v>
      </c>
      <c r="P750" s="0" t="n">
        <v>1135.94</v>
      </c>
      <c r="Q750" s="0" t="s">
        <v>25</v>
      </c>
      <c r="R750" s="0" t="s">
        <v>52</v>
      </c>
      <c r="S750" s="0" t="s">
        <v>222</v>
      </c>
    </row>
    <row r="751" customFormat="false" ht="15" hidden="false" customHeight="false" outlineLevel="0" collapsed="false">
      <c r="A751" s="0" t="s">
        <v>2599</v>
      </c>
      <c r="B751" s="0" t="s">
        <v>47</v>
      </c>
      <c r="C751" s="0" t="s">
        <v>206</v>
      </c>
      <c r="D751" s="0" t="s">
        <v>198</v>
      </c>
      <c r="E751" s="0" t="s">
        <v>42</v>
      </c>
      <c r="F751" s="0" t="n">
        <v>17.62</v>
      </c>
      <c r="G751" s="0" t="s">
        <v>492</v>
      </c>
      <c r="H751" s="0" t="s">
        <v>238</v>
      </c>
      <c r="I751" s="0" t="s">
        <v>789</v>
      </c>
      <c r="J751" s="0" t="s">
        <v>2093</v>
      </c>
      <c r="K751" s="0" t="s">
        <v>2600</v>
      </c>
      <c r="L751" s="0" t="n">
        <v>2.4</v>
      </c>
      <c r="M751" s="0" t="n">
        <v>1</v>
      </c>
      <c r="N751" s="0" t="n">
        <v>7879.62</v>
      </c>
      <c r="O751" s="0" t="n">
        <v>4041.25</v>
      </c>
      <c r="P751" s="0" t="n">
        <v>920.33</v>
      </c>
      <c r="Q751" s="0" t="s">
        <v>25</v>
      </c>
      <c r="R751" s="0" t="s">
        <v>52</v>
      </c>
      <c r="S751" s="0" t="s">
        <v>247</v>
      </c>
    </row>
    <row r="752" customFormat="false" ht="15" hidden="false" customHeight="false" outlineLevel="0" collapsed="false">
      <c r="A752" s="0" t="s">
        <v>2601</v>
      </c>
      <c r="B752" s="0" t="s">
        <v>47</v>
      </c>
      <c r="C752" s="0" t="s">
        <v>203</v>
      </c>
      <c r="D752" s="0" t="s">
        <v>198</v>
      </c>
      <c r="E752" s="0" t="s">
        <v>43</v>
      </c>
      <c r="F752" s="0" t="n">
        <v>18.93</v>
      </c>
      <c r="G752" s="0" t="s">
        <v>332</v>
      </c>
      <c r="H752" s="0" t="s">
        <v>614</v>
      </c>
      <c r="I752" s="0" t="s">
        <v>407</v>
      </c>
      <c r="J752" s="0" t="s">
        <v>2602</v>
      </c>
      <c r="K752" s="0" t="s">
        <v>2207</v>
      </c>
      <c r="L752" s="0" t="n">
        <v>-1</v>
      </c>
      <c r="M752" s="0" t="n">
        <v>0</v>
      </c>
      <c r="N752" s="0" t="n">
        <v>4703.14</v>
      </c>
      <c r="O752" s="0" t="n">
        <v>1404.66</v>
      </c>
      <c r="P752" s="0" t="n">
        <v>511.33</v>
      </c>
      <c r="Q752" s="0" t="s">
        <v>23</v>
      </c>
      <c r="R752" s="0" t="s">
        <v>52</v>
      </c>
      <c r="S752" s="0" t="s">
        <v>247</v>
      </c>
    </row>
    <row r="753" customFormat="false" ht="15" hidden="false" customHeight="false" outlineLevel="0" collapsed="false">
      <c r="A753" s="0" t="s">
        <v>2603</v>
      </c>
      <c r="B753" s="0" t="s">
        <v>47</v>
      </c>
      <c r="C753" s="0" t="s">
        <v>209</v>
      </c>
      <c r="D753" s="0" t="s">
        <v>198</v>
      </c>
      <c r="E753" s="0" t="s">
        <v>42</v>
      </c>
      <c r="F753" s="0" t="n">
        <v>11.42</v>
      </c>
      <c r="G753" s="0" t="s">
        <v>256</v>
      </c>
      <c r="H753" s="0" t="s">
        <v>219</v>
      </c>
      <c r="I753" s="0" t="s">
        <v>444</v>
      </c>
      <c r="J753" s="0" t="s">
        <v>2604</v>
      </c>
      <c r="K753" s="0" t="s">
        <v>2605</v>
      </c>
      <c r="L753" s="0" t="n">
        <v>2.1</v>
      </c>
      <c r="M753" s="0" t="n">
        <v>1</v>
      </c>
      <c r="N753" s="0" t="n">
        <v>6459.2</v>
      </c>
      <c r="O753" s="0" t="n">
        <v>4433.88</v>
      </c>
      <c r="P753" s="0" t="n">
        <v>1046.39</v>
      </c>
      <c r="Q753" s="0" t="s">
        <v>21</v>
      </c>
      <c r="R753" s="0" t="s">
        <v>52</v>
      </c>
      <c r="S753" s="0" t="s">
        <v>254</v>
      </c>
    </row>
    <row r="754" customFormat="false" ht="15" hidden="false" customHeight="false" outlineLevel="0" collapsed="false">
      <c r="A754" s="0" t="s">
        <v>2606</v>
      </c>
      <c r="B754" s="0" t="s">
        <v>48</v>
      </c>
      <c r="C754" s="0" t="s">
        <v>198</v>
      </c>
      <c r="D754" s="0" t="s">
        <v>201</v>
      </c>
      <c r="E754" s="0" t="s">
        <v>43</v>
      </c>
      <c r="F754" s="0" t="n">
        <v>11.82</v>
      </c>
      <c r="G754" s="0" t="s">
        <v>631</v>
      </c>
      <c r="H754" s="0" t="s">
        <v>908</v>
      </c>
      <c r="I754" s="0" t="s">
        <v>374</v>
      </c>
      <c r="J754" s="0" t="s">
        <v>2607</v>
      </c>
      <c r="K754" s="0" t="s">
        <v>2608</v>
      </c>
      <c r="L754" s="0" t="n">
        <v>0.2</v>
      </c>
      <c r="M754" s="0" t="n">
        <v>1</v>
      </c>
      <c r="N754" s="0" t="n">
        <v>6885.84</v>
      </c>
      <c r="O754" s="0" t="n">
        <v>1571.3</v>
      </c>
      <c r="P754" s="0" t="n">
        <v>1195.88</v>
      </c>
      <c r="Q754" s="0" t="s">
        <v>21</v>
      </c>
      <c r="R754" s="0" t="s">
        <v>51</v>
      </c>
      <c r="S754" s="0" t="s">
        <v>228</v>
      </c>
    </row>
    <row r="755" customFormat="false" ht="15" hidden="false" customHeight="false" outlineLevel="0" collapsed="false">
      <c r="A755" s="0" t="s">
        <v>2609</v>
      </c>
      <c r="B755" s="0" t="s">
        <v>48</v>
      </c>
      <c r="C755" s="0" t="s">
        <v>198</v>
      </c>
      <c r="D755" s="0" t="s">
        <v>211</v>
      </c>
      <c r="E755" s="0" t="s">
        <v>42</v>
      </c>
      <c r="F755" s="0" t="n">
        <v>4.13</v>
      </c>
      <c r="G755" s="0" t="s">
        <v>472</v>
      </c>
      <c r="H755" s="0" t="s">
        <v>1261</v>
      </c>
      <c r="I755" s="0" t="s">
        <v>342</v>
      </c>
      <c r="J755" s="0" t="s">
        <v>2610</v>
      </c>
      <c r="K755" s="0" t="s">
        <v>803</v>
      </c>
      <c r="L755" s="0" t="n">
        <v>1.8</v>
      </c>
      <c r="M755" s="0" t="n">
        <v>1</v>
      </c>
      <c r="N755" s="0" t="n">
        <v>3703.05</v>
      </c>
      <c r="O755" s="0" t="n">
        <v>1224.01</v>
      </c>
      <c r="P755" s="0" t="n">
        <v>980.11</v>
      </c>
      <c r="Q755" s="0" t="s">
        <v>21</v>
      </c>
      <c r="R755" s="0" t="s">
        <v>51</v>
      </c>
      <c r="S755" s="0" t="s">
        <v>254</v>
      </c>
    </row>
    <row r="756" customFormat="false" ht="15" hidden="false" customHeight="false" outlineLevel="0" collapsed="false">
      <c r="A756" s="0" t="s">
        <v>2611</v>
      </c>
      <c r="B756" s="0" t="s">
        <v>48</v>
      </c>
      <c r="C756" s="0" t="s">
        <v>198</v>
      </c>
      <c r="D756" s="0" t="s">
        <v>213</v>
      </c>
      <c r="E756" s="0" t="s">
        <v>42</v>
      </c>
      <c r="F756" s="0" t="n">
        <v>11.17</v>
      </c>
      <c r="G756" s="0" t="s">
        <v>468</v>
      </c>
      <c r="H756" s="0" t="s">
        <v>1000</v>
      </c>
      <c r="I756" s="0" t="s">
        <v>415</v>
      </c>
      <c r="J756" s="0" t="s">
        <v>2612</v>
      </c>
      <c r="K756" s="0" t="s">
        <v>417</v>
      </c>
      <c r="L756" s="0" t="n">
        <v>1.3</v>
      </c>
      <c r="M756" s="0" t="n">
        <v>1</v>
      </c>
      <c r="N756" s="0" t="n">
        <v>5748.14</v>
      </c>
      <c r="O756" s="0" t="n">
        <v>2016.12</v>
      </c>
      <c r="P756" s="0" t="n">
        <v>1482.14</v>
      </c>
      <c r="Q756" s="0" t="s">
        <v>23</v>
      </c>
      <c r="R756" s="0" t="s">
        <v>52</v>
      </c>
      <c r="S756" s="0" t="s">
        <v>254</v>
      </c>
    </row>
    <row r="757" customFormat="false" ht="15" hidden="false" customHeight="false" outlineLevel="0" collapsed="false">
      <c r="A757" s="0" t="s">
        <v>2613</v>
      </c>
      <c r="B757" s="0" t="s">
        <v>48</v>
      </c>
      <c r="C757" s="0" t="s">
        <v>198</v>
      </c>
      <c r="D757" s="0" t="s">
        <v>199</v>
      </c>
      <c r="E757" s="0" t="s">
        <v>42</v>
      </c>
      <c r="F757" s="0" t="n">
        <v>19.68</v>
      </c>
      <c r="G757" s="0" t="s">
        <v>2614</v>
      </c>
      <c r="H757" s="0" t="s">
        <v>1140</v>
      </c>
      <c r="I757" s="0" t="s">
        <v>217</v>
      </c>
      <c r="J757" s="0" t="s">
        <v>2615</v>
      </c>
      <c r="K757" s="0" t="s">
        <v>2616</v>
      </c>
      <c r="L757" s="0" t="n">
        <v>3.2</v>
      </c>
      <c r="M757" s="0" t="n">
        <v>1</v>
      </c>
      <c r="N757" s="0" t="n">
        <v>10600.41</v>
      </c>
      <c r="O757" s="0" t="n">
        <v>2307.09</v>
      </c>
      <c r="P757" s="0" t="n">
        <v>1244.87</v>
      </c>
      <c r="Q757" s="0" t="s">
        <v>24</v>
      </c>
      <c r="R757" s="0" t="s">
        <v>52</v>
      </c>
      <c r="S757" s="0" t="s">
        <v>247</v>
      </c>
    </row>
    <row r="758" customFormat="false" ht="15" hidden="false" customHeight="false" outlineLevel="0" collapsed="false">
      <c r="A758" s="0" t="s">
        <v>2617</v>
      </c>
      <c r="B758" s="0" t="s">
        <v>47</v>
      </c>
      <c r="C758" s="0" t="s">
        <v>203</v>
      </c>
      <c r="D758" s="0" t="s">
        <v>198</v>
      </c>
      <c r="E758" s="0" t="s">
        <v>42</v>
      </c>
      <c r="F758" s="0" t="n">
        <v>2.51</v>
      </c>
      <c r="G758" s="0" t="s">
        <v>419</v>
      </c>
      <c r="H758" s="0" t="s">
        <v>435</v>
      </c>
      <c r="I758" s="0" t="s">
        <v>236</v>
      </c>
      <c r="J758" s="0" t="s">
        <v>2054</v>
      </c>
      <c r="K758" s="0" t="s">
        <v>2618</v>
      </c>
      <c r="L758" s="0" t="n">
        <v>2.4</v>
      </c>
      <c r="M758" s="0" t="n">
        <v>1</v>
      </c>
      <c r="N758" s="0" t="n">
        <v>1324</v>
      </c>
      <c r="O758" s="0" t="n">
        <v>1286.93</v>
      </c>
      <c r="P758" s="0" t="n">
        <v>1159.87</v>
      </c>
      <c r="Q758" s="0" t="s">
        <v>23</v>
      </c>
      <c r="R758" s="0" t="s">
        <v>51</v>
      </c>
      <c r="S758" s="0" t="s">
        <v>254</v>
      </c>
    </row>
    <row r="759" customFormat="false" ht="15" hidden="false" customHeight="false" outlineLevel="0" collapsed="false">
      <c r="A759" s="0" t="s">
        <v>2619</v>
      </c>
      <c r="B759" s="0" t="s">
        <v>47</v>
      </c>
      <c r="C759" s="0" t="s">
        <v>199</v>
      </c>
      <c r="D759" s="0" t="s">
        <v>198</v>
      </c>
      <c r="E759" s="0" t="s">
        <v>42</v>
      </c>
      <c r="F759" s="0" t="n">
        <v>9.2</v>
      </c>
      <c r="G759" s="0" t="s">
        <v>1148</v>
      </c>
      <c r="H759" s="0" t="s">
        <v>954</v>
      </c>
      <c r="I759" s="0" t="s">
        <v>342</v>
      </c>
      <c r="J759" s="0" t="s">
        <v>2620</v>
      </c>
      <c r="K759" s="0" t="s">
        <v>803</v>
      </c>
      <c r="L759" s="0" t="n">
        <v>1.8</v>
      </c>
      <c r="M759" s="0" t="n">
        <v>1</v>
      </c>
      <c r="N759" s="0" t="n">
        <v>2601.47</v>
      </c>
      <c r="O759" s="0" t="n">
        <v>4524.02</v>
      </c>
      <c r="P759" s="0" t="n">
        <v>1027.5</v>
      </c>
      <c r="Q759" s="0" t="s">
        <v>21</v>
      </c>
      <c r="R759" s="0" t="s">
        <v>51</v>
      </c>
      <c r="S759" s="0" t="s">
        <v>222</v>
      </c>
    </row>
    <row r="760" customFormat="false" ht="15" hidden="false" customHeight="false" outlineLevel="0" collapsed="false">
      <c r="A760" s="0" t="s">
        <v>2621</v>
      </c>
      <c r="B760" s="0" t="s">
        <v>47</v>
      </c>
      <c r="C760" s="0" t="s">
        <v>205</v>
      </c>
      <c r="D760" s="0" t="s">
        <v>198</v>
      </c>
      <c r="E760" s="0" t="s">
        <v>42</v>
      </c>
      <c r="F760" s="0" t="n">
        <v>16.67</v>
      </c>
      <c r="G760" s="0" t="s">
        <v>502</v>
      </c>
      <c r="H760" s="0" t="s">
        <v>685</v>
      </c>
      <c r="I760" s="0" t="s">
        <v>686</v>
      </c>
      <c r="J760" s="0" t="s">
        <v>2622</v>
      </c>
      <c r="K760" s="0" t="s">
        <v>2623</v>
      </c>
      <c r="L760" s="0" t="n">
        <v>0.8</v>
      </c>
      <c r="M760" s="0" t="n">
        <v>1</v>
      </c>
      <c r="N760" s="0" t="n">
        <v>5818.9</v>
      </c>
      <c r="O760" s="0" t="n">
        <v>3350.74</v>
      </c>
      <c r="P760" s="0" t="n">
        <v>1395.79</v>
      </c>
      <c r="Q760" s="0" t="s">
        <v>23</v>
      </c>
      <c r="R760" s="0" t="s">
        <v>51</v>
      </c>
      <c r="S760" s="0" t="s">
        <v>254</v>
      </c>
    </row>
    <row r="761" customFormat="false" ht="15" hidden="false" customHeight="false" outlineLevel="0" collapsed="false">
      <c r="A761" s="0" t="s">
        <v>2624</v>
      </c>
      <c r="B761" s="0" t="s">
        <v>48</v>
      </c>
      <c r="C761" s="0" t="s">
        <v>198</v>
      </c>
      <c r="D761" s="0" t="s">
        <v>208</v>
      </c>
      <c r="E761" s="0" t="s">
        <v>44</v>
      </c>
      <c r="F761" s="0" t="n">
        <v>13.41</v>
      </c>
      <c r="G761" s="0" t="s">
        <v>715</v>
      </c>
      <c r="H761" s="0" t="s">
        <v>1427</v>
      </c>
      <c r="I761" s="0" t="s">
        <v>577</v>
      </c>
      <c r="J761" s="0" t="s">
        <v>2625</v>
      </c>
      <c r="K761" s="0" t="s">
        <v>2626</v>
      </c>
      <c r="L761" s="0" t="n">
        <v>2.6</v>
      </c>
      <c r="M761" s="0" t="n">
        <v>1</v>
      </c>
      <c r="N761" s="0" t="n">
        <v>6249.56</v>
      </c>
      <c r="O761" s="0" t="n">
        <v>2494.16</v>
      </c>
      <c r="P761" s="0" t="n">
        <v>1169.97</v>
      </c>
      <c r="Q761" s="0" t="s">
        <v>24</v>
      </c>
      <c r="R761" s="0" t="s">
        <v>52</v>
      </c>
      <c r="S761" s="0" t="s">
        <v>222</v>
      </c>
    </row>
    <row r="762" customFormat="false" ht="15" hidden="false" customHeight="false" outlineLevel="0" collapsed="false">
      <c r="A762" s="0" t="s">
        <v>2627</v>
      </c>
      <c r="B762" s="0" t="s">
        <v>47</v>
      </c>
      <c r="C762" s="0" t="s">
        <v>203</v>
      </c>
      <c r="D762" s="0" t="s">
        <v>198</v>
      </c>
      <c r="E762" s="0" t="s">
        <v>43</v>
      </c>
      <c r="F762" s="0" t="n">
        <v>2.37</v>
      </c>
      <c r="G762" s="0" t="s">
        <v>516</v>
      </c>
      <c r="H762" s="0" t="s">
        <v>309</v>
      </c>
      <c r="I762" s="0" t="s">
        <v>719</v>
      </c>
      <c r="J762" s="0" t="s">
        <v>2628</v>
      </c>
      <c r="K762" s="0" t="s">
        <v>2629</v>
      </c>
      <c r="L762" s="0" t="n">
        <v>2.1</v>
      </c>
      <c r="M762" s="0" t="n">
        <v>1</v>
      </c>
      <c r="N762" s="0" t="n">
        <v>1465.94</v>
      </c>
      <c r="O762" s="0" t="n">
        <v>4957.4</v>
      </c>
      <c r="P762" s="0" t="n">
        <v>539.29</v>
      </c>
      <c r="Q762" s="0" t="s">
        <v>25</v>
      </c>
      <c r="R762" s="0" t="s">
        <v>51</v>
      </c>
      <c r="S762" s="0" t="s">
        <v>222</v>
      </c>
    </row>
    <row r="763" customFormat="false" ht="15" hidden="false" customHeight="false" outlineLevel="0" collapsed="false">
      <c r="A763" s="0" t="s">
        <v>2630</v>
      </c>
      <c r="B763" s="0" t="s">
        <v>47</v>
      </c>
      <c r="C763" s="0" t="s">
        <v>209</v>
      </c>
      <c r="D763" s="0" t="s">
        <v>198</v>
      </c>
      <c r="E763" s="0" t="s">
        <v>43</v>
      </c>
      <c r="F763" s="0" t="n">
        <v>13.44</v>
      </c>
      <c r="G763" s="0" t="s">
        <v>589</v>
      </c>
      <c r="H763" s="0" t="s">
        <v>949</v>
      </c>
      <c r="I763" s="0" t="s">
        <v>274</v>
      </c>
      <c r="J763" s="0" t="s">
        <v>2631</v>
      </c>
      <c r="K763" s="0" t="s">
        <v>2632</v>
      </c>
      <c r="L763" s="0" t="n">
        <v>3.5</v>
      </c>
      <c r="M763" s="0" t="n">
        <v>1</v>
      </c>
      <c r="N763" s="0" t="n">
        <v>6640.77</v>
      </c>
      <c r="O763" s="0" t="n">
        <v>1831.37</v>
      </c>
      <c r="P763" s="0" t="n">
        <v>1313.41</v>
      </c>
      <c r="Q763" s="0" t="s">
        <v>22</v>
      </c>
      <c r="R763" s="0" t="s">
        <v>51</v>
      </c>
      <c r="S763" s="0" t="s">
        <v>228</v>
      </c>
    </row>
    <row r="764" customFormat="false" ht="15" hidden="false" customHeight="false" outlineLevel="0" collapsed="false">
      <c r="A764" s="0" t="s">
        <v>2633</v>
      </c>
      <c r="B764" s="0" t="s">
        <v>47</v>
      </c>
      <c r="C764" s="0" t="s">
        <v>209</v>
      </c>
      <c r="D764" s="0" t="s">
        <v>198</v>
      </c>
      <c r="E764" s="0" t="s">
        <v>44</v>
      </c>
      <c r="F764" s="0" t="n">
        <v>15.11</v>
      </c>
      <c r="G764" s="0" t="s">
        <v>866</v>
      </c>
      <c r="H764" s="0" t="s">
        <v>696</v>
      </c>
      <c r="I764" s="0" t="s">
        <v>596</v>
      </c>
      <c r="J764" s="0" t="s">
        <v>2634</v>
      </c>
      <c r="K764" s="0" t="s">
        <v>962</v>
      </c>
      <c r="L764" s="0" t="n">
        <v>-1</v>
      </c>
      <c r="M764" s="0" t="n">
        <v>0</v>
      </c>
      <c r="N764" s="0" t="n">
        <v>4092.74</v>
      </c>
      <c r="O764" s="0" t="n">
        <v>1322.83</v>
      </c>
      <c r="P764" s="0" t="n">
        <v>1492.77</v>
      </c>
      <c r="Q764" s="0" t="s">
        <v>25</v>
      </c>
      <c r="R764" s="0" t="s">
        <v>52</v>
      </c>
      <c r="S764" s="0" t="s">
        <v>228</v>
      </c>
    </row>
    <row r="765" customFormat="false" ht="15" hidden="false" customHeight="false" outlineLevel="0" collapsed="false">
      <c r="A765" s="0" t="s">
        <v>2635</v>
      </c>
      <c r="B765" s="0" t="s">
        <v>48</v>
      </c>
      <c r="C765" s="0" t="s">
        <v>198</v>
      </c>
      <c r="D765" s="0" t="s">
        <v>201</v>
      </c>
      <c r="E765" s="0" t="s">
        <v>42</v>
      </c>
      <c r="F765" s="0" t="n">
        <v>15.89</v>
      </c>
      <c r="G765" s="0" t="s">
        <v>1139</v>
      </c>
      <c r="H765" s="0" t="s">
        <v>2614</v>
      </c>
      <c r="I765" s="0" t="s">
        <v>1304</v>
      </c>
      <c r="J765" s="0" t="s">
        <v>2636</v>
      </c>
      <c r="K765" s="0" t="s">
        <v>2637</v>
      </c>
      <c r="L765" s="0" t="n">
        <v>3.1</v>
      </c>
      <c r="M765" s="0" t="n">
        <v>1</v>
      </c>
      <c r="N765" s="0" t="n">
        <v>5617.62</v>
      </c>
      <c r="O765" s="0" t="n">
        <v>4318.78</v>
      </c>
      <c r="P765" s="0" t="n">
        <v>849.8</v>
      </c>
      <c r="Q765" s="0" t="s">
        <v>21</v>
      </c>
      <c r="R765" s="0" t="s">
        <v>51</v>
      </c>
      <c r="S765" s="0" t="s">
        <v>222</v>
      </c>
    </row>
    <row r="766" customFormat="false" ht="15" hidden="false" customHeight="false" outlineLevel="0" collapsed="false">
      <c r="A766" s="0" t="s">
        <v>2638</v>
      </c>
      <c r="B766" s="0" t="s">
        <v>47</v>
      </c>
      <c r="C766" s="0" t="s">
        <v>203</v>
      </c>
      <c r="D766" s="0" t="s">
        <v>198</v>
      </c>
      <c r="E766" s="0" t="s">
        <v>44</v>
      </c>
      <c r="F766" s="0" t="n">
        <v>9.07</v>
      </c>
      <c r="G766" s="0" t="s">
        <v>243</v>
      </c>
      <c r="H766" s="0" t="s">
        <v>282</v>
      </c>
      <c r="I766" s="0" t="s">
        <v>692</v>
      </c>
      <c r="J766" s="0" t="s">
        <v>2639</v>
      </c>
      <c r="K766" s="0" t="s">
        <v>1571</v>
      </c>
      <c r="L766" s="0" t="n">
        <v>2.9</v>
      </c>
      <c r="M766" s="0" t="n">
        <v>1</v>
      </c>
      <c r="N766" s="0" t="n">
        <v>3700.14</v>
      </c>
      <c r="O766" s="0" t="n">
        <v>1648.68</v>
      </c>
      <c r="P766" s="0" t="n">
        <v>1484.91</v>
      </c>
      <c r="Q766" s="0" t="s">
        <v>25</v>
      </c>
      <c r="R766" s="0" t="s">
        <v>51</v>
      </c>
      <c r="S766" s="0" t="s">
        <v>254</v>
      </c>
    </row>
    <row r="767" customFormat="false" ht="15" hidden="false" customHeight="false" outlineLevel="0" collapsed="false">
      <c r="A767" s="0" t="s">
        <v>2640</v>
      </c>
      <c r="B767" s="0" t="s">
        <v>48</v>
      </c>
      <c r="C767" s="0" t="s">
        <v>198</v>
      </c>
      <c r="D767" s="0" t="s">
        <v>214</v>
      </c>
      <c r="E767" s="0" t="s">
        <v>42</v>
      </c>
      <c r="F767" s="0" t="n">
        <v>2.44</v>
      </c>
      <c r="G767" s="0" t="s">
        <v>913</v>
      </c>
      <c r="H767" s="0" t="s">
        <v>596</v>
      </c>
      <c r="I767" s="0" t="s">
        <v>1064</v>
      </c>
      <c r="J767" s="0" t="s">
        <v>915</v>
      </c>
      <c r="K767" s="0" t="s">
        <v>2641</v>
      </c>
      <c r="L767" s="0" t="n">
        <v>2.4</v>
      </c>
      <c r="M767" s="0" t="n">
        <v>1</v>
      </c>
      <c r="N767" s="0" t="n">
        <v>1932.49</v>
      </c>
      <c r="O767" s="0" t="n">
        <v>2078.54</v>
      </c>
      <c r="P767" s="0" t="n">
        <v>1154.77</v>
      </c>
      <c r="Q767" s="0" t="s">
        <v>22</v>
      </c>
      <c r="R767" s="0" t="s">
        <v>52</v>
      </c>
      <c r="S767" s="0" t="s">
        <v>222</v>
      </c>
    </row>
    <row r="768" customFormat="false" ht="15" hidden="false" customHeight="false" outlineLevel="0" collapsed="false">
      <c r="A768" s="0" t="s">
        <v>2642</v>
      </c>
      <c r="B768" s="0" t="s">
        <v>48</v>
      </c>
      <c r="C768" s="0" t="s">
        <v>198</v>
      </c>
      <c r="D768" s="0" t="s">
        <v>213</v>
      </c>
      <c r="E768" s="0" t="s">
        <v>44</v>
      </c>
      <c r="F768" s="0" t="n">
        <v>8.41</v>
      </c>
      <c r="G768" s="0" t="s">
        <v>920</v>
      </c>
      <c r="H768" s="0" t="s">
        <v>945</v>
      </c>
      <c r="I768" s="0" t="s">
        <v>487</v>
      </c>
      <c r="J768" s="0" t="s">
        <v>1815</v>
      </c>
      <c r="K768" s="0" t="s">
        <v>729</v>
      </c>
      <c r="L768" s="0" t="n">
        <v>10.1</v>
      </c>
      <c r="M768" s="0" t="n">
        <v>1</v>
      </c>
      <c r="N768" s="0" t="n">
        <v>3791.57</v>
      </c>
      <c r="O768" s="0" t="n">
        <v>3076.65</v>
      </c>
      <c r="P768" s="0" t="n">
        <v>798.06</v>
      </c>
      <c r="Q768" s="0" t="s">
        <v>22</v>
      </c>
      <c r="R768" s="0" t="s">
        <v>51</v>
      </c>
      <c r="S768" s="0" t="s">
        <v>222</v>
      </c>
    </row>
    <row r="769" customFormat="false" ht="15" hidden="false" customHeight="false" outlineLevel="0" collapsed="false">
      <c r="A769" s="0" t="s">
        <v>2643</v>
      </c>
      <c r="B769" s="0" t="s">
        <v>47</v>
      </c>
      <c r="C769" s="0" t="s">
        <v>209</v>
      </c>
      <c r="D769" s="0" t="s">
        <v>198</v>
      </c>
      <c r="E769" s="0" t="s">
        <v>43</v>
      </c>
      <c r="F769" s="0" t="n">
        <v>9.03</v>
      </c>
      <c r="G769" s="0" t="s">
        <v>311</v>
      </c>
      <c r="H769" s="0" t="s">
        <v>785</v>
      </c>
      <c r="I769" s="0" t="s">
        <v>483</v>
      </c>
      <c r="J769" s="0" t="s">
        <v>2644</v>
      </c>
      <c r="K769" s="0" t="s">
        <v>2645</v>
      </c>
      <c r="L769" s="0" t="n">
        <v>1.3</v>
      </c>
      <c r="M769" s="0" t="n">
        <v>1</v>
      </c>
      <c r="N769" s="0" t="n">
        <v>4723.99</v>
      </c>
      <c r="O769" s="0" t="n">
        <v>1356.89</v>
      </c>
      <c r="P769" s="0" t="n">
        <v>930.98</v>
      </c>
      <c r="Q769" s="0" t="s">
        <v>23</v>
      </c>
      <c r="R769" s="0" t="s">
        <v>51</v>
      </c>
      <c r="S769" s="0" t="s">
        <v>228</v>
      </c>
    </row>
    <row r="770" customFormat="false" ht="15" hidden="false" customHeight="false" outlineLevel="0" collapsed="false">
      <c r="A770" s="0" t="s">
        <v>2646</v>
      </c>
      <c r="B770" s="0" t="s">
        <v>48</v>
      </c>
      <c r="C770" s="0" t="s">
        <v>198</v>
      </c>
      <c r="D770" s="0" t="s">
        <v>207</v>
      </c>
      <c r="E770" s="0" t="s">
        <v>42</v>
      </c>
      <c r="F770" s="0" t="n">
        <v>4.32</v>
      </c>
      <c r="G770" s="0" t="s">
        <v>1174</v>
      </c>
      <c r="H770" s="0" t="s">
        <v>444</v>
      </c>
      <c r="I770" s="0" t="s">
        <v>445</v>
      </c>
      <c r="J770" s="0" t="s">
        <v>1175</v>
      </c>
      <c r="K770" s="0" t="s">
        <v>764</v>
      </c>
      <c r="L770" s="0" t="n">
        <v>-1</v>
      </c>
      <c r="M770" s="0" t="n">
        <v>0</v>
      </c>
      <c r="N770" s="0" t="n">
        <v>3129.92</v>
      </c>
      <c r="O770" s="0" t="n">
        <v>2695.23</v>
      </c>
      <c r="P770" s="0" t="n">
        <v>1149.86</v>
      </c>
      <c r="Q770" s="0" t="s">
        <v>24</v>
      </c>
      <c r="R770" s="0" t="s">
        <v>51</v>
      </c>
      <c r="S770" s="0" t="s">
        <v>228</v>
      </c>
    </row>
    <row r="771" customFormat="false" ht="15" hidden="false" customHeight="false" outlineLevel="0" collapsed="false">
      <c r="A771" s="0" t="s">
        <v>2647</v>
      </c>
      <c r="B771" s="0" t="s">
        <v>47</v>
      </c>
      <c r="C771" s="0" t="s">
        <v>203</v>
      </c>
      <c r="D771" s="0" t="s">
        <v>198</v>
      </c>
      <c r="E771" s="0" t="s">
        <v>42</v>
      </c>
      <c r="F771" s="0" t="n">
        <v>1.47</v>
      </c>
      <c r="G771" s="0" t="s">
        <v>1158</v>
      </c>
      <c r="H771" s="0" t="s">
        <v>294</v>
      </c>
      <c r="I771" s="0" t="s">
        <v>431</v>
      </c>
      <c r="J771" s="0" t="s">
        <v>2648</v>
      </c>
      <c r="K771" s="0" t="s">
        <v>2649</v>
      </c>
      <c r="L771" s="0" t="n">
        <v>4.4</v>
      </c>
      <c r="M771" s="0" t="n">
        <v>1</v>
      </c>
      <c r="N771" s="0" t="n">
        <v>1207.22</v>
      </c>
      <c r="O771" s="0" t="n">
        <v>4580.14</v>
      </c>
      <c r="P771" s="0" t="n">
        <v>1186.02</v>
      </c>
      <c r="Q771" s="0" t="s">
        <v>22</v>
      </c>
      <c r="R771" s="0" t="s">
        <v>51</v>
      </c>
      <c r="S771" s="0" t="s">
        <v>228</v>
      </c>
    </row>
    <row r="772" customFormat="false" ht="15" hidden="false" customHeight="false" outlineLevel="0" collapsed="false">
      <c r="A772" s="0" t="s">
        <v>2650</v>
      </c>
      <c r="B772" s="0" t="s">
        <v>47</v>
      </c>
      <c r="C772" s="0" t="s">
        <v>199</v>
      </c>
      <c r="D772" s="0" t="s">
        <v>198</v>
      </c>
      <c r="E772" s="0" t="s">
        <v>43</v>
      </c>
      <c r="F772" s="0" t="n">
        <v>5.75</v>
      </c>
      <c r="G772" s="0" t="s">
        <v>236</v>
      </c>
      <c r="H772" s="0" t="s">
        <v>581</v>
      </c>
      <c r="I772" s="0" t="s">
        <v>238</v>
      </c>
      <c r="J772" s="0" t="s">
        <v>2651</v>
      </c>
      <c r="K772" s="0" t="s">
        <v>2652</v>
      </c>
      <c r="L772" s="0" t="n">
        <v>3.2</v>
      </c>
      <c r="M772" s="0" t="n">
        <v>1</v>
      </c>
      <c r="N772" s="0" t="n">
        <v>3529.93</v>
      </c>
      <c r="O772" s="0" t="n">
        <v>3388.47</v>
      </c>
      <c r="P772" s="0" t="n">
        <v>924.19</v>
      </c>
      <c r="Q772" s="0" t="s">
        <v>24</v>
      </c>
      <c r="R772" s="0" t="s">
        <v>51</v>
      </c>
      <c r="S772" s="0" t="s">
        <v>228</v>
      </c>
    </row>
    <row r="773" customFormat="false" ht="15" hidden="false" customHeight="false" outlineLevel="0" collapsed="false">
      <c r="A773" s="0" t="s">
        <v>2653</v>
      </c>
      <c r="B773" s="0" t="s">
        <v>47</v>
      </c>
      <c r="C773" s="0" t="s">
        <v>199</v>
      </c>
      <c r="D773" s="0" t="s">
        <v>198</v>
      </c>
      <c r="E773" s="0" t="s">
        <v>42</v>
      </c>
      <c r="F773" s="0" t="n">
        <v>9.49</v>
      </c>
      <c r="G773" s="0" t="s">
        <v>673</v>
      </c>
      <c r="H773" s="0" t="s">
        <v>309</v>
      </c>
      <c r="I773" s="0" t="s">
        <v>784</v>
      </c>
      <c r="J773" s="0" t="s">
        <v>2654</v>
      </c>
      <c r="K773" s="0" t="s">
        <v>2655</v>
      </c>
      <c r="L773" s="0" t="n">
        <v>9.9</v>
      </c>
      <c r="M773" s="0" t="n">
        <v>1</v>
      </c>
      <c r="N773" s="0" t="n">
        <v>4504.34</v>
      </c>
      <c r="O773" s="0" t="n">
        <v>1727.23</v>
      </c>
      <c r="P773" s="0" t="n">
        <v>585.91</v>
      </c>
      <c r="Q773" s="0" t="s">
        <v>24</v>
      </c>
      <c r="R773" s="0" t="s">
        <v>52</v>
      </c>
      <c r="S773" s="0" t="s">
        <v>247</v>
      </c>
    </row>
    <row r="774" customFormat="false" ht="15" hidden="false" customHeight="false" outlineLevel="0" collapsed="false">
      <c r="A774" s="0" t="s">
        <v>2656</v>
      </c>
      <c r="B774" s="0" t="s">
        <v>48</v>
      </c>
      <c r="C774" s="0" t="s">
        <v>198</v>
      </c>
      <c r="D774" s="0" t="s">
        <v>207</v>
      </c>
      <c r="E774" s="0" t="s">
        <v>44</v>
      </c>
      <c r="F774" s="0" t="n">
        <v>14.57</v>
      </c>
      <c r="G774" s="0" t="s">
        <v>920</v>
      </c>
      <c r="H774" s="0" t="s">
        <v>945</v>
      </c>
      <c r="I774" s="0" t="s">
        <v>287</v>
      </c>
      <c r="J774" s="0" t="s">
        <v>2657</v>
      </c>
      <c r="K774" s="0" t="s">
        <v>2658</v>
      </c>
      <c r="L774" s="0" t="n">
        <v>-0.8</v>
      </c>
      <c r="M774" s="0" t="n">
        <v>0</v>
      </c>
      <c r="N774" s="0" t="n">
        <v>4805.89</v>
      </c>
      <c r="O774" s="0" t="n">
        <v>2238.53</v>
      </c>
      <c r="P774" s="0" t="n">
        <v>1163.73</v>
      </c>
      <c r="Q774" s="0" t="s">
        <v>25</v>
      </c>
      <c r="R774" s="0" t="s">
        <v>52</v>
      </c>
      <c r="S774" s="0" t="s">
        <v>254</v>
      </c>
    </row>
    <row r="775" customFormat="false" ht="15" hidden="false" customHeight="false" outlineLevel="0" collapsed="false">
      <c r="A775" s="0" t="s">
        <v>2659</v>
      </c>
      <c r="B775" s="0" t="s">
        <v>47</v>
      </c>
      <c r="C775" s="0" t="s">
        <v>206</v>
      </c>
      <c r="D775" s="0" t="s">
        <v>198</v>
      </c>
      <c r="E775" s="0" t="s">
        <v>43</v>
      </c>
      <c r="F775" s="0" t="n">
        <v>13.65</v>
      </c>
      <c r="G775" s="0" t="s">
        <v>482</v>
      </c>
      <c r="H775" s="0" t="s">
        <v>826</v>
      </c>
      <c r="I775" s="0" t="s">
        <v>382</v>
      </c>
      <c r="J775" s="0" t="s">
        <v>2660</v>
      </c>
      <c r="K775" s="0" t="s">
        <v>2661</v>
      </c>
      <c r="L775" s="0" t="n">
        <v>3.2</v>
      </c>
      <c r="M775" s="0" t="n">
        <v>1</v>
      </c>
      <c r="N775" s="0" t="n">
        <v>3747.25</v>
      </c>
      <c r="O775" s="0" t="n">
        <v>4586.99</v>
      </c>
      <c r="P775" s="0" t="n">
        <v>710.71</v>
      </c>
      <c r="Q775" s="0" t="s">
        <v>24</v>
      </c>
      <c r="R775" s="0" t="s">
        <v>51</v>
      </c>
      <c r="S775" s="0" t="s">
        <v>247</v>
      </c>
    </row>
    <row r="776" customFormat="false" ht="15" hidden="false" customHeight="false" outlineLevel="0" collapsed="false">
      <c r="A776" s="0" t="s">
        <v>2662</v>
      </c>
      <c r="B776" s="0" t="s">
        <v>47</v>
      </c>
      <c r="C776" s="0" t="s">
        <v>209</v>
      </c>
      <c r="D776" s="0" t="s">
        <v>198</v>
      </c>
      <c r="E776" s="0" t="s">
        <v>43</v>
      </c>
      <c r="F776" s="0" t="n">
        <v>5.32</v>
      </c>
      <c r="G776" s="0" t="s">
        <v>719</v>
      </c>
      <c r="H776" s="0" t="s">
        <v>310</v>
      </c>
      <c r="I776" s="0" t="s">
        <v>826</v>
      </c>
      <c r="J776" s="0" t="s">
        <v>1866</v>
      </c>
      <c r="K776" s="0" t="s">
        <v>2663</v>
      </c>
      <c r="L776" s="0" t="n">
        <v>1.2</v>
      </c>
      <c r="M776" s="0" t="n">
        <v>1</v>
      </c>
      <c r="N776" s="0" t="n">
        <v>3209.83</v>
      </c>
      <c r="O776" s="0" t="n">
        <v>3831.79</v>
      </c>
      <c r="P776" s="0" t="n">
        <v>1057.42</v>
      </c>
      <c r="Q776" s="0" t="s">
        <v>21</v>
      </c>
      <c r="R776" s="0" t="s">
        <v>52</v>
      </c>
      <c r="S776" s="0" t="s">
        <v>247</v>
      </c>
    </row>
    <row r="777" customFormat="false" ht="15" hidden="false" customHeight="false" outlineLevel="0" collapsed="false">
      <c r="A777" s="0" t="s">
        <v>2664</v>
      </c>
      <c r="B777" s="0" t="s">
        <v>47</v>
      </c>
      <c r="C777" s="0" t="s">
        <v>199</v>
      </c>
      <c r="D777" s="0" t="s">
        <v>198</v>
      </c>
      <c r="E777" s="0" t="s">
        <v>42</v>
      </c>
      <c r="F777" s="0" t="n">
        <v>5.86</v>
      </c>
      <c r="G777" s="0" t="s">
        <v>695</v>
      </c>
      <c r="H777" s="0" t="s">
        <v>1380</v>
      </c>
      <c r="I777" s="0" t="s">
        <v>850</v>
      </c>
      <c r="J777" s="0" t="s">
        <v>2665</v>
      </c>
      <c r="K777" s="0" t="s">
        <v>2366</v>
      </c>
      <c r="L777" s="0" t="n">
        <v>6.5</v>
      </c>
      <c r="M777" s="0" t="n">
        <v>1</v>
      </c>
      <c r="N777" s="0" t="n">
        <v>2903.78</v>
      </c>
      <c r="O777" s="0" t="n">
        <v>3416.02</v>
      </c>
      <c r="P777" s="0" t="n">
        <v>1371.33</v>
      </c>
      <c r="Q777" s="0" t="s">
        <v>22</v>
      </c>
      <c r="R777" s="0" t="s">
        <v>51</v>
      </c>
      <c r="S777" s="0" t="s">
        <v>228</v>
      </c>
    </row>
    <row r="778" customFormat="false" ht="15" hidden="false" customHeight="false" outlineLevel="0" collapsed="false">
      <c r="A778" s="0" t="s">
        <v>2666</v>
      </c>
      <c r="B778" s="0" t="s">
        <v>47</v>
      </c>
      <c r="C778" s="0" t="s">
        <v>209</v>
      </c>
      <c r="D778" s="0" t="s">
        <v>198</v>
      </c>
      <c r="E778" s="0" t="s">
        <v>42</v>
      </c>
      <c r="F778" s="0" t="n">
        <v>19.98</v>
      </c>
      <c r="G778" s="0" t="s">
        <v>992</v>
      </c>
      <c r="H778" s="0" t="s">
        <v>231</v>
      </c>
      <c r="I778" s="0" t="s">
        <v>1167</v>
      </c>
      <c r="J778" s="0" t="s">
        <v>2667</v>
      </c>
      <c r="K778" s="0" t="s">
        <v>2668</v>
      </c>
      <c r="L778" s="0" t="n">
        <v>3</v>
      </c>
      <c r="M778" s="0" t="n">
        <v>1</v>
      </c>
      <c r="N778" s="0" t="n">
        <v>7645.94</v>
      </c>
      <c r="O778" s="0" t="n">
        <v>2534.14</v>
      </c>
      <c r="P778" s="0" t="n">
        <v>1336.62</v>
      </c>
      <c r="Q778" s="0" t="s">
        <v>21</v>
      </c>
      <c r="R778" s="0" t="s">
        <v>52</v>
      </c>
      <c r="S778" s="0" t="s">
        <v>247</v>
      </c>
    </row>
    <row r="779" customFormat="false" ht="15" hidden="false" customHeight="false" outlineLevel="0" collapsed="false">
      <c r="A779" s="0" t="s">
        <v>2669</v>
      </c>
      <c r="B779" s="0" t="s">
        <v>47</v>
      </c>
      <c r="C779" s="0" t="s">
        <v>203</v>
      </c>
      <c r="D779" s="0" t="s">
        <v>198</v>
      </c>
      <c r="E779" s="0" t="s">
        <v>42</v>
      </c>
      <c r="F779" s="0" t="n">
        <v>13.36</v>
      </c>
      <c r="G779" s="0" t="s">
        <v>231</v>
      </c>
      <c r="H779" s="0" t="s">
        <v>619</v>
      </c>
      <c r="I779" s="0" t="s">
        <v>439</v>
      </c>
      <c r="J779" s="0" t="s">
        <v>2670</v>
      </c>
      <c r="K779" s="0" t="s">
        <v>2671</v>
      </c>
      <c r="L779" s="0" t="n">
        <v>5.2</v>
      </c>
      <c r="M779" s="0" t="n">
        <v>1</v>
      </c>
      <c r="N779" s="0" t="n">
        <v>5392.63</v>
      </c>
      <c r="O779" s="0" t="n">
        <v>3051</v>
      </c>
      <c r="P779" s="0" t="n">
        <v>898.25</v>
      </c>
      <c r="Q779" s="0" t="s">
        <v>22</v>
      </c>
      <c r="R779" s="0" t="s">
        <v>52</v>
      </c>
      <c r="S779" s="0" t="s">
        <v>247</v>
      </c>
    </row>
    <row r="780" customFormat="false" ht="15" hidden="false" customHeight="false" outlineLevel="0" collapsed="false">
      <c r="A780" s="0" t="s">
        <v>2672</v>
      </c>
      <c r="B780" s="0" t="s">
        <v>48</v>
      </c>
      <c r="C780" s="0" t="s">
        <v>198</v>
      </c>
      <c r="D780" s="0" t="s">
        <v>212</v>
      </c>
      <c r="E780" s="0" t="s">
        <v>42</v>
      </c>
      <c r="F780" s="0" t="n">
        <v>10.45</v>
      </c>
      <c r="G780" s="0" t="s">
        <v>912</v>
      </c>
      <c r="H780" s="0" t="s">
        <v>867</v>
      </c>
      <c r="I780" s="0" t="s">
        <v>1064</v>
      </c>
      <c r="J780" s="0" t="s">
        <v>2673</v>
      </c>
      <c r="K780" s="0" t="s">
        <v>1879</v>
      </c>
      <c r="L780" s="0" t="n">
        <v>-1</v>
      </c>
      <c r="M780" s="0" t="n">
        <v>0</v>
      </c>
      <c r="N780" s="0" t="n">
        <v>4595.88</v>
      </c>
      <c r="O780" s="0" t="n">
        <v>3865.81</v>
      </c>
      <c r="P780" s="0" t="n">
        <v>749.62</v>
      </c>
      <c r="Q780" s="0" t="s">
        <v>21</v>
      </c>
      <c r="R780" s="0" t="s">
        <v>52</v>
      </c>
      <c r="S780" s="0" t="s">
        <v>254</v>
      </c>
    </row>
    <row r="781" customFormat="false" ht="15" hidden="false" customHeight="false" outlineLevel="0" collapsed="false">
      <c r="A781" s="0" t="s">
        <v>2674</v>
      </c>
      <c r="B781" s="0" t="s">
        <v>48</v>
      </c>
      <c r="C781" s="0" t="s">
        <v>198</v>
      </c>
      <c r="D781" s="0" t="s">
        <v>212</v>
      </c>
      <c r="E781" s="0" t="s">
        <v>42</v>
      </c>
      <c r="F781" s="0" t="n">
        <v>17.68</v>
      </c>
      <c r="G781" s="0" t="s">
        <v>1158</v>
      </c>
      <c r="H781" s="0" t="s">
        <v>604</v>
      </c>
      <c r="I781" s="0" t="s">
        <v>643</v>
      </c>
      <c r="J781" s="0" t="s">
        <v>2675</v>
      </c>
      <c r="K781" s="0" t="s">
        <v>2676</v>
      </c>
      <c r="L781" s="0" t="n">
        <v>0</v>
      </c>
      <c r="M781" s="0" t="n">
        <v>0</v>
      </c>
      <c r="N781" s="0" t="n">
        <v>13291.55</v>
      </c>
      <c r="O781" s="0" t="n">
        <v>3773.53</v>
      </c>
      <c r="P781" s="0" t="n">
        <v>670.26</v>
      </c>
      <c r="Q781" s="0" t="s">
        <v>22</v>
      </c>
      <c r="R781" s="0" t="s">
        <v>52</v>
      </c>
      <c r="S781" s="0" t="s">
        <v>222</v>
      </c>
    </row>
    <row r="782" customFormat="false" ht="15" hidden="false" customHeight="false" outlineLevel="0" collapsed="false">
      <c r="A782" s="0" t="s">
        <v>2677</v>
      </c>
      <c r="B782" s="0" t="s">
        <v>47</v>
      </c>
      <c r="C782" s="0" t="s">
        <v>206</v>
      </c>
      <c r="D782" s="0" t="s">
        <v>198</v>
      </c>
      <c r="E782" s="0" t="s">
        <v>44</v>
      </c>
      <c r="F782" s="0" t="n">
        <v>6.16</v>
      </c>
      <c r="G782" s="0" t="s">
        <v>370</v>
      </c>
      <c r="H782" s="0" t="s">
        <v>667</v>
      </c>
      <c r="I782" s="0" t="s">
        <v>288</v>
      </c>
      <c r="J782" s="0" t="s">
        <v>1459</v>
      </c>
      <c r="K782" s="0" t="s">
        <v>2678</v>
      </c>
      <c r="L782" s="0" t="n">
        <v>0.8</v>
      </c>
      <c r="M782" s="0" t="n">
        <v>1</v>
      </c>
      <c r="N782" s="0" t="n">
        <v>3440.46</v>
      </c>
      <c r="O782" s="0" t="n">
        <v>4886.07</v>
      </c>
      <c r="P782" s="0" t="n">
        <v>776.24</v>
      </c>
      <c r="Q782" s="0" t="s">
        <v>21</v>
      </c>
      <c r="R782" s="0" t="s">
        <v>52</v>
      </c>
      <c r="S782" s="0" t="s">
        <v>228</v>
      </c>
    </row>
    <row r="783" customFormat="false" ht="15" hidden="false" customHeight="false" outlineLevel="0" collapsed="false">
      <c r="A783" s="0" t="s">
        <v>2679</v>
      </c>
      <c r="B783" s="0" t="s">
        <v>47</v>
      </c>
      <c r="C783" s="0" t="s">
        <v>203</v>
      </c>
      <c r="D783" s="0" t="s">
        <v>198</v>
      </c>
      <c r="E783" s="0" t="s">
        <v>42</v>
      </c>
      <c r="F783" s="0" t="n">
        <v>16.06</v>
      </c>
      <c r="G783" s="0" t="s">
        <v>487</v>
      </c>
      <c r="H783" s="0" t="s">
        <v>727</v>
      </c>
      <c r="I783" s="0" t="s">
        <v>305</v>
      </c>
      <c r="J783" s="0" t="s">
        <v>2471</v>
      </c>
      <c r="K783" s="0" t="s">
        <v>2680</v>
      </c>
      <c r="L783" s="0" t="n">
        <v>3.5</v>
      </c>
      <c r="M783" s="0" t="n">
        <v>1</v>
      </c>
      <c r="N783" s="0" t="n">
        <v>12049.82</v>
      </c>
      <c r="O783" s="0" t="n">
        <v>4981.93</v>
      </c>
      <c r="P783" s="0" t="n">
        <v>522.57</v>
      </c>
      <c r="Q783" s="0" t="s">
        <v>25</v>
      </c>
      <c r="R783" s="0" t="s">
        <v>51</v>
      </c>
      <c r="S783" s="0" t="s">
        <v>222</v>
      </c>
    </row>
    <row r="784" customFormat="false" ht="15" hidden="false" customHeight="false" outlineLevel="0" collapsed="false">
      <c r="A784" s="0" t="s">
        <v>2681</v>
      </c>
      <c r="B784" s="0" t="s">
        <v>47</v>
      </c>
      <c r="C784" s="0" t="s">
        <v>209</v>
      </c>
      <c r="D784" s="0" t="s">
        <v>198</v>
      </c>
      <c r="E784" s="0" t="s">
        <v>43</v>
      </c>
      <c r="F784" s="0" t="n">
        <v>3.14</v>
      </c>
      <c r="G784" s="0" t="s">
        <v>992</v>
      </c>
      <c r="H784" s="0" t="s">
        <v>619</v>
      </c>
      <c r="I784" s="0" t="s">
        <v>700</v>
      </c>
      <c r="J784" s="0" t="s">
        <v>2682</v>
      </c>
      <c r="K784" s="0" t="s">
        <v>2683</v>
      </c>
      <c r="L784" s="0" t="n">
        <v>6.9</v>
      </c>
      <c r="M784" s="0" t="n">
        <v>1</v>
      </c>
      <c r="N784" s="0" t="n">
        <v>1779.57</v>
      </c>
      <c r="O784" s="0" t="n">
        <v>3023.24</v>
      </c>
      <c r="P784" s="0" t="n">
        <v>1060.35</v>
      </c>
      <c r="Q784" s="0" t="s">
        <v>25</v>
      </c>
      <c r="R784" s="0" t="s">
        <v>52</v>
      </c>
      <c r="S784" s="0" t="s">
        <v>247</v>
      </c>
    </row>
    <row r="785" customFormat="false" ht="15" hidden="false" customHeight="false" outlineLevel="0" collapsed="false">
      <c r="A785" s="0" t="s">
        <v>2684</v>
      </c>
      <c r="B785" s="0" t="s">
        <v>48</v>
      </c>
      <c r="C785" s="0" t="s">
        <v>198</v>
      </c>
      <c r="D785" s="0" t="s">
        <v>201</v>
      </c>
      <c r="E785" s="0" t="s">
        <v>43</v>
      </c>
      <c r="F785" s="0" t="n">
        <v>14.84</v>
      </c>
      <c r="G785" s="0" t="s">
        <v>576</v>
      </c>
      <c r="H785" s="0" t="s">
        <v>375</v>
      </c>
      <c r="I785" s="0" t="s">
        <v>557</v>
      </c>
      <c r="J785" s="0" t="s">
        <v>377</v>
      </c>
      <c r="K785" s="0" t="s">
        <v>1009</v>
      </c>
      <c r="L785" s="0" t="n">
        <v>3</v>
      </c>
      <c r="M785" s="0" t="n">
        <v>1</v>
      </c>
      <c r="N785" s="0" t="n">
        <v>7996.84</v>
      </c>
      <c r="O785" s="0" t="n">
        <v>2037.8</v>
      </c>
      <c r="P785" s="0" t="n">
        <v>584.65</v>
      </c>
      <c r="Q785" s="0" t="s">
        <v>24</v>
      </c>
      <c r="R785" s="0" t="s">
        <v>51</v>
      </c>
      <c r="S785" s="0" t="s">
        <v>272</v>
      </c>
    </row>
    <row r="786" customFormat="false" ht="15" hidden="false" customHeight="false" outlineLevel="0" collapsed="false">
      <c r="A786" s="0" t="s">
        <v>2685</v>
      </c>
      <c r="B786" s="0" t="s">
        <v>48</v>
      </c>
      <c r="C786" s="0" t="s">
        <v>198</v>
      </c>
      <c r="D786" s="0" t="s">
        <v>204</v>
      </c>
      <c r="E786" s="0" t="s">
        <v>42</v>
      </c>
      <c r="F786" s="0" t="n">
        <v>3.27</v>
      </c>
      <c r="G786" s="0" t="s">
        <v>487</v>
      </c>
      <c r="H786" s="0" t="s">
        <v>727</v>
      </c>
      <c r="I786" s="0" t="s">
        <v>673</v>
      </c>
      <c r="J786" s="0" t="s">
        <v>2686</v>
      </c>
      <c r="K786" s="0" t="s">
        <v>2687</v>
      </c>
      <c r="L786" s="0" t="n">
        <v>0.2</v>
      </c>
      <c r="M786" s="0" t="n">
        <v>1</v>
      </c>
      <c r="N786" s="0" t="n">
        <v>2480.56</v>
      </c>
      <c r="O786" s="0" t="n">
        <v>4499.59</v>
      </c>
      <c r="P786" s="0" t="n">
        <v>1271.78</v>
      </c>
      <c r="Q786" s="0" t="s">
        <v>24</v>
      </c>
      <c r="R786" s="0" t="s">
        <v>51</v>
      </c>
      <c r="S786" s="0" t="s">
        <v>272</v>
      </c>
    </row>
    <row r="787" customFormat="false" ht="15" hidden="false" customHeight="false" outlineLevel="0" collapsed="false">
      <c r="A787" s="0" t="s">
        <v>2688</v>
      </c>
      <c r="B787" s="0" t="s">
        <v>47</v>
      </c>
      <c r="C787" s="0" t="s">
        <v>205</v>
      </c>
      <c r="D787" s="0" t="s">
        <v>198</v>
      </c>
      <c r="E787" s="0" t="s">
        <v>43</v>
      </c>
      <c r="F787" s="0" t="n">
        <v>8.94</v>
      </c>
      <c r="G787" s="0" t="s">
        <v>362</v>
      </c>
      <c r="H787" s="0" t="s">
        <v>363</v>
      </c>
      <c r="I787" s="0" t="s">
        <v>1261</v>
      </c>
      <c r="J787" s="0" t="s">
        <v>2689</v>
      </c>
      <c r="K787" s="0" t="s">
        <v>2690</v>
      </c>
      <c r="L787" s="0" t="n">
        <v>5.5</v>
      </c>
      <c r="M787" s="0" t="n">
        <v>1</v>
      </c>
      <c r="N787" s="0" t="n">
        <v>5001.6</v>
      </c>
      <c r="O787" s="0" t="n">
        <v>3414.98</v>
      </c>
      <c r="P787" s="0" t="n">
        <v>605.27</v>
      </c>
      <c r="Q787" s="0" t="s">
        <v>22</v>
      </c>
      <c r="R787" s="0" t="s">
        <v>51</v>
      </c>
      <c r="S787" s="0" t="s">
        <v>254</v>
      </c>
    </row>
    <row r="788" customFormat="false" ht="15" hidden="false" customHeight="false" outlineLevel="0" collapsed="false">
      <c r="A788" s="0" t="s">
        <v>2691</v>
      </c>
      <c r="B788" s="0" t="s">
        <v>48</v>
      </c>
      <c r="C788" s="0" t="s">
        <v>198</v>
      </c>
      <c r="D788" s="0" t="s">
        <v>212</v>
      </c>
      <c r="E788" s="0" t="s">
        <v>42</v>
      </c>
      <c r="F788" s="0" t="n">
        <v>11.88</v>
      </c>
      <c r="G788" s="0" t="s">
        <v>1926</v>
      </c>
      <c r="H788" s="0" t="s">
        <v>326</v>
      </c>
      <c r="I788" s="0" t="s">
        <v>563</v>
      </c>
      <c r="J788" s="0" t="s">
        <v>2692</v>
      </c>
      <c r="K788" s="0" t="s">
        <v>2693</v>
      </c>
      <c r="L788" s="0" t="n">
        <v>-0.4</v>
      </c>
      <c r="M788" s="0" t="n">
        <v>0</v>
      </c>
      <c r="N788" s="0" t="n">
        <v>5113.98</v>
      </c>
      <c r="O788" s="0" t="n">
        <v>3294.51</v>
      </c>
      <c r="P788" s="0" t="n">
        <v>1321.54</v>
      </c>
      <c r="Q788" s="0" t="s">
        <v>22</v>
      </c>
      <c r="R788" s="0" t="s">
        <v>52</v>
      </c>
      <c r="S788" s="0" t="s">
        <v>228</v>
      </c>
    </row>
    <row r="789" customFormat="false" ht="15" hidden="false" customHeight="false" outlineLevel="0" collapsed="false">
      <c r="A789" s="0" t="s">
        <v>2694</v>
      </c>
      <c r="B789" s="0" t="s">
        <v>47</v>
      </c>
      <c r="C789" s="0" t="s">
        <v>209</v>
      </c>
      <c r="D789" s="0" t="s">
        <v>198</v>
      </c>
      <c r="E789" s="0" t="s">
        <v>42</v>
      </c>
      <c r="F789" s="0" t="n">
        <v>1.54</v>
      </c>
      <c r="G789" s="0" t="s">
        <v>232</v>
      </c>
      <c r="H789" s="0" t="s">
        <v>700</v>
      </c>
      <c r="I789" s="0" t="s">
        <v>440</v>
      </c>
      <c r="J789" s="0" t="s">
        <v>702</v>
      </c>
      <c r="K789" s="0" t="s">
        <v>2695</v>
      </c>
      <c r="L789" s="0" t="n">
        <v>8.3</v>
      </c>
      <c r="M789" s="0" t="n">
        <v>1</v>
      </c>
      <c r="N789" s="0" t="n">
        <v>2026.86</v>
      </c>
      <c r="O789" s="0" t="n">
        <v>2099.19</v>
      </c>
      <c r="P789" s="0" t="n">
        <v>1233.15</v>
      </c>
      <c r="Q789" s="0" t="s">
        <v>24</v>
      </c>
      <c r="R789" s="0" t="s">
        <v>52</v>
      </c>
      <c r="S789" s="0" t="s">
        <v>272</v>
      </c>
    </row>
    <row r="790" customFormat="false" ht="15" hidden="false" customHeight="false" outlineLevel="0" collapsed="false">
      <c r="A790" s="0" t="s">
        <v>2696</v>
      </c>
      <c r="B790" s="0" t="s">
        <v>47</v>
      </c>
      <c r="C790" s="0" t="s">
        <v>206</v>
      </c>
      <c r="D790" s="0" t="s">
        <v>198</v>
      </c>
      <c r="E790" s="0" t="s">
        <v>44</v>
      </c>
      <c r="F790" s="0" t="n">
        <v>2.79</v>
      </c>
      <c r="G790" s="0" t="s">
        <v>217</v>
      </c>
      <c r="H790" s="0" t="s">
        <v>218</v>
      </c>
      <c r="I790" s="0" t="s">
        <v>224</v>
      </c>
      <c r="J790" s="0" t="s">
        <v>2697</v>
      </c>
      <c r="K790" s="0" t="s">
        <v>2698</v>
      </c>
      <c r="L790" s="0" t="n">
        <v>2.9</v>
      </c>
      <c r="M790" s="0" t="n">
        <v>1</v>
      </c>
      <c r="N790" s="0" t="n">
        <v>2441.1</v>
      </c>
      <c r="O790" s="0" t="n">
        <v>3937.09</v>
      </c>
      <c r="P790" s="0" t="n">
        <v>871.11</v>
      </c>
      <c r="Q790" s="0" t="s">
        <v>25</v>
      </c>
      <c r="R790" s="0" t="s">
        <v>51</v>
      </c>
      <c r="S790" s="0" t="s">
        <v>228</v>
      </c>
    </row>
    <row r="791" customFormat="false" ht="15" hidden="false" customHeight="false" outlineLevel="0" collapsed="false">
      <c r="A791" s="0" t="s">
        <v>2699</v>
      </c>
      <c r="B791" s="0" t="s">
        <v>47</v>
      </c>
      <c r="C791" s="0" t="s">
        <v>209</v>
      </c>
      <c r="D791" s="0" t="s">
        <v>198</v>
      </c>
      <c r="E791" s="0" t="s">
        <v>42</v>
      </c>
      <c r="F791" s="0" t="n">
        <v>14.68</v>
      </c>
      <c r="G791" s="0" t="s">
        <v>850</v>
      </c>
      <c r="H791" s="0" t="s">
        <v>424</v>
      </c>
      <c r="I791" s="0" t="s">
        <v>831</v>
      </c>
      <c r="J791" s="0" t="s">
        <v>2700</v>
      </c>
      <c r="K791" s="0" t="s">
        <v>2701</v>
      </c>
      <c r="L791" s="0" t="n">
        <v>-1</v>
      </c>
      <c r="M791" s="0" t="n">
        <v>0</v>
      </c>
      <c r="N791" s="0" t="n">
        <v>5372.02</v>
      </c>
      <c r="O791" s="0" t="n">
        <v>4298.51</v>
      </c>
      <c r="P791" s="0" t="n">
        <v>1108.35</v>
      </c>
      <c r="Q791" s="0" t="s">
        <v>25</v>
      </c>
      <c r="R791" s="0" t="s">
        <v>51</v>
      </c>
      <c r="S791" s="0" t="s">
        <v>247</v>
      </c>
    </row>
    <row r="792" customFormat="false" ht="15" hidden="false" customHeight="false" outlineLevel="0" collapsed="false">
      <c r="A792" s="0" t="s">
        <v>2702</v>
      </c>
      <c r="B792" s="0" t="s">
        <v>47</v>
      </c>
      <c r="C792" s="0" t="s">
        <v>199</v>
      </c>
      <c r="D792" s="0" t="s">
        <v>198</v>
      </c>
      <c r="E792" s="0" t="s">
        <v>43</v>
      </c>
      <c r="F792" s="0" t="n">
        <v>9.44</v>
      </c>
      <c r="G792" s="0" t="s">
        <v>408</v>
      </c>
      <c r="H792" s="0" t="s">
        <v>709</v>
      </c>
      <c r="I792" s="0" t="s">
        <v>1907</v>
      </c>
      <c r="J792" s="0" t="s">
        <v>2703</v>
      </c>
      <c r="K792" s="0" t="s">
        <v>2704</v>
      </c>
      <c r="L792" s="0" t="n">
        <v>0.6</v>
      </c>
      <c r="M792" s="0" t="n">
        <v>1</v>
      </c>
      <c r="N792" s="0" t="n">
        <v>5694.15</v>
      </c>
      <c r="O792" s="0" t="n">
        <v>3672.08</v>
      </c>
      <c r="P792" s="0" t="n">
        <v>676.68</v>
      </c>
      <c r="Q792" s="0" t="s">
        <v>23</v>
      </c>
      <c r="R792" s="0" t="s">
        <v>52</v>
      </c>
      <c r="S792" s="0" t="s">
        <v>254</v>
      </c>
    </row>
    <row r="793" customFormat="false" ht="15" hidden="false" customHeight="false" outlineLevel="0" collapsed="false">
      <c r="A793" s="0" t="s">
        <v>2705</v>
      </c>
      <c r="B793" s="0" t="s">
        <v>47</v>
      </c>
      <c r="C793" s="0" t="s">
        <v>203</v>
      </c>
      <c r="D793" s="0" t="s">
        <v>198</v>
      </c>
      <c r="E793" s="0" t="s">
        <v>44</v>
      </c>
      <c r="F793" s="0" t="n">
        <v>12.02</v>
      </c>
      <c r="G793" s="0" t="s">
        <v>613</v>
      </c>
      <c r="H793" s="0" t="s">
        <v>1270</v>
      </c>
      <c r="I793" s="0" t="s">
        <v>756</v>
      </c>
      <c r="J793" s="0" t="s">
        <v>2706</v>
      </c>
      <c r="K793" s="0" t="s">
        <v>2707</v>
      </c>
      <c r="L793" s="0" t="n">
        <v>5.5</v>
      </c>
      <c r="M793" s="0" t="n">
        <v>1</v>
      </c>
      <c r="N793" s="0" t="n">
        <v>5050.37</v>
      </c>
      <c r="O793" s="0" t="n">
        <v>2345.8</v>
      </c>
      <c r="P793" s="0" t="n">
        <v>711.21</v>
      </c>
      <c r="Q793" s="0" t="s">
        <v>22</v>
      </c>
      <c r="R793" s="0" t="s">
        <v>51</v>
      </c>
      <c r="S793" s="0" t="s">
        <v>228</v>
      </c>
    </row>
    <row r="794" customFormat="false" ht="15" hidden="false" customHeight="false" outlineLevel="0" collapsed="false">
      <c r="A794" s="0" t="s">
        <v>2708</v>
      </c>
      <c r="B794" s="0" t="s">
        <v>47</v>
      </c>
      <c r="C794" s="0" t="s">
        <v>199</v>
      </c>
      <c r="D794" s="0" t="s">
        <v>198</v>
      </c>
      <c r="E794" s="0" t="s">
        <v>43</v>
      </c>
      <c r="F794" s="0" t="n">
        <v>6.95</v>
      </c>
      <c r="G794" s="0" t="s">
        <v>1243</v>
      </c>
      <c r="H794" s="0" t="s">
        <v>368</v>
      </c>
      <c r="I794" s="0" t="s">
        <v>945</v>
      </c>
      <c r="J794" s="0" t="s">
        <v>2709</v>
      </c>
      <c r="K794" s="0" t="s">
        <v>2236</v>
      </c>
      <c r="L794" s="0" t="n">
        <v>2.3</v>
      </c>
      <c r="M794" s="0" t="n">
        <v>1</v>
      </c>
      <c r="N794" s="0" t="n">
        <v>5833.75</v>
      </c>
      <c r="O794" s="0" t="n">
        <v>2752.13</v>
      </c>
      <c r="P794" s="0" t="n">
        <v>1361.03</v>
      </c>
      <c r="Q794" s="0" t="s">
        <v>22</v>
      </c>
      <c r="R794" s="0" t="s">
        <v>52</v>
      </c>
      <c r="S794" s="0" t="s">
        <v>228</v>
      </c>
    </row>
    <row r="795" customFormat="false" ht="15" hidden="false" customHeight="false" outlineLevel="0" collapsed="false">
      <c r="A795" s="0" t="s">
        <v>2710</v>
      </c>
      <c r="B795" s="0" t="s">
        <v>48</v>
      </c>
      <c r="C795" s="0" t="s">
        <v>198</v>
      </c>
      <c r="D795" s="0" t="s">
        <v>213</v>
      </c>
      <c r="E795" s="0" t="s">
        <v>44</v>
      </c>
      <c r="F795" s="0" t="n">
        <v>11.75</v>
      </c>
      <c r="G795" s="0" t="s">
        <v>413</v>
      </c>
      <c r="H795" s="0" t="s">
        <v>468</v>
      </c>
      <c r="I795" s="0" t="s">
        <v>1000</v>
      </c>
      <c r="J795" s="0" t="s">
        <v>2711</v>
      </c>
      <c r="K795" s="0" t="s">
        <v>2712</v>
      </c>
      <c r="L795" s="0" t="n">
        <v>0.9</v>
      </c>
      <c r="M795" s="0" t="n">
        <v>1</v>
      </c>
      <c r="N795" s="0" t="n">
        <v>8029.31</v>
      </c>
      <c r="O795" s="0" t="n">
        <v>2761.74</v>
      </c>
      <c r="P795" s="0" t="n">
        <v>1401.18</v>
      </c>
      <c r="Q795" s="0" t="s">
        <v>21</v>
      </c>
      <c r="R795" s="0" t="s">
        <v>51</v>
      </c>
      <c r="S795" s="0" t="s">
        <v>228</v>
      </c>
    </row>
    <row r="796" customFormat="false" ht="15" hidden="false" customHeight="false" outlineLevel="0" collapsed="false">
      <c r="A796" s="0" t="s">
        <v>2713</v>
      </c>
      <c r="B796" s="0" t="s">
        <v>48</v>
      </c>
      <c r="C796" s="0" t="s">
        <v>198</v>
      </c>
      <c r="D796" s="0" t="s">
        <v>204</v>
      </c>
      <c r="E796" s="0" t="s">
        <v>44</v>
      </c>
      <c r="F796" s="0" t="n">
        <v>15.26</v>
      </c>
      <c r="G796" s="0" t="s">
        <v>276</v>
      </c>
      <c r="H796" s="0" t="s">
        <v>521</v>
      </c>
      <c r="I796" s="0" t="s">
        <v>507</v>
      </c>
      <c r="J796" s="0" t="s">
        <v>2714</v>
      </c>
      <c r="K796" s="0" t="s">
        <v>2715</v>
      </c>
      <c r="L796" s="0" t="n">
        <v>4.8</v>
      </c>
      <c r="M796" s="0" t="n">
        <v>1</v>
      </c>
      <c r="N796" s="0" t="n">
        <v>6170.52</v>
      </c>
      <c r="O796" s="0" t="n">
        <v>2050.77</v>
      </c>
      <c r="P796" s="0" t="n">
        <v>664.72</v>
      </c>
      <c r="Q796" s="0" t="s">
        <v>22</v>
      </c>
      <c r="R796" s="0" t="s">
        <v>51</v>
      </c>
      <c r="S796" s="0" t="s">
        <v>247</v>
      </c>
    </row>
    <row r="797" customFormat="false" ht="15" hidden="false" customHeight="false" outlineLevel="0" collapsed="false">
      <c r="A797" s="0" t="s">
        <v>2716</v>
      </c>
      <c r="B797" s="0" t="s">
        <v>47</v>
      </c>
      <c r="C797" s="0" t="s">
        <v>206</v>
      </c>
      <c r="D797" s="0" t="s">
        <v>198</v>
      </c>
      <c r="E797" s="0" t="s">
        <v>43</v>
      </c>
      <c r="F797" s="0" t="n">
        <v>14.09</v>
      </c>
      <c r="G797" s="0" t="s">
        <v>326</v>
      </c>
      <c r="H797" s="0" t="s">
        <v>523</v>
      </c>
      <c r="I797" s="0" t="s">
        <v>933</v>
      </c>
      <c r="J797" s="0" t="s">
        <v>2552</v>
      </c>
      <c r="K797" s="0" t="s">
        <v>2717</v>
      </c>
      <c r="L797" s="0" t="n">
        <v>2.4</v>
      </c>
      <c r="M797" s="0" t="n">
        <v>1</v>
      </c>
      <c r="N797" s="0" t="n">
        <v>5375.18</v>
      </c>
      <c r="O797" s="0" t="n">
        <v>1589.81</v>
      </c>
      <c r="P797" s="0" t="n">
        <v>573.25</v>
      </c>
      <c r="Q797" s="0" t="s">
        <v>22</v>
      </c>
      <c r="R797" s="0" t="s">
        <v>51</v>
      </c>
      <c r="S797" s="0" t="s">
        <v>228</v>
      </c>
    </row>
    <row r="798" customFormat="false" ht="15" hidden="false" customHeight="false" outlineLevel="0" collapsed="false">
      <c r="A798" s="0" t="s">
        <v>2718</v>
      </c>
      <c r="B798" s="0" t="s">
        <v>47</v>
      </c>
      <c r="C798" s="0" t="s">
        <v>199</v>
      </c>
      <c r="D798" s="0" t="s">
        <v>198</v>
      </c>
      <c r="E798" s="0" t="s">
        <v>42</v>
      </c>
      <c r="F798" s="0" t="n">
        <v>16.43</v>
      </c>
      <c r="G798" s="0" t="s">
        <v>403</v>
      </c>
      <c r="H798" s="0" t="s">
        <v>1148</v>
      </c>
      <c r="I798" s="0" t="s">
        <v>364</v>
      </c>
      <c r="J798" s="0" t="s">
        <v>2719</v>
      </c>
      <c r="K798" s="0" t="s">
        <v>2582</v>
      </c>
      <c r="L798" s="0" t="n">
        <v>3</v>
      </c>
      <c r="M798" s="0" t="n">
        <v>1</v>
      </c>
      <c r="N798" s="0" t="n">
        <v>6161.53</v>
      </c>
      <c r="O798" s="0" t="n">
        <v>3485.86</v>
      </c>
      <c r="P798" s="0" t="n">
        <v>1277.88</v>
      </c>
      <c r="Q798" s="0" t="s">
        <v>21</v>
      </c>
      <c r="R798" s="0" t="s">
        <v>52</v>
      </c>
      <c r="S798" s="0" t="s">
        <v>254</v>
      </c>
    </row>
    <row r="799" customFormat="false" ht="15" hidden="false" customHeight="false" outlineLevel="0" collapsed="false">
      <c r="A799" s="0" t="s">
        <v>2720</v>
      </c>
      <c r="B799" s="0" t="s">
        <v>48</v>
      </c>
      <c r="C799" s="0" t="s">
        <v>198</v>
      </c>
      <c r="D799" s="0" t="s">
        <v>204</v>
      </c>
      <c r="E799" s="0" t="s">
        <v>43</v>
      </c>
      <c r="F799" s="0" t="n">
        <v>10.51</v>
      </c>
      <c r="G799" s="0" t="s">
        <v>374</v>
      </c>
      <c r="H799" s="0" t="s">
        <v>375</v>
      </c>
      <c r="I799" s="0" t="s">
        <v>1007</v>
      </c>
      <c r="J799" s="0" t="s">
        <v>377</v>
      </c>
      <c r="K799" s="0" t="s">
        <v>2721</v>
      </c>
      <c r="L799" s="0" t="n">
        <v>0.3</v>
      </c>
      <c r="M799" s="0" t="n">
        <v>1</v>
      </c>
      <c r="N799" s="0" t="n">
        <v>6257.1</v>
      </c>
      <c r="O799" s="0" t="n">
        <v>4059.52</v>
      </c>
      <c r="P799" s="0" t="n">
        <v>674.61</v>
      </c>
      <c r="Q799" s="0" t="s">
        <v>21</v>
      </c>
      <c r="R799" s="0" t="s">
        <v>52</v>
      </c>
      <c r="S799" s="0" t="s">
        <v>254</v>
      </c>
    </row>
    <row r="800" customFormat="false" ht="15" hidden="false" customHeight="false" outlineLevel="0" collapsed="false">
      <c r="A800" s="0" t="s">
        <v>2722</v>
      </c>
      <c r="B800" s="0" t="s">
        <v>48</v>
      </c>
      <c r="C800" s="0" t="s">
        <v>198</v>
      </c>
      <c r="D800" s="0" t="s">
        <v>201</v>
      </c>
      <c r="E800" s="0" t="s">
        <v>44</v>
      </c>
      <c r="F800" s="0" t="n">
        <v>7.12</v>
      </c>
      <c r="G800" s="0" t="s">
        <v>256</v>
      </c>
      <c r="H800" s="0" t="s">
        <v>1174</v>
      </c>
      <c r="I800" s="0" t="s">
        <v>1360</v>
      </c>
      <c r="J800" s="0" t="s">
        <v>2723</v>
      </c>
      <c r="K800" s="0" t="s">
        <v>2724</v>
      </c>
      <c r="L800" s="0" t="n">
        <v>6.6</v>
      </c>
      <c r="M800" s="0" t="n">
        <v>1</v>
      </c>
      <c r="N800" s="0" t="n">
        <v>3006.7</v>
      </c>
      <c r="O800" s="0" t="n">
        <v>4718.02</v>
      </c>
      <c r="P800" s="0" t="n">
        <v>672.45</v>
      </c>
      <c r="Q800" s="0" t="s">
        <v>23</v>
      </c>
      <c r="R800" s="0" t="s">
        <v>52</v>
      </c>
      <c r="S800" s="0" t="s">
        <v>272</v>
      </c>
    </row>
    <row r="801" customFormat="false" ht="15" hidden="false" customHeight="false" outlineLevel="0" collapsed="false">
      <c r="A801" s="0" t="s">
        <v>2725</v>
      </c>
      <c r="B801" s="0" t="s">
        <v>47</v>
      </c>
      <c r="C801" s="0" t="s">
        <v>209</v>
      </c>
      <c r="D801" s="0" t="s">
        <v>198</v>
      </c>
      <c r="E801" s="0" t="s">
        <v>42</v>
      </c>
      <c r="F801" s="0" t="n">
        <v>12.01</v>
      </c>
      <c r="G801" s="0" t="s">
        <v>572</v>
      </c>
      <c r="H801" s="0" t="s">
        <v>977</v>
      </c>
      <c r="I801" s="0" t="s">
        <v>1265</v>
      </c>
      <c r="J801" s="0" t="s">
        <v>2726</v>
      </c>
      <c r="K801" s="0" t="s">
        <v>355</v>
      </c>
      <c r="L801" s="0" t="n">
        <v>3.4</v>
      </c>
      <c r="M801" s="0" t="n">
        <v>1</v>
      </c>
      <c r="N801" s="0" t="n">
        <v>4953.52</v>
      </c>
      <c r="O801" s="0" t="n">
        <v>3875.96</v>
      </c>
      <c r="P801" s="0" t="n">
        <v>1069.52</v>
      </c>
      <c r="Q801" s="0" t="s">
        <v>25</v>
      </c>
      <c r="R801" s="0" t="s">
        <v>52</v>
      </c>
      <c r="S801" s="0" t="s">
        <v>254</v>
      </c>
    </row>
    <row r="802" customFormat="false" ht="15" hidden="false" customHeight="false" outlineLevel="0" collapsed="false">
      <c r="A802" s="0" t="s">
        <v>2727</v>
      </c>
      <c r="B802" s="0" t="s">
        <v>48</v>
      </c>
      <c r="C802" s="0" t="s">
        <v>198</v>
      </c>
      <c r="D802" s="0" t="s">
        <v>207</v>
      </c>
      <c r="E802" s="0" t="s">
        <v>42</v>
      </c>
      <c r="F802" s="0" t="n">
        <v>15.03</v>
      </c>
      <c r="G802" s="0" t="s">
        <v>244</v>
      </c>
      <c r="H802" s="0" t="s">
        <v>467</v>
      </c>
      <c r="I802" s="0" t="s">
        <v>468</v>
      </c>
      <c r="J802" s="0" t="s">
        <v>2728</v>
      </c>
      <c r="K802" s="0" t="s">
        <v>2729</v>
      </c>
      <c r="L802" s="0" t="n">
        <v>2.6</v>
      </c>
      <c r="M802" s="0" t="n">
        <v>1</v>
      </c>
      <c r="N802" s="0" t="n">
        <v>11162.35</v>
      </c>
      <c r="O802" s="0" t="n">
        <v>2058.6</v>
      </c>
      <c r="P802" s="0" t="n">
        <v>1211.27</v>
      </c>
      <c r="Q802" s="0" t="s">
        <v>23</v>
      </c>
      <c r="R802" s="0" t="s">
        <v>52</v>
      </c>
      <c r="S802" s="0" t="s">
        <v>222</v>
      </c>
    </row>
    <row r="803" customFormat="false" ht="15" hidden="false" customHeight="false" outlineLevel="0" collapsed="false">
      <c r="A803" s="0" t="s">
        <v>2730</v>
      </c>
      <c r="B803" s="0" t="s">
        <v>47</v>
      </c>
      <c r="C803" s="0" t="s">
        <v>203</v>
      </c>
      <c r="D803" s="0" t="s">
        <v>198</v>
      </c>
      <c r="E803" s="0" t="s">
        <v>42</v>
      </c>
      <c r="F803" s="0" t="n">
        <v>2.9</v>
      </c>
      <c r="G803" s="0" t="s">
        <v>1370</v>
      </c>
      <c r="H803" s="0" t="s">
        <v>391</v>
      </c>
      <c r="I803" s="0" t="s">
        <v>420</v>
      </c>
      <c r="J803" s="0" t="s">
        <v>1958</v>
      </c>
      <c r="K803" s="0" t="s">
        <v>2618</v>
      </c>
      <c r="L803" s="0" t="n">
        <v>3.4</v>
      </c>
      <c r="M803" s="0" t="n">
        <v>1</v>
      </c>
      <c r="N803" s="0" t="n">
        <v>1909.02</v>
      </c>
      <c r="O803" s="0" t="n">
        <v>4048.13</v>
      </c>
      <c r="P803" s="0" t="n">
        <v>1037.38</v>
      </c>
      <c r="Q803" s="0" t="s">
        <v>21</v>
      </c>
      <c r="R803" s="0" t="s">
        <v>51</v>
      </c>
      <c r="S803" s="0" t="s">
        <v>228</v>
      </c>
    </row>
    <row r="804" customFormat="false" ht="15" hidden="false" customHeight="false" outlineLevel="0" collapsed="false">
      <c r="A804" s="0" t="s">
        <v>2731</v>
      </c>
      <c r="B804" s="0" t="s">
        <v>48</v>
      </c>
      <c r="C804" s="0" t="s">
        <v>198</v>
      </c>
      <c r="D804" s="0" t="s">
        <v>204</v>
      </c>
      <c r="E804" s="0" t="s">
        <v>44</v>
      </c>
      <c r="F804" s="0" t="n">
        <v>16.97</v>
      </c>
      <c r="G804" s="0" t="s">
        <v>1370</v>
      </c>
      <c r="H804" s="0" t="s">
        <v>511</v>
      </c>
      <c r="I804" s="0" t="s">
        <v>392</v>
      </c>
      <c r="J804" s="0" t="s">
        <v>2732</v>
      </c>
      <c r="K804" s="0" t="s">
        <v>2733</v>
      </c>
      <c r="L804" s="0" t="n">
        <v>3.8</v>
      </c>
      <c r="M804" s="0" t="n">
        <v>1</v>
      </c>
      <c r="N804" s="0" t="n">
        <v>8847</v>
      </c>
      <c r="O804" s="0" t="n">
        <v>4689.23</v>
      </c>
      <c r="P804" s="0" t="n">
        <v>925.89</v>
      </c>
      <c r="Q804" s="0" t="s">
        <v>21</v>
      </c>
      <c r="R804" s="0" t="s">
        <v>51</v>
      </c>
      <c r="S804" s="0" t="s">
        <v>228</v>
      </c>
    </row>
    <row r="805" customFormat="false" ht="15" hidden="false" customHeight="false" outlineLevel="0" collapsed="false">
      <c r="A805" s="0" t="s">
        <v>2734</v>
      </c>
      <c r="B805" s="0" t="s">
        <v>47</v>
      </c>
      <c r="C805" s="0" t="s">
        <v>209</v>
      </c>
      <c r="D805" s="0" t="s">
        <v>198</v>
      </c>
      <c r="E805" s="0" t="s">
        <v>44</v>
      </c>
      <c r="F805" s="0" t="n">
        <v>19.72</v>
      </c>
      <c r="G805" s="0" t="s">
        <v>572</v>
      </c>
      <c r="H805" s="0" t="s">
        <v>1255</v>
      </c>
      <c r="I805" s="0" t="s">
        <v>978</v>
      </c>
      <c r="J805" s="0" t="s">
        <v>2735</v>
      </c>
      <c r="K805" s="0" t="s">
        <v>980</v>
      </c>
      <c r="L805" s="0" t="n">
        <v>-1</v>
      </c>
      <c r="M805" s="0" t="n">
        <v>0</v>
      </c>
      <c r="N805" s="0" t="n">
        <v>5004.76</v>
      </c>
      <c r="O805" s="0" t="n">
        <v>2698.29</v>
      </c>
      <c r="P805" s="0" t="n">
        <v>1433.68</v>
      </c>
      <c r="Q805" s="0" t="s">
        <v>25</v>
      </c>
      <c r="R805" s="0" t="s">
        <v>51</v>
      </c>
      <c r="S805" s="0" t="s">
        <v>222</v>
      </c>
    </row>
    <row r="806" customFormat="false" ht="15" hidden="false" customHeight="false" outlineLevel="0" collapsed="false">
      <c r="A806" s="0" t="s">
        <v>2736</v>
      </c>
      <c r="B806" s="0" t="s">
        <v>48</v>
      </c>
      <c r="C806" s="0" t="s">
        <v>198</v>
      </c>
      <c r="D806" s="0" t="s">
        <v>199</v>
      </c>
      <c r="E806" s="0" t="s">
        <v>43</v>
      </c>
      <c r="F806" s="0" t="n">
        <v>11.31</v>
      </c>
      <c r="G806" s="0" t="s">
        <v>624</v>
      </c>
      <c r="H806" s="0" t="s">
        <v>327</v>
      </c>
      <c r="I806" s="0" t="s">
        <v>570</v>
      </c>
      <c r="J806" s="0" t="s">
        <v>2737</v>
      </c>
      <c r="K806" s="0" t="s">
        <v>2738</v>
      </c>
      <c r="L806" s="0" t="n">
        <v>4.1</v>
      </c>
      <c r="M806" s="0" t="n">
        <v>1</v>
      </c>
      <c r="N806" s="0" t="n">
        <v>6908.07</v>
      </c>
      <c r="O806" s="0" t="n">
        <v>1650.06</v>
      </c>
      <c r="P806" s="0" t="n">
        <v>1174.2</v>
      </c>
      <c r="Q806" s="0" t="s">
        <v>25</v>
      </c>
      <c r="R806" s="0" t="s">
        <v>51</v>
      </c>
      <c r="S806" s="0" t="s">
        <v>228</v>
      </c>
    </row>
    <row r="807" customFormat="false" ht="15" hidden="false" customHeight="false" outlineLevel="0" collapsed="false">
      <c r="A807" s="0" t="s">
        <v>2739</v>
      </c>
      <c r="B807" s="0" t="s">
        <v>47</v>
      </c>
      <c r="C807" s="0" t="s">
        <v>199</v>
      </c>
      <c r="D807" s="0" t="s">
        <v>198</v>
      </c>
      <c r="E807" s="0" t="s">
        <v>43</v>
      </c>
      <c r="F807" s="0" t="n">
        <v>3.54</v>
      </c>
      <c r="G807" s="0" t="s">
        <v>292</v>
      </c>
      <c r="H807" s="0" t="s">
        <v>1144</v>
      </c>
      <c r="I807" s="0" t="s">
        <v>605</v>
      </c>
      <c r="J807" s="0" t="s">
        <v>2740</v>
      </c>
      <c r="K807" s="0" t="s">
        <v>2741</v>
      </c>
      <c r="L807" s="0" t="n">
        <v>2.7</v>
      </c>
      <c r="M807" s="0" t="n">
        <v>1</v>
      </c>
      <c r="N807" s="0" t="n">
        <v>1815.13</v>
      </c>
      <c r="O807" s="0" t="n">
        <v>1054.93</v>
      </c>
      <c r="P807" s="0" t="n">
        <v>1421.42</v>
      </c>
      <c r="Q807" s="0" t="s">
        <v>23</v>
      </c>
      <c r="R807" s="0" t="s">
        <v>52</v>
      </c>
      <c r="S807" s="0" t="s">
        <v>228</v>
      </c>
    </row>
    <row r="808" customFormat="false" ht="15" hidden="false" customHeight="false" outlineLevel="0" collapsed="false">
      <c r="A808" s="0" t="s">
        <v>2742</v>
      </c>
      <c r="B808" s="0" t="s">
        <v>47</v>
      </c>
      <c r="C808" s="0" t="s">
        <v>206</v>
      </c>
      <c r="D808" s="0" t="s">
        <v>198</v>
      </c>
      <c r="E808" s="0" t="s">
        <v>43</v>
      </c>
      <c r="F808" s="0" t="n">
        <v>3.44</v>
      </c>
      <c r="G808" s="0" t="s">
        <v>528</v>
      </c>
      <c r="H808" s="0" t="s">
        <v>316</v>
      </c>
      <c r="I808" s="0" t="s">
        <v>275</v>
      </c>
      <c r="J808" s="0" t="s">
        <v>2743</v>
      </c>
      <c r="K808" s="0" t="s">
        <v>2744</v>
      </c>
      <c r="L808" s="0" t="n">
        <v>10.1</v>
      </c>
      <c r="M808" s="0" t="n">
        <v>1</v>
      </c>
      <c r="N808" s="0" t="n">
        <v>2775.48</v>
      </c>
      <c r="O808" s="0" t="n">
        <v>4567.28</v>
      </c>
      <c r="P808" s="0" t="n">
        <v>696.44</v>
      </c>
      <c r="Q808" s="0" t="s">
        <v>24</v>
      </c>
      <c r="R808" s="0" t="s">
        <v>52</v>
      </c>
      <c r="S808" s="0" t="s">
        <v>228</v>
      </c>
    </row>
    <row r="809" customFormat="false" ht="15" hidden="false" customHeight="false" outlineLevel="0" collapsed="false">
      <c r="A809" s="0" t="s">
        <v>2745</v>
      </c>
      <c r="B809" s="0" t="s">
        <v>47</v>
      </c>
      <c r="C809" s="0" t="s">
        <v>206</v>
      </c>
      <c r="D809" s="0" t="s">
        <v>198</v>
      </c>
      <c r="E809" s="0" t="s">
        <v>44</v>
      </c>
      <c r="F809" s="0" t="n">
        <v>12.66</v>
      </c>
      <c r="G809" s="0" t="s">
        <v>550</v>
      </c>
      <c r="H809" s="0" t="s">
        <v>238</v>
      </c>
      <c r="I809" s="0" t="s">
        <v>280</v>
      </c>
      <c r="J809" s="0" t="s">
        <v>2746</v>
      </c>
      <c r="K809" s="0" t="s">
        <v>2747</v>
      </c>
      <c r="L809" s="0" t="n">
        <v>4.4</v>
      </c>
      <c r="M809" s="0" t="n">
        <v>1</v>
      </c>
      <c r="N809" s="0" t="n">
        <v>7468.89</v>
      </c>
      <c r="O809" s="0" t="n">
        <v>2130.16</v>
      </c>
      <c r="P809" s="0" t="n">
        <v>878.02</v>
      </c>
      <c r="Q809" s="0" t="s">
        <v>24</v>
      </c>
      <c r="R809" s="0" t="s">
        <v>51</v>
      </c>
      <c r="S809" s="0" t="s">
        <v>228</v>
      </c>
    </row>
    <row r="810" customFormat="false" ht="15" hidden="false" customHeight="false" outlineLevel="0" collapsed="false">
      <c r="A810" s="0" t="s">
        <v>2748</v>
      </c>
      <c r="B810" s="0" t="s">
        <v>47</v>
      </c>
      <c r="C810" s="0" t="s">
        <v>209</v>
      </c>
      <c r="D810" s="0" t="s">
        <v>198</v>
      </c>
      <c r="E810" s="0" t="s">
        <v>42</v>
      </c>
      <c r="F810" s="0" t="n">
        <v>2.96</v>
      </c>
      <c r="G810" s="0" t="s">
        <v>461</v>
      </c>
      <c r="H810" s="0" t="s">
        <v>1046</v>
      </c>
      <c r="I810" s="0" t="s">
        <v>362</v>
      </c>
      <c r="J810" s="0" t="s">
        <v>2749</v>
      </c>
      <c r="K810" s="0" t="s">
        <v>2750</v>
      </c>
      <c r="L810" s="0" t="n">
        <v>0.7</v>
      </c>
      <c r="M810" s="0" t="n">
        <v>1</v>
      </c>
      <c r="N810" s="0" t="n">
        <v>1545.06</v>
      </c>
      <c r="O810" s="0" t="n">
        <v>2364.19</v>
      </c>
      <c r="P810" s="0" t="n">
        <v>1303.3</v>
      </c>
      <c r="Q810" s="0" t="s">
        <v>25</v>
      </c>
      <c r="R810" s="0" t="s">
        <v>51</v>
      </c>
      <c r="S810" s="0" t="s">
        <v>228</v>
      </c>
    </row>
    <row r="811" customFormat="false" ht="15" hidden="false" customHeight="false" outlineLevel="0" collapsed="false">
      <c r="A811" s="0" t="s">
        <v>2751</v>
      </c>
      <c r="B811" s="0" t="s">
        <v>48</v>
      </c>
      <c r="C811" s="0" t="s">
        <v>198</v>
      </c>
      <c r="D811" s="0" t="s">
        <v>204</v>
      </c>
      <c r="E811" s="0" t="s">
        <v>42</v>
      </c>
      <c r="F811" s="0" t="n">
        <v>18.05</v>
      </c>
      <c r="G811" s="0" t="s">
        <v>523</v>
      </c>
      <c r="H811" s="0" t="s">
        <v>933</v>
      </c>
      <c r="I811" s="0" t="s">
        <v>352</v>
      </c>
      <c r="J811" s="0" t="s">
        <v>935</v>
      </c>
      <c r="K811" s="0" t="s">
        <v>2752</v>
      </c>
      <c r="L811" s="0" t="n">
        <v>4.3</v>
      </c>
      <c r="M811" s="0" t="n">
        <v>1</v>
      </c>
      <c r="N811" s="0" t="n">
        <v>8073.45</v>
      </c>
      <c r="O811" s="0" t="n">
        <v>2174.53</v>
      </c>
      <c r="P811" s="0" t="n">
        <v>899.6</v>
      </c>
      <c r="Q811" s="0" t="s">
        <v>23</v>
      </c>
      <c r="R811" s="0" t="s">
        <v>52</v>
      </c>
      <c r="S811" s="0" t="s">
        <v>254</v>
      </c>
    </row>
    <row r="812" customFormat="false" ht="15" hidden="false" customHeight="false" outlineLevel="0" collapsed="false">
      <c r="A812" s="0" t="s">
        <v>2753</v>
      </c>
      <c r="B812" s="0" t="s">
        <v>48</v>
      </c>
      <c r="C812" s="0" t="s">
        <v>198</v>
      </c>
      <c r="D812" s="0" t="s">
        <v>214</v>
      </c>
      <c r="E812" s="0" t="s">
        <v>44</v>
      </c>
      <c r="F812" s="0" t="n">
        <v>17.2</v>
      </c>
      <c r="G812" s="0" t="s">
        <v>1926</v>
      </c>
      <c r="H812" s="0" t="s">
        <v>325</v>
      </c>
      <c r="I812" s="0" t="s">
        <v>933</v>
      </c>
      <c r="J812" s="0" t="s">
        <v>2754</v>
      </c>
      <c r="K812" s="0" t="s">
        <v>2755</v>
      </c>
      <c r="L812" s="0" t="n">
        <v>-1</v>
      </c>
      <c r="M812" s="0" t="n">
        <v>0</v>
      </c>
      <c r="N812" s="0" t="n">
        <v>10982.44</v>
      </c>
      <c r="O812" s="0" t="n">
        <v>1813.65</v>
      </c>
      <c r="P812" s="0" t="n">
        <v>646.89</v>
      </c>
      <c r="Q812" s="0" t="s">
        <v>23</v>
      </c>
      <c r="R812" s="0" t="s">
        <v>52</v>
      </c>
      <c r="S812" s="0" t="s">
        <v>247</v>
      </c>
    </row>
    <row r="813" customFormat="false" ht="15" hidden="false" customHeight="false" outlineLevel="0" collapsed="false">
      <c r="A813" s="0" t="s">
        <v>2756</v>
      </c>
      <c r="B813" s="0" t="s">
        <v>48</v>
      </c>
      <c r="C813" s="0" t="s">
        <v>198</v>
      </c>
      <c r="D813" s="0" t="s">
        <v>201</v>
      </c>
      <c r="E813" s="0" t="s">
        <v>42</v>
      </c>
      <c r="F813" s="0" t="n">
        <v>17.26</v>
      </c>
      <c r="G813" s="0" t="s">
        <v>596</v>
      </c>
      <c r="H813" s="0" t="s">
        <v>424</v>
      </c>
      <c r="I813" s="0" t="s">
        <v>1064</v>
      </c>
      <c r="J813" s="0" t="s">
        <v>1329</v>
      </c>
      <c r="K813" s="0" t="s">
        <v>2757</v>
      </c>
      <c r="L813" s="0" t="n">
        <v>2.8</v>
      </c>
      <c r="M813" s="0" t="n">
        <v>1</v>
      </c>
      <c r="N813" s="0" t="n">
        <v>7585.12</v>
      </c>
      <c r="O813" s="0" t="n">
        <v>2260.87</v>
      </c>
      <c r="P813" s="0" t="n">
        <v>615.3</v>
      </c>
      <c r="Q813" s="0" t="s">
        <v>25</v>
      </c>
      <c r="R813" s="0" t="s">
        <v>52</v>
      </c>
      <c r="S813" s="0" t="s">
        <v>228</v>
      </c>
    </row>
    <row r="814" customFormat="false" ht="15" hidden="false" customHeight="false" outlineLevel="0" collapsed="false">
      <c r="A814" s="0" t="s">
        <v>2758</v>
      </c>
      <c r="B814" s="0" t="s">
        <v>47</v>
      </c>
      <c r="C814" s="0" t="s">
        <v>205</v>
      </c>
      <c r="D814" s="0" t="s">
        <v>198</v>
      </c>
      <c r="E814" s="0" t="s">
        <v>42</v>
      </c>
      <c r="F814" s="0" t="n">
        <v>3.03</v>
      </c>
      <c r="G814" s="0" t="s">
        <v>461</v>
      </c>
      <c r="H814" s="0" t="s">
        <v>731</v>
      </c>
      <c r="I814" s="0" t="s">
        <v>362</v>
      </c>
      <c r="J814" s="0" t="s">
        <v>2759</v>
      </c>
      <c r="K814" s="0" t="s">
        <v>1200</v>
      </c>
      <c r="L814" s="0" t="n">
        <v>0.6</v>
      </c>
      <c r="M814" s="0" t="n">
        <v>1</v>
      </c>
      <c r="N814" s="0" t="n">
        <v>1445.85</v>
      </c>
      <c r="O814" s="0" t="n">
        <v>2726.03</v>
      </c>
      <c r="P814" s="0" t="n">
        <v>729.92</v>
      </c>
      <c r="Q814" s="0" t="s">
        <v>21</v>
      </c>
      <c r="R814" s="0" t="s">
        <v>51</v>
      </c>
      <c r="S814" s="0" t="s">
        <v>228</v>
      </c>
    </row>
    <row r="815" customFormat="false" ht="15" hidden="false" customHeight="false" outlineLevel="0" collapsed="false">
      <c r="A815" s="0" t="s">
        <v>2760</v>
      </c>
      <c r="B815" s="0" t="s">
        <v>47</v>
      </c>
      <c r="C815" s="0" t="s">
        <v>205</v>
      </c>
      <c r="D815" s="0" t="s">
        <v>198</v>
      </c>
      <c r="E815" s="0" t="s">
        <v>44</v>
      </c>
      <c r="F815" s="0" t="n">
        <v>10.8</v>
      </c>
      <c r="G815" s="0" t="s">
        <v>673</v>
      </c>
      <c r="H815" s="0" t="s">
        <v>309</v>
      </c>
      <c r="I815" s="0" t="s">
        <v>784</v>
      </c>
      <c r="J815" s="0" t="s">
        <v>2628</v>
      </c>
      <c r="K815" s="0" t="s">
        <v>1867</v>
      </c>
      <c r="L815" s="0" t="n">
        <v>3.8</v>
      </c>
      <c r="M815" s="0" t="n">
        <v>1</v>
      </c>
      <c r="N815" s="0" t="n">
        <v>5236.77</v>
      </c>
      <c r="O815" s="0" t="n">
        <v>2524.59</v>
      </c>
      <c r="P815" s="0" t="n">
        <v>911.85</v>
      </c>
      <c r="Q815" s="0" t="s">
        <v>22</v>
      </c>
      <c r="R815" s="0" t="s">
        <v>52</v>
      </c>
      <c r="S815" s="0" t="s">
        <v>247</v>
      </c>
    </row>
    <row r="816" customFormat="false" ht="15" hidden="false" customHeight="false" outlineLevel="0" collapsed="false">
      <c r="A816" s="0" t="s">
        <v>2761</v>
      </c>
      <c r="B816" s="0" t="s">
        <v>47</v>
      </c>
      <c r="C816" s="0" t="s">
        <v>203</v>
      </c>
      <c r="D816" s="0" t="s">
        <v>198</v>
      </c>
      <c r="E816" s="0" t="s">
        <v>43</v>
      </c>
      <c r="F816" s="0" t="n">
        <v>14.82</v>
      </c>
      <c r="G816" s="0" t="s">
        <v>609</v>
      </c>
      <c r="H816" s="0" t="s">
        <v>880</v>
      </c>
      <c r="I816" s="0" t="s">
        <v>348</v>
      </c>
      <c r="J816" s="0" t="s">
        <v>2762</v>
      </c>
      <c r="K816" s="0" t="s">
        <v>2763</v>
      </c>
      <c r="L816" s="0" t="n">
        <v>1.2</v>
      </c>
      <c r="M816" s="0" t="n">
        <v>1</v>
      </c>
      <c r="N816" s="0" t="n">
        <v>4124.86</v>
      </c>
      <c r="O816" s="0" t="n">
        <v>2653.86</v>
      </c>
      <c r="P816" s="0" t="n">
        <v>706.2</v>
      </c>
      <c r="Q816" s="0" t="s">
        <v>24</v>
      </c>
      <c r="R816" s="0" t="s">
        <v>52</v>
      </c>
      <c r="S816" s="0" t="s">
        <v>247</v>
      </c>
    </row>
    <row r="817" customFormat="false" ht="15" hidden="false" customHeight="false" outlineLevel="0" collapsed="false">
      <c r="A817" s="0" t="s">
        <v>2764</v>
      </c>
      <c r="B817" s="0" t="s">
        <v>48</v>
      </c>
      <c r="C817" s="0" t="s">
        <v>198</v>
      </c>
      <c r="D817" s="0" t="s">
        <v>211</v>
      </c>
      <c r="E817" s="0" t="s">
        <v>44</v>
      </c>
      <c r="F817" s="0" t="n">
        <v>17.65</v>
      </c>
      <c r="G817" s="0" t="s">
        <v>413</v>
      </c>
      <c r="H817" s="0" t="s">
        <v>1224</v>
      </c>
      <c r="I817" s="0" t="s">
        <v>818</v>
      </c>
      <c r="J817" s="0" t="s">
        <v>2765</v>
      </c>
      <c r="K817" s="0" t="s">
        <v>2766</v>
      </c>
      <c r="L817" s="0" t="n">
        <v>-1</v>
      </c>
      <c r="M817" s="0" t="n">
        <v>0</v>
      </c>
      <c r="N817" s="0" t="n">
        <v>8751.79</v>
      </c>
      <c r="O817" s="0" t="n">
        <v>4476.4</v>
      </c>
      <c r="P817" s="0" t="n">
        <v>1068.32</v>
      </c>
      <c r="Q817" s="0" t="s">
        <v>25</v>
      </c>
      <c r="R817" s="0" t="s">
        <v>51</v>
      </c>
      <c r="S817" s="0" t="s">
        <v>228</v>
      </c>
    </row>
    <row r="818" customFormat="false" ht="15" hidden="false" customHeight="false" outlineLevel="0" collapsed="false">
      <c r="A818" s="0" t="s">
        <v>2767</v>
      </c>
      <c r="B818" s="0" t="s">
        <v>48</v>
      </c>
      <c r="C818" s="0" t="s">
        <v>198</v>
      </c>
      <c r="D818" s="0" t="s">
        <v>208</v>
      </c>
      <c r="E818" s="0" t="s">
        <v>42</v>
      </c>
      <c r="F818" s="0" t="n">
        <v>9.35</v>
      </c>
      <c r="G818" s="0" t="s">
        <v>793</v>
      </c>
      <c r="H818" s="0" t="s">
        <v>581</v>
      </c>
      <c r="I818" s="0" t="s">
        <v>238</v>
      </c>
      <c r="J818" s="0" t="s">
        <v>2768</v>
      </c>
      <c r="K818" s="0" t="s">
        <v>552</v>
      </c>
      <c r="L818" s="0" t="n">
        <v>5.4</v>
      </c>
      <c r="M818" s="0" t="n">
        <v>1</v>
      </c>
      <c r="N818" s="0" t="n">
        <v>2592.4</v>
      </c>
      <c r="O818" s="0" t="n">
        <v>2212.88</v>
      </c>
      <c r="P818" s="0" t="n">
        <v>1197.99</v>
      </c>
      <c r="Q818" s="0" t="s">
        <v>21</v>
      </c>
      <c r="R818" s="0" t="s">
        <v>51</v>
      </c>
      <c r="S818" s="0" t="s">
        <v>228</v>
      </c>
    </row>
    <row r="819" customFormat="false" ht="15" hidden="false" customHeight="false" outlineLevel="0" collapsed="false">
      <c r="A819" s="0" t="s">
        <v>2769</v>
      </c>
      <c r="B819" s="0" t="s">
        <v>47</v>
      </c>
      <c r="C819" s="0" t="s">
        <v>203</v>
      </c>
      <c r="D819" s="0" t="s">
        <v>198</v>
      </c>
      <c r="E819" s="0" t="s">
        <v>43</v>
      </c>
      <c r="F819" s="0" t="n">
        <v>16.01</v>
      </c>
      <c r="G819" s="0" t="s">
        <v>380</v>
      </c>
      <c r="H819" s="0" t="s">
        <v>381</v>
      </c>
      <c r="I819" s="0" t="s">
        <v>382</v>
      </c>
      <c r="J819" s="0" t="s">
        <v>2770</v>
      </c>
      <c r="K819" s="0" t="s">
        <v>2661</v>
      </c>
      <c r="L819" s="0" t="n">
        <v>3.2</v>
      </c>
      <c r="M819" s="0" t="n">
        <v>1</v>
      </c>
      <c r="N819" s="0" t="n">
        <v>5938.79</v>
      </c>
      <c r="O819" s="0" t="n">
        <v>1545.48</v>
      </c>
      <c r="P819" s="0" t="n">
        <v>696.69</v>
      </c>
      <c r="Q819" s="0" t="s">
        <v>25</v>
      </c>
      <c r="R819" s="0" t="s">
        <v>51</v>
      </c>
      <c r="S819" s="0" t="s">
        <v>254</v>
      </c>
    </row>
    <row r="820" customFormat="false" ht="15" hidden="false" customHeight="false" outlineLevel="0" collapsed="false">
      <c r="A820" s="0" t="s">
        <v>2771</v>
      </c>
      <c r="B820" s="0" t="s">
        <v>48</v>
      </c>
      <c r="C820" s="0" t="s">
        <v>198</v>
      </c>
      <c r="D820" s="0" t="s">
        <v>214</v>
      </c>
      <c r="E820" s="0" t="s">
        <v>44</v>
      </c>
      <c r="F820" s="0" t="n">
        <v>2.05</v>
      </c>
      <c r="G820" s="0" t="s">
        <v>369</v>
      </c>
      <c r="H820" s="0" t="s">
        <v>286</v>
      </c>
      <c r="I820" s="0" t="s">
        <v>304</v>
      </c>
      <c r="J820" s="0" t="s">
        <v>2772</v>
      </c>
      <c r="K820" s="0" t="s">
        <v>922</v>
      </c>
      <c r="L820" s="0" t="n">
        <v>-1</v>
      </c>
      <c r="M820" s="0" t="n">
        <v>0</v>
      </c>
      <c r="N820" s="0" t="n">
        <v>1593.48</v>
      </c>
      <c r="O820" s="0" t="n">
        <v>2431.36</v>
      </c>
      <c r="P820" s="0" t="n">
        <v>508.45</v>
      </c>
      <c r="Q820" s="0" t="s">
        <v>24</v>
      </c>
      <c r="R820" s="0" t="s">
        <v>51</v>
      </c>
      <c r="S820" s="0" t="s">
        <v>228</v>
      </c>
    </row>
    <row r="821" customFormat="false" ht="15" hidden="false" customHeight="false" outlineLevel="0" collapsed="false">
      <c r="A821" s="0" t="s">
        <v>2773</v>
      </c>
      <c r="B821" s="0" t="s">
        <v>47</v>
      </c>
      <c r="C821" s="0" t="s">
        <v>205</v>
      </c>
      <c r="D821" s="0" t="s">
        <v>198</v>
      </c>
      <c r="E821" s="0" t="s">
        <v>44</v>
      </c>
      <c r="F821" s="0" t="n">
        <v>16.94</v>
      </c>
      <c r="G821" s="0" t="s">
        <v>1625</v>
      </c>
      <c r="H821" s="0" t="s">
        <v>391</v>
      </c>
      <c r="I821" s="0" t="s">
        <v>392</v>
      </c>
      <c r="J821" s="0" t="s">
        <v>2774</v>
      </c>
      <c r="K821" s="0" t="s">
        <v>2775</v>
      </c>
      <c r="L821" s="0" t="n">
        <v>-1</v>
      </c>
      <c r="M821" s="0" t="n">
        <v>0</v>
      </c>
      <c r="N821" s="0" t="n">
        <v>8392.91</v>
      </c>
      <c r="O821" s="0" t="n">
        <v>3615.11</v>
      </c>
      <c r="P821" s="0" t="n">
        <v>887.05</v>
      </c>
      <c r="Q821" s="0" t="s">
        <v>21</v>
      </c>
      <c r="R821" s="0" t="s">
        <v>52</v>
      </c>
      <c r="S821" s="0" t="s">
        <v>228</v>
      </c>
    </row>
    <row r="822" customFormat="false" ht="15" hidden="false" customHeight="false" outlineLevel="0" collapsed="false">
      <c r="A822" s="0" t="s">
        <v>2776</v>
      </c>
      <c r="B822" s="0" t="s">
        <v>48</v>
      </c>
      <c r="C822" s="0" t="s">
        <v>198</v>
      </c>
      <c r="D822" s="0" t="s">
        <v>201</v>
      </c>
      <c r="E822" s="0" t="s">
        <v>44</v>
      </c>
      <c r="F822" s="0" t="n">
        <v>13.3</v>
      </c>
      <c r="G822" s="0" t="s">
        <v>391</v>
      </c>
      <c r="H822" s="0" t="s">
        <v>419</v>
      </c>
      <c r="I822" s="0" t="s">
        <v>420</v>
      </c>
      <c r="J822" s="0" t="s">
        <v>2777</v>
      </c>
      <c r="K822" s="0" t="s">
        <v>2778</v>
      </c>
      <c r="L822" s="0" t="n">
        <v>2.1</v>
      </c>
      <c r="M822" s="0" t="n">
        <v>1</v>
      </c>
      <c r="N822" s="0" t="n">
        <v>5610.17</v>
      </c>
      <c r="O822" s="0" t="n">
        <v>1840.19</v>
      </c>
      <c r="P822" s="0" t="n">
        <v>894.08</v>
      </c>
      <c r="Q822" s="0" t="s">
        <v>23</v>
      </c>
      <c r="R822" s="0" t="s">
        <v>51</v>
      </c>
      <c r="S822" s="0" t="s">
        <v>272</v>
      </c>
    </row>
    <row r="823" customFormat="false" ht="15" hidden="false" customHeight="false" outlineLevel="0" collapsed="false">
      <c r="A823" s="0" t="s">
        <v>2779</v>
      </c>
      <c r="B823" s="0" t="s">
        <v>47</v>
      </c>
      <c r="C823" s="0" t="s">
        <v>205</v>
      </c>
      <c r="D823" s="0" t="s">
        <v>198</v>
      </c>
      <c r="E823" s="0" t="s">
        <v>44</v>
      </c>
      <c r="F823" s="0" t="n">
        <v>7.02</v>
      </c>
      <c r="G823" s="0" t="s">
        <v>1685</v>
      </c>
      <c r="H823" s="0" t="s">
        <v>657</v>
      </c>
      <c r="I823" s="0" t="s">
        <v>396</v>
      </c>
      <c r="J823" s="0" t="s">
        <v>2780</v>
      </c>
      <c r="K823" s="0" t="s">
        <v>2781</v>
      </c>
      <c r="L823" s="0" t="n">
        <v>-0.7</v>
      </c>
      <c r="M823" s="0" t="n">
        <v>0</v>
      </c>
      <c r="N823" s="0" t="n">
        <v>4538.62</v>
      </c>
      <c r="O823" s="0" t="n">
        <v>2962.45</v>
      </c>
      <c r="P823" s="0" t="n">
        <v>1348.77</v>
      </c>
      <c r="Q823" s="0" t="s">
        <v>23</v>
      </c>
      <c r="R823" s="0" t="s">
        <v>52</v>
      </c>
      <c r="S823" s="0" t="s">
        <v>247</v>
      </c>
    </row>
    <row r="824" customFormat="false" ht="15" hidden="false" customHeight="false" outlineLevel="0" collapsed="false">
      <c r="A824" s="0" t="s">
        <v>2782</v>
      </c>
      <c r="B824" s="0" t="s">
        <v>47</v>
      </c>
      <c r="C824" s="0" t="s">
        <v>205</v>
      </c>
      <c r="D824" s="0" t="s">
        <v>198</v>
      </c>
      <c r="E824" s="0" t="s">
        <v>42</v>
      </c>
      <c r="F824" s="0" t="n">
        <v>14.42</v>
      </c>
      <c r="G824" s="0" t="s">
        <v>357</v>
      </c>
      <c r="H824" s="0" t="s">
        <v>521</v>
      </c>
      <c r="I824" s="0" t="s">
        <v>326</v>
      </c>
      <c r="J824" s="0" t="s">
        <v>2783</v>
      </c>
      <c r="K824" s="0" t="s">
        <v>2500</v>
      </c>
      <c r="L824" s="0" t="n">
        <v>-1</v>
      </c>
      <c r="M824" s="0" t="n">
        <v>0</v>
      </c>
      <c r="N824" s="0" t="n">
        <v>6876.64</v>
      </c>
      <c r="O824" s="0" t="n">
        <v>1176.58</v>
      </c>
      <c r="P824" s="0" t="n">
        <v>1492.09</v>
      </c>
      <c r="Q824" s="0" t="s">
        <v>22</v>
      </c>
      <c r="R824" s="0" t="s">
        <v>52</v>
      </c>
      <c r="S824" s="0" t="s">
        <v>247</v>
      </c>
    </row>
    <row r="825" customFormat="false" ht="15" hidden="false" customHeight="false" outlineLevel="0" collapsed="false">
      <c r="A825" s="0" t="s">
        <v>2784</v>
      </c>
      <c r="B825" s="0" t="s">
        <v>47</v>
      </c>
      <c r="C825" s="0" t="s">
        <v>199</v>
      </c>
      <c r="D825" s="0" t="s">
        <v>198</v>
      </c>
      <c r="E825" s="0" t="s">
        <v>44</v>
      </c>
      <c r="F825" s="0" t="n">
        <v>3.48</v>
      </c>
      <c r="G825" s="0" t="s">
        <v>343</v>
      </c>
      <c r="H825" s="0" t="s">
        <v>1205</v>
      </c>
      <c r="I825" s="0" t="s">
        <v>876</v>
      </c>
      <c r="J825" s="0" t="s">
        <v>2785</v>
      </c>
      <c r="K825" s="0" t="s">
        <v>2786</v>
      </c>
      <c r="L825" s="0" t="n">
        <v>-0.7</v>
      </c>
      <c r="M825" s="0" t="n">
        <v>0</v>
      </c>
      <c r="N825" s="0" t="n">
        <v>2501.97</v>
      </c>
      <c r="O825" s="0" t="n">
        <v>1197.2</v>
      </c>
      <c r="P825" s="0" t="n">
        <v>502.35</v>
      </c>
      <c r="Q825" s="0" t="s">
        <v>22</v>
      </c>
      <c r="R825" s="0" t="s">
        <v>51</v>
      </c>
      <c r="S825" s="0" t="s">
        <v>228</v>
      </c>
    </row>
    <row r="826" customFormat="false" ht="15" hidden="false" customHeight="false" outlineLevel="0" collapsed="false">
      <c r="A826" s="0" t="s">
        <v>2787</v>
      </c>
      <c r="B826" s="0" t="s">
        <v>47</v>
      </c>
      <c r="C826" s="0" t="s">
        <v>206</v>
      </c>
      <c r="D826" s="0" t="s">
        <v>198</v>
      </c>
      <c r="E826" s="0" t="s">
        <v>43</v>
      </c>
      <c r="F826" s="0" t="n">
        <v>5.65</v>
      </c>
      <c r="G826" s="0" t="s">
        <v>596</v>
      </c>
      <c r="H826" s="0" t="s">
        <v>424</v>
      </c>
      <c r="I826" s="0" t="s">
        <v>896</v>
      </c>
      <c r="J826" s="0" t="s">
        <v>2788</v>
      </c>
      <c r="K826" s="0" t="s">
        <v>1415</v>
      </c>
      <c r="L826" s="0" t="n">
        <v>-0.4</v>
      </c>
      <c r="M826" s="0" t="n">
        <v>0</v>
      </c>
      <c r="N826" s="0" t="n">
        <v>3086.41</v>
      </c>
      <c r="O826" s="0" t="n">
        <v>1318.35</v>
      </c>
      <c r="P826" s="0" t="n">
        <v>1440.4</v>
      </c>
      <c r="Q826" s="0" t="s">
        <v>21</v>
      </c>
      <c r="R826" s="0" t="s">
        <v>52</v>
      </c>
      <c r="S826" s="0" t="s">
        <v>247</v>
      </c>
    </row>
    <row r="827" customFormat="false" ht="15" hidden="false" customHeight="false" outlineLevel="0" collapsed="false">
      <c r="A827" s="0" t="s">
        <v>2789</v>
      </c>
      <c r="B827" s="0" t="s">
        <v>48</v>
      </c>
      <c r="C827" s="0" t="s">
        <v>198</v>
      </c>
      <c r="D827" s="0" t="s">
        <v>204</v>
      </c>
      <c r="E827" s="0" t="s">
        <v>42</v>
      </c>
      <c r="F827" s="0" t="n">
        <v>5.95</v>
      </c>
      <c r="G827" s="0" t="s">
        <v>502</v>
      </c>
      <c r="H827" s="0" t="s">
        <v>685</v>
      </c>
      <c r="I827" s="0" t="s">
        <v>686</v>
      </c>
      <c r="J827" s="0" t="s">
        <v>2790</v>
      </c>
      <c r="K827" s="0" t="s">
        <v>1595</v>
      </c>
      <c r="L827" s="0" t="n">
        <v>2.9</v>
      </c>
      <c r="M827" s="0" t="n">
        <v>1</v>
      </c>
      <c r="N827" s="0" t="n">
        <v>4894.69</v>
      </c>
      <c r="O827" s="0" t="n">
        <v>3386.89</v>
      </c>
      <c r="P827" s="0" t="n">
        <v>837.2</v>
      </c>
      <c r="Q827" s="0" t="s">
        <v>24</v>
      </c>
      <c r="R827" s="0" t="s">
        <v>51</v>
      </c>
      <c r="S827" s="0" t="s">
        <v>254</v>
      </c>
    </row>
    <row r="828" customFormat="false" ht="15" hidden="false" customHeight="false" outlineLevel="0" collapsed="false">
      <c r="A828" s="0" t="s">
        <v>2791</v>
      </c>
      <c r="B828" s="0" t="s">
        <v>48</v>
      </c>
      <c r="C828" s="0" t="s">
        <v>198</v>
      </c>
      <c r="D828" s="0" t="s">
        <v>204</v>
      </c>
      <c r="E828" s="0" t="s">
        <v>42</v>
      </c>
      <c r="F828" s="0" t="n">
        <v>5.99</v>
      </c>
      <c r="G828" s="0" t="s">
        <v>242</v>
      </c>
      <c r="H828" s="0" t="s">
        <v>282</v>
      </c>
      <c r="I828" s="0" t="s">
        <v>692</v>
      </c>
      <c r="J828" s="0" t="s">
        <v>2792</v>
      </c>
      <c r="K828" s="0" t="s">
        <v>2793</v>
      </c>
      <c r="L828" s="0" t="n">
        <v>2.3</v>
      </c>
      <c r="M828" s="0" t="n">
        <v>1</v>
      </c>
      <c r="N828" s="0" t="n">
        <v>3492.09</v>
      </c>
      <c r="O828" s="0" t="n">
        <v>2525.64</v>
      </c>
      <c r="P828" s="0" t="n">
        <v>640.87</v>
      </c>
      <c r="Q828" s="0" t="s">
        <v>25</v>
      </c>
      <c r="R828" s="0" t="s">
        <v>51</v>
      </c>
      <c r="S828" s="0" t="s">
        <v>247</v>
      </c>
    </row>
    <row r="829" customFormat="false" ht="15" hidden="false" customHeight="false" outlineLevel="0" collapsed="false">
      <c r="A829" s="0" t="s">
        <v>2794</v>
      </c>
      <c r="B829" s="0" t="s">
        <v>47</v>
      </c>
      <c r="C829" s="0" t="s">
        <v>206</v>
      </c>
      <c r="D829" s="0" t="s">
        <v>198</v>
      </c>
      <c r="E829" s="0" t="s">
        <v>42</v>
      </c>
      <c r="F829" s="0" t="n">
        <v>12.87</v>
      </c>
      <c r="G829" s="0" t="s">
        <v>1046</v>
      </c>
      <c r="H829" s="0" t="s">
        <v>982</v>
      </c>
      <c r="I829" s="0" t="s">
        <v>363</v>
      </c>
      <c r="J829" s="0" t="s">
        <v>2795</v>
      </c>
      <c r="K829" s="0" t="s">
        <v>2796</v>
      </c>
      <c r="L829" s="0" t="n">
        <v>0.2</v>
      </c>
      <c r="M829" s="0" t="n">
        <v>1</v>
      </c>
      <c r="N829" s="0" t="n">
        <v>6114.95</v>
      </c>
      <c r="O829" s="0" t="n">
        <v>3412.06</v>
      </c>
      <c r="P829" s="0" t="n">
        <v>557.13</v>
      </c>
      <c r="Q829" s="0" t="s">
        <v>24</v>
      </c>
      <c r="R829" s="0" t="s">
        <v>51</v>
      </c>
      <c r="S829" s="0" t="s">
        <v>272</v>
      </c>
    </row>
    <row r="830" customFormat="false" ht="15" hidden="false" customHeight="false" outlineLevel="0" collapsed="false">
      <c r="A830" s="0" t="s">
        <v>2797</v>
      </c>
      <c r="B830" s="0" t="s">
        <v>47</v>
      </c>
      <c r="C830" s="0" t="s">
        <v>209</v>
      </c>
      <c r="D830" s="0" t="s">
        <v>198</v>
      </c>
      <c r="E830" s="0" t="s">
        <v>44</v>
      </c>
      <c r="F830" s="0" t="n">
        <v>17.98</v>
      </c>
      <c r="G830" s="0" t="s">
        <v>624</v>
      </c>
      <c r="H830" s="0" t="s">
        <v>570</v>
      </c>
      <c r="I830" s="0" t="s">
        <v>572</v>
      </c>
      <c r="J830" s="0" t="s">
        <v>2798</v>
      </c>
      <c r="K830" s="0" t="s">
        <v>2799</v>
      </c>
      <c r="L830" s="0" t="n">
        <v>3.4</v>
      </c>
      <c r="M830" s="0" t="n">
        <v>1</v>
      </c>
      <c r="N830" s="0" t="n">
        <v>5968.64</v>
      </c>
      <c r="O830" s="0" t="n">
        <v>3393.22</v>
      </c>
      <c r="P830" s="0" t="n">
        <v>530.97</v>
      </c>
      <c r="Q830" s="0" t="s">
        <v>21</v>
      </c>
      <c r="R830" s="0" t="s">
        <v>52</v>
      </c>
      <c r="S830" s="0" t="s">
        <v>247</v>
      </c>
    </row>
    <row r="831" customFormat="false" ht="15" hidden="false" customHeight="false" outlineLevel="0" collapsed="false">
      <c r="A831" s="0" t="s">
        <v>2800</v>
      </c>
      <c r="B831" s="0" t="s">
        <v>48</v>
      </c>
      <c r="C831" s="0" t="s">
        <v>198</v>
      </c>
      <c r="D831" s="0" t="s">
        <v>212</v>
      </c>
      <c r="E831" s="0" t="s">
        <v>44</v>
      </c>
      <c r="F831" s="0" t="n">
        <v>6.22</v>
      </c>
      <c r="G831" s="0" t="s">
        <v>1625</v>
      </c>
      <c r="H831" s="0" t="s">
        <v>386</v>
      </c>
      <c r="I831" s="0" t="s">
        <v>419</v>
      </c>
      <c r="J831" s="0" t="s">
        <v>2801</v>
      </c>
      <c r="K831" s="0" t="s">
        <v>2802</v>
      </c>
      <c r="L831" s="0" t="n">
        <v>6.4</v>
      </c>
      <c r="M831" s="0" t="n">
        <v>1</v>
      </c>
      <c r="N831" s="0" t="n">
        <v>5080.45</v>
      </c>
      <c r="O831" s="0" t="n">
        <v>1646.55</v>
      </c>
      <c r="P831" s="0" t="n">
        <v>1405.85</v>
      </c>
      <c r="Q831" s="0" t="s">
        <v>24</v>
      </c>
      <c r="R831" s="0" t="s">
        <v>52</v>
      </c>
      <c r="S831" s="0" t="s">
        <v>228</v>
      </c>
    </row>
    <row r="832" customFormat="false" ht="15" hidden="false" customHeight="false" outlineLevel="0" collapsed="false">
      <c r="A832" s="0" t="s">
        <v>2803</v>
      </c>
      <c r="B832" s="0" t="s">
        <v>47</v>
      </c>
      <c r="C832" s="0" t="s">
        <v>203</v>
      </c>
      <c r="D832" s="0" t="s">
        <v>198</v>
      </c>
      <c r="E832" s="0" t="s">
        <v>44</v>
      </c>
      <c r="F832" s="0" t="n">
        <v>10.81</v>
      </c>
      <c r="G832" s="0" t="s">
        <v>467</v>
      </c>
      <c r="H832" s="0" t="s">
        <v>468</v>
      </c>
      <c r="I832" s="0" t="s">
        <v>1244</v>
      </c>
      <c r="J832" s="0" t="s">
        <v>2804</v>
      </c>
      <c r="K832" s="0" t="s">
        <v>2805</v>
      </c>
      <c r="L832" s="0" t="n">
        <v>3.4</v>
      </c>
      <c r="M832" s="0" t="n">
        <v>1</v>
      </c>
      <c r="N832" s="0" t="n">
        <v>5144.96</v>
      </c>
      <c r="O832" s="0" t="n">
        <v>2754.69</v>
      </c>
      <c r="P832" s="0" t="n">
        <v>1282</v>
      </c>
      <c r="Q832" s="0" t="s">
        <v>25</v>
      </c>
      <c r="R832" s="0" t="s">
        <v>51</v>
      </c>
      <c r="S832" s="0" t="s">
        <v>272</v>
      </c>
    </row>
    <row r="833" customFormat="false" ht="15" hidden="false" customHeight="false" outlineLevel="0" collapsed="false">
      <c r="A833" s="0" t="s">
        <v>2806</v>
      </c>
      <c r="B833" s="0" t="s">
        <v>47</v>
      </c>
      <c r="C833" s="0" t="s">
        <v>209</v>
      </c>
      <c r="D833" s="0" t="s">
        <v>198</v>
      </c>
      <c r="E833" s="0" t="s">
        <v>42</v>
      </c>
      <c r="F833" s="0" t="n">
        <v>15.9</v>
      </c>
      <c r="G833" s="0" t="s">
        <v>609</v>
      </c>
      <c r="H833" s="0" t="s">
        <v>880</v>
      </c>
      <c r="I833" s="0" t="s">
        <v>546</v>
      </c>
      <c r="J833" s="0" t="s">
        <v>2807</v>
      </c>
      <c r="K833" s="0" t="s">
        <v>2808</v>
      </c>
      <c r="L833" s="0" t="n">
        <v>5.7</v>
      </c>
      <c r="M833" s="0" t="n">
        <v>1</v>
      </c>
      <c r="N833" s="0" t="n">
        <v>7010.4</v>
      </c>
      <c r="O833" s="0" t="n">
        <v>2096.05</v>
      </c>
      <c r="P833" s="0" t="n">
        <v>814.84</v>
      </c>
      <c r="Q833" s="0" t="s">
        <v>21</v>
      </c>
      <c r="R833" s="0" t="s">
        <v>51</v>
      </c>
      <c r="S833" s="0" t="s">
        <v>222</v>
      </c>
    </row>
    <row r="834" customFormat="false" ht="15" hidden="false" customHeight="false" outlineLevel="0" collapsed="false">
      <c r="A834" s="0" t="s">
        <v>2809</v>
      </c>
      <c r="B834" s="0" t="s">
        <v>47</v>
      </c>
      <c r="C834" s="0" t="s">
        <v>199</v>
      </c>
      <c r="D834" s="0" t="s">
        <v>198</v>
      </c>
      <c r="E834" s="0" t="s">
        <v>43</v>
      </c>
      <c r="F834" s="0" t="n">
        <v>3.22</v>
      </c>
      <c r="G834" s="0" t="s">
        <v>846</v>
      </c>
      <c r="H834" s="0" t="s">
        <v>517</v>
      </c>
      <c r="I834" s="0" t="s">
        <v>826</v>
      </c>
      <c r="J834" s="0" t="s">
        <v>2810</v>
      </c>
      <c r="K834" s="0" t="s">
        <v>2811</v>
      </c>
      <c r="L834" s="0" t="n">
        <v>5.1</v>
      </c>
      <c r="M834" s="0" t="n">
        <v>1</v>
      </c>
      <c r="N834" s="0" t="n">
        <v>2997.49</v>
      </c>
      <c r="O834" s="0" t="n">
        <v>1383.02</v>
      </c>
      <c r="P834" s="0" t="n">
        <v>1422.57</v>
      </c>
      <c r="Q834" s="0" t="s">
        <v>23</v>
      </c>
      <c r="R834" s="0" t="s">
        <v>52</v>
      </c>
      <c r="S834" s="0" t="s">
        <v>228</v>
      </c>
    </row>
    <row r="835" customFormat="false" ht="15" hidden="false" customHeight="false" outlineLevel="0" collapsed="false">
      <c r="A835" s="0" t="s">
        <v>2812</v>
      </c>
      <c r="B835" s="0" t="s">
        <v>47</v>
      </c>
      <c r="C835" s="0" t="s">
        <v>203</v>
      </c>
      <c r="D835" s="0" t="s">
        <v>198</v>
      </c>
      <c r="E835" s="0" t="s">
        <v>42</v>
      </c>
      <c r="F835" s="0" t="n">
        <v>11.8</v>
      </c>
      <c r="G835" s="0" t="s">
        <v>375</v>
      </c>
      <c r="H835" s="0" t="s">
        <v>558</v>
      </c>
      <c r="I835" s="0" t="s">
        <v>533</v>
      </c>
      <c r="J835" s="0" t="s">
        <v>560</v>
      </c>
      <c r="K835" s="0" t="s">
        <v>2117</v>
      </c>
      <c r="L835" s="0" t="n">
        <v>-1</v>
      </c>
      <c r="M835" s="0" t="n">
        <v>0</v>
      </c>
      <c r="N835" s="0" t="n">
        <v>4813.67</v>
      </c>
      <c r="O835" s="0" t="n">
        <v>4357.63</v>
      </c>
      <c r="P835" s="0" t="n">
        <v>948.17</v>
      </c>
      <c r="Q835" s="0" t="s">
        <v>23</v>
      </c>
      <c r="R835" s="0" t="s">
        <v>51</v>
      </c>
      <c r="S835" s="0" t="s">
        <v>247</v>
      </c>
    </row>
    <row r="836" customFormat="false" ht="15" hidden="false" customHeight="false" outlineLevel="0" collapsed="false">
      <c r="A836" s="0" t="s">
        <v>2813</v>
      </c>
      <c r="B836" s="0" t="s">
        <v>48</v>
      </c>
      <c r="C836" s="0" t="s">
        <v>198</v>
      </c>
      <c r="D836" s="0" t="s">
        <v>208</v>
      </c>
      <c r="E836" s="0" t="s">
        <v>42</v>
      </c>
      <c r="F836" s="0" t="n">
        <v>13.1</v>
      </c>
      <c r="G836" s="0" t="s">
        <v>667</v>
      </c>
      <c r="H836" s="0" t="s">
        <v>488</v>
      </c>
      <c r="I836" s="0" t="s">
        <v>672</v>
      </c>
      <c r="J836" s="0" t="s">
        <v>1004</v>
      </c>
      <c r="K836" s="0" t="s">
        <v>2814</v>
      </c>
      <c r="L836" s="0" t="n">
        <v>0.1</v>
      </c>
      <c r="M836" s="0" t="n">
        <v>1</v>
      </c>
      <c r="N836" s="0" t="n">
        <v>8193.21</v>
      </c>
      <c r="O836" s="0" t="n">
        <v>4367.23</v>
      </c>
      <c r="P836" s="0" t="n">
        <v>1301.35</v>
      </c>
      <c r="Q836" s="0" t="s">
        <v>24</v>
      </c>
      <c r="R836" s="0" t="s">
        <v>52</v>
      </c>
      <c r="S836" s="0" t="s">
        <v>222</v>
      </c>
    </row>
    <row r="837" customFormat="false" ht="15" hidden="false" customHeight="false" outlineLevel="0" collapsed="false">
      <c r="A837" s="0" t="s">
        <v>2815</v>
      </c>
      <c r="B837" s="0" t="s">
        <v>47</v>
      </c>
      <c r="C837" s="0" t="s">
        <v>205</v>
      </c>
      <c r="D837" s="0" t="s">
        <v>198</v>
      </c>
      <c r="E837" s="0" t="s">
        <v>44</v>
      </c>
      <c r="F837" s="0" t="n">
        <v>8.8</v>
      </c>
      <c r="G837" s="0" t="s">
        <v>488</v>
      </c>
      <c r="H837" s="0" t="s">
        <v>668</v>
      </c>
      <c r="I837" s="0" t="s">
        <v>516</v>
      </c>
      <c r="J837" s="0" t="s">
        <v>2816</v>
      </c>
      <c r="K837" s="0" t="s">
        <v>2817</v>
      </c>
      <c r="L837" s="0" t="n">
        <v>4.5</v>
      </c>
      <c r="M837" s="0" t="n">
        <v>1</v>
      </c>
      <c r="N837" s="0" t="n">
        <v>3922.58</v>
      </c>
      <c r="O837" s="0" t="n">
        <v>4224.39</v>
      </c>
      <c r="P837" s="0" t="n">
        <v>853.48</v>
      </c>
      <c r="Q837" s="0" t="s">
        <v>25</v>
      </c>
      <c r="R837" s="0" t="s">
        <v>51</v>
      </c>
      <c r="S837" s="0" t="s">
        <v>228</v>
      </c>
    </row>
    <row r="838" customFormat="false" ht="15" hidden="false" customHeight="false" outlineLevel="0" collapsed="false">
      <c r="A838" s="0" t="s">
        <v>2818</v>
      </c>
      <c r="B838" s="0" t="s">
        <v>48</v>
      </c>
      <c r="C838" s="0" t="s">
        <v>198</v>
      </c>
      <c r="D838" s="0" t="s">
        <v>201</v>
      </c>
      <c r="E838" s="0" t="s">
        <v>43</v>
      </c>
      <c r="F838" s="0" t="n">
        <v>13.2</v>
      </c>
      <c r="G838" s="0" t="s">
        <v>305</v>
      </c>
      <c r="H838" s="0" t="s">
        <v>845</v>
      </c>
      <c r="I838" s="0" t="s">
        <v>309</v>
      </c>
      <c r="J838" s="0" t="s">
        <v>2819</v>
      </c>
      <c r="K838" s="0" t="s">
        <v>2820</v>
      </c>
      <c r="L838" s="0" t="n">
        <v>1.2</v>
      </c>
      <c r="M838" s="0" t="n">
        <v>1</v>
      </c>
      <c r="N838" s="0" t="n">
        <v>8043.99</v>
      </c>
      <c r="O838" s="0" t="n">
        <v>1211.03</v>
      </c>
      <c r="P838" s="0" t="n">
        <v>956.94</v>
      </c>
      <c r="Q838" s="0" t="s">
        <v>21</v>
      </c>
      <c r="R838" s="0" t="s">
        <v>52</v>
      </c>
      <c r="S838" s="0" t="s">
        <v>254</v>
      </c>
    </row>
    <row r="839" customFormat="false" ht="15" hidden="false" customHeight="false" outlineLevel="0" collapsed="false">
      <c r="A839" s="0" t="s">
        <v>2821</v>
      </c>
      <c r="B839" s="0" t="s">
        <v>47</v>
      </c>
      <c r="C839" s="0" t="s">
        <v>206</v>
      </c>
      <c r="D839" s="0" t="s">
        <v>198</v>
      </c>
      <c r="E839" s="0" t="s">
        <v>44</v>
      </c>
      <c r="F839" s="0" t="n">
        <v>18.9</v>
      </c>
      <c r="G839" s="0" t="s">
        <v>1799</v>
      </c>
      <c r="H839" s="0" t="s">
        <v>1269</v>
      </c>
      <c r="I839" s="0" t="s">
        <v>1582</v>
      </c>
      <c r="J839" s="0" t="s">
        <v>2822</v>
      </c>
      <c r="K839" s="0" t="s">
        <v>2823</v>
      </c>
      <c r="L839" s="0" t="n">
        <v>0.5</v>
      </c>
      <c r="M839" s="0" t="n">
        <v>1</v>
      </c>
      <c r="N839" s="0" t="n">
        <v>9255.09</v>
      </c>
      <c r="O839" s="0" t="n">
        <v>2886.43</v>
      </c>
      <c r="P839" s="0" t="n">
        <v>1210.99</v>
      </c>
      <c r="Q839" s="0" t="s">
        <v>22</v>
      </c>
      <c r="R839" s="0" t="s">
        <v>52</v>
      </c>
      <c r="S839" s="0" t="s">
        <v>222</v>
      </c>
    </row>
    <row r="840" customFormat="false" ht="15" hidden="false" customHeight="false" outlineLevel="0" collapsed="false">
      <c r="A840" s="0" t="s">
        <v>2824</v>
      </c>
      <c r="B840" s="0" t="s">
        <v>48</v>
      </c>
      <c r="C840" s="0" t="s">
        <v>198</v>
      </c>
      <c r="D840" s="0" t="s">
        <v>207</v>
      </c>
      <c r="E840" s="0" t="s">
        <v>43</v>
      </c>
      <c r="F840" s="0" t="n">
        <v>9.34</v>
      </c>
      <c r="G840" s="0" t="s">
        <v>280</v>
      </c>
      <c r="H840" s="0" t="s">
        <v>242</v>
      </c>
      <c r="I840" s="0" t="s">
        <v>691</v>
      </c>
      <c r="J840" s="0" t="s">
        <v>2825</v>
      </c>
      <c r="K840" s="0" t="s">
        <v>2826</v>
      </c>
      <c r="L840" s="0" t="n">
        <v>5.6</v>
      </c>
      <c r="M840" s="0" t="n">
        <v>1</v>
      </c>
      <c r="N840" s="0" t="n">
        <v>3673.7</v>
      </c>
      <c r="O840" s="0" t="n">
        <v>2922.59</v>
      </c>
      <c r="P840" s="0" t="n">
        <v>1051.83</v>
      </c>
      <c r="Q840" s="0" t="s">
        <v>22</v>
      </c>
      <c r="R840" s="0" t="s">
        <v>52</v>
      </c>
      <c r="S840" s="0" t="s">
        <v>228</v>
      </c>
    </row>
    <row r="841" customFormat="false" ht="15" hidden="false" customHeight="false" outlineLevel="0" collapsed="false">
      <c r="A841" s="0" t="s">
        <v>2827</v>
      </c>
      <c r="B841" s="0" t="s">
        <v>47</v>
      </c>
      <c r="C841" s="0" t="s">
        <v>206</v>
      </c>
      <c r="D841" s="0" t="s">
        <v>198</v>
      </c>
      <c r="E841" s="0" t="s">
        <v>44</v>
      </c>
      <c r="F841" s="0" t="n">
        <v>13</v>
      </c>
      <c r="G841" s="0" t="s">
        <v>516</v>
      </c>
      <c r="H841" s="0" t="s">
        <v>846</v>
      </c>
      <c r="I841" s="0" t="s">
        <v>482</v>
      </c>
      <c r="J841" s="0" t="s">
        <v>2828</v>
      </c>
      <c r="K841" s="0" t="s">
        <v>2829</v>
      </c>
      <c r="L841" s="0" t="n">
        <v>4</v>
      </c>
      <c r="M841" s="0" t="n">
        <v>1</v>
      </c>
      <c r="N841" s="0" t="n">
        <v>5969.44</v>
      </c>
      <c r="O841" s="0" t="n">
        <v>2924.5</v>
      </c>
      <c r="P841" s="0" t="n">
        <v>833.37</v>
      </c>
      <c r="Q841" s="0" t="s">
        <v>21</v>
      </c>
      <c r="R841" s="0" t="s">
        <v>52</v>
      </c>
      <c r="S841" s="0" t="s">
        <v>228</v>
      </c>
    </row>
    <row r="842" customFormat="false" ht="15" hidden="false" customHeight="false" outlineLevel="0" collapsed="false">
      <c r="A842" s="0" t="s">
        <v>2830</v>
      </c>
      <c r="B842" s="0" t="s">
        <v>47</v>
      </c>
      <c r="C842" s="0" t="s">
        <v>199</v>
      </c>
      <c r="D842" s="0" t="s">
        <v>198</v>
      </c>
      <c r="E842" s="0" t="s">
        <v>44</v>
      </c>
      <c r="F842" s="0" t="n">
        <v>9.53</v>
      </c>
      <c r="G842" s="0" t="s">
        <v>337</v>
      </c>
      <c r="H842" s="0" t="s">
        <v>338</v>
      </c>
      <c r="I842" s="0" t="s">
        <v>978</v>
      </c>
      <c r="J842" s="0" t="s">
        <v>1967</v>
      </c>
      <c r="K842" s="0" t="s">
        <v>1565</v>
      </c>
      <c r="L842" s="0" t="n">
        <v>1</v>
      </c>
      <c r="M842" s="0" t="n">
        <v>1</v>
      </c>
      <c r="N842" s="0" t="n">
        <v>5155.96</v>
      </c>
      <c r="O842" s="0" t="n">
        <v>3438.11</v>
      </c>
      <c r="P842" s="0" t="n">
        <v>1085.19</v>
      </c>
      <c r="Q842" s="0" t="s">
        <v>21</v>
      </c>
      <c r="R842" s="0" t="s">
        <v>52</v>
      </c>
      <c r="S842" s="0" t="s">
        <v>254</v>
      </c>
    </row>
    <row r="843" customFormat="false" ht="15" hidden="false" customHeight="false" outlineLevel="0" collapsed="false">
      <c r="A843" s="0" t="s">
        <v>2831</v>
      </c>
      <c r="B843" s="0" t="s">
        <v>47</v>
      </c>
      <c r="C843" s="0" t="s">
        <v>205</v>
      </c>
      <c r="D843" s="0" t="s">
        <v>198</v>
      </c>
      <c r="E843" s="0" t="s">
        <v>43</v>
      </c>
      <c r="F843" s="0" t="n">
        <v>8.03</v>
      </c>
      <c r="G843" s="0" t="s">
        <v>546</v>
      </c>
      <c r="H843" s="0" t="s">
        <v>357</v>
      </c>
      <c r="I843" s="0" t="s">
        <v>521</v>
      </c>
      <c r="J843" s="0" t="s">
        <v>2832</v>
      </c>
      <c r="K843" s="0" t="s">
        <v>2833</v>
      </c>
      <c r="L843" s="0" t="n">
        <v>2.5</v>
      </c>
      <c r="M843" s="0" t="n">
        <v>1</v>
      </c>
      <c r="N843" s="0" t="n">
        <v>2727.36</v>
      </c>
      <c r="O843" s="0" t="n">
        <v>3732.28</v>
      </c>
      <c r="P843" s="0" t="n">
        <v>1160.73</v>
      </c>
      <c r="Q843" s="0" t="s">
        <v>23</v>
      </c>
      <c r="R843" s="0" t="s">
        <v>51</v>
      </c>
      <c r="S843" s="0" t="s">
        <v>247</v>
      </c>
    </row>
    <row r="844" customFormat="false" ht="15" hidden="false" customHeight="false" outlineLevel="0" collapsed="false">
      <c r="A844" s="0" t="s">
        <v>2834</v>
      </c>
      <c r="B844" s="0" t="s">
        <v>47</v>
      </c>
      <c r="C844" s="0" t="s">
        <v>206</v>
      </c>
      <c r="D844" s="0" t="s">
        <v>198</v>
      </c>
      <c r="E844" s="0" t="s">
        <v>43</v>
      </c>
      <c r="F844" s="0" t="n">
        <v>19.06</v>
      </c>
      <c r="G844" s="0" t="s">
        <v>1046</v>
      </c>
      <c r="H844" s="0" t="s">
        <v>731</v>
      </c>
      <c r="I844" s="0" t="s">
        <v>362</v>
      </c>
      <c r="J844" s="0" t="s">
        <v>2835</v>
      </c>
      <c r="K844" s="0" t="s">
        <v>2836</v>
      </c>
      <c r="L844" s="0" t="n">
        <v>0.1</v>
      </c>
      <c r="M844" s="0" t="n">
        <v>1</v>
      </c>
      <c r="N844" s="0" t="n">
        <v>12106.27</v>
      </c>
      <c r="O844" s="0" t="n">
        <v>3129.22</v>
      </c>
      <c r="P844" s="0" t="n">
        <v>1405.32</v>
      </c>
      <c r="Q844" s="0" t="s">
        <v>24</v>
      </c>
      <c r="R844" s="0" t="s">
        <v>52</v>
      </c>
      <c r="S844" s="0" t="s">
        <v>247</v>
      </c>
    </row>
    <row r="845" customFormat="false" ht="15" hidden="false" customHeight="false" outlineLevel="0" collapsed="false">
      <c r="A845" s="0" t="s">
        <v>2837</v>
      </c>
      <c r="B845" s="0" t="s">
        <v>47</v>
      </c>
      <c r="C845" s="0" t="s">
        <v>203</v>
      </c>
      <c r="D845" s="0" t="s">
        <v>198</v>
      </c>
      <c r="E845" s="0" t="s">
        <v>44</v>
      </c>
      <c r="F845" s="0" t="n">
        <v>2.58</v>
      </c>
      <c r="G845" s="0" t="s">
        <v>368</v>
      </c>
      <c r="H845" s="0" t="s">
        <v>369</v>
      </c>
      <c r="I845" s="0" t="s">
        <v>945</v>
      </c>
      <c r="J845" s="0" t="s">
        <v>2838</v>
      </c>
      <c r="K845" s="0" t="s">
        <v>1297</v>
      </c>
      <c r="L845" s="0" t="n">
        <v>-1</v>
      </c>
      <c r="M845" s="0" t="n">
        <v>0</v>
      </c>
      <c r="N845" s="0" t="n">
        <v>3203.99</v>
      </c>
      <c r="O845" s="0" t="n">
        <v>2555.41</v>
      </c>
      <c r="P845" s="0" t="n">
        <v>547.42</v>
      </c>
      <c r="Q845" s="0" t="s">
        <v>22</v>
      </c>
      <c r="R845" s="0" t="s">
        <v>51</v>
      </c>
      <c r="S845" s="0" t="s">
        <v>272</v>
      </c>
    </row>
    <row r="846" customFormat="false" ht="15" hidden="false" customHeight="false" outlineLevel="0" collapsed="false">
      <c r="A846" s="0" t="s">
        <v>2839</v>
      </c>
      <c r="B846" s="0" t="s">
        <v>47</v>
      </c>
      <c r="C846" s="0" t="s">
        <v>209</v>
      </c>
      <c r="D846" s="0" t="s">
        <v>198</v>
      </c>
      <c r="E846" s="0" t="s">
        <v>44</v>
      </c>
      <c r="F846" s="0" t="n">
        <v>16.22</v>
      </c>
      <c r="G846" s="0" t="s">
        <v>267</v>
      </c>
      <c r="H846" s="0" t="s">
        <v>992</v>
      </c>
      <c r="I846" s="0" t="s">
        <v>268</v>
      </c>
      <c r="J846" s="0" t="s">
        <v>994</v>
      </c>
      <c r="K846" s="0" t="s">
        <v>2840</v>
      </c>
      <c r="L846" s="0" t="n">
        <v>3.5</v>
      </c>
      <c r="M846" s="0" t="n">
        <v>1</v>
      </c>
      <c r="N846" s="0" t="n">
        <v>6766.26</v>
      </c>
      <c r="O846" s="0" t="n">
        <v>4894.97</v>
      </c>
      <c r="P846" s="0" t="n">
        <v>1163.36</v>
      </c>
      <c r="Q846" s="0" t="s">
        <v>22</v>
      </c>
      <c r="R846" s="0" t="s">
        <v>52</v>
      </c>
      <c r="S846" s="0" t="s">
        <v>254</v>
      </c>
    </row>
    <row r="847" customFormat="false" ht="15" hidden="false" customHeight="false" outlineLevel="0" collapsed="false">
      <c r="A847" s="0" t="s">
        <v>2841</v>
      </c>
      <c r="B847" s="0" t="s">
        <v>47</v>
      </c>
      <c r="C847" s="0" t="s">
        <v>203</v>
      </c>
      <c r="D847" s="0" t="s">
        <v>198</v>
      </c>
      <c r="E847" s="0" t="s">
        <v>44</v>
      </c>
      <c r="F847" s="0" t="n">
        <v>8.76</v>
      </c>
      <c r="G847" s="0" t="s">
        <v>310</v>
      </c>
      <c r="H847" s="0" t="s">
        <v>826</v>
      </c>
      <c r="I847" s="0" t="s">
        <v>827</v>
      </c>
      <c r="J847" s="0" t="s">
        <v>2842</v>
      </c>
      <c r="K847" s="0" t="s">
        <v>2843</v>
      </c>
      <c r="L847" s="0" t="n">
        <v>-1</v>
      </c>
      <c r="M847" s="0" t="n">
        <v>0</v>
      </c>
      <c r="N847" s="0" t="n">
        <v>3750.64</v>
      </c>
      <c r="O847" s="0" t="n">
        <v>2159.95</v>
      </c>
      <c r="P847" s="0" t="n">
        <v>1128.91</v>
      </c>
      <c r="Q847" s="0" t="s">
        <v>25</v>
      </c>
      <c r="R847" s="0" t="s">
        <v>52</v>
      </c>
      <c r="S847" s="0" t="s">
        <v>272</v>
      </c>
    </row>
    <row r="848" customFormat="false" ht="15" hidden="false" customHeight="false" outlineLevel="0" collapsed="false">
      <c r="A848" s="0" t="s">
        <v>2844</v>
      </c>
      <c r="B848" s="0" t="s">
        <v>47</v>
      </c>
      <c r="C848" s="0" t="s">
        <v>209</v>
      </c>
      <c r="D848" s="0" t="s">
        <v>198</v>
      </c>
      <c r="E848" s="0" t="s">
        <v>42</v>
      </c>
      <c r="F848" s="0" t="n">
        <v>3.24</v>
      </c>
      <c r="G848" s="0" t="s">
        <v>1380</v>
      </c>
      <c r="H848" s="0" t="s">
        <v>866</v>
      </c>
      <c r="I848" s="0" t="s">
        <v>596</v>
      </c>
      <c r="J848" s="0" t="s">
        <v>2404</v>
      </c>
      <c r="K848" s="0" t="s">
        <v>2845</v>
      </c>
      <c r="L848" s="0" t="n">
        <v>4.1</v>
      </c>
      <c r="M848" s="0" t="n">
        <v>1</v>
      </c>
      <c r="N848" s="0" t="n">
        <v>2521.7</v>
      </c>
      <c r="O848" s="0" t="n">
        <v>3434.29</v>
      </c>
      <c r="P848" s="0" t="n">
        <v>1470.9</v>
      </c>
      <c r="Q848" s="0" t="s">
        <v>22</v>
      </c>
      <c r="R848" s="0" t="s">
        <v>52</v>
      </c>
      <c r="S848" s="0" t="s">
        <v>247</v>
      </c>
    </row>
    <row r="849" customFormat="false" ht="15" hidden="false" customHeight="false" outlineLevel="0" collapsed="false">
      <c r="A849" s="0" t="s">
        <v>2846</v>
      </c>
      <c r="B849" s="0" t="s">
        <v>48</v>
      </c>
      <c r="C849" s="0" t="s">
        <v>198</v>
      </c>
      <c r="D849" s="0" t="s">
        <v>207</v>
      </c>
      <c r="E849" s="0" t="s">
        <v>44</v>
      </c>
      <c r="F849" s="0" t="n">
        <v>8.1</v>
      </c>
      <c r="G849" s="0" t="s">
        <v>596</v>
      </c>
      <c r="H849" s="0" t="s">
        <v>424</v>
      </c>
      <c r="I849" s="0" t="s">
        <v>831</v>
      </c>
      <c r="J849" s="0" t="s">
        <v>1748</v>
      </c>
      <c r="K849" s="0" t="s">
        <v>698</v>
      </c>
      <c r="L849" s="0" t="n">
        <v>0.5</v>
      </c>
      <c r="M849" s="0" t="n">
        <v>1</v>
      </c>
      <c r="N849" s="0" t="n">
        <v>5841.79</v>
      </c>
      <c r="O849" s="0" t="n">
        <v>2151.52</v>
      </c>
      <c r="P849" s="0" t="n">
        <v>620.27</v>
      </c>
      <c r="Q849" s="0" t="s">
        <v>24</v>
      </c>
      <c r="R849" s="0" t="s">
        <v>51</v>
      </c>
      <c r="S849" s="0" t="s">
        <v>272</v>
      </c>
    </row>
    <row r="850" customFormat="false" ht="15" hidden="false" customHeight="false" outlineLevel="0" collapsed="false">
      <c r="A850" s="0" t="s">
        <v>2847</v>
      </c>
      <c r="B850" s="0" t="s">
        <v>47</v>
      </c>
      <c r="C850" s="0" t="s">
        <v>205</v>
      </c>
      <c r="D850" s="0" t="s">
        <v>198</v>
      </c>
      <c r="E850" s="0" t="s">
        <v>43</v>
      </c>
      <c r="F850" s="0" t="n">
        <v>14.37</v>
      </c>
      <c r="G850" s="0" t="s">
        <v>620</v>
      </c>
      <c r="H850" s="0" t="s">
        <v>695</v>
      </c>
      <c r="I850" s="0" t="s">
        <v>440</v>
      </c>
      <c r="J850" s="0" t="s">
        <v>2848</v>
      </c>
      <c r="K850" s="0" t="s">
        <v>2849</v>
      </c>
      <c r="L850" s="0" t="n">
        <v>0.1</v>
      </c>
      <c r="M850" s="0" t="n">
        <v>1</v>
      </c>
      <c r="N850" s="0" t="n">
        <v>8038.14</v>
      </c>
      <c r="O850" s="0" t="n">
        <v>2009.01</v>
      </c>
      <c r="P850" s="0" t="n">
        <v>1034.22</v>
      </c>
      <c r="Q850" s="0" t="s">
        <v>24</v>
      </c>
      <c r="R850" s="0" t="s">
        <v>52</v>
      </c>
      <c r="S850" s="0" t="s">
        <v>247</v>
      </c>
    </row>
    <row r="851" customFormat="false" ht="15" hidden="false" customHeight="false" outlineLevel="0" collapsed="false">
      <c r="A851" s="0" t="s">
        <v>2850</v>
      </c>
      <c r="B851" s="0" t="s">
        <v>48</v>
      </c>
      <c r="C851" s="0" t="s">
        <v>198</v>
      </c>
      <c r="D851" s="0" t="s">
        <v>204</v>
      </c>
      <c r="E851" s="0" t="s">
        <v>43</v>
      </c>
      <c r="F851" s="0" t="n">
        <v>16.65</v>
      </c>
      <c r="G851" s="0" t="s">
        <v>449</v>
      </c>
      <c r="H851" s="0" t="s">
        <v>450</v>
      </c>
      <c r="I851" s="0" t="s">
        <v>243</v>
      </c>
      <c r="J851" s="0" t="s">
        <v>2851</v>
      </c>
      <c r="K851" s="0" t="s">
        <v>2852</v>
      </c>
      <c r="L851" s="0" t="n">
        <v>3</v>
      </c>
      <c r="M851" s="0" t="n">
        <v>1</v>
      </c>
      <c r="N851" s="0" t="n">
        <v>9616.43</v>
      </c>
      <c r="O851" s="0" t="n">
        <v>1504.78</v>
      </c>
      <c r="P851" s="0" t="n">
        <v>1177.89</v>
      </c>
      <c r="Q851" s="0" t="s">
        <v>21</v>
      </c>
      <c r="R851" s="0" t="s">
        <v>51</v>
      </c>
      <c r="S851" s="0" t="s">
        <v>222</v>
      </c>
    </row>
    <row r="852" customFormat="false" ht="15" hidden="false" customHeight="false" outlineLevel="0" collapsed="false">
      <c r="A852" s="0" t="s">
        <v>2853</v>
      </c>
      <c r="B852" s="0" t="s">
        <v>47</v>
      </c>
      <c r="C852" s="0" t="s">
        <v>206</v>
      </c>
      <c r="D852" s="0" t="s">
        <v>198</v>
      </c>
      <c r="E852" s="0" t="s">
        <v>43</v>
      </c>
      <c r="F852" s="0" t="n">
        <v>11.87</v>
      </c>
      <c r="G852" s="0" t="s">
        <v>506</v>
      </c>
      <c r="H852" s="0" t="s">
        <v>276</v>
      </c>
      <c r="I852" s="0" t="s">
        <v>358</v>
      </c>
      <c r="J852" s="0" t="s">
        <v>2854</v>
      </c>
      <c r="K852" s="0" t="s">
        <v>548</v>
      </c>
      <c r="L852" s="0" t="n">
        <v>-1</v>
      </c>
      <c r="M852" s="0" t="n">
        <v>0</v>
      </c>
      <c r="N852" s="0" t="n">
        <v>4696.84</v>
      </c>
      <c r="O852" s="0" t="n">
        <v>1432.68</v>
      </c>
      <c r="P852" s="0" t="n">
        <v>1486.7</v>
      </c>
      <c r="Q852" s="0" t="s">
        <v>25</v>
      </c>
      <c r="R852" s="0" t="s">
        <v>51</v>
      </c>
      <c r="S852" s="0" t="s">
        <v>247</v>
      </c>
    </row>
    <row r="853" customFormat="false" ht="15" hidden="false" customHeight="false" outlineLevel="0" collapsed="false">
      <c r="A853" s="0" t="s">
        <v>2855</v>
      </c>
      <c r="B853" s="0" t="s">
        <v>47</v>
      </c>
      <c r="C853" s="0" t="s">
        <v>203</v>
      </c>
      <c r="D853" s="0" t="s">
        <v>198</v>
      </c>
      <c r="E853" s="0" t="s">
        <v>42</v>
      </c>
      <c r="F853" s="0" t="n">
        <v>12.77</v>
      </c>
      <c r="G853" s="0" t="s">
        <v>695</v>
      </c>
      <c r="H853" s="0" t="s">
        <v>1380</v>
      </c>
      <c r="I853" s="0" t="s">
        <v>912</v>
      </c>
      <c r="J853" s="0" t="s">
        <v>2856</v>
      </c>
      <c r="K853" s="0" t="s">
        <v>2857</v>
      </c>
      <c r="L853" s="0" t="n">
        <v>0.9</v>
      </c>
      <c r="M853" s="0" t="n">
        <v>1</v>
      </c>
      <c r="N853" s="0" t="n">
        <v>8735.76</v>
      </c>
      <c r="O853" s="0" t="n">
        <v>4929.56</v>
      </c>
      <c r="P853" s="0" t="n">
        <v>698.03</v>
      </c>
      <c r="Q853" s="0" t="s">
        <v>23</v>
      </c>
      <c r="R853" s="0" t="s">
        <v>51</v>
      </c>
      <c r="S853" s="0" t="s">
        <v>272</v>
      </c>
    </row>
    <row r="854" customFormat="false" ht="15" hidden="false" customHeight="false" outlineLevel="0" collapsed="false">
      <c r="A854" s="0" t="s">
        <v>2858</v>
      </c>
      <c r="B854" s="0" t="s">
        <v>47</v>
      </c>
      <c r="C854" s="0" t="s">
        <v>203</v>
      </c>
      <c r="D854" s="0" t="s">
        <v>198</v>
      </c>
      <c r="E854" s="0" t="s">
        <v>43</v>
      </c>
      <c r="F854" s="0" t="n">
        <v>3.55</v>
      </c>
      <c r="G854" s="0" t="s">
        <v>435</v>
      </c>
      <c r="H854" s="0" t="s">
        <v>793</v>
      </c>
      <c r="I854" s="0" t="s">
        <v>581</v>
      </c>
      <c r="J854" s="0" t="s">
        <v>2445</v>
      </c>
      <c r="K854" s="0" t="s">
        <v>583</v>
      </c>
      <c r="L854" s="0" t="n">
        <v>-1</v>
      </c>
      <c r="M854" s="0" t="n">
        <v>0</v>
      </c>
      <c r="N854" s="0" t="n">
        <v>2389.33</v>
      </c>
      <c r="O854" s="0" t="n">
        <v>4493.57</v>
      </c>
      <c r="P854" s="0" t="n">
        <v>894.99</v>
      </c>
      <c r="Q854" s="0" t="s">
        <v>21</v>
      </c>
      <c r="R854" s="0" t="s">
        <v>52</v>
      </c>
      <c r="S854" s="0" t="s">
        <v>247</v>
      </c>
    </row>
    <row r="855" customFormat="false" ht="15" hidden="false" customHeight="false" outlineLevel="0" collapsed="false">
      <c r="A855" s="0" t="s">
        <v>2859</v>
      </c>
      <c r="B855" s="0" t="s">
        <v>48</v>
      </c>
      <c r="C855" s="0" t="s">
        <v>198</v>
      </c>
      <c r="D855" s="0" t="s">
        <v>204</v>
      </c>
      <c r="E855" s="0" t="s">
        <v>44</v>
      </c>
      <c r="F855" s="0" t="n">
        <v>7.37</v>
      </c>
      <c r="G855" s="0" t="s">
        <v>677</v>
      </c>
      <c r="H855" s="0" t="s">
        <v>287</v>
      </c>
      <c r="I855" s="0" t="s">
        <v>727</v>
      </c>
      <c r="J855" s="0" t="s">
        <v>2860</v>
      </c>
      <c r="K855" s="0" t="s">
        <v>2861</v>
      </c>
      <c r="L855" s="0" t="n">
        <v>2.3</v>
      </c>
      <c r="M855" s="0" t="n">
        <v>1</v>
      </c>
      <c r="N855" s="0" t="n">
        <v>4784.5</v>
      </c>
      <c r="O855" s="0" t="n">
        <v>3734.37</v>
      </c>
      <c r="P855" s="0" t="n">
        <v>502.84</v>
      </c>
      <c r="Q855" s="0" t="s">
        <v>24</v>
      </c>
      <c r="R855" s="0" t="s">
        <v>51</v>
      </c>
      <c r="S855" s="0" t="s">
        <v>247</v>
      </c>
    </row>
    <row r="856" customFormat="false" ht="15" hidden="false" customHeight="false" outlineLevel="0" collapsed="false">
      <c r="A856" s="0" t="s">
        <v>2862</v>
      </c>
      <c r="B856" s="0" t="s">
        <v>47</v>
      </c>
      <c r="C856" s="0" t="s">
        <v>209</v>
      </c>
      <c r="D856" s="0" t="s">
        <v>198</v>
      </c>
      <c r="E856" s="0" t="s">
        <v>43</v>
      </c>
      <c r="F856" s="0" t="n">
        <v>18.69</v>
      </c>
      <c r="G856" s="0" t="s">
        <v>280</v>
      </c>
      <c r="H856" s="0" t="s">
        <v>281</v>
      </c>
      <c r="I856" s="0" t="s">
        <v>243</v>
      </c>
      <c r="J856" s="0" t="s">
        <v>2863</v>
      </c>
      <c r="K856" s="0" t="s">
        <v>2864</v>
      </c>
      <c r="L856" s="0" t="n">
        <v>0.3</v>
      </c>
      <c r="M856" s="0" t="n">
        <v>1</v>
      </c>
      <c r="N856" s="0" t="n">
        <v>10395.36</v>
      </c>
      <c r="O856" s="0" t="n">
        <v>4243.31</v>
      </c>
      <c r="P856" s="0" t="n">
        <v>1480.99</v>
      </c>
      <c r="Q856" s="0" t="s">
        <v>21</v>
      </c>
      <c r="R856" s="0" t="s">
        <v>52</v>
      </c>
      <c r="S856" s="0" t="s">
        <v>272</v>
      </c>
    </row>
    <row r="857" customFormat="false" ht="15" hidden="false" customHeight="false" outlineLevel="0" collapsed="false">
      <c r="A857" s="0" t="s">
        <v>2865</v>
      </c>
      <c r="B857" s="0" t="s">
        <v>47</v>
      </c>
      <c r="C857" s="0" t="s">
        <v>209</v>
      </c>
      <c r="D857" s="0" t="s">
        <v>198</v>
      </c>
      <c r="E857" s="0" t="s">
        <v>43</v>
      </c>
      <c r="F857" s="0" t="n">
        <v>18.6</v>
      </c>
      <c r="G857" s="0" t="s">
        <v>1582</v>
      </c>
      <c r="H857" s="0" t="s">
        <v>1303</v>
      </c>
      <c r="I857" s="0" t="s">
        <v>2614</v>
      </c>
      <c r="J857" s="0" t="s">
        <v>2866</v>
      </c>
      <c r="K857" s="0" t="s">
        <v>1801</v>
      </c>
      <c r="L857" s="0" t="n">
        <v>0.9</v>
      </c>
      <c r="M857" s="0" t="n">
        <v>1</v>
      </c>
      <c r="N857" s="0" t="n">
        <v>8012.75</v>
      </c>
      <c r="O857" s="0" t="n">
        <v>2180.44</v>
      </c>
      <c r="P857" s="0" t="n">
        <v>1233.4</v>
      </c>
      <c r="Q857" s="0" t="s">
        <v>21</v>
      </c>
      <c r="R857" s="0" t="s">
        <v>52</v>
      </c>
      <c r="S857" s="0" t="s">
        <v>272</v>
      </c>
    </row>
    <row r="858" customFormat="false" ht="15" hidden="false" customHeight="false" outlineLevel="0" collapsed="false">
      <c r="A858" s="0" t="s">
        <v>2867</v>
      </c>
      <c r="B858" s="0" t="s">
        <v>47</v>
      </c>
      <c r="C858" s="0" t="s">
        <v>209</v>
      </c>
      <c r="D858" s="0" t="s">
        <v>198</v>
      </c>
      <c r="E858" s="0" t="s">
        <v>44</v>
      </c>
      <c r="F858" s="0" t="n">
        <v>17.55</v>
      </c>
      <c r="G858" s="0" t="s">
        <v>368</v>
      </c>
      <c r="H858" s="0" t="s">
        <v>920</v>
      </c>
      <c r="I858" s="0" t="s">
        <v>677</v>
      </c>
      <c r="J858" s="0" t="s">
        <v>2868</v>
      </c>
      <c r="K858" s="0" t="s">
        <v>679</v>
      </c>
      <c r="L858" s="0" t="n">
        <v>-1</v>
      </c>
      <c r="M858" s="0" t="n">
        <v>0</v>
      </c>
      <c r="N858" s="0" t="n">
        <v>5686.25</v>
      </c>
      <c r="O858" s="0" t="n">
        <v>3357.33</v>
      </c>
      <c r="P858" s="0" t="n">
        <v>1025.14</v>
      </c>
      <c r="Q858" s="0" t="s">
        <v>24</v>
      </c>
      <c r="R858" s="0" t="s">
        <v>51</v>
      </c>
      <c r="S858" s="0" t="s">
        <v>272</v>
      </c>
    </row>
    <row r="859" customFormat="false" ht="15" hidden="false" customHeight="false" outlineLevel="0" collapsed="false">
      <c r="A859" s="0" t="s">
        <v>2869</v>
      </c>
      <c r="B859" s="0" t="s">
        <v>47</v>
      </c>
      <c r="C859" s="0" t="s">
        <v>199</v>
      </c>
      <c r="D859" s="0" t="s">
        <v>198</v>
      </c>
      <c r="E859" s="0" t="s">
        <v>42</v>
      </c>
      <c r="F859" s="0" t="n">
        <v>4.86</v>
      </c>
      <c r="G859" s="0" t="s">
        <v>609</v>
      </c>
      <c r="H859" s="0" t="s">
        <v>880</v>
      </c>
      <c r="I859" s="0" t="s">
        <v>546</v>
      </c>
      <c r="J859" s="0" t="s">
        <v>2870</v>
      </c>
      <c r="K859" s="0" t="s">
        <v>2871</v>
      </c>
      <c r="L859" s="0" t="n">
        <v>0.6</v>
      </c>
      <c r="M859" s="0" t="n">
        <v>1</v>
      </c>
      <c r="N859" s="0" t="n">
        <v>2558.07</v>
      </c>
      <c r="O859" s="0" t="n">
        <v>4636.93</v>
      </c>
      <c r="P859" s="0" t="n">
        <v>601.75</v>
      </c>
      <c r="Q859" s="0" t="s">
        <v>25</v>
      </c>
      <c r="R859" s="0" t="s">
        <v>52</v>
      </c>
      <c r="S859" s="0" t="s">
        <v>254</v>
      </c>
    </row>
    <row r="860" customFormat="false" ht="15" hidden="false" customHeight="false" outlineLevel="0" collapsed="false">
      <c r="A860" s="0" t="s">
        <v>2872</v>
      </c>
      <c r="B860" s="0" t="s">
        <v>48</v>
      </c>
      <c r="C860" s="0" t="s">
        <v>198</v>
      </c>
      <c r="D860" s="0" t="s">
        <v>211</v>
      </c>
      <c r="E860" s="0" t="s">
        <v>44</v>
      </c>
      <c r="F860" s="0" t="n">
        <v>1.93</v>
      </c>
      <c r="G860" s="0" t="s">
        <v>748</v>
      </c>
      <c r="H860" s="0" t="s">
        <v>749</v>
      </c>
      <c r="I860" s="0" t="s">
        <v>262</v>
      </c>
      <c r="J860" s="0" t="s">
        <v>2873</v>
      </c>
      <c r="K860" s="0" t="s">
        <v>751</v>
      </c>
      <c r="L860" s="0" t="n">
        <v>-1</v>
      </c>
      <c r="M860" s="0" t="n">
        <v>0</v>
      </c>
      <c r="N860" s="0" t="n">
        <v>2020.83</v>
      </c>
      <c r="O860" s="0" t="n">
        <v>1162.38</v>
      </c>
      <c r="P860" s="0" t="n">
        <v>890.75</v>
      </c>
      <c r="Q860" s="0" t="s">
        <v>25</v>
      </c>
      <c r="R860" s="0" t="s">
        <v>51</v>
      </c>
      <c r="S860" s="0" t="s">
        <v>228</v>
      </c>
    </row>
    <row r="861" customFormat="false" ht="15" hidden="false" customHeight="false" outlineLevel="0" collapsed="false">
      <c r="A861" s="0" t="s">
        <v>2874</v>
      </c>
      <c r="B861" s="0" t="s">
        <v>47</v>
      </c>
      <c r="C861" s="0" t="s">
        <v>205</v>
      </c>
      <c r="D861" s="0" t="s">
        <v>198</v>
      </c>
      <c r="E861" s="0" t="s">
        <v>44</v>
      </c>
      <c r="F861" s="0" t="n">
        <v>16.03</v>
      </c>
      <c r="G861" s="0" t="s">
        <v>1205</v>
      </c>
      <c r="H861" s="0" t="s">
        <v>1158</v>
      </c>
      <c r="I861" s="0" t="s">
        <v>294</v>
      </c>
      <c r="J861" s="0" t="s">
        <v>2875</v>
      </c>
      <c r="K861" s="0" t="s">
        <v>1241</v>
      </c>
      <c r="L861" s="0" t="n">
        <v>-0.8</v>
      </c>
      <c r="M861" s="0" t="n">
        <v>0</v>
      </c>
      <c r="N861" s="0" t="n">
        <v>8077.44</v>
      </c>
      <c r="O861" s="0" t="n">
        <v>1413.51</v>
      </c>
      <c r="P861" s="0" t="n">
        <v>680.66</v>
      </c>
      <c r="Q861" s="0" t="s">
        <v>21</v>
      </c>
      <c r="R861" s="0" t="s">
        <v>51</v>
      </c>
      <c r="S861" s="0" t="s">
        <v>247</v>
      </c>
    </row>
    <row r="862" customFormat="false" ht="15" hidden="false" customHeight="false" outlineLevel="0" collapsed="false">
      <c r="A862" s="0" t="s">
        <v>2876</v>
      </c>
      <c r="B862" s="0" t="s">
        <v>48</v>
      </c>
      <c r="C862" s="0" t="s">
        <v>198</v>
      </c>
      <c r="D862" s="0" t="s">
        <v>199</v>
      </c>
      <c r="E862" s="0" t="s">
        <v>43</v>
      </c>
      <c r="F862" s="0" t="n">
        <v>3.47</v>
      </c>
      <c r="G862" s="0" t="s">
        <v>888</v>
      </c>
      <c r="H862" s="0" t="s">
        <v>907</v>
      </c>
      <c r="I862" s="0" t="s">
        <v>632</v>
      </c>
      <c r="J862" s="0" t="s">
        <v>2877</v>
      </c>
      <c r="K862" s="0" t="s">
        <v>1804</v>
      </c>
      <c r="L862" s="0" t="n">
        <v>-1</v>
      </c>
      <c r="M862" s="0" t="n">
        <v>0</v>
      </c>
      <c r="N862" s="0" t="n">
        <v>2514.66</v>
      </c>
      <c r="O862" s="0" t="n">
        <v>1431.85</v>
      </c>
      <c r="P862" s="0" t="n">
        <v>569.65</v>
      </c>
      <c r="Q862" s="0" t="s">
        <v>25</v>
      </c>
      <c r="R862" s="0" t="s">
        <v>52</v>
      </c>
      <c r="S862" s="0" t="s">
        <v>247</v>
      </c>
    </row>
    <row r="863" customFormat="false" ht="15" hidden="false" customHeight="false" outlineLevel="0" collapsed="false">
      <c r="A863" s="0" t="s">
        <v>2878</v>
      </c>
      <c r="B863" s="0" t="s">
        <v>47</v>
      </c>
      <c r="C863" s="0" t="s">
        <v>205</v>
      </c>
      <c r="D863" s="0" t="s">
        <v>198</v>
      </c>
      <c r="E863" s="0" t="s">
        <v>42</v>
      </c>
      <c r="F863" s="0" t="n">
        <v>12.19</v>
      </c>
      <c r="G863" s="0" t="s">
        <v>563</v>
      </c>
      <c r="H863" s="0" t="s">
        <v>327</v>
      </c>
      <c r="I863" s="0" t="s">
        <v>964</v>
      </c>
      <c r="J863" s="0" t="s">
        <v>2879</v>
      </c>
      <c r="K863" s="0" t="s">
        <v>2880</v>
      </c>
      <c r="L863" s="0" t="n">
        <v>6.3</v>
      </c>
      <c r="M863" s="0" t="n">
        <v>1</v>
      </c>
      <c r="N863" s="0" t="n">
        <v>5374.84</v>
      </c>
      <c r="O863" s="0" t="n">
        <v>1105.79</v>
      </c>
      <c r="P863" s="0" t="n">
        <v>835.56</v>
      </c>
      <c r="Q863" s="0" t="s">
        <v>23</v>
      </c>
      <c r="R863" s="0" t="s">
        <v>52</v>
      </c>
      <c r="S863" s="0" t="s">
        <v>222</v>
      </c>
    </row>
    <row r="864" customFormat="false" ht="15" hidden="false" customHeight="false" outlineLevel="0" collapsed="false">
      <c r="A864" s="0" t="s">
        <v>2881</v>
      </c>
      <c r="B864" s="0" t="s">
        <v>47</v>
      </c>
      <c r="C864" s="0" t="s">
        <v>199</v>
      </c>
      <c r="D864" s="0" t="s">
        <v>198</v>
      </c>
      <c r="E864" s="0" t="s">
        <v>42</v>
      </c>
      <c r="F864" s="0" t="n">
        <v>19.54</v>
      </c>
      <c r="G864" s="0" t="s">
        <v>686</v>
      </c>
      <c r="H864" s="0" t="s">
        <v>687</v>
      </c>
      <c r="I864" s="0" t="s">
        <v>1269</v>
      </c>
      <c r="J864" s="0" t="s">
        <v>2301</v>
      </c>
      <c r="K864" s="0" t="s">
        <v>2882</v>
      </c>
      <c r="L864" s="0" t="n">
        <v>1</v>
      </c>
      <c r="M864" s="0" t="n">
        <v>1</v>
      </c>
      <c r="N864" s="0" t="n">
        <v>4272.09</v>
      </c>
      <c r="O864" s="0" t="n">
        <v>3041.57</v>
      </c>
      <c r="P864" s="0" t="n">
        <v>1469.44</v>
      </c>
      <c r="Q864" s="0" t="s">
        <v>24</v>
      </c>
      <c r="R864" s="0" t="s">
        <v>51</v>
      </c>
      <c r="S864" s="0" t="s">
        <v>247</v>
      </c>
    </row>
    <row r="865" customFormat="false" ht="15" hidden="false" customHeight="false" outlineLevel="0" collapsed="false">
      <c r="A865" s="0" t="s">
        <v>2883</v>
      </c>
      <c r="B865" s="0" t="s">
        <v>48</v>
      </c>
      <c r="C865" s="0" t="s">
        <v>198</v>
      </c>
      <c r="D865" s="0" t="s">
        <v>199</v>
      </c>
      <c r="E865" s="0" t="s">
        <v>43</v>
      </c>
      <c r="F865" s="0" t="n">
        <v>14.17</v>
      </c>
      <c r="G865" s="0" t="s">
        <v>1097</v>
      </c>
      <c r="H865" s="0" t="s">
        <v>581</v>
      </c>
      <c r="I865" s="0" t="s">
        <v>238</v>
      </c>
      <c r="J865" s="0" t="s">
        <v>794</v>
      </c>
      <c r="K865" s="0" t="s">
        <v>2884</v>
      </c>
      <c r="L865" s="0" t="n">
        <v>2.8</v>
      </c>
      <c r="M865" s="0" t="n">
        <v>1</v>
      </c>
      <c r="N865" s="0" t="n">
        <v>9133.17</v>
      </c>
      <c r="O865" s="0" t="n">
        <v>3577.69</v>
      </c>
      <c r="P865" s="0" t="n">
        <v>528.34</v>
      </c>
      <c r="Q865" s="0" t="s">
        <v>24</v>
      </c>
      <c r="R865" s="0" t="s">
        <v>51</v>
      </c>
      <c r="S865" s="0" t="s">
        <v>228</v>
      </c>
    </row>
    <row r="866" customFormat="false" ht="15" hidden="false" customHeight="false" outlineLevel="0" collapsed="false">
      <c r="A866" s="0" t="s">
        <v>2885</v>
      </c>
      <c r="B866" s="0" t="s">
        <v>47</v>
      </c>
      <c r="C866" s="0" t="s">
        <v>199</v>
      </c>
      <c r="D866" s="0" t="s">
        <v>198</v>
      </c>
      <c r="E866" s="0" t="s">
        <v>43</v>
      </c>
      <c r="F866" s="0" t="n">
        <v>16.74</v>
      </c>
      <c r="G866" s="0" t="s">
        <v>1080</v>
      </c>
      <c r="H866" s="0" t="s">
        <v>343</v>
      </c>
      <c r="I866" s="0" t="s">
        <v>876</v>
      </c>
      <c r="J866" s="0" t="s">
        <v>2413</v>
      </c>
      <c r="K866" s="0" t="s">
        <v>2886</v>
      </c>
      <c r="L866" s="0" t="n">
        <v>0.5</v>
      </c>
      <c r="M866" s="0" t="n">
        <v>1</v>
      </c>
      <c r="N866" s="0" t="n">
        <v>10263.04</v>
      </c>
      <c r="O866" s="0" t="n">
        <v>4943.69</v>
      </c>
      <c r="P866" s="0" t="n">
        <v>1139.96</v>
      </c>
      <c r="Q866" s="0" t="s">
        <v>21</v>
      </c>
      <c r="R866" s="0" t="s">
        <v>51</v>
      </c>
      <c r="S866" s="0" t="s">
        <v>228</v>
      </c>
    </row>
    <row r="867" customFormat="false" ht="15" hidden="false" customHeight="false" outlineLevel="0" collapsed="false">
      <c r="A867" s="0" t="s">
        <v>2887</v>
      </c>
      <c r="B867" s="0" t="s">
        <v>48</v>
      </c>
      <c r="C867" s="0" t="s">
        <v>198</v>
      </c>
      <c r="D867" s="0" t="s">
        <v>214</v>
      </c>
      <c r="E867" s="0" t="s">
        <v>44</v>
      </c>
      <c r="F867" s="0" t="n">
        <v>17.34</v>
      </c>
      <c r="G867" s="0" t="s">
        <v>408</v>
      </c>
      <c r="H867" s="0" t="s">
        <v>1907</v>
      </c>
      <c r="I867" s="0" t="s">
        <v>873</v>
      </c>
      <c r="J867" s="0" t="s">
        <v>2888</v>
      </c>
      <c r="K867" s="0" t="s">
        <v>601</v>
      </c>
      <c r="L867" s="0" t="n">
        <v>-1</v>
      </c>
      <c r="M867" s="0" t="n">
        <v>0</v>
      </c>
      <c r="N867" s="0" t="n">
        <v>4488.54</v>
      </c>
      <c r="O867" s="0" t="n">
        <v>1236.89</v>
      </c>
      <c r="P867" s="0" t="n">
        <v>605.4</v>
      </c>
      <c r="Q867" s="0" t="s">
        <v>25</v>
      </c>
      <c r="R867" s="0" t="s">
        <v>52</v>
      </c>
      <c r="S867" s="0" t="s">
        <v>228</v>
      </c>
    </row>
    <row r="868" customFormat="false" ht="15" hidden="false" customHeight="false" outlineLevel="0" collapsed="false">
      <c r="A868" s="0" t="s">
        <v>2889</v>
      </c>
      <c r="B868" s="0" t="s">
        <v>48</v>
      </c>
      <c r="C868" s="0" t="s">
        <v>198</v>
      </c>
      <c r="D868" s="0" t="s">
        <v>213</v>
      </c>
      <c r="E868" s="0" t="s">
        <v>44</v>
      </c>
      <c r="F868" s="0" t="n">
        <v>4.51</v>
      </c>
      <c r="G868" s="0" t="s">
        <v>631</v>
      </c>
      <c r="H868" s="0" t="s">
        <v>908</v>
      </c>
      <c r="I868" s="0" t="s">
        <v>557</v>
      </c>
      <c r="J868" s="0" t="s">
        <v>1779</v>
      </c>
      <c r="K868" s="0" t="s">
        <v>2890</v>
      </c>
      <c r="L868" s="0" t="n">
        <v>1.7</v>
      </c>
      <c r="M868" s="0" t="n">
        <v>1</v>
      </c>
      <c r="N868" s="0" t="n">
        <v>2355.95</v>
      </c>
      <c r="O868" s="0" t="n">
        <v>1506.85</v>
      </c>
      <c r="P868" s="0" t="n">
        <v>1066.3</v>
      </c>
      <c r="Q868" s="0" t="s">
        <v>25</v>
      </c>
      <c r="R868" s="0" t="s">
        <v>51</v>
      </c>
      <c r="S868" s="0" t="s">
        <v>254</v>
      </c>
    </row>
    <row r="869" customFormat="false" ht="15" hidden="false" customHeight="false" outlineLevel="0" collapsed="false">
      <c r="A869" s="0" t="s">
        <v>2891</v>
      </c>
      <c r="B869" s="0" t="s">
        <v>47</v>
      </c>
      <c r="C869" s="0" t="s">
        <v>209</v>
      </c>
      <c r="D869" s="0" t="s">
        <v>198</v>
      </c>
      <c r="E869" s="0" t="s">
        <v>44</v>
      </c>
      <c r="F869" s="0" t="n">
        <v>8.57</v>
      </c>
      <c r="G869" s="0" t="s">
        <v>482</v>
      </c>
      <c r="H869" s="0" t="s">
        <v>784</v>
      </c>
      <c r="I869" s="0" t="s">
        <v>380</v>
      </c>
      <c r="J869" s="0" t="s">
        <v>2892</v>
      </c>
      <c r="K869" s="0" t="s">
        <v>2893</v>
      </c>
      <c r="L869" s="0" t="n">
        <v>5.3</v>
      </c>
      <c r="M869" s="0" t="n">
        <v>1</v>
      </c>
      <c r="N869" s="0" t="n">
        <v>5145.52</v>
      </c>
      <c r="O869" s="0" t="n">
        <v>1654.5</v>
      </c>
      <c r="P869" s="0" t="n">
        <v>624.92</v>
      </c>
      <c r="Q869" s="0" t="s">
        <v>23</v>
      </c>
      <c r="R869" s="0" t="s">
        <v>52</v>
      </c>
      <c r="S869" s="0" t="s">
        <v>254</v>
      </c>
    </row>
    <row r="870" customFormat="false" ht="15" hidden="false" customHeight="false" outlineLevel="0" collapsed="false">
      <c r="A870" s="0" t="s">
        <v>2894</v>
      </c>
      <c r="B870" s="0" t="s">
        <v>47</v>
      </c>
      <c r="C870" s="0" t="s">
        <v>206</v>
      </c>
      <c r="D870" s="0" t="s">
        <v>198</v>
      </c>
      <c r="E870" s="0" t="s">
        <v>42</v>
      </c>
      <c r="F870" s="0" t="n">
        <v>1.51</v>
      </c>
      <c r="G870" s="0" t="s">
        <v>749</v>
      </c>
      <c r="H870" s="0" t="s">
        <v>1417</v>
      </c>
      <c r="I870" s="0" t="s">
        <v>511</v>
      </c>
      <c r="J870" s="0" t="s">
        <v>2895</v>
      </c>
      <c r="K870" s="0" t="s">
        <v>2896</v>
      </c>
      <c r="L870" s="0" t="n">
        <v>3.6</v>
      </c>
      <c r="M870" s="0" t="n">
        <v>1</v>
      </c>
      <c r="N870" s="0" t="n">
        <v>1998.57</v>
      </c>
      <c r="O870" s="0" t="n">
        <v>1789.26</v>
      </c>
      <c r="P870" s="0" t="n">
        <v>817.26</v>
      </c>
      <c r="Q870" s="0" t="s">
        <v>24</v>
      </c>
      <c r="R870" s="0" t="s">
        <v>51</v>
      </c>
      <c r="S870" s="0" t="s">
        <v>228</v>
      </c>
    </row>
    <row r="871" customFormat="false" ht="15" hidden="false" customHeight="false" outlineLevel="0" collapsed="false">
      <c r="A871" s="0" t="s">
        <v>2897</v>
      </c>
      <c r="B871" s="0" t="s">
        <v>47</v>
      </c>
      <c r="C871" s="0" t="s">
        <v>205</v>
      </c>
      <c r="D871" s="0" t="s">
        <v>198</v>
      </c>
      <c r="E871" s="0" t="s">
        <v>44</v>
      </c>
      <c r="F871" s="0" t="n">
        <v>6.36</v>
      </c>
      <c r="G871" s="0" t="s">
        <v>327</v>
      </c>
      <c r="H871" s="0" t="s">
        <v>934</v>
      </c>
      <c r="I871" s="0" t="s">
        <v>352</v>
      </c>
      <c r="J871" s="0" t="s">
        <v>2898</v>
      </c>
      <c r="K871" s="0" t="s">
        <v>1179</v>
      </c>
      <c r="L871" s="0" t="n">
        <v>1.8</v>
      </c>
      <c r="M871" s="0" t="n">
        <v>1</v>
      </c>
      <c r="N871" s="0" t="n">
        <v>3412.92</v>
      </c>
      <c r="O871" s="0" t="n">
        <v>1933.59</v>
      </c>
      <c r="P871" s="0" t="n">
        <v>953.37</v>
      </c>
      <c r="Q871" s="0" t="s">
        <v>24</v>
      </c>
      <c r="R871" s="0" t="s">
        <v>52</v>
      </c>
      <c r="S871" s="0" t="s">
        <v>228</v>
      </c>
    </row>
    <row r="872" customFormat="false" ht="15" hidden="false" customHeight="false" outlineLevel="0" collapsed="false">
      <c r="A872" s="0" t="s">
        <v>2899</v>
      </c>
      <c r="B872" s="0" t="s">
        <v>48</v>
      </c>
      <c r="C872" s="0" t="s">
        <v>198</v>
      </c>
      <c r="D872" s="0" t="s">
        <v>207</v>
      </c>
      <c r="E872" s="0" t="s">
        <v>43</v>
      </c>
      <c r="F872" s="0" t="n">
        <v>10.83</v>
      </c>
      <c r="G872" s="0" t="s">
        <v>1148</v>
      </c>
      <c r="H872" s="0" t="s">
        <v>800</v>
      </c>
      <c r="I872" s="0" t="s">
        <v>1080</v>
      </c>
      <c r="J872" s="0" t="s">
        <v>2597</v>
      </c>
      <c r="K872" s="0" t="s">
        <v>2900</v>
      </c>
      <c r="L872" s="0" t="n">
        <v>1.5</v>
      </c>
      <c r="M872" s="0" t="n">
        <v>1</v>
      </c>
      <c r="N872" s="0" t="n">
        <v>4063.08</v>
      </c>
      <c r="O872" s="0" t="n">
        <v>2587.56</v>
      </c>
      <c r="P872" s="0" t="n">
        <v>1243.54</v>
      </c>
      <c r="Q872" s="0" t="s">
        <v>23</v>
      </c>
      <c r="R872" s="0" t="s">
        <v>51</v>
      </c>
      <c r="S872" s="0" t="s">
        <v>254</v>
      </c>
    </row>
    <row r="873" customFormat="false" ht="15" hidden="false" customHeight="false" outlineLevel="0" collapsed="false">
      <c r="A873" s="0" t="s">
        <v>2901</v>
      </c>
      <c r="B873" s="0" t="s">
        <v>47</v>
      </c>
      <c r="C873" s="0" t="s">
        <v>205</v>
      </c>
      <c r="D873" s="0" t="s">
        <v>198</v>
      </c>
      <c r="E873" s="0" t="s">
        <v>42</v>
      </c>
      <c r="F873" s="0" t="n">
        <v>12.03</v>
      </c>
      <c r="G873" s="0" t="s">
        <v>559</v>
      </c>
      <c r="H873" s="0" t="s">
        <v>532</v>
      </c>
      <c r="I873" s="0" t="s">
        <v>657</v>
      </c>
      <c r="J873" s="0" t="s">
        <v>2902</v>
      </c>
      <c r="K873" s="0" t="s">
        <v>2903</v>
      </c>
      <c r="L873" s="0" t="n">
        <v>5.3</v>
      </c>
      <c r="M873" s="0" t="n">
        <v>1</v>
      </c>
      <c r="N873" s="0" t="n">
        <v>6011.58</v>
      </c>
      <c r="O873" s="0" t="n">
        <v>3059.71</v>
      </c>
      <c r="P873" s="0" t="n">
        <v>670.68</v>
      </c>
      <c r="Q873" s="0" t="s">
        <v>21</v>
      </c>
      <c r="R873" s="0" t="s">
        <v>52</v>
      </c>
      <c r="S873" s="0" t="s">
        <v>272</v>
      </c>
    </row>
    <row r="874" customFormat="false" ht="15" hidden="false" customHeight="false" outlineLevel="0" collapsed="false">
      <c r="A874" s="0" t="s">
        <v>2904</v>
      </c>
      <c r="B874" s="0" t="s">
        <v>48</v>
      </c>
      <c r="C874" s="0" t="s">
        <v>198</v>
      </c>
      <c r="D874" s="0" t="s">
        <v>207</v>
      </c>
      <c r="E874" s="0" t="s">
        <v>44</v>
      </c>
      <c r="F874" s="0" t="n">
        <v>13.6</v>
      </c>
      <c r="G874" s="0" t="s">
        <v>1087</v>
      </c>
      <c r="H874" s="0" t="s">
        <v>251</v>
      </c>
      <c r="I874" s="0" t="s">
        <v>686</v>
      </c>
      <c r="J874" s="0" t="s">
        <v>1411</v>
      </c>
      <c r="K874" s="0" t="s">
        <v>2905</v>
      </c>
      <c r="L874" s="0" t="n">
        <v>5.7</v>
      </c>
      <c r="M874" s="0" t="n">
        <v>1</v>
      </c>
      <c r="N874" s="0" t="n">
        <v>5306.38</v>
      </c>
      <c r="O874" s="0" t="n">
        <v>3424.06</v>
      </c>
      <c r="P874" s="0" t="n">
        <v>589.63</v>
      </c>
      <c r="Q874" s="0" t="s">
        <v>25</v>
      </c>
      <c r="R874" s="0" t="s">
        <v>51</v>
      </c>
      <c r="S874" s="0" t="s">
        <v>228</v>
      </c>
    </row>
    <row r="875" customFormat="false" ht="15" hidden="false" customHeight="false" outlineLevel="0" collapsed="false">
      <c r="A875" s="0" t="s">
        <v>2906</v>
      </c>
      <c r="B875" s="0" t="s">
        <v>48</v>
      </c>
      <c r="C875" s="0" t="s">
        <v>198</v>
      </c>
      <c r="D875" s="0" t="s">
        <v>199</v>
      </c>
      <c r="E875" s="0" t="s">
        <v>44</v>
      </c>
      <c r="F875" s="0" t="n">
        <v>19.23</v>
      </c>
      <c r="G875" s="0" t="s">
        <v>1198</v>
      </c>
      <c r="H875" s="0" t="s">
        <v>1046</v>
      </c>
      <c r="I875" s="0" t="s">
        <v>982</v>
      </c>
      <c r="J875" s="0" t="s">
        <v>2907</v>
      </c>
      <c r="K875" s="0" t="s">
        <v>2908</v>
      </c>
      <c r="L875" s="0" t="n">
        <v>5.1</v>
      </c>
      <c r="M875" s="0" t="n">
        <v>1</v>
      </c>
      <c r="N875" s="0" t="n">
        <v>9196.18</v>
      </c>
      <c r="O875" s="0" t="n">
        <v>4433.49</v>
      </c>
      <c r="P875" s="0" t="n">
        <v>1456.84</v>
      </c>
      <c r="Q875" s="0" t="s">
        <v>23</v>
      </c>
      <c r="R875" s="0" t="s">
        <v>52</v>
      </c>
      <c r="S875" s="0" t="s">
        <v>222</v>
      </c>
    </row>
    <row r="876" customFormat="false" ht="15" hidden="false" customHeight="false" outlineLevel="0" collapsed="false">
      <c r="A876" s="0" t="s">
        <v>2909</v>
      </c>
      <c r="B876" s="0" t="s">
        <v>47</v>
      </c>
      <c r="C876" s="0" t="s">
        <v>203</v>
      </c>
      <c r="D876" s="0" t="s">
        <v>198</v>
      </c>
      <c r="E876" s="0" t="s">
        <v>42</v>
      </c>
      <c r="F876" s="0" t="n">
        <v>10.48</v>
      </c>
      <c r="G876" s="0" t="s">
        <v>1304</v>
      </c>
      <c r="H876" s="0" t="s">
        <v>1019</v>
      </c>
      <c r="I876" s="0" t="s">
        <v>217</v>
      </c>
      <c r="J876" s="0" t="s">
        <v>1295</v>
      </c>
      <c r="K876" s="0" t="s">
        <v>2305</v>
      </c>
      <c r="L876" s="0" t="n">
        <v>5.1</v>
      </c>
      <c r="M876" s="0" t="n">
        <v>1</v>
      </c>
      <c r="N876" s="0" t="n">
        <v>3011.53</v>
      </c>
      <c r="O876" s="0" t="n">
        <v>3038.89</v>
      </c>
      <c r="P876" s="0" t="n">
        <v>879.96</v>
      </c>
      <c r="Q876" s="0" t="s">
        <v>25</v>
      </c>
      <c r="R876" s="0" t="s">
        <v>52</v>
      </c>
      <c r="S876" s="0" t="s">
        <v>247</v>
      </c>
    </row>
    <row r="877" customFormat="false" ht="15" hidden="false" customHeight="false" outlineLevel="0" collapsed="false">
      <c r="A877" s="0" t="s">
        <v>2910</v>
      </c>
      <c r="B877" s="0" t="s">
        <v>47</v>
      </c>
      <c r="C877" s="0" t="s">
        <v>205</v>
      </c>
      <c r="D877" s="0" t="s">
        <v>198</v>
      </c>
      <c r="E877" s="0" t="s">
        <v>43</v>
      </c>
      <c r="F877" s="0" t="n">
        <v>9.52</v>
      </c>
      <c r="G877" s="0" t="s">
        <v>219</v>
      </c>
      <c r="H877" s="0" t="s">
        <v>1174</v>
      </c>
      <c r="I877" s="0" t="s">
        <v>497</v>
      </c>
      <c r="J877" s="0" t="s">
        <v>2911</v>
      </c>
      <c r="K877" s="0" t="s">
        <v>2912</v>
      </c>
      <c r="L877" s="0" t="n">
        <v>0.6</v>
      </c>
      <c r="M877" s="0" t="n">
        <v>1</v>
      </c>
      <c r="N877" s="0" t="n">
        <v>8005.61</v>
      </c>
      <c r="O877" s="0" t="n">
        <v>2272.75</v>
      </c>
      <c r="P877" s="0" t="n">
        <v>665.99</v>
      </c>
      <c r="Q877" s="0" t="s">
        <v>23</v>
      </c>
      <c r="R877" s="0" t="s">
        <v>51</v>
      </c>
      <c r="S877" s="0" t="s">
        <v>272</v>
      </c>
    </row>
    <row r="878" customFormat="false" ht="15" hidden="false" customHeight="false" outlineLevel="0" collapsed="false">
      <c r="A878" s="0" t="s">
        <v>2913</v>
      </c>
      <c r="B878" s="0" t="s">
        <v>48</v>
      </c>
      <c r="C878" s="0" t="s">
        <v>198</v>
      </c>
      <c r="D878" s="0" t="s">
        <v>214</v>
      </c>
      <c r="E878" s="0" t="s">
        <v>43</v>
      </c>
      <c r="F878" s="0" t="n">
        <v>15.17</v>
      </c>
      <c r="G878" s="0" t="s">
        <v>558</v>
      </c>
      <c r="H878" s="0" t="s">
        <v>1007</v>
      </c>
      <c r="I878" s="0" t="s">
        <v>1685</v>
      </c>
      <c r="J878" s="0" t="s">
        <v>2914</v>
      </c>
      <c r="K878" s="0" t="s">
        <v>2915</v>
      </c>
      <c r="L878" s="0" t="n">
        <v>0.8</v>
      </c>
      <c r="M878" s="0" t="n">
        <v>1</v>
      </c>
      <c r="N878" s="0" t="n">
        <v>5776.35</v>
      </c>
      <c r="O878" s="0" t="n">
        <v>4486.03</v>
      </c>
      <c r="P878" s="0" t="n">
        <v>530.38</v>
      </c>
      <c r="Q878" s="0" t="s">
        <v>23</v>
      </c>
      <c r="R878" s="0" t="s">
        <v>51</v>
      </c>
      <c r="S878" s="0" t="s">
        <v>272</v>
      </c>
    </row>
    <row r="879" customFormat="false" ht="15" hidden="false" customHeight="false" outlineLevel="0" collapsed="false">
      <c r="A879" s="0" t="s">
        <v>2916</v>
      </c>
      <c r="B879" s="0" t="s">
        <v>47</v>
      </c>
      <c r="C879" s="0" t="s">
        <v>199</v>
      </c>
      <c r="D879" s="0" t="s">
        <v>198</v>
      </c>
      <c r="E879" s="0" t="s">
        <v>43</v>
      </c>
      <c r="F879" s="0" t="n">
        <v>14.54</v>
      </c>
      <c r="G879" s="0" t="s">
        <v>391</v>
      </c>
      <c r="H879" s="0" t="s">
        <v>387</v>
      </c>
      <c r="I879" s="0" t="s">
        <v>793</v>
      </c>
      <c r="J879" s="0" t="s">
        <v>1514</v>
      </c>
      <c r="K879" s="0" t="s">
        <v>2917</v>
      </c>
      <c r="L879" s="0" t="n">
        <v>-0.3</v>
      </c>
      <c r="M879" s="0" t="n">
        <v>0</v>
      </c>
      <c r="N879" s="0" t="n">
        <v>4904.55</v>
      </c>
      <c r="O879" s="0" t="n">
        <v>3910.83</v>
      </c>
      <c r="P879" s="0" t="n">
        <v>1169.26</v>
      </c>
      <c r="Q879" s="0" t="s">
        <v>22</v>
      </c>
      <c r="R879" s="0" t="s">
        <v>52</v>
      </c>
      <c r="S879" s="0" t="s">
        <v>254</v>
      </c>
    </row>
    <row r="880" customFormat="false" ht="15" hidden="false" customHeight="false" outlineLevel="0" collapsed="false">
      <c r="A880" s="0" t="s">
        <v>2918</v>
      </c>
      <c r="B880" s="0" t="s">
        <v>47</v>
      </c>
      <c r="C880" s="0" t="s">
        <v>206</v>
      </c>
      <c r="D880" s="0" t="s">
        <v>198</v>
      </c>
      <c r="E880" s="0" t="s">
        <v>44</v>
      </c>
      <c r="F880" s="0" t="n">
        <v>2.36</v>
      </c>
      <c r="G880" s="0" t="s">
        <v>362</v>
      </c>
      <c r="H880" s="0" t="s">
        <v>403</v>
      </c>
      <c r="I880" s="0" t="s">
        <v>1261</v>
      </c>
      <c r="J880" s="0" t="s">
        <v>2919</v>
      </c>
      <c r="K880" s="0" t="s">
        <v>2105</v>
      </c>
      <c r="L880" s="0" t="n">
        <v>-1</v>
      </c>
      <c r="M880" s="0" t="n">
        <v>0</v>
      </c>
      <c r="N880" s="0" t="n">
        <v>2468.08</v>
      </c>
      <c r="O880" s="0" t="n">
        <v>2238.91</v>
      </c>
      <c r="P880" s="0" t="n">
        <v>741.96</v>
      </c>
      <c r="Q880" s="0" t="s">
        <v>23</v>
      </c>
      <c r="R880" s="0" t="s">
        <v>52</v>
      </c>
      <c r="S880" s="0" t="s">
        <v>222</v>
      </c>
    </row>
    <row r="881" customFormat="false" ht="15" hidden="false" customHeight="false" outlineLevel="0" collapsed="false">
      <c r="A881" s="0" t="s">
        <v>2920</v>
      </c>
      <c r="B881" s="0" t="s">
        <v>48</v>
      </c>
      <c r="C881" s="0" t="s">
        <v>198</v>
      </c>
      <c r="D881" s="0" t="s">
        <v>208</v>
      </c>
      <c r="E881" s="0" t="s">
        <v>43</v>
      </c>
      <c r="F881" s="0" t="n">
        <v>6.29</v>
      </c>
      <c r="G881" s="0" t="s">
        <v>741</v>
      </c>
      <c r="H881" s="0" t="s">
        <v>613</v>
      </c>
      <c r="I881" s="0" t="s">
        <v>756</v>
      </c>
      <c r="J881" s="0" t="s">
        <v>2921</v>
      </c>
      <c r="K881" s="0" t="s">
        <v>2922</v>
      </c>
      <c r="L881" s="0" t="n">
        <v>1</v>
      </c>
      <c r="M881" s="0" t="n">
        <v>1</v>
      </c>
      <c r="N881" s="0" t="n">
        <v>5739.27</v>
      </c>
      <c r="O881" s="0" t="n">
        <v>3955.78</v>
      </c>
      <c r="P881" s="0" t="n">
        <v>697.82</v>
      </c>
      <c r="Q881" s="0" t="s">
        <v>25</v>
      </c>
      <c r="R881" s="0" t="s">
        <v>52</v>
      </c>
      <c r="S881" s="0" t="s">
        <v>272</v>
      </c>
    </row>
    <row r="882" customFormat="false" ht="15" hidden="false" customHeight="false" outlineLevel="0" collapsed="false">
      <c r="A882" s="0" t="s">
        <v>2923</v>
      </c>
      <c r="B882" s="0" t="s">
        <v>47</v>
      </c>
      <c r="C882" s="0" t="s">
        <v>199</v>
      </c>
      <c r="D882" s="0" t="s">
        <v>198</v>
      </c>
      <c r="E882" s="0" t="s">
        <v>44</v>
      </c>
      <c r="F882" s="0" t="n">
        <v>17.02</v>
      </c>
      <c r="G882" s="0" t="s">
        <v>945</v>
      </c>
      <c r="H882" s="0" t="s">
        <v>287</v>
      </c>
      <c r="I882" s="0" t="s">
        <v>727</v>
      </c>
      <c r="J882" s="0" t="s">
        <v>2924</v>
      </c>
      <c r="K882" s="0" t="s">
        <v>1236</v>
      </c>
      <c r="L882" s="0" t="n">
        <v>1.2</v>
      </c>
      <c r="M882" s="0" t="n">
        <v>1</v>
      </c>
      <c r="N882" s="0" t="n">
        <v>11247.53</v>
      </c>
      <c r="O882" s="0" t="n">
        <v>1404.35</v>
      </c>
      <c r="P882" s="0" t="n">
        <v>808.85</v>
      </c>
      <c r="Q882" s="0" t="s">
        <v>22</v>
      </c>
      <c r="R882" s="0" t="s">
        <v>52</v>
      </c>
      <c r="S882" s="0" t="s">
        <v>247</v>
      </c>
    </row>
    <row r="883" customFormat="false" ht="15" hidden="false" customHeight="false" outlineLevel="0" collapsed="false">
      <c r="A883" s="0" t="s">
        <v>2925</v>
      </c>
      <c r="B883" s="0" t="s">
        <v>48</v>
      </c>
      <c r="C883" s="0" t="s">
        <v>198</v>
      </c>
      <c r="D883" s="0" t="s">
        <v>201</v>
      </c>
      <c r="E883" s="0" t="s">
        <v>42</v>
      </c>
      <c r="F883" s="0" t="n">
        <v>12.62</v>
      </c>
      <c r="G883" s="0" t="s">
        <v>409</v>
      </c>
      <c r="H883" s="0" t="s">
        <v>224</v>
      </c>
      <c r="I883" s="0" t="s">
        <v>496</v>
      </c>
      <c r="J883" s="0" t="s">
        <v>2926</v>
      </c>
      <c r="K883" s="0" t="s">
        <v>2927</v>
      </c>
      <c r="L883" s="0" t="n">
        <v>3.5</v>
      </c>
      <c r="M883" s="0" t="n">
        <v>1</v>
      </c>
      <c r="N883" s="0" t="n">
        <v>3125.07</v>
      </c>
      <c r="O883" s="0" t="n">
        <v>4631.26</v>
      </c>
      <c r="P883" s="0" t="n">
        <v>1221.26</v>
      </c>
      <c r="Q883" s="0" t="s">
        <v>21</v>
      </c>
      <c r="R883" s="0" t="s">
        <v>51</v>
      </c>
      <c r="S883" s="0" t="s">
        <v>272</v>
      </c>
    </row>
    <row r="884" customFormat="false" ht="15" hidden="false" customHeight="false" outlineLevel="0" collapsed="false">
      <c r="A884" s="0" t="s">
        <v>2928</v>
      </c>
      <c r="B884" s="0" t="s">
        <v>48</v>
      </c>
      <c r="C884" s="0" t="s">
        <v>198</v>
      </c>
      <c r="D884" s="0" t="s">
        <v>208</v>
      </c>
      <c r="E884" s="0" t="s">
        <v>43</v>
      </c>
      <c r="F884" s="0" t="n">
        <v>13.87</v>
      </c>
      <c r="G884" s="0" t="s">
        <v>563</v>
      </c>
      <c r="H884" s="0" t="s">
        <v>934</v>
      </c>
      <c r="I884" s="0" t="s">
        <v>572</v>
      </c>
      <c r="J884" s="0" t="s">
        <v>2929</v>
      </c>
      <c r="K884" s="0" t="s">
        <v>2930</v>
      </c>
      <c r="L884" s="0" t="n">
        <v>4.8</v>
      </c>
      <c r="M884" s="0" t="n">
        <v>1</v>
      </c>
      <c r="N884" s="0" t="n">
        <v>5650.32</v>
      </c>
      <c r="O884" s="0" t="n">
        <v>4737.01</v>
      </c>
      <c r="P884" s="0" t="n">
        <v>586.42</v>
      </c>
      <c r="Q884" s="0" t="s">
        <v>22</v>
      </c>
      <c r="R884" s="0" t="s">
        <v>51</v>
      </c>
      <c r="S884" s="0" t="s">
        <v>272</v>
      </c>
    </row>
    <row r="885" customFormat="false" ht="15" hidden="false" customHeight="false" outlineLevel="0" collapsed="false">
      <c r="A885" s="0" t="s">
        <v>2931</v>
      </c>
      <c r="B885" s="0" t="s">
        <v>48</v>
      </c>
      <c r="C885" s="0" t="s">
        <v>198</v>
      </c>
      <c r="D885" s="0" t="s">
        <v>207</v>
      </c>
      <c r="E885" s="0" t="s">
        <v>44</v>
      </c>
      <c r="F885" s="0" t="n">
        <v>16.19</v>
      </c>
      <c r="G885" s="0" t="s">
        <v>1582</v>
      </c>
      <c r="H885" s="0" t="s">
        <v>1270</v>
      </c>
      <c r="I885" s="0" t="s">
        <v>2614</v>
      </c>
      <c r="J885" s="0" t="s">
        <v>2932</v>
      </c>
      <c r="K885" s="0" t="s">
        <v>2933</v>
      </c>
      <c r="L885" s="0" t="n">
        <v>4.3</v>
      </c>
      <c r="M885" s="0" t="n">
        <v>1</v>
      </c>
      <c r="N885" s="0" t="n">
        <v>13446.23</v>
      </c>
      <c r="O885" s="0" t="n">
        <v>3222.47</v>
      </c>
      <c r="P885" s="0" t="n">
        <v>670.14</v>
      </c>
      <c r="Q885" s="0" t="s">
        <v>25</v>
      </c>
      <c r="R885" s="0" t="s">
        <v>51</v>
      </c>
      <c r="S885" s="0" t="s">
        <v>228</v>
      </c>
    </row>
    <row r="886" customFormat="false" ht="15" hidden="false" customHeight="false" outlineLevel="0" collapsed="false">
      <c r="A886" s="0" t="s">
        <v>2934</v>
      </c>
      <c r="B886" s="0" t="s">
        <v>48</v>
      </c>
      <c r="C886" s="0" t="s">
        <v>198</v>
      </c>
      <c r="D886" s="0" t="s">
        <v>214</v>
      </c>
      <c r="E886" s="0" t="s">
        <v>42</v>
      </c>
      <c r="F886" s="0" t="n">
        <v>7.01</v>
      </c>
      <c r="G886" s="0" t="s">
        <v>588</v>
      </c>
      <c r="H886" s="0" t="s">
        <v>1039</v>
      </c>
      <c r="I886" s="0" t="s">
        <v>589</v>
      </c>
      <c r="J886" s="0" t="s">
        <v>2935</v>
      </c>
      <c r="K886" s="0" t="s">
        <v>2936</v>
      </c>
      <c r="L886" s="0" t="n">
        <v>5.8</v>
      </c>
      <c r="M886" s="0" t="n">
        <v>1</v>
      </c>
      <c r="N886" s="0" t="n">
        <v>2925.07</v>
      </c>
      <c r="O886" s="0" t="n">
        <v>4663.77</v>
      </c>
      <c r="P886" s="0" t="n">
        <v>787.93</v>
      </c>
      <c r="Q886" s="0" t="s">
        <v>22</v>
      </c>
      <c r="R886" s="0" t="s">
        <v>52</v>
      </c>
      <c r="S886" s="0" t="s">
        <v>272</v>
      </c>
    </row>
    <row r="887" customFormat="false" ht="15" hidden="false" customHeight="false" outlineLevel="0" collapsed="false">
      <c r="A887" s="0" t="s">
        <v>2937</v>
      </c>
      <c r="B887" s="0" t="s">
        <v>48</v>
      </c>
      <c r="C887" s="0" t="s">
        <v>198</v>
      </c>
      <c r="D887" s="0" t="s">
        <v>213</v>
      </c>
      <c r="E887" s="0" t="s">
        <v>42</v>
      </c>
      <c r="F887" s="0" t="n">
        <v>4.52</v>
      </c>
      <c r="G887" s="0" t="s">
        <v>695</v>
      </c>
      <c r="H887" s="0" t="s">
        <v>866</v>
      </c>
      <c r="I887" s="0" t="s">
        <v>867</v>
      </c>
      <c r="J887" s="0" t="s">
        <v>2938</v>
      </c>
      <c r="K887" s="0" t="s">
        <v>2939</v>
      </c>
      <c r="L887" s="0" t="n">
        <v>5.2</v>
      </c>
      <c r="M887" s="0" t="n">
        <v>1</v>
      </c>
      <c r="N887" s="0" t="n">
        <v>2282.17</v>
      </c>
      <c r="O887" s="0" t="n">
        <v>4823.68</v>
      </c>
      <c r="P887" s="0" t="n">
        <v>1423.3</v>
      </c>
      <c r="Q887" s="0" t="s">
        <v>24</v>
      </c>
      <c r="R887" s="0" t="s">
        <v>52</v>
      </c>
      <c r="S887" s="0" t="s">
        <v>272</v>
      </c>
    </row>
    <row r="888" customFormat="false" ht="15" hidden="false" customHeight="false" outlineLevel="0" collapsed="false">
      <c r="A888" s="0" t="s">
        <v>2940</v>
      </c>
      <c r="B888" s="0" t="s">
        <v>47</v>
      </c>
      <c r="C888" s="0" t="s">
        <v>209</v>
      </c>
      <c r="D888" s="0" t="s">
        <v>198</v>
      </c>
      <c r="E888" s="0" t="s">
        <v>42</v>
      </c>
      <c r="F888" s="0" t="n">
        <v>9.69</v>
      </c>
      <c r="G888" s="0" t="s">
        <v>643</v>
      </c>
      <c r="H888" s="0" t="s">
        <v>1087</v>
      </c>
      <c r="I888" s="0" t="s">
        <v>723</v>
      </c>
      <c r="J888" s="0" t="s">
        <v>2941</v>
      </c>
      <c r="K888" s="0" t="s">
        <v>2942</v>
      </c>
      <c r="L888" s="0" t="n">
        <v>-0.3</v>
      </c>
      <c r="M888" s="0" t="n">
        <v>0</v>
      </c>
      <c r="N888" s="0" t="n">
        <v>3336.44</v>
      </c>
      <c r="O888" s="0" t="n">
        <v>4125.42</v>
      </c>
      <c r="P888" s="0" t="n">
        <v>1180.05</v>
      </c>
      <c r="Q888" s="0" t="s">
        <v>24</v>
      </c>
      <c r="R888" s="0" t="s">
        <v>52</v>
      </c>
      <c r="S888" s="0" t="s">
        <v>222</v>
      </c>
    </row>
    <row r="889" customFormat="false" ht="15" hidden="false" customHeight="false" outlineLevel="0" collapsed="false">
      <c r="A889" s="0" t="s">
        <v>2943</v>
      </c>
      <c r="B889" s="0" t="s">
        <v>47</v>
      </c>
      <c r="C889" s="0" t="s">
        <v>206</v>
      </c>
      <c r="D889" s="0" t="s">
        <v>198</v>
      </c>
      <c r="E889" s="0" t="s">
        <v>44</v>
      </c>
      <c r="F889" s="0" t="n">
        <v>13.07</v>
      </c>
      <c r="G889" s="0" t="s">
        <v>1303</v>
      </c>
      <c r="H889" s="0" t="s">
        <v>1270</v>
      </c>
      <c r="I889" s="0" t="s">
        <v>756</v>
      </c>
      <c r="J889" s="0" t="s">
        <v>2944</v>
      </c>
      <c r="K889" s="0" t="s">
        <v>1801</v>
      </c>
      <c r="L889" s="0" t="n">
        <v>2.9</v>
      </c>
      <c r="M889" s="0" t="n">
        <v>1</v>
      </c>
      <c r="N889" s="0" t="n">
        <v>7900.27</v>
      </c>
      <c r="O889" s="0" t="n">
        <v>2295.58</v>
      </c>
      <c r="P889" s="0" t="n">
        <v>636.25</v>
      </c>
      <c r="Q889" s="0" t="s">
        <v>21</v>
      </c>
      <c r="R889" s="0" t="s">
        <v>52</v>
      </c>
      <c r="S889" s="0" t="s">
        <v>228</v>
      </c>
    </row>
    <row r="890" customFormat="false" ht="15" hidden="false" customHeight="false" outlineLevel="0" collapsed="false">
      <c r="A890" s="0" t="s">
        <v>2945</v>
      </c>
      <c r="B890" s="0" t="s">
        <v>48</v>
      </c>
      <c r="C890" s="0" t="s">
        <v>198</v>
      </c>
      <c r="D890" s="0" t="s">
        <v>213</v>
      </c>
      <c r="E890" s="0" t="s">
        <v>44</v>
      </c>
      <c r="F890" s="0" t="n">
        <v>17.86</v>
      </c>
      <c r="G890" s="0" t="s">
        <v>274</v>
      </c>
      <c r="H890" s="0" t="s">
        <v>546</v>
      </c>
      <c r="I890" s="0" t="s">
        <v>1926</v>
      </c>
      <c r="J890" s="0" t="s">
        <v>2946</v>
      </c>
      <c r="K890" s="0" t="s">
        <v>2947</v>
      </c>
      <c r="L890" s="0" t="n">
        <v>5.1</v>
      </c>
      <c r="M890" s="0" t="n">
        <v>1</v>
      </c>
      <c r="N890" s="0" t="n">
        <v>8028.59</v>
      </c>
      <c r="O890" s="0" t="n">
        <v>4263.42</v>
      </c>
      <c r="P890" s="0" t="n">
        <v>1302.56</v>
      </c>
      <c r="Q890" s="0" t="s">
        <v>24</v>
      </c>
      <c r="R890" s="0" t="s">
        <v>52</v>
      </c>
      <c r="S890" s="0" t="s">
        <v>247</v>
      </c>
    </row>
    <row r="891" customFormat="false" ht="15" hidden="false" customHeight="false" outlineLevel="0" collapsed="false">
      <c r="A891" s="0" t="s">
        <v>2948</v>
      </c>
      <c r="B891" s="0" t="s">
        <v>48</v>
      </c>
      <c r="C891" s="0" t="s">
        <v>198</v>
      </c>
      <c r="D891" s="0" t="s">
        <v>207</v>
      </c>
      <c r="E891" s="0" t="s">
        <v>43</v>
      </c>
      <c r="F891" s="0" t="n">
        <v>17.07</v>
      </c>
      <c r="G891" s="0" t="s">
        <v>450</v>
      </c>
      <c r="H891" s="0" t="s">
        <v>243</v>
      </c>
      <c r="I891" s="0" t="s">
        <v>1068</v>
      </c>
      <c r="J891" s="0" t="s">
        <v>2949</v>
      </c>
      <c r="K891" s="0" t="s">
        <v>2950</v>
      </c>
      <c r="L891" s="0" t="n">
        <v>3.8</v>
      </c>
      <c r="M891" s="0" t="n">
        <v>1</v>
      </c>
      <c r="N891" s="0" t="n">
        <v>5283.72</v>
      </c>
      <c r="O891" s="0" t="n">
        <v>1668.22</v>
      </c>
      <c r="P891" s="0" t="n">
        <v>1492.83</v>
      </c>
      <c r="Q891" s="0" t="s">
        <v>24</v>
      </c>
      <c r="R891" s="0" t="s">
        <v>52</v>
      </c>
      <c r="S891" s="0" t="s">
        <v>247</v>
      </c>
    </row>
    <row r="892" customFormat="false" ht="15" hidden="false" customHeight="false" outlineLevel="0" collapsed="false">
      <c r="A892" s="0" t="s">
        <v>2951</v>
      </c>
      <c r="B892" s="0" t="s">
        <v>48</v>
      </c>
      <c r="C892" s="0" t="s">
        <v>198</v>
      </c>
      <c r="D892" s="0" t="s">
        <v>204</v>
      </c>
      <c r="E892" s="0" t="s">
        <v>44</v>
      </c>
      <c r="F892" s="0" t="n">
        <v>11.7</v>
      </c>
      <c r="G892" s="0" t="s">
        <v>576</v>
      </c>
      <c r="H892" s="0" t="s">
        <v>1427</v>
      </c>
      <c r="I892" s="0" t="s">
        <v>1332</v>
      </c>
      <c r="J892" s="0" t="s">
        <v>2952</v>
      </c>
      <c r="K892" s="0" t="s">
        <v>2953</v>
      </c>
      <c r="L892" s="0" t="n">
        <v>-0.7</v>
      </c>
      <c r="M892" s="0" t="n">
        <v>0</v>
      </c>
      <c r="N892" s="0" t="n">
        <v>7997.92</v>
      </c>
      <c r="O892" s="0" t="n">
        <v>2941.12</v>
      </c>
      <c r="P892" s="0" t="n">
        <v>1042.03</v>
      </c>
      <c r="Q892" s="0" t="s">
        <v>23</v>
      </c>
      <c r="R892" s="0" t="s">
        <v>51</v>
      </c>
      <c r="S892" s="0" t="s">
        <v>247</v>
      </c>
    </row>
    <row r="893" customFormat="false" ht="15" hidden="false" customHeight="false" outlineLevel="0" collapsed="false">
      <c r="A893" s="0" t="s">
        <v>2954</v>
      </c>
      <c r="B893" s="0" t="s">
        <v>47</v>
      </c>
      <c r="C893" s="0" t="s">
        <v>206</v>
      </c>
      <c r="D893" s="0" t="s">
        <v>198</v>
      </c>
      <c r="E893" s="0" t="s">
        <v>43</v>
      </c>
      <c r="F893" s="0" t="n">
        <v>18.46</v>
      </c>
      <c r="G893" s="0" t="s">
        <v>1582</v>
      </c>
      <c r="H893" s="0" t="s">
        <v>613</v>
      </c>
      <c r="I893" s="0" t="s">
        <v>1270</v>
      </c>
      <c r="J893" s="0" t="s">
        <v>2955</v>
      </c>
      <c r="K893" s="0" t="s">
        <v>2956</v>
      </c>
      <c r="L893" s="0" t="n">
        <v>7.4</v>
      </c>
      <c r="M893" s="0" t="n">
        <v>1</v>
      </c>
      <c r="N893" s="0" t="n">
        <v>7360.09</v>
      </c>
      <c r="O893" s="0" t="n">
        <v>2147.47</v>
      </c>
      <c r="P893" s="0" t="n">
        <v>768.58</v>
      </c>
      <c r="Q893" s="0" t="s">
        <v>21</v>
      </c>
      <c r="R893" s="0" t="s">
        <v>51</v>
      </c>
      <c r="S893" s="0" t="s">
        <v>247</v>
      </c>
    </row>
    <row r="894" customFormat="false" ht="15" hidden="false" customHeight="false" outlineLevel="0" collapsed="false">
      <c r="A894" s="0" t="s">
        <v>2957</v>
      </c>
      <c r="B894" s="0" t="s">
        <v>48</v>
      </c>
      <c r="C894" s="0" t="s">
        <v>198</v>
      </c>
      <c r="D894" s="0" t="s">
        <v>199</v>
      </c>
      <c r="E894" s="0" t="s">
        <v>44</v>
      </c>
      <c r="F894" s="0" t="n">
        <v>17.36</v>
      </c>
      <c r="G894" s="0" t="s">
        <v>793</v>
      </c>
      <c r="H894" s="0" t="s">
        <v>237</v>
      </c>
      <c r="I894" s="0" t="s">
        <v>550</v>
      </c>
      <c r="J894" s="0" t="s">
        <v>2958</v>
      </c>
      <c r="K894" s="0" t="s">
        <v>2959</v>
      </c>
      <c r="L894" s="0" t="n">
        <v>-1</v>
      </c>
      <c r="M894" s="0" t="n">
        <v>0</v>
      </c>
      <c r="N894" s="0" t="n">
        <v>7864.18</v>
      </c>
      <c r="O894" s="0" t="n">
        <v>4540.06</v>
      </c>
      <c r="P894" s="0" t="n">
        <v>721.53</v>
      </c>
      <c r="Q894" s="0" t="s">
        <v>23</v>
      </c>
      <c r="R894" s="0" t="s">
        <v>52</v>
      </c>
      <c r="S894" s="0" t="s">
        <v>228</v>
      </c>
    </row>
    <row r="895" customFormat="false" ht="15" hidden="false" customHeight="false" outlineLevel="0" collapsed="false">
      <c r="A895" s="0" t="s">
        <v>2960</v>
      </c>
      <c r="B895" s="0" t="s">
        <v>47</v>
      </c>
      <c r="C895" s="0" t="s">
        <v>206</v>
      </c>
      <c r="D895" s="0" t="s">
        <v>198</v>
      </c>
      <c r="E895" s="0" t="s">
        <v>42</v>
      </c>
      <c r="F895" s="0" t="n">
        <v>9.81</v>
      </c>
      <c r="G895" s="0" t="s">
        <v>274</v>
      </c>
      <c r="H895" s="0" t="s">
        <v>546</v>
      </c>
      <c r="I895" s="0" t="s">
        <v>357</v>
      </c>
      <c r="J895" s="0" t="s">
        <v>2961</v>
      </c>
      <c r="K895" s="0" t="s">
        <v>2962</v>
      </c>
      <c r="L895" s="0" t="n">
        <v>5</v>
      </c>
      <c r="M895" s="0" t="n">
        <v>1</v>
      </c>
      <c r="N895" s="0" t="n">
        <v>5677.29</v>
      </c>
      <c r="O895" s="0" t="n">
        <v>4389.42</v>
      </c>
      <c r="P895" s="0" t="n">
        <v>509.54</v>
      </c>
      <c r="Q895" s="0" t="s">
        <v>25</v>
      </c>
      <c r="R895" s="0" t="s">
        <v>51</v>
      </c>
      <c r="S895" s="0" t="s">
        <v>272</v>
      </c>
    </row>
    <row r="896" customFormat="false" ht="15" hidden="false" customHeight="false" outlineLevel="0" collapsed="false">
      <c r="A896" s="0" t="s">
        <v>2963</v>
      </c>
      <c r="B896" s="0" t="s">
        <v>47</v>
      </c>
      <c r="C896" s="0" t="s">
        <v>209</v>
      </c>
      <c r="D896" s="0" t="s">
        <v>198</v>
      </c>
      <c r="E896" s="0" t="s">
        <v>43</v>
      </c>
      <c r="F896" s="0" t="n">
        <v>8.65</v>
      </c>
      <c r="G896" s="0" t="s">
        <v>1303</v>
      </c>
      <c r="H896" s="0" t="s">
        <v>756</v>
      </c>
      <c r="I896" s="0" t="s">
        <v>1304</v>
      </c>
      <c r="J896" s="0" t="s">
        <v>2964</v>
      </c>
      <c r="K896" s="0" t="s">
        <v>2965</v>
      </c>
      <c r="L896" s="0" t="n">
        <v>-1</v>
      </c>
      <c r="M896" s="0" t="n">
        <v>0</v>
      </c>
      <c r="N896" s="0" t="n">
        <v>4959.99</v>
      </c>
      <c r="O896" s="0" t="n">
        <v>4444.93</v>
      </c>
      <c r="P896" s="0" t="n">
        <v>654.68</v>
      </c>
      <c r="Q896" s="0" t="s">
        <v>21</v>
      </c>
      <c r="R896" s="0" t="s">
        <v>52</v>
      </c>
      <c r="S896" s="0" t="s">
        <v>228</v>
      </c>
    </row>
    <row r="897" customFormat="false" ht="15" hidden="false" customHeight="false" outlineLevel="0" collapsed="false">
      <c r="A897" s="0" t="s">
        <v>2966</v>
      </c>
      <c r="B897" s="0" t="s">
        <v>47</v>
      </c>
      <c r="C897" s="0" t="s">
        <v>205</v>
      </c>
      <c r="D897" s="0" t="s">
        <v>198</v>
      </c>
      <c r="E897" s="0" t="s">
        <v>44</v>
      </c>
      <c r="F897" s="0" t="n">
        <v>9.58</v>
      </c>
      <c r="G897" s="0" t="s">
        <v>534</v>
      </c>
      <c r="H897" s="0" t="s">
        <v>658</v>
      </c>
      <c r="I897" s="0" t="s">
        <v>588</v>
      </c>
      <c r="J897" s="0" t="s">
        <v>2967</v>
      </c>
      <c r="K897" s="0" t="s">
        <v>2968</v>
      </c>
      <c r="L897" s="0" t="n">
        <v>-1</v>
      </c>
      <c r="M897" s="0" t="n">
        <v>0</v>
      </c>
      <c r="N897" s="0" t="n">
        <v>6726.25</v>
      </c>
      <c r="O897" s="0" t="n">
        <v>2672.53</v>
      </c>
      <c r="P897" s="0" t="n">
        <v>1411.02</v>
      </c>
      <c r="Q897" s="0" t="s">
        <v>23</v>
      </c>
      <c r="R897" s="0" t="s">
        <v>52</v>
      </c>
      <c r="S897" s="0" t="s">
        <v>228</v>
      </c>
    </row>
    <row r="898" customFormat="false" ht="15" hidden="false" customHeight="false" outlineLevel="0" collapsed="false">
      <c r="A898" s="0" t="s">
        <v>2969</v>
      </c>
      <c r="B898" s="0" t="s">
        <v>48</v>
      </c>
      <c r="C898" s="0" t="s">
        <v>198</v>
      </c>
      <c r="D898" s="0" t="s">
        <v>208</v>
      </c>
      <c r="E898" s="0" t="s">
        <v>42</v>
      </c>
      <c r="F898" s="0" t="n">
        <v>19.87</v>
      </c>
      <c r="G898" s="0" t="s">
        <v>321</v>
      </c>
      <c r="H898" s="0" t="s">
        <v>789</v>
      </c>
      <c r="I898" s="0" t="s">
        <v>705</v>
      </c>
      <c r="J898" s="0" t="s">
        <v>2970</v>
      </c>
      <c r="K898" s="0" t="s">
        <v>2971</v>
      </c>
      <c r="L898" s="0" t="n">
        <v>2.2</v>
      </c>
      <c r="M898" s="0" t="n">
        <v>1</v>
      </c>
      <c r="N898" s="0" t="n">
        <v>8884.91</v>
      </c>
      <c r="O898" s="0" t="n">
        <v>1720</v>
      </c>
      <c r="P898" s="0" t="n">
        <v>1002.55</v>
      </c>
      <c r="Q898" s="0" t="s">
        <v>21</v>
      </c>
      <c r="R898" s="0" t="s">
        <v>52</v>
      </c>
      <c r="S898" s="0" t="s">
        <v>222</v>
      </c>
    </row>
    <row r="899" customFormat="false" ht="15" hidden="false" customHeight="false" outlineLevel="0" collapsed="false">
      <c r="A899" s="0" t="s">
        <v>2972</v>
      </c>
      <c r="B899" s="0" t="s">
        <v>47</v>
      </c>
      <c r="C899" s="0" t="s">
        <v>206</v>
      </c>
      <c r="D899" s="0" t="s">
        <v>198</v>
      </c>
      <c r="E899" s="0" t="s">
        <v>43</v>
      </c>
      <c r="F899" s="0" t="n">
        <v>17.12</v>
      </c>
      <c r="G899" s="0" t="s">
        <v>262</v>
      </c>
      <c r="H899" s="0" t="s">
        <v>1625</v>
      </c>
      <c r="I899" s="0" t="s">
        <v>387</v>
      </c>
      <c r="J899" s="0" t="s">
        <v>2973</v>
      </c>
      <c r="K899" s="0" t="s">
        <v>2974</v>
      </c>
      <c r="L899" s="0" t="n">
        <v>6.9</v>
      </c>
      <c r="M899" s="0" t="n">
        <v>1</v>
      </c>
      <c r="N899" s="0" t="n">
        <v>8838.99</v>
      </c>
      <c r="O899" s="0" t="n">
        <v>3747.02</v>
      </c>
      <c r="P899" s="0" t="n">
        <v>1174.22</v>
      </c>
      <c r="Q899" s="0" t="s">
        <v>22</v>
      </c>
      <c r="R899" s="0" t="s">
        <v>52</v>
      </c>
      <c r="S899" s="0" t="s">
        <v>272</v>
      </c>
    </row>
    <row r="900" customFormat="false" ht="15" hidden="false" customHeight="false" outlineLevel="0" collapsed="false">
      <c r="A900" s="0" t="s">
        <v>2975</v>
      </c>
      <c r="B900" s="0" t="s">
        <v>48</v>
      </c>
      <c r="C900" s="0" t="s">
        <v>198</v>
      </c>
      <c r="D900" s="0" t="s">
        <v>212</v>
      </c>
      <c r="E900" s="0" t="s">
        <v>43</v>
      </c>
      <c r="F900" s="0" t="n">
        <v>5.21</v>
      </c>
      <c r="G900" s="0" t="s">
        <v>1370</v>
      </c>
      <c r="H900" s="0" t="s">
        <v>511</v>
      </c>
      <c r="I900" s="0" t="s">
        <v>435</v>
      </c>
      <c r="J900" s="0" t="s">
        <v>2976</v>
      </c>
      <c r="K900" s="0" t="s">
        <v>2977</v>
      </c>
      <c r="L900" s="0" t="n">
        <v>3.6</v>
      </c>
      <c r="M900" s="0" t="n">
        <v>1</v>
      </c>
      <c r="N900" s="0" t="n">
        <v>4022.95</v>
      </c>
      <c r="O900" s="0" t="n">
        <v>2432.58</v>
      </c>
      <c r="P900" s="0" t="n">
        <v>878.64</v>
      </c>
      <c r="Q900" s="0" t="s">
        <v>23</v>
      </c>
      <c r="R900" s="0" t="s">
        <v>52</v>
      </c>
      <c r="S900" s="0" t="s">
        <v>247</v>
      </c>
    </row>
    <row r="901" customFormat="false" ht="15" hidden="false" customHeight="false" outlineLevel="0" collapsed="false">
      <c r="A901" s="0" t="s">
        <v>2978</v>
      </c>
      <c r="B901" s="0" t="s">
        <v>48</v>
      </c>
      <c r="C901" s="0" t="s">
        <v>198</v>
      </c>
      <c r="D901" s="0" t="s">
        <v>212</v>
      </c>
      <c r="E901" s="0" t="s">
        <v>44</v>
      </c>
      <c r="F901" s="0" t="n">
        <v>8.94</v>
      </c>
      <c r="G901" s="0" t="s">
        <v>964</v>
      </c>
      <c r="H901" s="0" t="s">
        <v>572</v>
      </c>
      <c r="I901" s="0" t="s">
        <v>938</v>
      </c>
      <c r="J901" s="0" t="s">
        <v>2099</v>
      </c>
      <c r="K901" s="0" t="s">
        <v>1489</v>
      </c>
      <c r="L901" s="0" t="n">
        <v>3.7</v>
      </c>
      <c r="M901" s="0" t="n">
        <v>1</v>
      </c>
      <c r="N901" s="0" t="n">
        <v>5229.16</v>
      </c>
      <c r="O901" s="0" t="n">
        <v>3354.34</v>
      </c>
      <c r="P901" s="0" t="n">
        <v>907.74</v>
      </c>
      <c r="Q901" s="0" t="s">
        <v>23</v>
      </c>
      <c r="R901" s="0" t="s">
        <v>51</v>
      </c>
      <c r="S901" s="0" t="s">
        <v>228</v>
      </c>
    </row>
    <row r="902" customFormat="false" ht="15" hidden="false" customHeight="false" outlineLevel="0" collapsed="false">
      <c r="A902" s="0" t="s">
        <v>2979</v>
      </c>
      <c r="B902" s="0" t="s">
        <v>48</v>
      </c>
      <c r="C902" s="0" t="s">
        <v>198</v>
      </c>
      <c r="D902" s="0" t="s">
        <v>212</v>
      </c>
      <c r="E902" s="0" t="s">
        <v>43</v>
      </c>
      <c r="F902" s="0" t="n">
        <v>13.37</v>
      </c>
      <c r="G902" s="0" t="s">
        <v>1261</v>
      </c>
      <c r="H902" s="0" t="s">
        <v>364</v>
      </c>
      <c r="I902" s="0" t="s">
        <v>822</v>
      </c>
      <c r="J902" s="0" t="s">
        <v>2980</v>
      </c>
      <c r="K902" s="0" t="s">
        <v>956</v>
      </c>
      <c r="L902" s="0" t="n">
        <v>-1</v>
      </c>
      <c r="M902" s="0" t="n">
        <v>0</v>
      </c>
      <c r="N902" s="0" t="n">
        <v>7989.29</v>
      </c>
      <c r="O902" s="0" t="n">
        <v>2579.2</v>
      </c>
      <c r="P902" s="0" t="n">
        <v>1453.32</v>
      </c>
      <c r="Q902" s="0" t="s">
        <v>21</v>
      </c>
      <c r="R902" s="0" t="s">
        <v>51</v>
      </c>
      <c r="S902" s="0" t="s">
        <v>247</v>
      </c>
    </row>
    <row r="903" customFormat="false" ht="15" hidden="false" customHeight="false" outlineLevel="0" collapsed="false">
      <c r="A903" s="0" t="s">
        <v>2981</v>
      </c>
      <c r="B903" s="0" t="s">
        <v>47</v>
      </c>
      <c r="C903" s="0" t="s">
        <v>209</v>
      </c>
      <c r="D903" s="0" t="s">
        <v>198</v>
      </c>
      <c r="E903" s="0" t="s">
        <v>44</v>
      </c>
      <c r="F903" s="0" t="n">
        <v>10.22</v>
      </c>
      <c r="G903" s="0" t="s">
        <v>256</v>
      </c>
      <c r="H903" s="0" t="s">
        <v>1105</v>
      </c>
      <c r="I903" s="0" t="s">
        <v>444</v>
      </c>
      <c r="J903" s="0" t="s">
        <v>2982</v>
      </c>
      <c r="K903" s="0" t="s">
        <v>2496</v>
      </c>
      <c r="L903" s="0" t="n">
        <v>5.6</v>
      </c>
      <c r="M903" s="0" t="n">
        <v>1</v>
      </c>
      <c r="N903" s="0" t="n">
        <v>8687.27</v>
      </c>
      <c r="O903" s="0" t="n">
        <v>1052.31</v>
      </c>
      <c r="P903" s="0" t="n">
        <v>671.7</v>
      </c>
      <c r="Q903" s="0" t="s">
        <v>22</v>
      </c>
      <c r="R903" s="0" t="s">
        <v>51</v>
      </c>
      <c r="S903" s="0" t="s">
        <v>222</v>
      </c>
    </row>
    <row r="904" customFormat="false" ht="15" hidden="false" customHeight="false" outlineLevel="0" collapsed="false">
      <c r="A904" s="0" t="s">
        <v>2983</v>
      </c>
      <c r="B904" s="0" t="s">
        <v>47</v>
      </c>
      <c r="C904" s="0" t="s">
        <v>203</v>
      </c>
      <c r="D904" s="0" t="s">
        <v>198</v>
      </c>
      <c r="E904" s="0" t="s">
        <v>44</v>
      </c>
      <c r="F904" s="0" t="n">
        <v>13.42</v>
      </c>
      <c r="G904" s="0" t="s">
        <v>1417</v>
      </c>
      <c r="H904" s="0" t="s">
        <v>263</v>
      </c>
      <c r="I904" s="0" t="s">
        <v>386</v>
      </c>
      <c r="J904" s="0" t="s">
        <v>2984</v>
      </c>
      <c r="K904" s="0" t="s">
        <v>2985</v>
      </c>
      <c r="L904" s="0" t="n">
        <v>2</v>
      </c>
      <c r="M904" s="0" t="n">
        <v>1</v>
      </c>
      <c r="N904" s="0" t="n">
        <v>3513.34</v>
      </c>
      <c r="O904" s="0" t="n">
        <v>2998.82</v>
      </c>
      <c r="P904" s="0" t="n">
        <v>1093.94</v>
      </c>
      <c r="Q904" s="0" t="s">
        <v>22</v>
      </c>
      <c r="R904" s="0" t="s">
        <v>51</v>
      </c>
      <c r="S904" s="0" t="s">
        <v>222</v>
      </c>
    </row>
    <row r="905" customFormat="false" ht="15" hidden="false" customHeight="false" outlineLevel="0" collapsed="false">
      <c r="A905" s="0" t="s">
        <v>2986</v>
      </c>
      <c r="B905" s="0" t="s">
        <v>47</v>
      </c>
      <c r="C905" s="0" t="s">
        <v>203</v>
      </c>
      <c r="D905" s="0" t="s">
        <v>198</v>
      </c>
      <c r="E905" s="0" t="s">
        <v>43</v>
      </c>
      <c r="F905" s="0" t="n">
        <v>3.82</v>
      </c>
      <c r="G905" s="0" t="s">
        <v>533</v>
      </c>
      <c r="H905" s="0" t="s">
        <v>396</v>
      </c>
      <c r="I905" s="0" t="s">
        <v>1039</v>
      </c>
      <c r="J905" s="0" t="s">
        <v>2987</v>
      </c>
      <c r="K905" s="0" t="s">
        <v>2988</v>
      </c>
      <c r="L905" s="0" t="n">
        <v>-1</v>
      </c>
      <c r="M905" s="0" t="n">
        <v>0</v>
      </c>
      <c r="N905" s="0" t="n">
        <v>4103.21</v>
      </c>
      <c r="O905" s="0" t="n">
        <v>2578.64</v>
      </c>
      <c r="P905" s="0" t="n">
        <v>1186.57</v>
      </c>
      <c r="Q905" s="0" t="s">
        <v>25</v>
      </c>
      <c r="R905" s="0" t="s">
        <v>52</v>
      </c>
      <c r="S905" s="0" t="s">
        <v>272</v>
      </c>
    </row>
    <row r="906" customFormat="false" ht="15" hidden="false" customHeight="false" outlineLevel="0" collapsed="false">
      <c r="A906" s="0" t="s">
        <v>2989</v>
      </c>
      <c r="B906" s="0" t="s">
        <v>47</v>
      </c>
      <c r="C906" s="0" t="s">
        <v>199</v>
      </c>
      <c r="D906" s="0" t="s">
        <v>198</v>
      </c>
      <c r="E906" s="0" t="s">
        <v>42</v>
      </c>
      <c r="F906" s="0" t="n">
        <v>8.92</v>
      </c>
      <c r="G906" s="0" t="s">
        <v>701</v>
      </c>
      <c r="H906" s="0" t="s">
        <v>1380</v>
      </c>
      <c r="I906" s="0" t="s">
        <v>696</v>
      </c>
      <c r="J906" s="0" t="s">
        <v>2990</v>
      </c>
      <c r="K906" s="0" t="s">
        <v>1647</v>
      </c>
      <c r="L906" s="0" t="n">
        <v>0.7</v>
      </c>
      <c r="M906" s="0" t="n">
        <v>1</v>
      </c>
      <c r="N906" s="0" t="n">
        <v>2821.44</v>
      </c>
      <c r="O906" s="0" t="n">
        <v>3075.75</v>
      </c>
      <c r="P906" s="0" t="n">
        <v>1105.76</v>
      </c>
      <c r="Q906" s="0" t="s">
        <v>24</v>
      </c>
      <c r="R906" s="0" t="s">
        <v>52</v>
      </c>
      <c r="S906" s="0" t="s">
        <v>272</v>
      </c>
    </row>
    <row r="907" customFormat="false" ht="15" hidden="false" customHeight="false" outlineLevel="0" collapsed="false">
      <c r="A907" s="0" t="s">
        <v>2991</v>
      </c>
      <c r="B907" s="0" t="s">
        <v>47</v>
      </c>
      <c r="C907" s="0" t="s">
        <v>203</v>
      </c>
      <c r="D907" s="0" t="s">
        <v>198</v>
      </c>
      <c r="E907" s="0" t="s">
        <v>42</v>
      </c>
      <c r="F907" s="0" t="n">
        <v>19.29</v>
      </c>
      <c r="G907" s="0" t="s">
        <v>978</v>
      </c>
      <c r="H907" s="0" t="s">
        <v>774</v>
      </c>
      <c r="I907" s="0" t="s">
        <v>992</v>
      </c>
      <c r="J907" s="0" t="s">
        <v>2992</v>
      </c>
      <c r="K907" s="0" t="s">
        <v>2289</v>
      </c>
      <c r="L907" s="0" t="n">
        <v>2.1</v>
      </c>
      <c r="M907" s="0" t="n">
        <v>1</v>
      </c>
      <c r="N907" s="0" t="n">
        <v>14112.93</v>
      </c>
      <c r="O907" s="0" t="n">
        <v>2291.91</v>
      </c>
      <c r="P907" s="0" t="n">
        <v>737.25</v>
      </c>
      <c r="Q907" s="0" t="s">
        <v>25</v>
      </c>
      <c r="R907" s="0" t="s">
        <v>51</v>
      </c>
      <c r="S907" s="0" t="s">
        <v>254</v>
      </c>
    </row>
    <row r="908" customFormat="false" ht="15" hidden="false" customHeight="false" outlineLevel="0" collapsed="false">
      <c r="A908" s="0" t="s">
        <v>2993</v>
      </c>
      <c r="B908" s="0" t="s">
        <v>47</v>
      </c>
      <c r="C908" s="0" t="s">
        <v>203</v>
      </c>
      <c r="D908" s="0" t="s">
        <v>198</v>
      </c>
      <c r="E908" s="0" t="s">
        <v>44</v>
      </c>
      <c r="F908" s="0" t="n">
        <v>5.99</v>
      </c>
      <c r="G908" s="0" t="s">
        <v>522</v>
      </c>
      <c r="H908" s="0" t="s">
        <v>326</v>
      </c>
      <c r="I908" s="0" t="s">
        <v>624</v>
      </c>
      <c r="J908" s="0" t="s">
        <v>2994</v>
      </c>
      <c r="K908" s="0" t="s">
        <v>1127</v>
      </c>
      <c r="L908" s="0" t="n">
        <v>4.6</v>
      </c>
      <c r="M908" s="0" t="n">
        <v>1</v>
      </c>
      <c r="N908" s="0" t="n">
        <v>4822.49</v>
      </c>
      <c r="O908" s="0" t="n">
        <v>3970.89</v>
      </c>
      <c r="P908" s="0" t="n">
        <v>1346.56</v>
      </c>
      <c r="Q908" s="0" t="s">
        <v>22</v>
      </c>
      <c r="R908" s="0" t="s">
        <v>51</v>
      </c>
      <c r="S908" s="0" t="s">
        <v>228</v>
      </c>
    </row>
    <row r="909" customFormat="false" ht="15" hidden="false" customHeight="false" outlineLevel="0" collapsed="false">
      <c r="A909" s="0" t="s">
        <v>2995</v>
      </c>
      <c r="B909" s="0" t="s">
        <v>48</v>
      </c>
      <c r="C909" s="0" t="s">
        <v>198</v>
      </c>
      <c r="D909" s="0" t="s">
        <v>207</v>
      </c>
      <c r="E909" s="0" t="s">
        <v>43</v>
      </c>
      <c r="F909" s="0" t="n">
        <v>2.21</v>
      </c>
      <c r="G909" s="0" t="s">
        <v>1625</v>
      </c>
      <c r="H909" s="0" t="s">
        <v>386</v>
      </c>
      <c r="I909" s="0" t="s">
        <v>391</v>
      </c>
      <c r="J909" s="0" t="s">
        <v>2996</v>
      </c>
      <c r="K909" s="0" t="s">
        <v>2997</v>
      </c>
      <c r="L909" s="0" t="n">
        <v>3.9</v>
      </c>
      <c r="M909" s="0" t="n">
        <v>1</v>
      </c>
      <c r="N909" s="0" t="n">
        <v>2190.07</v>
      </c>
      <c r="O909" s="0" t="n">
        <v>1880.27</v>
      </c>
      <c r="P909" s="0" t="n">
        <v>888.53</v>
      </c>
      <c r="Q909" s="0" t="s">
        <v>25</v>
      </c>
      <c r="R909" s="0" t="s">
        <v>51</v>
      </c>
      <c r="S909" s="0" t="s">
        <v>247</v>
      </c>
    </row>
    <row r="910" customFormat="false" ht="15" hidden="false" customHeight="false" outlineLevel="0" collapsed="false">
      <c r="A910" s="0" t="s">
        <v>2998</v>
      </c>
      <c r="B910" s="0" t="s">
        <v>48</v>
      </c>
      <c r="C910" s="0" t="s">
        <v>198</v>
      </c>
      <c r="D910" s="0" t="s">
        <v>213</v>
      </c>
      <c r="E910" s="0" t="s">
        <v>42</v>
      </c>
      <c r="F910" s="0" t="n">
        <v>17.45</v>
      </c>
      <c r="G910" s="0" t="s">
        <v>462</v>
      </c>
      <c r="H910" s="0" t="s">
        <v>731</v>
      </c>
      <c r="I910" s="0" t="s">
        <v>362</v>
      </c>
      <c r="J910" s="0" t="s">
        <v>2999</v>
      </c>
      <c r="K910" s="0" t="s">
        <v>3000</v>
      </c>
      <c r="L910" s="0" t="n">
        <v>3.9</v>
      </c>
      <c r="M910" s="0" t="n">
        <v>1</v>
      </c>
      <c r="N910" s="0" t="n">
        <v>7145.41</v>
      </c>
      <c r="O910" s="0" t="n">
        <v>2008.28</v>
      </c>
      <c r="P910" s="0" t="n">
        <v>954.17</v>
      </c>
      <c r="Q910" s="0" t="s">
        <v>22</v>
      </c>
      <c r="R910" s="0" t="s">
        <v>51</v>
      </c>
      <c r="S910" s="0" t="s">
        <v>272</v>
      </c>
    </row>
    <row r="911" customFormat="false" ht="15" hidden="false" customHeight="false" outlineLevel="0" collapsed="false">
      <c r="A911" s="0" t="s">
        <v>3001</v>
      </c>
      <c r="B911" s="0" t="s">
        <v>48</v>
      </c>
      <c r="C911" s="0" t="s">
        <v>198</v>
      </c>
      <c r="D911" s="0" t="s">
        <v>212</v>
      </c>
      <c r="E911" s="0" t="s">
        <v>44</v>
      </c>
      <c r="F911" s="0" t="n">
        <v>8.33</v>
      </c>
      <c r="G911" s="0" t="s">
        <v>219</v>
      </c>
      <c r="H911" s="0" t="s">
        <v>1174</v>
      </c>
      <c r="I911" s="0" t="s">
        <v>257</v>
      </c>
      <c r="J911" s="0" t="s">
        <v>3002</v>
      </c>
      <c r="K911" s="0" t="s">
        <v>1681</v>
      </c>
      <c r="L911" s="0" t="n">
        <v>-1</v>
      </c>
      <c r="M911" s="0" t="n">
        <v>0</v>
      </c>
      <c r="N911" s="0" t="n">
        <v>3507.67</v>
      </c>
      <c r="O911" s="0" t="n">
        <v>3397.45</v>
      </c>
      <c r="P911" s="0" t="n">
        <v>918.76</v>
      </c>
      <c r="Q911" s="0" t="s">
        <v>21</v>
      </c>
      <c r="R911" s="0" t="s">
        <v>51</v>
      </c>
      <c r="S911" s="0" t="s">
        <v>247</v>
      </c>
    </row>
    <row r="912" customFormat="false" ht="15" hidden="false" customHeight="false" outlineLevel="0" collapsed="false">
      <c r="A912" s="0" t="s">
        <v>3003</v>
      </c>
      <c r="B912" s="0" t="s">
        <v>47</v>
      </c>
      <c r="C912" s="0" t="s">
        <v>199</v>
      </c>
      <c r="D912" s="0" t="s">
        <v>198</v>
      </c>
      <c r="E912" s="0" t="s">
        <v>44</v>
      </c>
      <c r="F912" s="0" t="n">
        <v>9.21</v>
      </c>
      <c r="G912" s="0" t="s">
        <v>435</v>
      </c>
      <c r="H912" s="0" t="s">
        <v>236</v>
      </c>
      <c r="I912" s="0" t="s">
        <v>1097</v>
      </c>
      <c r="J912" s="0" t="s">
        <v>2323</v>
      </c>
      <c r="K912" s="0" t="s">
        <v>513</v>
      </c>
      <c r="L912" s="0" t="n">
        <v>-1</v>
      </c>
      <c r="M912" s="0" t="n">
        <v>0</v>
      </c>
      <c r="N912" s="0" t="n">
        <v>6898.05</v>
      </c>
      <c r="O912" s="0" t="n">
        <v>2445.07</v>
      </c>
      <c r="P912" s="0" t="n">
        <v>713.36</v>
      </c>
      <c r="Q912" s="0" t="s">
        <v>25</v>
      </c>
      <c r="R912" s="0" t="s">
        <v>52</v>
      </c>
      <c r="S912" s="0" t="s">
        <v>228</v>
      </c>
    </row>
    <row r="913" customFormat="false" ht="15" hidden="false" customHeight="false" outlineLevel="0" collapsed="false">
      <c r="A913" s="0" t="s">
        <v>3004</v>
      </c>
      <c r="B913" s="0" t="s">
        <v>48</v>
      </c>
      <c r="C913" s="0" t="s">
        <v>198</v>
      </c>
      <c r="D913" s="0" t="s">
        <v>204</v>
      </c>
      <c r="E913" s="0" t="s">
        <v>42</v>
      </c>
      <c r="F913" s="0" t="n">
        <v>8.32</v>
      </c>
      <c r="G913" s="0" t="s">
        <v>1051</v>
      </c>
      <c r="H913" s="0" t="s">
        <v>402</v>
      </c>
      <c r="I913" s="0" t="s">
        <v>1148</v>
      </c>
      <c r="J913" s="0" t="s">
        <v>3005</v>
      </c>
      <c r="K913" s="0" t="s">
        <v>638</v>
      </c>
      <c r="L913" s="0" t="n">
        <v>3.3</v>
      </c>
      <c r="M913" s="0" t="n">
        <v>1</v>
      </c>
      <c r="N913" s="0" t="n">
        <v>5673.04</v>
      </c>
      <c r="O913" s="0" t="n">
        <v>1657.57</v>
      </c>
      <c r="P913" s="0" t="n">
        <v>1304.11</v>
      </c>
      <c r="Q913" s="0" t="s">
        <v>25</v>
      </c>
      <c r="R913" s="0" t="s">
        <v>52</v>
      </c>
      <c r="S913" s="0" t="s">
        <v>272</v>
      </c>
    </row>
    <row r="914" customFormat="false" ht="15" hidden="false" customHeight="false" outlineLevel="0" collapsed="false">
      <c r="A914" s="0" t="s">
        <v>3006</v>
      </c>
      <c r="B914" s="0" t="s">
        <v>48</v>
      </c>
      <c r="C914" s="0" t="s">
        <v>198</v>
      </c>
      <c r="D914" s="0" t="s">
        <v>199</v>
      </c>
      <c r="E914" s="0" t="s">
        <v>43</v>
      </c>
      <c r="F914" s="0" t="n">
        <v>16.05</v>
      </c>
      <c r="G914" s="0" t="s">
        <v>243</v>
      </c>
      <c r="H914" s="0" t="s">
        <v>1108</v>
      </c>
      <c r="I914" s="0" t="s">
        <v>244</v>
      </c>
      <c r="J914" s="0" t="s">
        <v>3007</v>
      </c>
      <c r="K914" s="0" t="s">
        <v>3008</v>
      </c>
      <c r="L914" s="0" t="n">
        <v>0.3</v>
      </c>
      <c r="M914" s="0" t="n">
        <v>1</v>
      </c>
      <c r="N914" s="0" t="n">
        <v>7888.08</v>
      </c>
      <c r="O914" s="0" t="n">
        <v>1444.25</v>
      </c>
      <c r="P914" s="0" t="n">
        <v>778.57</v>
      </c>
      <c r="Q914" s="0" t="s">
        <v>21</v>
      </c>
      <c r="R914" s="0" t="s">
        <v>51</v>
      </c>
      <c r="S914" s="0" t="s">
        <v>272</v>
      </c>
    </row>
    <row r="915" customFormat="false" ht="15" hidden="false" customHeight="false" outlineLevel="0" collapsed="false">
      <c r="A915" s="0" t="s">
        <v>3009</v>
      </c>
      <c r="B915" s="0" t="s">
        <v>47</v>
      </c>
      <c r="C915" s="0" t="s">
        <v>199</v>
      </c>
      <c r="D915" s="0" t="s">
        <v>198</v>
      </c>
      <c r="E915" s="0" t="s">
        <v>43</v>
      </c>
      <c r="F915" s="0" t="n">
        <v>15.66</v>
      </c>
      <c r="G915" s="0" t="s">
        <v>908</v>
      </c>
      <c r="H915" s="0" t="s">
        <v>375</v>
      </c>
      <c r="I915" s="0" t="s">
        <v>1332</v>
      </c>
      <c r="J915" s="0" t="s">
        <v>3010</v>
      </c>
      <c r="K915" s="0" t="s">
        <v>1511</v>
      </c>
      <c r="L915" s="0" t="n">
        <v>2</v>
      </c>
      <c r="M915" s="0" t="n">
        <v>1</v>
      </c>
      <c r="N915" s="0" t="n">
        <v>5415.38</v>
      </c>
      <c r="O915" s="0" t="n">
        <v>2809.1</v>
      </c>
      <c r="P915" s="0" t="n">
        <v>516.11</v>
      </c>
      <c r="Q915" s="0" t="s">
        <v>22</v>
      </c>
      <c r="R915" s="0" t="s">
        <v>51</v>
      </c>
      <c r="S915" s="0" t="s">
        <v>247</v>
      </c>
    </row>
    <row r="916" customFormat="false" ht="15" hidden="false" customHeight="false" outlineLevel="0" collapsed="false">
      <c r="A916" s="0" t="s">
        <v>3011</v>
      </c>
      <c r="B916" s="0" t="s">
        <v>47</v>
      </c>
      <c r="C916" s="0" t="s">
        <v>199</v>
      </c>
      <c r="D916" s="0" t="s">
        <v>198</v>
      </c>
      <c r="E916" s="0" t="s">
        <v>44</v>
      </c>
      <c r="F916" s="0" t="n">
        <v>3.22</v>
      </c>
      <c r="G916" s="0" t="s">
        <v>818</v>
      </c>
      <c r="H916" s="0" t="s">
        <v>1244</v>
      </c>
      <c r="I916" s="0" t="s">
        <v>369</v>
      </c>
      <c r="J916" s="0" t="s">
        <v>3012</v>
      </c>
      <c r="K916" s="0" t="s">
        <v>3013</v>
      </c>
      <c r="L916" s="0" t="n">
        <v>3.3</v>
      </c>
      <c r="M916" s="0" t="n">
        <v>1</v>
      </c>
      <c r="N916" s="0" t="n">
        <v>1596.89</v>
      </c>
      <c r="O916" s="0" t="n">
        <v>3001.33</v>
      </c>
      <c r="P916" s="0" t="n">
        <v>983.61</v>
      </c>
      <c r="Q916" s="0" t="s">
        <v>24</v>
      </c>
      <c r="R916" s="0" t="s">
        <v>52</v>
      </c>
      <c r="S916" s="0" t="s">
        <v>272</v>
      </c>
    </row>
    <row r="917" customFormat="false" ht="15" hidden="false" customHeight="false" outlineLevel="0" collapsed="false">
      <c r="A917" s="0" t="s">
        <v>3014</v>
      </c>
      <c r="B917" s="0" t="s">
        <v>47</v>
      </c>
      <c r="C917" s="0" t="s">
        <v>206</v>
      </c>
      <c r="D917" s="0" t="s">
        <v>198</v>
      </c>
      <c r="E917" s="0" t="s">
        <v>43</v>
      </c>
      <c r="F917" s="0" t="n">
        <v>4</v>
      </c>
      <c r="G917" s="0" t="s">
        <v>1148</v>
      </c>
      <c r="H917" s="0" t="s">
        <v>800</v>
      </c>
      <c r="I917" s="0" t="s">
        <v>1080</v>
      </c>
      <c r="J917" s="0" t="s">
        <v>3015</v>
      </c>
      <c r="K917" s="0" t="s">
        <v>3016</v>
      </c>
      <c r="L917" s="0" t="n">
        <v>-0.2</v>
      </c>
      <c r="M917" s="0" t="n">
        <v>0</v>
      </c>
      <c r="N917" s="0" t="n">
        <v>3829.7</v>
      </c>
      <c r="O917" s="0" t="n">
        <v>4365.43</v>
      </c>
      <c r="P917" s="0" t="n">
        <v>914.85</v>
      </c>
      <c r="Q917" s="0" t="s">
        <v>25</v>
      </c>
      <c r="R917" s="0" t="s">
        <v>52</v>
      </c>
      <c r="S917" s="0" t="s">
        <v>228</v>
      </c>
    </row>
    <row r="918" customFormat="false" ht="15" hidden="false" customHeight="false" outlineLevel="0" collapsed="false">
      <c r="A918" s="0" t="s">
        <v>3017</v>
      </c>
      <c r="B918" s="0" t="s">
        <v>47</v>
      </c>
      <c r="C918" s="0" t="s">
        <v>209</v>
      </c>
      <c r="D918" s="0" t="s">
        <v>198</v>
      </c>
      <c r="E918" s="0" t="s">
        <v>42</v>
      </c>
      <c r="F918" s="0" t="n">
        <v>15.59</v>
      </c>
      <c r="G918" s="0" t="s">
        <v>511</v>
      </c>
      <c r="H918" s="0" t="s">
        <v>391</v>
      </c>
      <c r="I918" s="0" t="s">
        <v>236</v>
      </c>
      <c r="J918" s="0" t="s">
        <v>3018</v>
      </c>
      <c r="K918" s="0" t="s">
        <v>3019</v>
      </c>
      <c r="L918" s="0" t="n">
        <v>-0.3</v>
      </c>
      <c r="M918" s="0" t="n">
        <v>0</v>
      </c>
      <c r="N918" s="0" t="n">
        <v>7219.11</v>
      </c>
      <c r="O918" s="0" t="n">
        <v>3837.26</v>
      </c>
      <c r="P918" s="0" t="n">
        <v>1086.18</v>
      </c>
      <c r="Q918" s="0" t="s">
        <v>23</v>
      </c>
      <c r="R918" s="0" t="s">
        <v>52</v>
      </c>
      <c r="S918" s="0" t="s">
        <v>228</v>
      </c>
    </row>
    <row r="919" customFormat="false" ht="15" hidden="false" customHeight="false" outlineLevel="0" collapsed="false">
      <c r="A919" s="0" t="s">
        <v>3020</v>
      </c>
      <c r="B919" s="0" t="s">
        <v>48</v>
      </c>
      <c r="C919" s="0" t="s">
        <v>198</v>
      </c>
      <c r="D919" s="0" t="s">
        <v>207</v>
      </c>
      <c r="E919" s="0" t="s">
        <v>43</v>
      </c>
      <c r="F919" s="0" t="n">
        <v>7.79</v>
      </c>
      <c r="G919" s="0" t="s">
        <v>338</v>
      </c>
      <c r="H919" s="0" t="s">
        <v>541</v>
      </c>
      <c r="I919" s="0" t="s">
        <v>267</v>
      </c>
      <c r="J919" s="0" t="s">
        <v>3021</v>
      </c>
      <c r="K919" s="0" t="s">
        <v>3022</v>
      </c>
      <c r="L919" s="0" t="n">
        <v>2.6</v>
      </c>
      <c r="M919" s="0" t="n">
        <v>1</v>
      </c>
      <c r="N919" s="0" t="n">
        <v>4336.84</v>
      </c>
      <c r="O919" s="0" t="n">
        <v>1289.39</v>
      </c>
      <c r="P919" s="0" t="n">
        <v>1378.53</v>
      </c>
      <c r="Q919" s="0" t="s">
        <v>21</v>
      </c>
      <c r="R919" s="0" t="s">
        <v>51</v>
      </c>
      <c r="S919" s="0" t="s">
        <v>272</v>
      </c>
    </row>
    <row r="920" customFormat="false" ht="15" hidden="false" customHeight="false" outlineLevel="0" collapsed="false">
      <c r="A920" s="0" t="s">
        <v>3023</v>
      </c>
      <c r="B920" s="0" t="s">
        <v>47</v>
      </c>
      <c r="C920" s="0" t="s">
        <v>206</v>
      </c>
      <c r="D920" s="0" t="s">
        <v>198</v>
      </c>
      <c r="E920" s="0" t="s">
        <v>44</v>
      </c>
      <c r="F920" s="0" t="n">
        <v>6.73</v>
      </c>
      <c r="G920" s="0" t="s">
        <v>695</v>
      </c>
      <c r="H920" s="0" t="s">
        <v>440</v>
      </c>
      <c r="I920" s="0" t="s">
        <v>696</v>
      </c>
      <c r="J920" s="0" t="s">
        <v>3024</v>
      </c>
      <c r="K920" s="0" t="s">
        <v>3025</v>
      </c>
      <c r="L920" s="0" t="n">
        <v>0</v>
      </c>
      <c r="M920" s="0" t="n">
        <v>0</v>
      </c>
      <c r="N920" s="0" t="n">
        <v>4401.29</v>
      </c>
      <c r="O920" s="0" t="n">
        <v>4774.26</v>
      </c>
      <c r="P920" s="0" t="n">
        <v>541.88</v>
      </c>
      <c r="Q920" s="0" t="s">
        <v>23</v>
      </c>
      <c r="R920" s="0" t="s">
        <v>52</v>
      </c>
      <c r="S920" s="0" t="s">
        <v>272</v>
      </c>
    </row>
    <row r="921" customFormat="false" ht="15" hidden="false" customHeight="false" outlineLevel="0" collapsed="false">
      <c r="A921" s="0" t="s">
        <v>3026</v>
      </c>
      <c r="B921" s="0" t="s">
        <v>47</v>
      </c>
      <c r="C921" s="0" t="s">
        <v>205</v>
      </c>
      <c r="D921" s="0" t="s">
        <v>198</v>
      </c>
      <c r="E921" s="0" t="s">
        <v>42</v>
      </c>
      <c r="F921" s="0" t="n">
        <v>10.56</v>
      </c>
      <c r="G921" s="0" t="s">
        <v>541</v>
      </c>
      <c r="H921" s="0" t="s">
        <v>681</v>
      </c>
      <c r="I921" s="0" t="s">
        <v>267</v>
      </c>
      <c r="J921" s="0" t="s">
        <v>682</v>
      </c>
      <c r="K921" s="0" t="s">
        <v>3027</v>
      </c>
      <c r="L921" s="0" t="n">
        <v>2.4</v>
      </c>
      <c r="M921" s="0" t="n">
        <v>1</v>
      </c>
      <c r="N921" s="0" t="n">
        <v>6888.27</v>
      </c>
      <c r="O921" s="0" t="n">
        <v>1967.71</v>
      </c>
      <c r="P921" s="0" t="n">
        <v>1376.29</v>
      </c>
      <c r="Q921" s="0" t="s">
        <v>21</v>
      </c>
      <c r="R921" s="0" t="s">
        <v>51</v>
      </c>
      <c r="S921" s="0" t="s">
        <v>272</v>
      </c>
    </row>
    <row r="922" customFormat="false" ht="15" hidden="false" customHeight="false" outlineLevel="0" collapsed="false">
      <c r="A922" s="0" t="s">
        <v>3028</v>
      </c>
      <c r="B922" s="0" t="s">
        <v>47</v>
      </c>
      <c r="C922" s="0" t="s">
        <v>203</v>
      </c>
      <c r="D922" s="0" t="s">
        <v>198</v>
      </c>
      <c r="E922" s="0" t="s">
        <v>43</v>
      </c>
      <c r="F922" s="0" t="n">
        <v>1.36</v>
      </c>
      <c r="G922" s="0" t="s">
        <v>731</v>
      </c>
      <c r="H922" s="0" t="s">
        <v>402</v>
      </c>
      <c r="I922" s="0" t="s">
        <v>472</v>
      </c>
      <c r="J922" s="0" t="s">
        <v>3029</v>
      </c>
      <c r="K922" s="0" t="s">
        <v>3030</v>
      </c>
      <c r="L922" s="0" t="n">
        <v>2.1</v>
      </c>
      <c r="M922" s="0" t="n">
        <v>1</v>
      </c>
      <c r="N922" s="0" t="n">
        <v>1646.99</v>
      </c>
      <c r="O922" s="0" t="n">
        <v>2927.35</v>
      </c>
      <c r="P922" s="0" t="n">
        <v>624.35</v>
      </c>
      <c r="Q922" s="0" t="s">
        <v>24</v>
      </c>
      <c r="R922" s="0" t="s">
        <v>51</v>
      </c>
      <c r="S922" s="0" t="s">
        <v>247</v>
      </c>
    </row>
    <row r="923" customFormat="false" ht="15" hidden="false" customHeight="false" outlineLevel="0" collapsed="false">
      <c r="A923" s="0" t="s">
        <v>3031</v>
      </c>
      <c r="B923" s="0" t="s">
        <v>47</v>
      </c>
      <c r="C923" s="0" t="s">
        <v>206</v>
      </c>
      <c r="D923" s="0" t="s">
        <v>198</v>
      </c>
      <c r="E923" s="0" t="s">
        <v>42</v>
      </c>
      <c r="F923" s="0" t="n">
        <v>5.07</v>
      </c>
      <c r="G923" s="0" t="s">
        <v>236</v>
      </c>
      <c r="H923" s="0" t="s">
        <v>581</v>
      </c>
      <c r="I923" s="0" t="s">
        <v>492</v>
      </c>
      <c r="J923" s="0" t="s">
        <v>3032</v>
      </c>
      <c r="K923" s="0" t="s">
        <v>3033</v>
      </c>
      <c r="L923" s="0" t="n">
        <v>-0.2</v>
      </c>
      <c r="M923" s="0" t="n">
        <v>0</v>
      </c>
      <c r="N923" s="0" t="n">
        <v>3818.52</v>
      </c>
      <c r="O923" s="0" t="n">
        <v>4444.04</v>
      </c>
      <c r="P923" s="0" t="n">
        <v>1115.62</v>
      </c>
      <c r="Q923" s="0" t="s">
        <v>23</v>
      </c>
      <c r="R923" s="0" t="s">
        <v>51</v>
      </c>
      <c r="S923" s="0" t="s">
        <v>222</v>
      </c>
    </row>
    <row r="924" customFormat="false" ht="15" hidden="false" customHeight="false" outlineLevel="0" collapsed="false">
      <c r="A924" s="0" t="s">
        <v>3034</v>
      </c>
      <c r="B924" s="0" t="s">
        <v>47</v>
      </c>
      <c r="C924" s="0" t="s">
        <v>203</v>
      </c>
      <c r="D924" s="0" t="s">
        <v>198</v>
      </c>
      <c r="E924" s="0" t="s">
        <v>42</v>
      </c>
      <c r="F924" s="0" t="n">
        <v>1.24</v>
      </c>
      <c r="G924" s="0" t="s">
        <v>425</v>
      </c>
      <c r="H924" s="0" t="s">
        <v>831</v>
      </c>
      <c r="I924" s="0" t="s">
        <v>1198</v>
      </c>
      <c r="J924" s="0" t="s">
        <v>3035</v>
      </c>
      <c r="K924" s="0" t="s">
        <v>3036</v>
      </c>
      <c r="L924" s="0" t="n">
        <v>7.6</v>
      </c>
      <c r="M924" s="0" t="n">
        <v>1</v>
      </c>
      <c r="N924" s="0" t="n">
        <v>1420.36</v>
      </c>
      <c r="O924" s="0" t="n">
        <v>3686.05</v>
      </c>
      <c r="P924" s="0" t="n">
        <v>504.36</v>
      </c>
      <c r="Q924" s="0" t="s">
        <v>23</v>
      </c>
      <c r="R924" s="0" t="s">
        <v>51</v>
      </c>
      <c r="S924" s="0" t="s">
        <v>222</v>
      </c>
    </row>
    <row r="925" customFormat="false" ht="15" hidden="false" customHeight="false" outlineLevel="0" collapsed="false">
      <c r="A925" s="0" t="s">
        <v>3037</v>
      </c>
      <c r="B925" s="0" t="s">
        <v>48</v>
      </c>
      <c r="C925" s="0" t="s">
        <v>198</v>
      </c>
      <c r="D925" s="0" t="s">
        <v>211</v>
      </c>
      <c r="E925" s="0" t="s">
        <v>44</v>
      </c>
      <c r="F925" s="0" t="n">
        <v>18.57</v>
      </c>
      <c r="G925" s="0" t="s">
        <v>280</v>
      </c>
      <c r="H925" s="0" t="s">
        <v>450</v>
      </c>
      <c r="I925" s="0" t="s">
        <v>705</v>
      </c>
      <c r="J925" s="0" t="s">
        <v>3038</v>
      </c>
      <c r="K925" s="0" t="s">
        <v>3039</v>
      </c>
      <c r="L925" s="0" t="n">
        <v>0.6</v>
      </c>
      <c r="M925" s="0" t="n">
        <v>1</v>
      </c>
      <c r="N925" s="0" t="n">
        <v>6455.45</v>
      </c>
      <c r="O925" s="0" t="n">
        <v>3340.49</v>
      </c>
      <c r="P925" s="0" t="n">
        <v>942.91</v>
      </c>
      <c r="Q925" s="0" t="s">
        <v>24</v>
      </c>
      <c r="R925" s="0" t="s">
        <v>52</v>
      </c>
      <c r="S925" s="0" t="s">
        <v>222</v>
      </c>
    </row>
    <row r="926" customFormat="false" ht="15" hidden="false" customHeight="false" outlineLevel="0" collapsed="false">
      <c r="A926" s="0" t="s">
        <v>3040</v>
      </c>
      <c r="B926" s="0" t="s">
        <v>47</v>
      </c>
      <c r="C926" s="0" t="s">
        <v>205</v>
      </c>
      <c r="D926" s="0" t="s">
        <v>198</v>
      </c>
      <c r="E926" s="0" t="s">
        <v>44</v>
      </c>
      <c r="F926" s="0" t="n">
        <v>1.65</v>
      </c>
      <c r="G926" s="0" t="s">
        <v>483</v>
      </c>
      <c r="H926" s="0" t="s">
        <v>907</v>
      </c>
      <c r="I926" s="0" t="s">
        <v>631</v>
      </c>
      <c r="J926" s="0" t="s">
        <v>3041</v>
      </c>
      <c r="K926" s="0" t="s">
        <v>3042</v>
      </c>
      <c r="L926" s="0" t="n">
        <v>-1</v>
      </c>
      <c r="M926" s="0" t="n">
        <v>0</v>
      </c>
      <c r="N926" s="0" t="n">
        <v>1407.14</v>
      </c>
      <c r="O926" s="0" t="n">
        <v>4395.17</v>
      </c>
      <c r="P926" s="0" t="n">
        <v>798.19</v>
      </c>
      <c r="Q926" s="0" t="s">
        <v>21</v>
      </c>
      <c r="R926" s="0" t="s">
        <v>51</v>
      </c>
      <c r="S926" s="0" t="s">
        <v>228</v>
      </c>
    </row>
    <row r="927" customFormat="false" ht="15" hidden="false" customHeight="false" outlineLevel="0" collapsed="false">
      <c r="A927" s="0" t="s">
        <v>3043</v>
      </c>
      <c r="B927" s="0" t="s">
        <v>47</v>
      </c>
      <c r="C927" s="0" t="s">
        <v>199</v>
      </c>
      <c r="D927" s="0" t="s">
        <v>198</v>
      </c>
      <c r="E927" s="0" t="s">
        <v>42</v>
      </c>
      <c r="F927" s="0" t="n">
        <v>12.37</v>
      </c>
      <c r="G927" s="0" t="s">
        <v>1926</v>
      </c>
      <c r="H927" s="0" t="s">
        <v>522</v>
      </c>
      <c r="I927" s="0" t="s">
        <v>325</v>
      </c>
      <c r="J927" s="0" t="s">
        <v>3044</v>
      </c>
      <c r="K927" s="0" t="s">
        <v>2962</v>
      </c>
      <c r="L927" s="0" t="n">
        <v>-1</v>
      </c>
      <c r="M927" s="0" t="n">
        <v>0</v>
      </c>
      <c r="N927" s="0" t="n">
        <v>5580.09</v>
      </c>
      <c r="O927" s="0" t="n">
        <v>1632.51</v>
      </c>
      <c r="P927" s="0" t="n">
        <v>838.53</v>
      </c>
      <c r="Q927" s="0" t="s">
        <v>21</v>
      </c>
      <c r="R927" s="0" t="s">
        <v>52</v>
      </c>
      <c r="S927" s="0" t="s">
        <v>272</v>
      </c>
    </row>
    <row r="928" customFormat="false" ht="15" hidden="false" customHeight="false" outlineLevel="0" collapsed="false">
      <c r="A928" s="0" t="s">
        <v>3045</v>
      </c>
      <c r="B928" s="0" t="s">
        <v>48</v>
      </c>
      <c r="C928" s="0" t="s">
        <v>198</v>
      </c>
      <c r="D928" s="0" t="s">
        <v>211</v>
      </c>
      <c r="E928" s="0" t="s">
        <v>43</v>
      </c>
      <c r="F928" s="0" t="n">
        <v>1.39</v>
      </c>
      <c r="G928" s="0" t="s">
        <v>375</v>
      </c>
      <c r="H928" s="0" t="s">
        <v>376</v>
      </c>
      <c r="I928" s="0" t="s">
        <v>1251</v>
      </c>
      <c r="J928" s="0" t="s">
        <v>3046</v>
      </c>
      <c r="K928" s="0" t="s">
        <v>3047</v>
      </c>
      <c r="L928" s="0" t="n">
        <v>4.6</v>
      </c>
      <c r="M928" s="0" t="n">
        <v>1</v>
      </c>
      <c r="N928" s="0" t="n">
        <v>1364.76</v>
      </c>
      <c r="O928" s="0" t="n">
        <v>1111.4</v>
      </c>
      <c r="P928" s="0" t="n">
        <v>1305.01</v>
      </c>
      <c r="Q928" s="0" t="s">
        <v>25</v>
      </c>
      <c r="R928" s="0" t="s">
        <v>52</v>
      </c>
      <c r="S928" s="0" t="s">
        <v>254</v>
      </c>
    </row>
    <row r="929" customFormat="false" ht="15" hidden="false" customHeight="false" outlineLevel="0" collapsed="false">
      <c r="A929" s="0" t="s">
        <v>3048</v>
      </c>
      <c r="B929" s="0" t="s">
        <v>48</v>
      </c>
      <c r="C929" s="0" t="s">
        <v>198</v>
      </c>
      <c r="D929" s="0" t="s">
        <v>208</v>
      </c>
      <c r="E929" s="0" t="s">
        <v>42</v>
      </c>
      <c r="F929" s="0" t="n">
        <v>1.37</v>
      </c>
      <c r="G929" s="0" t="s">
        <v>430</v>
      </c>
      <c r="H929" s="0" t="s">
        <v>501</v>
      </c>
      <c r="I929" s="0" t="s">
        <v>502</v>
      </c>
      <c r="J929" s="0" t="s">
        <v>3049</v>
      </c>
      <c r="K929" s="0" t="s">
        <v>3050</v>
      </c>
      <c r="L929" s="0" t="n">
        <v>8.3</v>
      </c>
      <c r="M929" s="0" t="n">
        <v>1</v>
      </c>
      <c r="N929" s="0" t="n">
        <v>1747.09</v>
      </c>
      <c r="O929" s="0" t="n">
        <v>3108.28</v>
      </c>
      <c r="P929" s="0" t="n">
        <v>538.2</v>
      </c>
      <c r="Q929" s="0" t="s">
        <v>24</v>
      </c>
      <c r="R929" s="0" t="s">
        <v>51</v>
      </c>
      <c r="S929" s="0" t="s">
        <v>254</v>
      </c>
    </row>
    <row r="930" customFormat="false" ht="15" hidden="false" customHeight="false" outlineLevel="0" collapsed="false">
      <c r="A930" s="0" t="s">
        <v>3051</v>
      </c>
      <c r="B930" s="0" t="s">
        <v>47</v>
      </c>
      <c r="C930" s="0" t="s">
        <v>209</v>
      </c>
      <c r="D930" s="0" t="s">
        <v>198</v>
      </c>
      <c r="E930" s="0" t="s">
        <v>44</v>
      </c>
      <c r="F930" s="0" t="n">
        <v>12.69</v>
      </c>
      <c r="G930" s="0" t="s">
        <v>605</v>
      </c>
      <c r="H930" s="0" t="s">
        <v>430</v>
      </c>
      <c r="I930" s="0" t="s">
        <v>431</v>
      </c>
      <c r="J930" s="0" t="s">
        <v>3052</v>
      </c>
      <c r="K930" s="0" t="s">
        <v>433</v>
      </c>
      <c r="L930" s="0" t="n">
        <v>0.8</v>
      </c>
      <c r="M930" s="0" t="n">
        <v>1</v>
      </c>
      <c r="N930" s="0" t="n">
        <v>4831.36</v>
      </c>
      <c r="O930" s="0" t="n">
        <v>1685.3</v>
      </c>
      <c r="P930" s="0" t="n">
        <v>1167.6</v>
      </c>
      <c r="Q930" s="0" t="s">
        <v>21</v>
      </c>
      <c r="R930" s="0" t="s">
        <v>52</v>
      </c>
      <c r="S930" s="0" t="s">
        <v>254</v>
      </c>
    </row>
    <row r="931" customFormat="false" ht="15" hidden="false" customHeight="false" outlineLevel="0" collapsed="false">
      <c r="A931" s="0" t="s">
        <v>3053</v>
      </c>
      <c r="B931" s="0" t="s">
        <v>47</v>
      </c>
      <c r="C931" s="0" t="s">
        <v>209</v>
      </c>
      <c r="D931" s="0" t="s">
        <v>198</v>
      </c>
      <c r="E931" s="0" t="s">
        <v>42</v>
      </c>
      <c r="F931" s="0" t="n">
        <v>12.58</v>
      </c>
      <c r="G931" s="0" t="s">
        <v>620</v>
      </c>
      <c r="H931" s="0" t="s">
        <v>701</v>
      </c>
      <c r="I931" s="0" t="s">
        <v>912</v>
      </c>
      <c r="J931" s="0" t="s">
        <v>2311</v>
      </c>
      <c r="K931" s="0" t="s">
        <v>1849</v>
      </c>
      <c r="L931" s="0" t="n">
        <v>5</v>
      </c>
      <c r="M931" s="0" t="n">
        <v>1</v>
      </c>
      <c r="N931" s="0" t="n">
        <v>5081.6</v>
      </c>
      <c r="O931" s="0" t="n">
        <v>2849.45</v>
      </c>
      <c r="P931" s="0" t="n">
        <v>890.07</v>
      </c>
      <c r="Q931" s="0" t="s">
        <v>25</v>
      </c>
      <c r="R931" s="0" t="s">
        <v>51</v>
      </c>
      <c r="S931" s="0" t="s">
        <v>222</v>
      </c>
    </row>
    <row r="932" customFormat="false" ht="15" hidden="false" customHeight="false" outlineLevel="0" collapsed="false">
      <c r="A932" s="0" t="s">
        <v>3054</v>
      </c>
      <c r="B932" s="0" t="s">
        <v>47</v>
      </c>
      <c r="C932" s="0" t="s">
        <v>206</v>
      </c>
      <c r="D932" s="0" t="s">
        <v>198</v>
      </c>
      <c r="E932" s="0" t="s">
        <v>43</v>
      </c>
      <c r="F932" s="0" t="n">
        <v>17.41</v>
      </c>
      <c r="G932" s="0" t="s">
        <v>615</v>
      </c>
      <c r="H932" s="0" t="s">
        <v>407</v>
      </c>
      <c r="I932" s="0" t="s">
        <v>709</v>
      </c>
      <c r="J932" s="0" t="s">
        <v>3055</v>
      </c>
      <c r="K932" s="0" t="s">
        <v>3056</v>
      </c>
      <c r="L932" s="0" t="n">
        <v>3.4</v>
      </c>
      <c r="M932" s="0" t="n">
        <v>1</v>
      </c>
      <c r="N932" s="0" t="n">
        <v>7061.74</v>
      </c>
      <c r="O932" s="0" t="n">
        <v>3259.28</v>
      </c>
      <c r="P932" s="0" t="n">
        <v>839.2</v>
      </c>
      <c r="Q932" s="0" t="s">
        <v>24</v>
      </c>
      <c r="R932" s="0" t="s">
        <v>51</v>
      </c>
      <c r="S932" s="0" t="s">
        <v>228</v>
      </c>
    </row>
    <row r="933" customFormat="false" ht="15" hidden="false" customHeight="false" outlineLevel="0" collapsed="false">
      <c r="A933" s="0" t="s">
        <v>3057</v>
      </c>
      <c r="B933" s="0" t="s">
        <v>48</v>
      </c>
      <c r="C933" s="0" t="s">
        <v>198</v>
      </c>
      <c r="D933" s="0" t="s">
        <v>213</v>
      </c>
      <c r="E933" s="0" t="s">
        <v>43</v>
      </c>
      <c r="F933" s="0" t="n">
        <v>7.13</v>
      </c>
      <c r="G933" s="0" t="s">
        <v>620</v>
      </c>
      <c r="H933" s="0" t="s">
        <v>440</v>
      </c>
      <c r="I933" s="0" t="s">
        <v>912</v>
      </c>
      <c r="J933" s="0" t="s">
        <v>3058</v>
      </c>
      <c r="K933" s="0" t="s">
        <v>3025</v>
      </c>
      <c r="L933" s="0" t="n">
        <v>-1</v>
      </c>
      <c r="M933" s="0" t="n">
        <v>0</v>
      </c>
      <c r="N933" s="0" t="n">
        <v>4188.1</v>
      </c>
      <c r="O933" s="0" t="n">
        <v>3078.01</v>
      </c>
      <c r="P933" s="0" t="n">
        <v>950.54</v>
      </c>
      <c r="Q933" s="0" t="s">
        <v>22</v>
      </c>
      <c r="R933" s="0" t="s">
        <v>51</v>
      </c>
      <c r="S933" s="0" t="s">
        <v>222</v>
      </c>
    </row>
    <row r="934" customFormat="false" ht="15" hidden="false" customHeight="false" outlineLevel="0" collapsed="false">
      <c r="A934" s="0" t="s">
        <v>3059</v>
      </c>
      <c r="B934" s="0" t="s">
        <v>47</v>
      </c>
      <c r="C934" s="0" t="s">
        <v>209</v>
      </c>
      <c r="D934" s="0" t="s">
        <v>198</v>
      </c>
      <c r="E934" s="0" t="s">
        <v>42</v>
      </c>
      <c r="F934" s="0" t="n">
        <v>1.22</v>
      </c>
      <c r="G934" s="0" t="s">
        <v>336</v>
      </c>
      <c r="H934" s="0" t="s">
        <v>1255</v>
      </c>
      <c r="I934" s="0" t="s">
        <v>978</v>
      </c>
      <c r="J934" s="0" t="s">
        <v>3060</v>
      </c>
      <c r="K934" s="0" t="s">
        <v>980</v>
      </c>
      <c r="L934" s="0" t="n">
        <v>-1</v>
      </c>
      <c r="M934" s="0" t="n">
        <v>0</v>
      </c>
      <c r="N934" s="0" t="n">
        <v>1118.14</v>
      </c>
      <c r="O934" s="0" t="n">
        <v>3385.9</v>
      </c>
      <c r="P934" s="0" t="n">
        <v>774.98</v>
      </c>
      <c r="Q934" s="0" t="s">
        <v>23</v>
      </c>
      <c r="R934" s="0" t="s">
        <v>52</v>
      </c>
      <c r="S934" s="0" t="s">
        <v>254</v>
      </c>
    </row>
    <row r="935" customFormat="false" ht="15" hidden="false" customHeight="false" outlineLevel="0" collapsed="false">
      <c r="A935" s="0" t="s">
        <v>3061</v>
      </c>
      <c r="B935" s="0" t="s">
        <v>48</v>
      </c>
      <c r="C935" s="0" t="s">
        <v>198</v>
      </c>
      <c r="D935" s="0" t="s">
        <v>211</v>
      </c>
      <c r="E935" s="0" t="s">
        <v>44</v>
      </c>
      <c r="F935" s="0" t="n">
        <v>2.51</v>
      </c>
      <c r="G935" s="0" t="s">
        <v>648</v>
      </c>
      <c r="H935" s="0" t="s">
        <v>398</v>
      </c>
      <c r="I935" s="0" t="s">
        <v>949</v>
      </c>
      <c r="J935" s="0" t="s">
        <v>3062</v>
      </c>
      <c r="K935" s="0" t="s">
        <v>3063</v>
      </c>
      <c r="L935" s="0" t="n">
        <v>2.4</v>
      </c>
      <c r="M935" s="0" t="n">
        <v>1</v>
      </c>
      <c r="N935" s="0" t="n">
        <v>2556.92</v>
      </c>
      <c r="O935" s="0" t="n">
        <v>2331.27</v>
      </c>
      <c r="P935" s="0" t="n">
        <v>1254.87</v>
      </c>
      <c r="Q935" s="0" t="s">
        <v>21</v>
      </c>
      <c r="R935" s="0" t="s">
        <v>51</v>
      </c>
      <c r="S935" s="0" t="s">
        <v>222</v>
      </c>
    </row>
    <row r="936" customFormat="false" ht="15" hidden="false" customHeight="false" outlineLevel="0" collapsed="false">
      <c r="A936" s="0" t="s">
        <v>3064</v>
      </c>
      <c r="B936" s="0" t="s">
        <v>47</v>
      </c>
      <c r="C936" s="0" t="s">
        <v>209</v>
      </c>
      <c r="D936" s="0" t="s">
        <v>198</v>
      </c>
      <c r="E936" s="0" t="s">
        <v>43</v>
      </c>
      <c r="F936" s="0" t="n">
        <v>13.33</v>
      </c>
      <c r="G936" s="0" t="s">
        <v>700</v>
      </c>
      <c r="H936" s="0" t="s">
        <v>701</v>
      </c>
      <c r="I936" s="0" t="s">
        <v>696</v>
      </c>
      <c r="J936" s="0" t="s">
        <v>3065</v>
      </c>
      <c r="K936" s="0" t="s">
        <v>3066</v>
      </c>
      <c r="L936" s="0" t="n">
        <v>-0.8</v>
      </c>
      <c r="M936" s="0" t="n">
        <v>0</v>
      </c>
      <c r="N936" s="0" t="n">
        <v>7437.51</v>
      </c>
      <c r="O936" s="0" t="n">
        <v>2834.63</v>
      </c>
      <c r="P936" s="0" t="n">
        <v>1142.32</v>
      </c>
      <c r="Q936" s="0" t="s">
        <v>22</v>
      </c>
      <c r="R936" s="0" t="s">
        <v>52</v>
      </c>
      <c r="S936" s="0" t="s">
        <v>228</v>
      </c>
    </row>
    <row r="937" customFormat="false" ht="15" hidden="false" customHeight="false" outlineLevel="0" collapsed="false">
      <c r="A937" s="0" t="s">
        <v>3067</v>
      </c>
      <c r="B937" s="0" t="s">
        <v>47</v>
      </c>
      <c r="C937" s="0" t="s">
        <v>209</v>
      </c>
      <c r="D937" s="0" t="s">
        <v>198</v>
      </c>
      <c r="E937" s="0" t="s">
        <v>42</v>
      </c>
      <c r="F937" s="0" t="n">
        <v>13.92</v>
      </c>
      <c r="G937" s="0" t="s">
        <v>336</v>
      </c>
      <c r="H937" s="0" t="s">
        <v>1255</v>
      </c>
      <c r="I937" s="0" t="s">
        <v>541</v>
      </c>
      <c r="J937" s="0" t="s">
        <v>3068</v>
      </c>
      <c r="K937" s="0" t="s">
        <v>1653</v>
      </c>
      <c r="L937" s="0" t="n">
        <v>6.4</v>
      </c>
      <c r="M937" s="0" t="n">
        <v>1</v>
      </c>
      <c r="N937" s="0" t="n">
        <v>6642.07</v>
      </c>
      <c r="O937" s="0" t="n">
        <v>1431.7</v>
      </c>
      <c r="P937" s="0" t="n">
        <v>1431.94</v>
      </c>
      <c r="Q937" s="0" t="s">
        <v>25</v>
      </c>
      <c r="R937" s="0" t="s">
        <v>51</v>
      </c>
      <c r="S937" s="0" t="s">
        <v>272</v>
      </c>
    </row>
    <row r="938" customFormat="false" ht="15" hidden="false" customHeight="false" outlineLevel="0" collapsed="false">
      <c r="A938" s="0" t="s">
        <v>3069</v>
      </c>
      <c r="B938" s="0" t="s">
        <v>47</v>
      </c>
      <c r="C938" s="0" t="s">
        <v>203</v>
      </c>
      <c r="D938" s="0" t="s">
        <v>198</v>
      </c>
      <c r="E938" s="0" t="s">
        <v>43</v>
      </c>
      <c r="F938" s="0" t="n">
        <v>18.36</v>
      </c>
      <c r="G938" s="0" t="s">
        <v>933</v>
      </c>
      <c r="H938" s="0" t="s">
        <v>934</v>
      </c>
      <c r="I938" s="0" t="s">
        <v>352</v>
      </c>
      <c r="J938" s="0" t="s">
        <v>3070</v>
      </c>
      <c r="K938" s="0" t="s">
        <v>3071</v>
      </c>
      <c r="L938" s="0" t="n">
        <v>2.6</v>
      </c>
      <c r="M938" s="0" t="n">
        <v>1</v>
      </c>
      <c r="N938" s="0" t="n">
        <v>6289.49</v>
      </c>
      <c r="O938" s="0" t="n">
        <v>1473.42</v>
      </c>
      <c r="P938" s="0" t="n">
        <v>1260.68</v>
      </c>
      <c r="Q938" s="0" t="s">
        <v>22</v>
      </c>
      <c r="R938" s="0" t="s">
        <v>52</v>
      </c>
      <c r="S938" s="0" t="s">
        <v>247</v>
      </c>
    </row>
    <row r="939" customFormat="false" ht="15" hidden="false" customHeight="false" outlineLevel="0" collapsed="false">
      <c r="A939" s="0" t="s">
        <v>3072</v>
      </c>
      <c r="B939" s="0" t="s">
        <v>47</v>
      </c>
      <c r="C939" s="0" t="s">
        <v>203</v>
      </c>
      <c r="D939" s="0" t="s">
        <v>198</v>
      </c>
      <c r="E939" s="0" t="s">
        <v>44</v>
      </c>
      <c r="F939" s="0" t="n">
        <v>18.62</v>
      </c>
      <c r="G939" s="0" t="s">
        <v>316</v>
      </c>
      <c r="H939" s="0" t="s">
        <v>950</v>
      </c>
      <c r="I939" s="0" t="s">
        <v>275</v>
      </c>
      <c r="J939" s="0" t="s">
        <v>3073</v>
      </c>
      <c r="K939" s="0" t="s">
        <v>1755</v>
      </c>
      <c r="L939" s="0" t="n">
        <v>5.4</v>
      </c>
      <c r="M939" s="0" t="n">
        <v>1</v>
      </c>
      <c r="N939" s="0" t="n">
        <v>7001.22</v>
      </c>
      <c r="O939" s="0" t="n">
        <v>3467.27</v>
      </c>
      <c r="P939" s="0" t="n">
        <v>1098.64</v>
      </c>
      <c r="Q939" s="0" t="s">
        <v>24</v>
      </c>
      <c r="R939" s="0" t="s">
        <v>51</v>
      </c>
      <c r="S939" s="0" t="s">
        <v>222</v>
      </c>
    </row>
    <row r="940" customFormat="false" ht="15" hidden="false" customHeight="false" outlineLevel="0" collapsed="false">
      <c r="A940" s="0" t="s">
        <v>3074</v>
      </c>
      <c r="B940" s="0" t="s">
        <v>47</v>
      </c>
      <c r="C940" s="0" t="s">
        <v>199</v>
      </c>
      <c r="D940" s="0" t="s">
        <v>198</v>
      </c>
      <c r="E940" s="0" t="s">
        <v>44</v>
      </c>
      <c r="F940" s="0" t="n">
        <v>6.56</v>
      </c>
      <c r="G940" s="0" t="s">
        <v>424</v>
      </c>
      <c r="H940" s="0" t="s">
        <v>896</v>
      </c>
      <c r="I940" s="0" t="s">
        <v>1198</v>
      </c>
      <c r="J940" s="0" t="s">
        <v>3075</v>
      </c>
      <c r="K940" s="0" t="s">
        <v>1066</v>
      </c>
      <c r="L940" s="0" t="n">
        <v>-1</v>
      </c>
      <c r="M940" s="0" t="n">
        <v>0</v>
      </c>
      <c r="N940" s="0" t="n">
        <v>4655.15</v>
      </c>
      <c r="O940" s="0" t="n">
        <v>4231.86</v>
      </c>
      <c r="P940" s="0" t="n">
        <v>868.09</v>
      </c>
      <c r="Q940" s="0" t="s">
        <v>23</v>
      </c>
      <c r="R940" s="0" t="s">
        <v>52</v>
      </c>
      <c r="S940" s="0" t="s">
        <v>254</v>
      </c>
    </row>
    <row r="941" customFormat="false" ht="15" hidden="false" customHeight="false" outlineLevel="0" collapsed="false">
      <c r="A941" s="0" t="s">
        <v>3076</v>
      </c>
      <c r="B941" s="0" t="s">
        <v>47</v>
      </c>
      <c r="C941" s="0" t="s">
        <v>209</v>
      </c>
      <c r="D941" s="0" t="s">
        <v>198</v>
      </c>
      <c r="E941" s="0" t="s">
        <v>43</v>
      </c>
      <c r="F941" s="0" t="n">
        <v>3.38</v>
      </c>
      <c r="G941" s="0" t="s">
        <v>511</v>
      </c>
      <c r="H941" s="0" t="s">
        <v>419</v>
      </c>
      <c r="I941" s="0" t="s">
        <v>392</v>
      </c>
      <c r="J941" s="0" t="s">
        <v>3077</v>
      </c>
      <c r="K941" s="0" t="s">
        <v>3078</v>
      </c>
      <c r="L941" s="0" t="n">
        <v>1.6</v>
      </c>
      <c r="M941" s="0" t="n">
        <v>1</v>
      </c>
      <c r="N941" s="0" t="n">
        <v>1829.51</v>
      </c>
      <c r="O941" s="0" t="n">
        <v>3082.28</v>
      </c>
      <c r="P941" s="0" t="n">
        <v>891.77</v>
      </c>
      <c r="Q941" s="0" t="s">
        <v>23</v>
      </c>
      <c r="R941" s="0" t="s">
        <v>51</v>
      </c>
      <c r="S941" s="0" t="s">
        <v>254</v>
      </c>
    </row>
    <row r="942" customFormat="false" ht="15" hidden="false" customHeight="false" outlineLevel="0" collapsed="false">
      <c r="A942" s="0" t="s">
        <v>3079</v>
      </c>
      <c r="B942" s="0" t="s">
        <v>48</v>
      </c>
      <c r="C942" s="0" t="s">
        <v>198</v>
      </c>
      <c r="D942" s="0" t="s">
        <v>204</v>
      </c>
      <c r="E942" s="0" t="s">
        <v>42</v>
      </c>
      <c r="F942" s="0" t="n">
        <v>11.97</v>
      </c>
      <c r="G942" s="0" t="s">
        <v>831</v>
      </c>
      <c r="H942" s="0" t="s">
        <v>832</v>
      </c>
      <c r="I942" s="0" t="s">
        <v>461</v>
      </c>
      <c r="J942" s="0" t="s">
        <v>1066</v>
      </c>
      <c r="K942" s="0" t="s">
        <v>3080</v>
      </c>
      <c r="L942" s="0" t="n">
        <v>0.7</v>
      </c>
      <c r="M942" s="0" t="n">
        <v>1</v>
      </c>
      <c r="N942" s="0" t="n">
        <v>5371.86</v>
      </c>
      <c r="O942" s="0" t="n">
        <v>3655.19</v>
      </c>
      <c r="P942" s="0" t="n">
        <v>989.83</v>
      </c>
      <c r="Q942" s="0" t="s">
        <v>21</v>
      </c>
      <c r="R942" s="0" t="s">
        <v>52</v>
      </c>
      <c r="S942" s="0" t="s">
        <v>222</v>
      </c>
    </row>
    <row r="943" customFormat="false" ht="15" hidden="false" customHeight="false" outlineLevel="0" collapsed="false">
      <c r="A943" s="0" t="s">
        <v>3081</v>
      </c>
      <c r="B943" s="0" t="s">
        <v>47</v>
      </c>
      <c r="C943" s="0" t="s">
        <v>199</v>
      </c>
      <c r="D943" s="0" t="s">
        <v>198</v>
      </c>
      <c r="E943" s="0" t="s">
        <v>42</v>
      </c>
      <c r="F943" s="0" t="n">
        <v>10.83</v>
      </c>
      <c r="G943" s="0" t="s">
        <v>1039</v>
      </c>
      <c r="H943" s="0" t="s">
        <v>528</v>
      </c>
      <c r="I943" s="0" t="s">
        <v>949</v>
      </c>
      <c r="J943" s="0" t="s">
        <v>3082</v>
      </c>
      <c r="K943" s="0" t="s">
        <v>3083</v>
      </c>
      <c r="L943" s="0" t="n">
        <v>-0.5</v>
      </c>
      <c r="M943" s="0" t="n">
        <v>0</v>
      </c>
      <c r="N943" s="0" t="n">
        <v>4897.07</v>
      </c>
      <c r="O943" s="0" t="n">
        <v>4988.68</v>
      </c>
      <c r="P943" s="0" t="n">
        <v>792.61</v>
      </c>
      <c r="Q943" s="0" t="s">
        <v>24</v>
      </c>
      <c r="R943" s="0" t="s">
        <v>52</v>
      </c>
      <c r="S943" s="0" t="s">
        <v>254</v>
      </c>
    </row>
    <row r="944" customFormat="false" ht="15" hidden="false" customHeight="false" outlineLevel="0" collapsed="false">
      <c r="A944" s="0" t="s">
        <v>3084</v>
      </c>
      <c r="B944" s="0" t="s">
        <v>48</v>
      </c>
      <c r="C944" s="0" t="s">
        <v>198</v>
      </c>
      <c r="D944" s="0" t="s">
        <v>207</v>
      </c>
      <c r="E944" s="0" t="s">
        <v>42</v>
      </c>
      <c r="F944" s="0" t="n">
        <v>7.8</v>
      </c>
      <c r="G944" s="0" t="s">
        <v>1019</v>
      </c>
      <c r="H944" s="0" t="s">
        <v>217</v>
      </c>
      <c r="I944" s="0" t="s">
        <v>409</v>
      </c>
      <c r="J944" s="0" t="s">
        <v>3085</v>
      </c>
      <c r="K944" s="0" t="s">
        <v>3086</v>
      </c>
      <c r="L944" s="0" t="n">
        <v>0.4</v>
      </c>
      <c r="M944" s="0" t="n">
        <v>1</v>
      </c>
      <c r="N944" s="0" t="n">
        <v>3564.05</v>
      </c>
      <c r="O944" s="0" t="n">
        <v>3020.11</v>
      </c>
      <c r="P944" s="0" t="n">
        <v>530.5</v>
      </c>
      <c r="Q944" s="0" t="s">
        <v>23</v>
      </c>
      <c r="R944" s="0" t="s">
        <v>51</v>
      </c>
      <c r="S944" s="0" t="s">
        <v>254</v>
      </c>
    </row>
    <row r="945" customFormat="false" ht="15" hidden="false" customHeight="false" outlineLevel="0" collapsed="false">
      <c r="A945" s="0" t="s">
        <v>3087</v>
      </c>
      <c r="B945" s="0" t="s">
        <v>47</v>
      </c>
      <c r="C945" s="0" t="s">
        <v>199</v>
      </c>
      <c r="D945" s="0" t="s">
        <v>198</v>
      </c>
      <c r="E945" s="0" t="s">
        <v>43</v>
      </c>
      <c r="F945" s="0" t="n">
        <v>3.5</v>
      </c>
      <c r="G945" s="0" t="s">
        <v>331</v>
      </c>
      <c r="H945" s="0" t="s">
        <v>1582</v>
      </c>
      <c r="I945" s="0" t="s">
        <v>756</v>
      </c>
      <c r="J945" s="0" t="s">
        <v>2376</v>
      </c>
      <c r="K945" s="0" t="s">
        <v>1378</v>
      </c>
      <c r="L945" s="0" t="n">
        <v>6.1</v>
      </c>
      <c r="M945" s="0" t="n">
        <v>1</v>
      </c>
      <c r="N945" s="0" t="n">
        <v>2375.34</v>
      </c>
      <c r="O945" s="0" t="n">
        <v>3963.12</v>
      </c>
      <c r="P945" s="0" t="n">
        <v>1284.19</v>
      </c>
      <c r="Q945" s="0" t="s">
        <v>22</v>
      </c>
      <c r="R945" s="0" t="s">
        <v>52</v>
      </c>
      <c r="S945" s="0" t="s">
        <v>272</v>
      </c>
    </row>
    <row r="946" customFormat="false" ht="15" hidden="false" customHeight="false" outlineLevel="0" collapsed="false">
      <c r="A946" s="0" t="s">
        <v>3088</v>
      </c>
      <c r="B946" s="0" t="s">
        <v>47</v>
      </c>
      <c r="C946" s="0" t="s">
        <v>206</v>
      </c>
      <c r="D946" s="0" t="s">
        <v>198</v>
      </c>
      <c r="E946" s="0" t="s">
        <v>42</v>
      </c>
      <c r="F946" s="0" t="n">
        <v>15.5</v>
      </c>
      <c r="G946" s="0" t="s">
        <v>833</v>
      </c>
      <c r="H946" s="0" t="s">
        <v>462</v>
      </c>
      <c r="I946" s="0" t="s">
        <v>402</v>
      </c>
      <c r="J946" s="0" t="s">
        <v>3089</v>
      </c>
      <c r="K946" s="0" t="s">
        <v>3090</v>
      </c>
      <c r="L946" s="0" t="n">
        <v>5.5</v>
      </c>
      <c r="M946" s="0" t="n">
        <v>1</v>
      </c>
      <c r="N946" s="0" t="n">
        <v>9295.43</v>
      </c>
      <c r="O946" s="0" t="n">
        <v>4416.07</v>
      </c>
      <c r="P946" s="0" t="n">
        <v>1302.46</v>
      </c>
      <c r="Q946" s="0" t="s">
        <v>23</v>
      </c>
      <c r="R946" s="0" t="s">
        <v>51</v>
      </c>
      <c r="S946" s="0" t="s">
        <v>247</v>
      </c>
    </row>
    <row r="947" customFormat="false" ht="15" hidden="false" customHeight="false" outlineLevel="0" collapsed="false">
      <c r="A947" s="0" t="s">
        <v>3091</v>
      </c>
      <c r="B947" s="0" t="s">
        <v>47</v>
      </c>
      <c r="C947" s="0" t="s">
        <v>205</v>
      </c>
      <c r="D947" s="0" t="s">
        <v>198</v>
      </c>
      <c r="E947" s="0" t="s">
        <v>44</v>
      </c>
      <c r="F947" s="0" t="n">
        <v>1.79</v>
      </c>
      <c r="G947" s="0" t="s">
        <v>558</v>
      </c>
      <c r="H947" s="0" t="s">
        <v>1332</v>
      </c>
      <c r="I947" s="0" t="s">
        <v>1685</v>
      </c>
      <c r="J947" s="0" t="s">
        <v>1009</v>
      </c>
      <c r="K947" s="0" t="s">
        <v>3092</v>
      </c>
      <c r="L947" s="0" t="n">
        <v>-0.3</v>
      </c>
      <c r="M947" s="0" t="n">
        <v>0</v>
      </c>
      <c r="N947" s="0" t="n">
        <v>2372.97</v>
      </c>
      <c r="O947" s="0" t="n">
        <v>1479.3</v>
      </c>
      <c r="P947" s="0" t="n">
        <v>951.09</v>
      </c>
      <c r="Q947" s="0" t="s">
        <v>24</v>
      </c>
      <c r="R947" s="0" t="s">
        <v>51</v>
      </c>
      <c r="S947" s="0" t="s">
        <v>254</v>
      </c>
    </row>
    <row r="948" customFormat="false" ht="15" hidden="false" customHeight="false" outlineLevel="0" collapsed="false">
      <c r="A948" s="0" t="s">
        <v>3093</v>
      </c>
      <c r="B948" s="0" t="s">
        <v>47</v>
      </c>
      <c r="C948" s="0" t="s">
        <v>199</v>
      </c>
      <c r="D948" s="0" t="s">
        <v>198</v>
      </c>
      <c r="E948" s="0" t="s">
        <v>42</v>
      </c>
      <c r="F948" s="0" t="n">
        <v>18.31</v>
      </c>
      <c r="G948" s="0" t="s">
        <v>876</v>
      </c>
      <c r="H948" s="0" t="s">
        <v>604</v>
      </c>
      <c r="I948" s="0" t="s">
        <v>501</v>
      </c>
      <c r="J948" s="0" t="s">
        <v>3094</v>
      </c>
      <c r="K948" s="0" t="s">
        <v>3095</v>
      </c>
      <c r="L948" s="0" t="n">
        <v>6.1</v>
      </c>
      <c r="M948" s="0" t="n">
        <v>1</v>
      </c>
      <c r="N948" s="0" t="n">
        <v>4982.81</v>
      </c>
      <c r="O948" s="0" t="n">
        <v>2403.69</v>
      </c>
      <c r="P948" s="0" t="n">
        <v>1430.53</v>
      </c>
      <c r="Q948" s="0" t="s">
        <v>22</v>
      </c>
      <c r="R948" s="0" t="s">
        <v>51</v>
      </c>
      <c r="S948" s="0" t="s">
        <v>254</v>
      </c>
    </row>
    <row r="949" customFormat="false" ht="15" hidden="false" customHeight="false" outlineLevel="0" collapsed="false">
      <c r="A949" s="0" t="s">
        <v>3096</v>
      </c>
      <c r="B949" s="0" t="s">
        <v>48</v>
      </c>
      <c r="C949" s="0" t="s">
        <v>198</v>
      </c>
      <c r="D949" s="0" t="s">
        <v>204</v>
      </c>
      <c r="E949" s="0" t="s">
        <v>43</v>
      </c>
      <c r="F949" s="0" t="n">
        <v>16.19</v>
      </c>
      <c r="G949" s="0" t="s">
        <v>1039</v>
      </c>
      <c r="H949" s="0" t="s">
        <v>398</v>
      </c>
      <c r="I949" s="0" t="s">
        <v>949</v>
      </c>
      <c r="J949" s="0" t="s">
        <v>3097</v>
      </c>
      <c r="K949" s="0" t="s">
        <v>1675</v>
      </c>
      <c r="L949" s="0" t="n">
        <v>3.1</v>
      </c>
      <c r="M949" s="0" t="n">
        <v>1</v>
      </c>
      <c r="N949" s="0" t="n">
        <v>10431.13</v>
      </c>
      <c r="O949" s="0" t="n">
        <v>1955.62</v>
      </c>
      <c r="P949" s="0" t="n">
        <v>541.82</v>
      </c>
      <c r="Q949" s="0" t="s">
        <v>22</v>
      </c>
      <c r="R949" s="0" t="s">
        <v>51</v>
      </c>
      <c r="S949" s="0" t="s">
        <v>222</v>
      </c>
    </row>
    <row r="950" customFormat="false" ht="15" hidden="false" customHeight="false" outlineLevel="0" collapsed="false">
      <c r="A950" s="0" t="s">
        <v>3098</v>
      </c>
      <c r="B950" s="0" t="s">
        <v>48</v>
      </c>
      <c r="C950" s="0" t="s">
        <v>198</v>
      </c>
      <c r="D950" s="0" t="s">
        <v>207</v>
      </c>
      <c r="E950" s="0" t="s">
        <v>43</v>
      </c>
      <c r="F950" s="0" t="n">
        <v>12.85</v>
      </c>
      <c r="G950" s="0" t="s">
        <v>938</v>
      </c>
      <c r="H950" s="0" t="s">
        <v>1255</v>
      </c>
      <c r="I950" s="0" t="s">
        <v>477</v>
      </c>
      <c r="J950" s="0" t="s">
        <v>3099</v>
      </c>
      <c r="K950" s="0" t="s">
        <v>3100</v>
      </c>
      <c r="L950" s="0" t="n">
        <v>1.8</v>
      </c>
      <c r="M950" s="0" t="n">
        <v>1</v>
      </c>
      <c r="N950" s="0" t="n">
        <v>10254.47</v>
      </c>
      <c r="O950" s="0" t="n">
        <v>4572.01</v>
      </c>
      <c r="P950" s="0" t="n">
        <v>1219.18</v>
      </c>
      <c r="Q950" s="0" t="s">
        <v>24</v>
      </c>
      <c r="R950" s="0" t="s">
        <v>52</v>
      </c>
      <c r="S950" s="0" t="s">
        <v>247</v>
      </c>
    </row>
    <row r="951" customFormat="false" ht="15" hidden="false" customHeight="false" outlineLevel="0" collapsed="false">
      <c r="A951" s="0" t="s">
        <v>3101</v>
      </c>
      <c r="B951" s="0" t="s">
        <v>47</v>
      </c>
      <c r="C951" s="0" t="s">
        <v>209</v>
      </c>
      <c r="D951" s="0" t="s">
        <v>198</v>
      </c>
      <c r="E951" s="0" t="s">
        <v>44</v>
      </c>
      <c r="F951" s="0" t="n">
        <v>12.11</v>
      </c>
      <c r="G951" s="0" t="s">
        <v>895</v>
      </c>
      <c r="H951" s="0" t="s">
        <v>831</v>
      </c>
      <c r="I951" s="0" t="s">
        <v>597</v>
      </c>
      <c r="J951" s="0" t="s">
        <v>3102</v>
      </c>
      <c r="K951" s="0" t="s">
        <v>1368</v>
      </c>
      <c r="L951" s="0" t="n">
        <v>5</v>
      </c>
      <c r="M951" s="0" t="n">
        <v>1</v>
      </c>
      <c r="N951" s="0" t="n">
        <v>6883.22</v>
      </c>
      <c r="O951" s="0" t="n">
        <v>3716.99</v>
      </c>
      <c r="P951" s="0" t="n">
        <v>752.28</v>
      </c>
      <c r="Q951" s="0" t="s">
        <v>22</v>
      </c>
      <c r="R951" s="0" t="s">
        <v>51</v>
      </c>
      <c r="S951" s="0" t="s">
        <v>254</v>
      </c>
    </row>
    <row r="952" customFormat="false" ht="15" hidden="false" customHeight="false" outlineLevel="0" collapsed="false">
      <c r="A952" s="0" t="s">
        <v>3103</v>
      </c>
      <c r="B952" s="0" t="s">
        <v>47</v>
      </c>
      <c r="C952" s="0" t="s">
        <v>205</v>
      </c>
      <c r="D952" s="0" t="s">
        <v>198</v>
      </c>
      <c r="E952" s="0" t="s">
        <v>42</v>
      </c>
      <c r="F952" s="0" t="n">
        <v>12.15</v>
      </c>
      <c r="G952" s="0" t="s">
        <v>343</v>
      </c>
      <c r="H952" s="0" t="s">
        <v>1205</v>
      </c>
      <c r="I952" s="0" t="s">
        <v>294</v>
      </c>
      <c r="J952" s="0" t="s">
        <v>3104</v>
      </c>
      <c r="K952" s="0" t="s">
        <v>3105</v>
      </c>
      <c r="L952" s="0" t="n">
        <v>3.6</v>
      </c>
      <c r="M952" s="0" t="n">
        <v>1</v>
      </c>
      <c r="N952" s="0" t="n">
        <v>6118.09</v>
      </c>
      <c r="O952" s="0" t="n">
        <v>3045.87</v>
      </c>
      <c r="P952" s="0" t="n">
        <v>1233.92</v>
      </c>
      <c r="Q952" s="0" t="s">
        <v>25</v>
      </c>
      <c r="R952" s="0" t="s">
        <v>51</v>
      </c>
      <c r="S952" s="0" t="s">
        <v>272</v>
      </c>
    </row>
    <row r="953" customFormat="false" ht="15" hidden="false" customHeight="false" outlineLevel="0" collapsed="false">
      <c r="A953" s="0" t="s">
        <v>3106</v>
      </c>
      <c r="B953" s="0" t="s">
        <v>47</v>
      </c>
      <c r="C953" s="0" t="s">
        <v>203</v>
      </c>
      <c r="D953" s="0" t="s">
        <v>198</v>
      </c>
      <c r="E953" s="0" t="s">
        <v>42</v>
      </c>
      <c r="F953" s="0" t="n">
        <v>8.81</v>
      </c>
      <c r="G953" s="0" t="s">
        <v>576</v>
      </c>
      <c r="H953" s="0" t="s">
        <v>1427</v>
      </c>
      <c r="I953" s="0" t="s">
        <v>1332</v>
      </c>
      <c r="J953" s="0" t="s">
        <v>3107</v>
      </c>
      <c r="K953" s="0" t="s">
        <v>2252</v>
      </c>
      <c r="L953" s="0" t="n">
        <v>1.5</v>
      </c>
      <c r="M953" s="0" t="n">
        <v>1</v>
      </c>
      <c r="N953" s="0" t="n">
        <v>4958.12</v>
      </c>
      <c r="O953" s="0" t="n">
        <v>2988.62</v>
      </c>
      <c r="P953" s="0" t="n">
        <v>634.79</v>
      </c>
      <c r="Q953" s="0" t="s">
        <v>21</v>
      </c>
      <c r="R953" s="0" t="s">
        <v>51</v>
      </c>
      <c r="S953" s="0" t="s">
        <v>228</v>
      </c>
    </row>
    <row r="954" customFormat="false" ht="15" hidden="false" customHeight="false" outlineLevel="0" collapsed="false">
      <c r="A954" s="0" t="s">
        <v>3108</v>
      </c>
      <c r="B954" s="0" t="s">
        <v>48</v>
      </c>
      <c r="C954" s="0" t="s">
        <v>198</v>
      </c>
      <c r="D954" s="0" t="s">
        <v>207</v>
      </c>
      <c r="E954" s="0" t="s">
        <v>42</v>
      </c>
      <c r="F954" s="0" t="n">
        <v>10.43</v>
      </c>
      <c r="G954" s="0" t="s">
        <v>468</v>
      </c>
      <c r="H954" s="0" t="s">
        <v>814</v>
      </c>
      <c r="I954" s="0" t="s">
        <v>415</v>
      </c>
      <c r="J954" s="0" t="s">
        <v>3109</v>
      </c>
      <c r="K954" s="0" t="s">
        <v>2766</v>
      </c>
      <c r="L954" s="0" t="n">
        <v>0</v>
      </c>
      <c r="M954" s="0" t="n">
        <v>0</v>
      </c>
      <c r="N954" s="0" t="n">
        <v>6238.1</v>
      </c>
      <c r="O954" s="0" t="n">
        <v>3551.72</v>
      </c>
      <c r="P954" s="0" t="n">
        <v>1269.17</v>
      </c>
      <c r="Q954" s="0" t="s">
        <v>25</v>
      </c>
      <c r="R954" s="0" t="s">
        <v>52</v>
      </c>
      <c r="S954" s="0" t="s">
        <v>228</v>
      </c>
    </row>
    <row r="955" customFormat="false" ht="15" hidden="false" customHeight="false" outlineLevel="0" collapsed="false">
      <c r="A955" s="0" t="s">
        <v>3110</v>
      </c>
      <c r="B955" s="0" t="s">
        <v>47</v>
      </c>
      <c r="C955" s="0" t="s">
        <v>209</v>
      </c>
      <c r="D955" s="0" t="s">
        <v>198</v>
      </c>
      <c r="E955" s="0" t="s">
        <v>44</v>
      </c>
      <c r="F955" s="0" t="n">
        <v>8</v>
      </c>
      <c r="G955" s="0" t="s">
        <v>218</v>
      </c>
      <c r="H955" s="0" t="s">
        <v>256</v>
      </c>
      <c r="I955" s="0" t="s">
        <v>219</v>
      </c>
      <c r="J955" s="0" t="s">
        <v>3111</v>
      </c>
      <c r="K955" s="0" t="s">
        <v>221</v>
      </c>
      <c r="L955" s="0" t="n">
        <v>-1</v>
      </c>
      <c r="M955" s="0" t="n">
        <v>0</v>
      </c>
      <c r="N955" s="0" t="n">
        <v>2982.15</v>
      </c>
      <c r="O955" s="0" t="n">
        <v>2142.51</v>
      </c>
      <c r="P955" s="0" t="n">
        <v>770.91</v>
      </c>
      <c r="Q955" s="0" t="s">
        <v>22</v>
      </c>
      <c r="R955" s="0" t="s">
        <v>51</v>
      </c>
      <c r="S955" s="0" t="s">
        <v>222</v>
      </c>
    </row>
    <row r="956" customFormat="false" ht="15" hidden="false" customHeight="false" outlineLevel="0" collapsed="false">
      <c r="A956" s="0" t="s">
        <v>3112</v>
      </c>
      <c r="B956" s="0" t="s">
        <v>48</v>
      </c>
      <c r="C956" s="0" t="s">
        <v>198</v>
      </c>
      <c r="D956" s="0" t="s">
        <v>214</v>
      </c>
      <c r="E956" s="0" t="s">
        <v>42</v>
      </c>
      <c r="F956" s="0" t="n">
        <v>17.25</v>
      </c>
      <c r="G956" s="0" t="s">
        <v>1625</v>
      </c>
      <c r="H956" s="0" t="s">
        <v>1370</v>
      </c>
      <c r="I956" s="0" t="s">
        <v>435</v>
      </c>
      <c r="J956" s="0" t="s">
        <v>3113</v>
      </c>
      <c r="K956" s="0" t="s">
        <v>583</v>
      </c>
      <c r="L956" s="0" t="n">
        <v>5</v>
      </c>
      <c r="M956" s="0" t="n">
        <v>1</v>
      </c>
      <c r="N956" s="0" t="n">
        <v>10245.37</v>
      </c>
      <c r="O956" s="0" t="n">
        <v>1023.08</v>
      </c>
      <c r="P956" s="0" t="n">
        <v>929.32</v>
      </c>
      <c r="Q956" s="0" t="s">
        <v>23</v>
      </c>
      <c r="R956" s="0" t="s">
        <v>52</v>
      </c>
      <c r="S956" s="0" t="s">
        <v>247</v>
      </c>
    </row>
    <row r="957" customFormat="false" ht="15" hidden="false" customHeight="false" outlineLevel="0" collapsed="false">
      <c r="A957" s="0" t="s">
        <v>3114</v>
      </c>
      <c r="B957" s="0" t="s">
        <v>47</v>
      </c>
      <c r="C957" s="0" t="s">
        <v>203</v>
      </c>
      <c r="D957" s="0" t="s">
        <v>198</v>
      </c>
      <c r="E957" s="0" t="s">
        <v>44</v>
      </c>
      <c r="F957" s="0" t="n">
        <v>8.75</v>
      </c>
      <c r="G957" s="0" t="s">
        <v>450</v>
      </c>
      <c r="H957" s="0" t="s">
        <v>705</v>
      </c>
      <c r="I957" s="0" t="s">
        <v>1108</v>
      </c>
      <c r="J957" s="0" t="s">
        <v>2286</v>
      </c>
      <c r="K957" s="0" t="s">
        <v>3115</v>
      </c>
      <c r="L957" s="0" t="n">
        <v>8.7</v>
      </c>
      <c r="M957" s="0" t="n">
        <v>1</v>
      </c>
      <c r="N957" s="0" t="n">
        <v>6081.15</v>
      </c>
      <c r="O957" s="0" t="n">
        <v>1000.21</v>
      </c>
      <c r="P957" s="0" t="n">
        <v>1453.92</v>
      </c>
      <c r="Q957" s="0" t="s">
        <v>25</v>
      </c>
      <c r="R957" s="0" t="s">
        <v>51</v>
      </c>
      <c r="S957" s="0" t="s">
        <v>222</v>
      </c>
    </row>
    <row r="958" customFormat="false" ht="15" hidden="false" customHeight="false" outlineLevel="0" collapsed="false">
      <c r="A958" s="0" t="s">
        <v>3116</v>
      </c>
      <c r="B958" s="0" t="s">
        <v>48</v>
      </c>
      <c r="C958" s="0" t="s">
        <v>198</v>
      </c>
      <c r="D958" s="0" t="s">
        <v>201</v>
      </c>
      <c r="E958" s="0" t="s">
        <v>42</v>
      </c>
      <c r="F958" s="0" t="n">
        <v>16.47</v>
      </c>
      <c r="G958" s="0" t="s">
        <v>613</v>
      </c>
      <c r="H958" s="0" t="s">
        <v>1303</v>
      </c>
      <c r="I958" s="0" t="s">
        <v>2614</v>
      </c>
      <c r="J958" s="0" t="s">
        <v>3117</v>
      </c>
      <c r="K958" s="0" t="s">
        <v>3118</v>
      </c>
      <c r="L958" s="0" t="n">
        <v>1.8</v>
      </c>
      <c r="M958" s="0" t="n">
        <v>1</v>
      </c>
      <c r="N958" s="0" t="n">
        <v>6262.93</v>
      </c>
      <c r="O958" s="0" t="n">
        <v>4839.67</v>
      </c>
      <c r="P958" s="0" t="n">
        <v>1178.55</v>
      </c>
      <c r="Q958" s="0" t="s">
        <v>21</v>
      </c>
      <c r="R958" s="0" t="s">
        <v>51</v>
      </c>
      <c r="S958" s="0" t="s">
        <v>254</v>
      </c>
    </row>
    <row r="959" customFormat="false" ht="15" hidden="false" customHeight="false" outlineLevel="0" collapsed="false">
      <c r="A959" s="0" t="s">
        <v>3119</v>
      </c>
      <c r="B959" s="0" t="s">
        <v>47</v>
      </c>
      <c r="C959" s="0" t="s">
        <v>203</v>
      </c>
      <c r="D959" s="0" t="s">
        <v>198</v>
      </c>
      <c r="E959" s="0" t="s">
        <v>42</v>
      </c>
      <c r="F959" s="0" t="n">
        <v>11.84</v>
      </c>
      <c r="G959" s="0" t="s">
        <v>408</v>
      </c>
      <c r="H959" s="0" t="s">
        <v>217</v>
      </c>
      <c r="I959" s="0" t="s">
        <v>409</v>
      </c>
      <c r="J959" s="0" t="s">
        <v>664</v>
      </c>
      <c r="K959" s="0" t="s">
        <v>2183</v>
      </c>
      <c r="L959" s="0" t="n">
        <v>5.7</v>
      </c>
      <c r="M959" s="0" t="n">
        <v>1</v>
      </c>
      <c r="N959" s="0" t="n">
        <v>4186.84</v>
      </c>
      <c r="O959" s="0" t="n">
        <v>3747.81</v>
      </c>
      <c r="P959" s="0" t="n">
        <v>1291.91</v>
      </c>
      <c r="Q959" s="0" t="s">
        <v>23</v>
      </c>
      <c r="R959" s="0" t="s">
        <v>52</v>
      </c>
      <c r="S959" s="0" t="s">
        <v>222</v>
      </c>
    </row>
    <row r="960" customFormat="false" ht="15" hidden="false" customHeight="false" outlineLevel="0" collapsed="false">
      <c r="A960" s="0" t="s">
        <v>3120</v>
      </c>
      <c r="B960" s="0" t="s">
        <v>47</v>
      </c>
      <c r="C960" s="0" t="s">
        <v>203</v>
      </c>
      <c r="D960" s="0" t="s">
        <v>198</v>
      </c>
      <c r="E960" s="0" t="s">
        <v>44</v>
      </c>
      <c r="F960" s="0" t="n">
        <v>12.08</v>
      </c>
      <c r="G960" s="0" t="s">
        <v>1303</v>
      </c>
      <c r="H960" s="0" t="s">
        <v>1139</v>
      </c>
      <c r="I960" s="0" t="s">
        <v>1019</v>
      </c>
      <c r="J960" s="0" t="s">
        <v>3121</v>
      </c>
      <c r="K960" s="0" t="s">
        <v>2615</v>
      </c>
      <c r="L960" s="0" t="n">
        <v>-1</v>
      </c>
      <c r="M960" s="0" t="n">
        <v>0</v>
      </c>
      <c r="N960" s="0" t="n">
        <v>9353.62</v>
      </c>
      <c r="O960" s="0" t="n">
        <v>1510</v>
      </c>
      <c r="P960" s="0" t="n">
        <v>593.03</v>
      </c>
      <c r="Q960" s="0" t="s">
        <v>24</v>
      </c>
      <c r="R960" s="0" t="s">
        <v>52</v>
      </c>
      <c r="S960" s="0" t="s">
        <v>272</v>
      </c>
    </row>
    <row r="961" customFormat="false" ht="15" hidden="false" customHeight="false" outlineLevel="0" collapsed="false">
      <c r="A961" s="0" t="s">
        <v>3122</v>
      </c>
      <c r="B961" s="0" t="s">
        <v>48</v>
      </c>
      <c r="C961" s="0" t="s">
        <v>198</v>
      </c>
      <c r="D961" s="0" t="s">
        <v>201</v>
      </c>
      <c r="E961" s="0" t="s">
        <v>43</v>
      </c>
      <c r="F961" s="0" t="n">
        <v>12.2</v>
      </c>
      <c r="G961" s="0" t="s">
        <v>327</v>
      </c>
      <c r="H961" s="0" t="s">
        <v>570</v>
      </c>
      <c r="I961" s="0" t="s">
        <v>353</v>
      </c>
      <c r="J961" s="0" t="s">
        <v>3123</v>
      </c>
      <c r="K961" s="0" t="s">
        <v>3124</v>
      </c>
      <c r="L961" s="0" t="n">
        <v>4.6</v>
      </c>
      <c r="M961" s="0" t="n">
        <v>1</v>
      </c>
      <c r="N961" s="0" t="n">
        <v>6143.51</v>
      </c>
      <c r="O961" s="0" t="n">
        <v>2793.47</v>
      </c>
      <c r="P961" s="0" t="n">
        <v>756.09</v>
      </c>
      <c r="Q961" s="0" t="s">
        <v>22</v>
      </c>
      <c r="R961" s="0" t="s">
        <v>52</v>
      </c>
      <c r="S961" s="0" t="s">
        <v>228</v>
      </c>
    </row>
    <row r="962" customFormat="false" ht="15" hidden="false" customHeight="false" outlineLevel="0" collapsed="false">
      <c r="A962" s="0" t="s">
        <v>3125</v>
      </c>
      <c r="B962" s="0" t="s">
        <v>48</v>
      </c>
      <c r="C962" s="0" t="s">
        <v>198</v>
      </c>
      <c r="D962" s="0" t="s">
        <v>199</v>
      </c>
      <c r="E962" s="0" t="s">
        <v>43</v>
      </c>
      <c r="F962" s="0" t="n">
        <v>3.29</v>
      </c>
      <c r="G962" s="0" t="s">
        <v>454</v>
      </c>
      <c r="H962" s="0" t="s">
        <v>280</v>
      </c>
      <c r="I962" s="0" t="s">
        <v>705</v>
      </c>
      <c r="J962" s="0" t="s">
        <v>1956</v>
      </c>
      <c r="K962" s="0" t="s">
        <v>3126</v>
      </c>
      <c r="L962" s="0" t="n">
        <v>-0.3</v>
      </c>
      <c r="M962" s="0" t="n">
        <v>0</v>
      </c>
      <c r="N962" s="0" t="n">
        <v>2359.31</v>
      </c>
      <c r="O962" s="0" t="n">
        <v>1505.92</v>
      </c>
      <c r="P962" s="0" t="n">
        <v>914.48</v>
      </c>
      <c r="Q962" s="0" t="s">
        <v>25</v>
      </c>
      <c r="R962" s="0" t="s">
        <v>51</v>
      </c>
      <c r="S962" s="0" t="s">
        <v>272</v>
      </c>
    </row>
    <row r="963" customFormat="false" ht="15" hidden="false" customHeight="false" outlineLevel="0" collapsed="false">
      <c r="A963" s="0" t="s">
        <v>3127</v>
      </c>
      <c r="B963" s="0" t="s">
        <v>48</v>
      </c>
      <c r="C963" s="0" t="s">
        <v>198</v>
      </c>
      <c r="D963" s="0" t="s">
        <v>201</v>
      </c>
      <c r="E963" s="0" t="s">
        <v>43</v>
      </c>
      <c r="F963" s="0" t="n">
        <v>1.28</v>
      </c>
      <c r="G963" s="0" t="s">
        <v>249</v>
      </c>
      <c r="H963" s="0" t="s">
        <v>1087</v>
      </c>
      <c r="I963" s="0" t="s">
        <v>685</v>
      </c>
      <c r="J963" s="0" t="s">
        <v>3128</v>
      </c>
      <c r="K963" s="0" t="s">
        <v>3129</v>
      </c>
      <c r="L963" s="0" t="n">
        <v>6.1</v>
      </c>
      <c r="M963" s="0" t="n">
        <v>1</v>
      </c>
      <c r="N963" s="0" t="n">
        <v>1500</v>
      </c>
      <c r="O963" s="0" t="n">
        <v>1755.48</v>
      </c>
      <c r="P963" s="0" t="n">
        <v>768.6</v>
      </c>
      <c r="Q963" s="0" t="s">
        <v>23</v>
      </c>
      <c r="R963" s="0" t="s">
        <v>52</v>
      </c>
      <c r="S963" s="0" t="s">
        <v>247</v>
      </c>
    </row>
    <row r="964" customFormat="false" ht="15" hidden="false" customHeight="false" outlineLevel="0" collapsed="false">
      <c r="A964" s="0" t="s">
        <v>3130</v>
      </c>
      <c r="B964" s="0" t="s">
        <v>48</v>
      </c>
      <c r="C964" s="0" t="s">
        <v>198</v>
      </c>
      <c r="D964" s="0" t="s">
        <v>201</v>
      </c>
      <c r="E964" s="0" t="s">
        <v>43</v>
      </c>
      <c r="F964" s="0" t="n">
        <v>11.15</v>
      </c>
      <c r="G964" s="0" t="s">
        <v>430</v>
      </c>
      <c r="H964" s="0" t="s">
        <v>431</v>
      </c>
      <c r="I964" s="0" t="s">
        <v>502</v>
      </c>
      <c r="J964" s="0" t="s">
        <v>3131</v>
      </c>
      <c r="K964" s="0" t="s">
        <v>3132</v>
      </c>
      <c r="L964" s="0" t="n">
        <v>3.9</v>
      </c>
      <c r="M964" s="0" t="n">
        <v>1</v>
      </c>
      <c r="N964" s="0" t="n">
        <v>3710.23</v>
      </c>
      <c r="O964" s="0" t="n">
        <v>4099.43</v>
      </c>
      <c r="P964" s="0" t="n">
        <v>629.71</v>
      </c>
      <c r="Q964" s="0" t="s">
        <v>24</v>
      </c>
      <c r="R964" s="0" t="s">
        <v>51</v>
      </c>
      <c r="S964" s="0" t="s">
        <v>222</v>
      </c>
    </row>
    <row r="965" customFormat="false" ht="15" hidden="false" customHeight="false" outlineLevel="0" collapsed="false">
      <c r="A965" s="0" t="s">
        <v>3133</v>
      </c>
      <c r="B965" s="0" t="s">
        <v>48</v>
      </c>
      <c r="C965" s="0" t="s">
        <v>198</v>
      </c>
      <c r="D965" s="0" t="s">
        <v>207</v>
      </c>
      <c r="E965" s="0" t="s">
        <v>43</v>
      </c>
      <c r="F965" s="0" t="n">
        <v>9.62</v>
      </c>
      <c r="G965" s="0" t="s">
        <v>507</v>
      </c>
      <c r="H965" s="0" t="s">
        <v>523</v>
      </c>
      <c r="I965" s="0" t="s">
        <v>933</v>
      </c>
      <c r="J965" s="0" t="s">
        <v>1155</v>
      </c>
      <c r="K965" s="0" t="s">
        <v>3134</v>
      </c>
      <c r="L965" s="0" t="n">
        <v>0.3</v>
      </c>
      <c r="M965" s="0" t="n">
        <v>1</v>
      </c>
      <c r="N965" s="0" t="n">
        <v>3764.76</v>
      </c>
      <c r="O965" s="0" t="n">
        <v>1584.07</v>
      </c>
      <c r="P965" s="0" t="n">
        <v>789.18</v>
      </c>
      <c r="Q965" s="0" t="s">
        <v>24</v>
      </c>
      <c r="R965" s="0" t="s">
        <v>52</v>
      </c>
      <c r="S965" s="0" t="s">
        <v>272</v>
      </c>
    </row>
    <row r="966" customFormat="false" ht="15" hidden="false" customHeight="false" outlineLevel="0" collapsed="false">
      <c r="A966" s="0" t="s">
        <v>3135</v>
      </c>
      <c r="B966" s="0" t="s">
        <v>47</v>
      </c>
      <c r="C966" s="0" t="s">
        <v>205</v>
      </c>
      <c r="D966" s="0" t="s">
        <v>198</v>
      </c>
      <c r="E966" s="0" t="s">
        <v>44</v>
      </c>
      <c r="F966" s="0" t="n">
        <v>6.89</v>
      </c>
      <c r="G966" s="0" t="s">
        <v>563</v>
      </c>
      <c r="H966" s="0" t="s">
        <v>327</v>
      </c>
      <c r="I966" s="0" t="s">
        <v>353</v>
      </c>
      <c r="J966" s="0" t="s">
        <v>3136</v>
      </c>
      <c r="K966" s="0" t="s">
        <v>3137</v>
      </c>
      <c r="L966" s="0" t="n">
        <v>-1</v>
      </c>
      <c r="M966" s="0" t="n">
        <v>0</v>
      </c>
      <c r="N966" s="0" t="n">
        <v>2778.34</v>
      </c>
      <c r="O966" s="0" t="n">
        <v>4771.65</v>
      </c>
      <c r="P966" s="0" t="n">
        <v>1221.51</v>
      </c>
      <c r="Q966" s="0" t="s">
        <v>21</v>
      </c>
      <c r="R966" s="0" t="s">
        <v>52</v>
      </c>
      <c r="S966" s="0" t="s">
        <v>272</v>
      </c>
    </row>
    <row r="967" customFormat="false" ht="15" hidden="false" customHeight="false" outlineLevel="0" collapsed="false">
      <c r="A967" s="0" t="s">
        <v>3138</v>
      </c>
      <c r="B967" s="0" t="s">
        <v>48</v>
      </c>
      <c r="C967" s="0" t="s">
        <v>198</v>
      </c>
      <c r="D967" s="0" t="s">
        <v>207</v>
      </c>
      <c r="E967" s="0" t="s">
        <v>43</v>
      </c>
      <c r="F967" s="0" t="n">
        <v>2.67</v>
      </c>
      <c r="G967" s="0" t="s">
        <v>643</v>
      </c>
      <c r="H967" s="0" t="s">
        <v>502</v>
      </c>
      <c r="I967" s="0" t="s">
        <v>723</v>
      </c>
      <c r="J967" s="0" t="s">
        <v>3139</v>
      </c>
      <c r="K967" s="0" t="s">
        <v>2420</v>
      </c>
      <c r="L967" s="0" t="n">
        <v>4.6</v>
      </c>
      <c r="M967" s="0" t="n">
        <v>1</v>
      </c>
      <c r="N967" s="0" t="n">
        <v>2363.57</v>
      </c>
      <c r="O967" s="0" t="n">
        <v>4180.87</v>
      </c>
      <c r="P967" s="0" t="n">
        <v>1469.04</v>
      </c>
      <c r="Q967" s="0" t="s">
        <v>21</v>
      </c>
      <c r="R967" s="0" t="s">
        <v>52</v>
      </c>
      <c r="S967" s="0" t="s">
        <v>222</v>
      </c>
    </row>
    <row r="968" customFormat="false" ht="15" hidden="false" customHeight="false" outlineLevel="0" collapsed="false">
      <c r="A968" s="0" t="s">
        <v>3140</v>
      </c>
      <c r="B968" s="0" t="s">
        <v>47</v>
      </c>
      <c r="C968" s="0" t="s">
        <v>205</v>
      </c>
      <c r="D968" s="0" t="s">
        <v>198</v>
      </c>
      <c r="E968" s="0" t="s">
        <v>44</v>
      </c>
      <c r="F968" s="0" t="n">
        <v>9.88</v>
      </c>
      <c r="G968" s="0" t="s">
        <v>1265</v>
      </c>
      <c r="H968" s="0" t="s">
        <v>477</v>
      </c>
      <c r="I968" s="0" t="s">
        <v>978</v>
      </c>
      <c r="J968" s="0" t="s">
        <v>3141</v>
      </c>
      <c r="K968" s="0" t="s">
        <v>3142</v>
      </c>
      <c r="L968" s="0" t="n">
        <v>1.8</v>
      </c>
      <c r="M968" s="0" t="n">
        <v>1</v>
      </c>
      <c r="N968" s="0" t="n">
        <v>5015.84</v>
      </c>
      <c r="O968" s="0" t="n">
        <v>2060.49</v>
      </c>
      <c r="P968" s="0" t="n">
        <v>995.06</v>
      </c>
      <c r="Q968" s="0" t="s">
        <v>22</v>
      </c>
      <c r="R968" s="0" t="s">
        <v>52</v>
      </c>
      <c r="S968" s="0" t="s">
        <v>228</v>
      </c>
    </row>
    <row r="969" customFormat="false" ht="15" hidden="false" customHeight="false" outlineLevel="0" collapsed="false">
      <c r="A969" s="0" t="s">
        <v>3143</v>
      </c>
      <c r="B969" s="0" t="s">
        <v>47</v>
      </c>
      <c r="C969" s="0" t="s">
        <v>209</v>
      </c>
      <c r="D969" s="0" t="s">
        <v>198</v>
      </c>
      <c r="E969" s="0" t="s">
        <v>42</v>
      </c>
      <c r="F969" s="0" t="n">
        <v>17.08</v>
      </c>
      <c r="G969" s="0" t="s">
        <v>522</v>
      </c>
      <c r="H969" s="0" t="s">
        <v>326</v>
      </c>
      <c r="I969" s="0" t="s">
        <v>933</v>
      </c>
      <c r="J969" s="0" t="s">
        <v>3144</v>
      </c>
      <c r="K969" s="0" t="s">
        <v>843</v>
      </c>
      <c r="L969" s="0" t="n">
        <v>2.1</v>
      </c>
      <c r="M969" s="0" t="n">
        <v>1</v>
      </c>
      <c r="N969" s="0" t="n">
        <v>7474.11</v>
      </c>
      <c r="O969" s="0" t="n">
        <v>2405.42</v>
      </c>
      <c r="P969" s="0" t="n">
        <v>764.87</v>
      </c>
      <c r="Q969" s="0" t="s">
        <v>23</v>
      </c>
      <c r="R969" s="0" t="s">
        <v>51</v>
      </c>
      <c r="S969" s="0" t="s">
        <v>228</v>
      </c>
    </row>
    <row r="970" customFormat="false" ht="15" hidden="false" customHeight="false" outlineLevel="0" collapsed="false">
      <c r="A970" s="0" t="s">
        <v>3145</v>
      </c>
      <c r="B970" s="0" t="s">
        <v>48</v>
      </c>
      <c r="C970" s="0" t="s">
        <v>198</v>
      </c>
      <c r="D970" s="0" t="s">
        <v>207</v>
      </c>
      <c r="E970" s="0" t="s">
        <v>43</v>
      </c>
      <c r="F970" s="0" t="n">
        <v>7.65</v>
      </c>
      <c r="G970" s="0" t="s">
        <v>597</v>
      </c>
      <c r="H970" s="0" t="s">
        <v>1198</v>
      </c>
      <c r="I970" s="0" t="s">
        <v>731</v>
      </c>
      <c r="J970" s="0" t="s">
        <v>1199</v>
      </c>
      <c r="K970" s="0" t="s">
        <v>835</v>
      </c>
      <c r="L970" s="0" t="n">
        <v>1.5</v>
      </c>
      <c r="M970" s="0" t="n">
        <v>1</v>
      </c>
      <c r="N970" s="0" t="n">
        <v>4237.05</v>
      </c>
      <c r="O970" s="0" t="n">
        <v>3901.56</v>
      </c>
      <c r="P970" s="0" t="n">
        <v>709.66</v>
      </c>
      <c r="Q970" s="0" t="s">
        <v>24</v>
      </c>
      <c r="R970" s="0" t="s">
        <v>52</v>
      </c>
      <c r="S970" s="0" t="s">
        <v>254</v>
      </c>
    </row>
    <row r="971" customFormat="false" ht="15" hidden="false" customHeight="false" outlineLevel="0" collapsed="false">
      <c r="A971" s="0" t="s">
        <v>3146</v>
      </c>
      <c r="B971" s="0" t="s">
        <v>48</v>
      </c>
      <c r="C971" s="0" t="s">
        <v>198</v>
      </c>
      <c r="D971" s="0" t="s">
        <v>213</v>
      </c>
      <c r="E971" s="0" t="s">
        <v>44</v>
      </c>
      <c r="F971" s="0" t="n">
        <v>17.81</v>
      </c>
      <c r="G971" s="0" t="s">
        <v>231</v>
      </c>
      <c r="H971" s="0" t="s">
        <v>619</v>
      </c>
      <c r="I971" s="0" t="s">
        <v>1167</v>
      </c>
      <c r="J971" s="0" t="s">
        <v>544</v>
      </c>
      <c r="K971" s="0" t="s">
        <v>2312</v>
      </c>
      <c r="L971" s="0" t="n">
        <v>9.5</v>
      </c>
      <c r="M971" s="0" t="n">
        <v>1</v>
      </c>
      <c r="N971" s="0" t="n">
        <v>12749.69</v>
      </c>
      <c r="O971" s="0" t="n">
        <v>1832.1</v>
      </c>
      <c r="P971" s="0" t="n">
        <v>837.71</v>
      </c>
      <c r="Q971" s="0" t="s">
        <v>22</v>
      </c>
      <c r="R971" s="0" t="s">
        <v>52</v>
      </c>
      <c r="S971" s="0" t="s">
        <v>222</v>
      </c>
    </row>
    <row r="972" customFormat="false" ht="15" hidden="false" customHeight="false" outlineLevel="0" collapsed="false">
      <c r="A972" s="0" t="s">
        <v>3147</v>
      </c>
      <c r="B972" s="0" t="s">
        <v>48</v>
      </c>
      <c r="C972" s="0" t="s">
        <v>198</v>
      </c>
      <c r="D972" s="0" t="s">
        <v>204</v>
      </c>
      <c r="E972" s="0" t="s">
        <v>42</v>
      </c>
      <c r="F972" s="0" t="n">
        <v>16.38</v>
      </c>
      <c r="G972" s="0" t="s">
        <v>425</v>
      </c>
      <c r="H972" s="0" t="s">
        <v>597</v>
      </c>
      <c r="I972" s="0" t="s">
        <v>833</v>
      </c>
      <c r="J972" s="0" t="s">
        <v>3148</v>
      </c>
      <c r="K972" s="0" t="s">
        <v>3149</v>
      </c>
      <c r="L972" s="0" t="n">
        <v>-1</v>
      </c>
      <c r="M972" s="0" t="n">
        <v>0</v>
      </c>
      <c r="N972" s="0" t="n">
        <v>6604.81</v>
      </c>
      <c r="O972" s="0" t="n">
        <v>4904.06</v>
      </c>
      <c r="P972" s="0" t="n">
        <v>810.6</v>
      </c>
      <c r="Q972" s="0" t="s">
        <v>24</v>
      </c>
      <c r="R972" s="0" t="s">
        <v>52</v>
      </c>
      <c r="S972" s="0" t="s">
        <v>222</v>
      </c>
    </row>
    <row r="973" customFormat="false" ht="15" hidden="false" customHeight="false" outlineLevel="0" collapsed="false">
      <c r="A973" s="0" t="s">
        <v>3150</v>
      </c>
      <c r="B973" s="0" t="s">
        <v>48</v>
      </c>
      <c r="C973" s="0" t="s">
        <v>198</v>
      </c>
      <c r="D973" s="0" t="s">
        <v>199</v>
      </c>
      <c r="E973" s="0" t="s">
        <v>42</v>
      </c>
      <c r="F973" s="0" t="n">
        <v>9.76</v>
      </c>
      <c r="G973" s="0" t="s">
        <v>850</v>
      </c>
      <c r="H973" s="0" t="s">
        <v>424</v>
      </c>
      <c r="I973" s="0" t="s">
        <v>1064</v>
      </c>
      <c r="J973" s="0" t="s">
        <v>2700</v>
      </c>
      <c r="K973" s="0" t="s">
        <v>3151</v>
      </c>
      <c r="L973" s="0" t="n">
        <v>2.3</v>
      </c>
      <c r="M973" s="0" t="n">
        <v>1</v>
      </c>
      <c r="N973" s="0" t="n">
        <v>4357.39</v>
      </c>
      <c r="O973" s="0" t="n">
        <v>4993.68</v>
      </c>
      <c r="P973" s="0" t="n">
        <v>1252.4</v>
      </c>
      <c r="Q973" s="0" t="s">
        <v>21</v>
      </c>
      <c r="R973" s="0" t="s">
        <v>51</v>
      </c>
      <c r="S973" s="0" t="s">
        <v>272</v>
      </c>
    </row>
    <row r="974" customFormat="false" ht="15" hidden="false" customHeight="false" outlineLevel="0" collapsed="false">
      <c r="A974" s="0" t="s">
        <v>3152</v>
      </c>
      <c r="B974" s="0" t="s">
        <v>47</v>
      </c>
      <c r="C974" s="0" t="s">
        <v>203</v>
      </c>
      <c r="D974" s="0" t="s">
        <v>198</v>
      </c>
      <c r="E974" s="0" t="s">
        <v>42</v>
      </c>
      <c r="F974" s="0" t="n">
        <v>17.41</v>
      </c>
      <c r="G974" s="0" t="s">
        <v>695</v>
      </c>
      <c r="H974" s="0" t="s">
        <v>696</v>
      </c>
      <c r="I974" s="0" t="s">
        <v>913</v>
      </c>
      <c r="J974" s="0" t="s">
        <v>3153</v>
      </c>
      <c r="K974" s="0" t="s">
        <v>3154</v>
      </c>
      <c r="L974" s="0" t="n">
        <v>4.5</v>
      </c>
      <c r="M974" s="0" t="n">
        <v>1</v>
      </c>
      <c r="N974" s="0" t="n">
        <v>7796.07</v>
      </c>
      <c r="O974" s="0" t="n">
        <v>3052.86</v>
      </c>
      <c r="P974" s="0" t="n">
        <v>1085.9</v>
      </c>
      <c r="Q974" s="0" t="s">
        <v>23</v>
      </c>
      <c r="R974" s="0" t="s">
        <v>51</v>
      </c>
      <c r="S974" s="0" t="s">
        <v>228</v>
      </c>
    </row>
    <row r="975" customFormat="false" ht="15" hidden="false" customHeight="false" outlineLevel="0" collapsed="false">
      <c r="A975" s="0" t="s">
        <v>3155</v>
      </c>
      <c r="B975" s="0" t="s">
        <v>48</v>
      </c>
      <c r="C975" s="0" t="s">
        <v>198</v>
      </c>
      <c r="D975" s="0" t="s">
        <v>212</v>
      </c>
      <c r="E975" s="0" t="s">
        <v>43</v>
      </c>
      <c r="F975" s="0" t="n">
        <v>4.41</v>
      </c>
      <c r="G975" s="0" t="s">
        <v>636</v>
      </c>
      <c r="H975" s="0" t="s">
        <v>1051</v>
      </c>
      <c r="I975" s="0" t="s">
        <v>403</v>
      </c>
      <c r="J975" s="0" t="s">
        <v>3156</v>
      </c>
      <c r="K975" s="0" t="s">
        <v>3157</v>
      </c>
      <c r="L975" s="0" t="n">
        <v>1</v>
      </c>
      <c r="M975" s="0" t="n">
        <v>1</v>
      </c>
      <c r="N975" s="0" t="n">
        <v>2280.22</v>
      </c>
      <c r="O975" s="0" t="n">
        <v>2139.41</v>
      </c>
      <c r="P975" s="0" t="n">
        <v>1005.16</v>
      </c>
      <c r="Q975" s="0" t="s">
        <v>21</v>
      </c>
      <c r="R975" s="0" t="s">
        <v>52</v>
      </c>
      <c r="S975" s="0" t="s">
        <v>228</v>
      </c>
    </row>
    <row r="976" customFormat="false" ht="15" hidden="false" customHeight="false" outlineLevel="0" collapsed="false">
      <c r="A976" s="0" t="s">
        <v>3158</v>
      </c>
      <c r="B976" s="0" t="s">
        <v>48</v>
      </c>
      <c r="C976" s="0" t="s">
        <v>198</v>
      </c>
      <c r="D976" s="0" t="s">
        <v>199</v>
      </c>
      <c r="E976" s="0" t="s">
        <v>43</v>
      </c>
      <c r="F976" s="0" t="n">
        <v>11.1</v>
      </c>
      <c r="G976" s="0" t="s">
        <v>292</v>
      </c>
      <c r="H976" s="0" t="s">
        <v>1144</v>
      </c>
      <c r="I976" s="0" t="s">
        <v>501</v>
      </c>
      <c r="J976" s="0" t="s">
        <v>3159</v>
      </c>
      <c r="K976" s="0" t="s">
        <v>3160</v>
      </c>
      <c r="L976" s="0" t="n">
        <v>0.1</v>
      </c>
      <c r="M976" s="0" t="n">
        <v>1</v>
      </c>
      <c r="N976" s="0" t="n">
        <v>4687.13</v>
      </c>
      <c r="O976" s="0" t="n">
        <v>2972.12</v>
      </c>
      <c r="P976" s="0" t="n">
        <v>1064.13</v>
      </c>
      <c r="Q976" s="0" t="s">
        <v>25</v>
      </c>
      <c r="R976" s="0" t="s">
        <v>52</v>
      </c>
      <c r="S976" s="0" t="s">
        <v>247</v>
      </c>
    </row>
    <row r="977" customFormat="false" ht="15" hidden="false" customHeight="false" outlineLevel="0" collapsed="false">
      <c r="A977" s="0" t="s">
        <v>3161</v>
      </c>
      <c r="B977" s="0" t="s">
        <v>48</v>
      </c>
      <c r="C977" s="0" t="s">
        <v>198</v>
      </c>
      <c r="D977" s="0" t="s">
        <v>211</v>
      </c>
      <c r="E977" s="0" t="s">
        <v>44</v>
      </c>
      <c r="F977" s="0" t="n">
        <v>13.42</v>
      </c>
      <c r="G977" s="0" t="s">
        <v>1139</v>
      </c>
      <c r="H977" s="0" t="s">
        <v>2614</v>
      </c>
      <c r="I977" s="0" t="s">
        <v>1304</v>
      </c>
      <c r="J977" s="0" t="s">
        <v>3162</v>
      </c>
      <c r="K977" s="0" t="s">
        <v>3163</v>
      </c>
      <c r="L977" s="0" t="n">
        <v>3.7</v>
      </c>
      <c r="M977" s="0" t="n">
        <v>1</v>
      </c>
      <c r="N977" s="0" t="n">
        <v>5896.1</v>
      </c>
      <c r="O977" s="0" t="n">
        <v>2503.75</v>
      </c>
      <c r="P977" s="0" t="n">
        <v>1034.87</v>
      </c>
      <c r="Q977" s="0" t="s">
        <v>22</v>
      </c>
      <c r="R977" s="0" t="s">
        <v>52</v>
      </c>
      <c r="S977" s="0" t="s">
        <v>272</v>
      </c>
    </row>
    <row r="978" customFormat="false" ht="15" hidden="false" customHeight="false" outlineLevel="0" collapsed="false">
      <c r="A978" s="0" t="s">
        <v>3164</v>
      </c>
      <c r="B978" s="0" t="s">
        <v>47</v>
      </c>
      <c r="C978" s="0" t="s">
        <v>205</v>
      </c>
      <c r="D978" s="0" t="s">
        <v>198</v>
      </c>
      <c r="E978" s="0" t="s">
        <v>44</v>
      </c>
      <c r="F978" s="0" t="n">
        <v>17.66</v>
      </c>
      <c r="G978" s="0" t="s">
        <v>1270</v>
      </c>
      <c r="H978" s="0" t="s">
        <v>756</v>
      </c>
      <c r="I978" s="0" t="s">
        <v>615</v>
      </c>
      <c r="J978" s="0" t="s">
        <v>3165</v>
      </c>
      <c r="K978" s="0" t="s">
        <v>2231</v>
      </c>
      <c r="L978" s="0" t="n">
        <v>0.3</v>
      </c>
      <c r="M978" s="0" t="n">
        <v>1</v>
      </c>
      <c r="N978" s="0" t="n">
        <v>9476.77</v>
      </c>
      <c r="O978" s="0" t="n">
        <v>3907.92</v>
      </c>
      <c r="P978" s="0" t="n">
        <v>878.03</v>
      </c>
      <c r="Q978" s="0" t="s">
        <v>24</v>
      </c>
      <c r="R978" s="0" t="s">
        <v>51</v>
      </c>
      <c r="S978" s="0" t="s">
        <v>222</v>
      </c>
    </row>
    <row r="979" customFormat="false" ht="15" hidden="false" customHeight="false" outlineLevel="0" collapsed="false">
      <c r="A979" s="0" t="s">
        <v>3166</v>
      </c>
      <c r="B979" s="0" t="s">
        <v>47</v>
      </c>
      <c r="C979" s="0" t="s">
        <v>205</v>
      </c>
      <c r="D979" s="0" t="s">
        <v>198</v>
      </c>
      <c r="E979" s="0" t="s">
        <v>42</v>
      </c>
      <c r="F979" s="0" t="n">
        <v>1.15</v>
      </c>
      <c r="G979" s="0" t="s">
        <v>1228</v>
      </c>
      <c r="H979" s="0" t="s">
        <v>261</v>
      </c>
      <c r="I979" s="0" t="s">
        <v>263</v>
      </c>
      <c r="J979" s="0" t="s">
        <v>3167</v>
      </c>
      <c r="K979" s="0" t="s">
        <v>3168</v>
      </c>
      <c r="L979" s="0" t="n">
        <v>1.4</v>
      </c>
      <c r="M979" s="0" t="n">
        <v>1</v>
      </c>
      <c r="N979" s="0" t="n">
        <v>1794.98</v>
      </c>
      <c r="O979" s="0" t="n">
        <v>1044.11</v>
      </c>
      <c r="P979" s="0" t="n">
        <v>812.13</v>
      </c>
      <c r="Q979" s="0" t="s">
        <v>24</v>
      </c>
      <c r="R979" s="0" t="s">
        <v>52</v>
      </c>
      <c r="S979" s="0" t="s">
        <v>272</v>
      </c>
    </row>
    <row r="980" customFormat="false" ht="15" hidden="false" customHeight="false" outlineLevel="0" collapsed="false">
      <c r="A980" s="0" t="s">
        <v>3169</v>
      </c>
      <c r="B980" s="0" t="s">
        <v>48</v>
      </c>
      <c r="C980" s="0" t="s">
        <v>198</v>
      </c>
      <c r="D980" s="0" t="s">
        <v>204</v>
      </c>
      <c r="E980" s="0" t="s">
        <v>43</v>
      </c>
      <c r="F980" s="0" t="n">
        <v>1.24</v>
      </c>
      <c r="G980" s="0" t="s">
        <v>238</v>
      </c>
      <c r="H980" s="0" t="s">
        <v>449</v>
      </c>
      <c r="I980" s="0" t="s">
        <v>281</v>
      </c>
      <c r="J980" s="0" t="s">
        <v>3170</v>
      </c>
      <c r="K980" s="0" t="s">
        <v>3171</v>
      </c>
      <c r="L980" s="0" t="n">
        <v>2.1</v>
      </c>
      <c r="M980" s="0" t="n">
        <v>1</v>
      </c>
      <c r="N980" s="0" t="n">
        <v>1262.84</v>
      </c>
      <c r="O980" s="0" t="n">
        <v>1237.24</v>
      </c>
      <c r="P980" s="0" t="n">
        <v>805.33</v>
      </c>
      <c r="Q980" s="0" t="s">
        <v>24</v>
      </c>
      <c r="R980" s="0" t="s">
        <v>52</v>
      </c>
      <c r="S980" s="0" t="s">
        <v>254</v>
      </c>
    </row>
    <row r="981" customFormat="false" ht="15" hidden="false" customHeight="false" outlineLevel="0" collapsed="false">
      <c r="A981" s="0" t="s">
        <v>3172</v>
      </c>
      <c r="B981" s="0" t="s">
        <v>48</v>
      </c>
      <c r="C981" s="0" t="s">
        <v>198</v>
      </c>
      <c r="D981" s="0" t="s">
        <v>212</v>
      </c>
      <c r="E981" s="0" t="s">
        <v>42</v>
      </c>
      <c r="F981" s="0" t="n">
        <v>18.03</v>
      </c>
      <c r="G981" s="0" t="s">
        <v>439</v>
      </c>
      <c r="H981" s="0" t="s">
        <v>1380</v>
      </c>
      <c r="I981" s="0" t="s">
        <v>850</v>
      </c>
      <c r="J981" s="0" t="s">
        <v>2856</v>
      </c>
      <c r="K981" s="0" t="s">
        <v>961</v>
      </c>
      <c r="L981" s="0" t="n">
        <v>-1</v>
      </c>
      <c r="M981" s="0" t="n">
        <v>0</v>
      </c>
      <c r="N981" s="0" t="n">
        <v>11376.75</v>
      </c>
      <c r="O981" s="0" t="n">
        <v>3331.99</v>
      </c>
      <c r="P981" s="0" t="n">
        <v>901.65</v>
      </c>
      <c r="Q981" s="0" t="s">
        <v>23</v>
      </c>
      <c r="R981" s="0" t="s">
        <v>52</v>
      </c>
      <c r="S981" s="0" t="s">
        <v>228</v>
      </c>
    </row>
    <row r="982" customFormat="false" ht="15" hidden="false" customHeight="false" outlineLevel="0" collapsed="false">
      <c r="A982" s="0" t="s">
        <v>3173</v>
      </c>
      <c r="B982" s="0" t="s">
        <v>48</v>
      </c>
      <c r="C982" s="0" t="s">
        <v>198</v>
      </c>
      <c r="D982" s="0" t="s">
        <v>213</v>
      </c>
      <c r="E982" s="0" t="s">
        <v>42</v>
      </c>
      <c r="F982" s="0" t="n">
        <v>19.03</v>
      </c>
      <c r="G982" s="0" t="s">
        <v>954</v>
      </c>
      <c r="H982" s="0" t="s">
        <v>342</v>
      </c>
      <c r="I982" s="0" t="s">
        <v>1205</v>
      </c>
      <c r="J982" s="0" t="s">
        <v>3174</v>
      </c>
      <c r="K982" s="0" t="s">
        <v>3175</v>
      </c>
      <c r="L982" s="0" t="n">
        <v>0</v>
      </c>
      <c r="M982" s="0" t="n">
        <v>0</v>
      </c>
      <c r="N982" s="0" t="n">
        <v>8859.59</v>
      </c>
      <c r="O982" s="0" t="n">
        <v>3804.56</v>
      </c>
      <c r="P982" s="0" t="n">
        <v>790.64</v>
      </c>
      <c r="Q982" s="0" t="s">
        <v>22</v>
      </c>
      <c r="R982" s="0" t="s">
        <v>51</v>
      </c>
      <c r="S982" s="0" t="s">
        <v>222</v>
      </c>
    </row>
    <row r="983" customFormat="false" ht="15" hidden="false" customHeight="false" outlineLevel="0" collapsed="false">
      <c r="A983" s="0" t="s">
        <v>3176</v>
      </c>
      <c r="B983" s="0" t="s">
        <v>47</v>
      </c>
      <c r="C983" s="0" t="s">
        <v>205</v>
      </c>
      <c r="D983" s="0" t="s">
        <v>198</v>
      </c>
      <c r="E983" s="0" t="s">
        <v>44</v>
      </c>
      <c r="F983" s="0" t="n">
        <v>6.65</v>
      </c>
      <c r="G983" s="0" t="s">
        <v>380</v>
      </c>
      <c r="H983" s="0" t="s">
        <v>785</v>
      </c>
      <c r="I983" s="0" t="s">
        <v>2247</v>
      </c>
      <c r="J983" s="0" t="s">
        <v>2843</v>
      </c>
      <c r="K983" s="0" t="s">
        <v>3177</v>
      </c>
      <c r="L983" s="0" t="n">
        <v>2.3</v>
      </c>
      <c r="M983" s="0" t="n">
        <v>1</v>
      </c>
      <c r="N983" s="0" t="n">
        <v>2940.26</v>
      </c>
      <c r="O983" s="0" t="n">
        <v>2543.25</v>
      </c>
      <c r="P983" s="0" t="n">
        <v>1214.22</v>
      </c>
      <c r="Q983" s="0" t="s">
        <v>23</v>
      </c>
      <c r="R983" s="0" t="s">
        <v>51</v>
      </c>
      <c r="S983" s="0" t="s">
        <v>247</v>
      </c>
    </row>
    <row r="984" customFormat="false" ht="15" hidden="false" customHeight="false" outlineLevel="0" collapsed="false">
      <c r="A984" s="0" t="s">
        <v>3178</v>
      </c>
      <c r="B984" s="0" t="s">
        <v>48</v>
      </c>
      <c r="C984" s="0" t="s">
        <v>198</v>
      </c>
      <c r="D984" s="0" t="s">
        <v>213</v>
      </c>
      <c r="E984" s="0" t="s">
        <v>44</v>
      </c>
      <c r="F984" s="0" t="n">
        <v>2.32</v>
      </c>
      <c r="G984" s="0" t="s">
        <v>873</v>
      </c>
      <c r="H984" s="0" t="s">
        <v>256</v>
      </c>
      <c r="I984" s="0" t="s">
        <v>225</v>
      </c>
      <c r="J984" s="0" t="s">
        <v>3179</v>
      </c>
      <c r="K984" s="0" t="s">
        <v>411</v>
      </c>
      <c r="L984" s="0" t="n">
        <v>-1</v>
      </c>
      <c r="M984" s="0" t="n">
        <v>0</v>
      </c>
      <c r="N984" s="0" t="n">
        <v>2077.81</v>
      </c>
      <c r="O984" s="0" t="n">
        <v>2751.86</v>
      </c>
      <c r="P984" s="0" t="n">
        <v>855</v>
      </c>
      <c r="Q984" s="0" t="s">
        <v>22</v>
      </c>
      <c r="R984" s="0" t="s">
        <v>51</v>
      </c>
      <c r="S984" s="0" t="s">
        <v>228</v>
      </c>
    </row>
    <row r="985" customFormat="false" ht="15" hidden="false" customHeight="false" outlineLevel="0" collapsed="false">
      <c r="A985" s="0" t="s">
        <v>3180</v>
      </c>
      <c r="B985" s="0" t="s">
        <v>48</v>
      </c>
      <c r="C985" s="0" t="s">
        <v>198</v>
      </c>
      <c r="D985" s="0" t="s">
        <v>214</v>
      </c>
      <c r="E985" s="0" t="s">
        <v>42</v>
      </c>
      <c r="F985" s="0" t="n">
        <v>2.38</v>
      </c>
      <c r="G985" s="0" t="s">
        <v>867</v>
      </c>
      <c r="H985" s="0" t="s">
        <v>424</v>
      </c>
      <c r="I985" s="0" t="s">
        <v>896</v>
      </c>
      <c r="J985" s="0" t="s">
        <v>3181</v>
      </c>
      <c r="K985" s="0" t="s">
        <v>1761</v>
      </c>
      <c r="L985" s="0" t="n">
        <v>-1</v>
      </c>
      <c r="M985" s="0" t="n">
        <v>0</v>
      </c>
      <c r="N985" s="0" t="n">
        <v>1862.3</v>
      </c>
      <c r="O985" s="0" t="n">
        <v>3647.16</v>
      </c>
      <c r="P985" s="0" t="n">
        <v>948.23</v>
      </c>
      <c r="Q985" s="0" t="s">
        <v>23</v>
      </c>
      <c r="R985" s="0" t="s">
        <v>52</v>
      </c>
      <c r="S985" s="0" t="s">
        <v>247</v>
      </c>
    </row>
    <row r="986" customFormat="false" ht="15" hidden="false" customHeight="false" outlineLevel="0" collapsed="false">
      <c r="A986" s="0" t="s">
        <v>3182</v>
      </c>
      <c r="B986" s="0" t="s">
        <v>48</v>
      </c>
      <c r="C986" s="0" t="s">
        <v>198</v>
      </c>
      <c r="D986" s="0" t="s">
        <v>211</v>
      </c>
      <c r="E986" s="0" t="s">
        <v>44</v>
      </c>
      <c r="F986" s="0" t="n">
        <v>9.49</v>
      </c>
      <c r="G986" s="0" t="s">
        <v>316</v>
      </c>
      <c r="H986" s="0" t="s">
        <v>880</v>
      </c>
      <c r="I986" s="0" t="s">
        <v>348</v>
      </c>
      <c r="J986" s="0" t="s">
        <v>3183</v>
      </c>
      <c r="K986" s="0" t="s">
        <v>350</v>
      </c>
      <c r="L986" s="0" t="n">
        <v>-0.9</v>
      </c>
      <c r="M986" s="0" t="n">
        <v>0</v>
      </c>
      <c r="N986" s="0" t="n">
        <v>4415.8</v>
      </c>
      <c r="O986" s="0" t="n">
        <v>3759.58</v>
      </c>
      <c r="P986" s="0" t="n">
        <v>1384</v>
      </c>
      <c r="Q986" s="0" t="s">
        <v>23</v>
      </c>
      <c r="R986" s="0" t="s">
        <v>52</v>
      </c>
      <c r="S986" s="0" t="s">
        <v>222</v>
      </c>
    </row>
    <row r="987" customFormat="false" ht="15" hidden="false" customHeight="false" outlineLevel="0" collapsed="false">
      <c r="A987" s="0" t="s">
        <v>3184</v>
      </c>
      <c r="B987" s="0" t="s">
        <v>47</v>
      </c>
      <c r="C987" s="0" t="s">
        <v>205</v>
      </c>
      <c r="D987" s="0" t="s">
        <v>198</v>
      </c>
      <c r="E987" s="0" t="s">
        <v>43</v>
      </c>
      <c r="F987" s="0" t="n">
        <v>4.93</v>
      </c>
      <c r="G987" s="0" t="s">
        <v>756</v>
      </c>
      <c r="H987" s="0" t="s">
        <v>1304</v>
      </c>
      <c r="I987" s="0" t="s">
        <v>408</v>
      </c>
      <c r="J987" s="0" t="s">
        <v>1473</v>
      </c>
      <c r="K987" s="0" t="s">
        <v>3185</v>
      </c>
      <c r="L987" s="0" t="n">
        <v>5</v>
      </c>
      <c r="M987" s="0" t="n">
        <v>1</v>
      </c>
      <c r="N987" s="0" t="n">
        <v>2098.03</v>
      </c>
      <c r="O987" s="0" t="n">
        <v>1448.96</v>
      </c>
      <c r="P987" s="0" t="n">
        <v>791.22</v>
      </c>
      <c r="Q987" s="0" t="s">
        <v>22</v>
      </c>
      <c r="R987" s="0" t="s">
        <v>52</v>
      </c>
      <c r="S987" s="0" t="s">
        <v>222</v>
      </c>
    </row>
    <row r="988" customFormat="false" ht="15" hidden="false" customHeight="false" outlineLevel="0" collapsed="false">
      <c r="A988" s="0" t="s">
        <v>3186</v>
      </c>
      <c r="B988" s="0" t="s">
        <v>47</v>
      </c>
      <c r="C988" s="0" t="s">
        <v>199</v>
      </c>
      <c r="D988" s="0" t="s">
        <v>198</v>
      </c>
      <c r="E988" s="0" t="s">
        <v>43</v>
      </c>
      <c r="F988" s="0" t="n">
        <v>12.67</v>
      </c>
      <c r="G988" s="0" t="s">
        <v>292</v>
      </c>
      <c r="H988" s="0" t="s">
        <v>1144</v>
      </c>
      <c r="I988" s="0" t="s">
        <v>604</v>
      </c>
      <c r="J988" s="0" t="s">
        <v>3187</v>
      </c>
      <c r="K988" s="0" t="s">
        <v>3188</v>
      </c>
      <c r="L988" s="0" t="n">
        <v>8.8</v>
      </c>
      <c r="M988" s="0" t="n">
        <v>1</v>
      </c>
      <c r="N988" s="0" t="n">
        <v>3861.46</v>
      </c>
      <c r="O988" s="0" t="n">
        <v>1716.72</v>
      </c>
      <c r="P988" s="0" t="n">
        <v>1147.07</v>
      </c>
      <c r="Q988" s="0" t="s">
        <v>23</v>
      </c>
      <c r="R988" s="0" t="s">
        <v>52</v>
      </c>
      <c r="S988" s="0" t="s">
        <v>228</v>
      </c>
    </row>
    <row r="989" customFormat="false" ht="15" hidden="false" customHeight="false" outlineLevel="0" collapsed="false">
      <c r="A989" s="0" t="s">
        <v>3189</v>
      </c>
      <c r="B989" s="0" t="s">
        <v>47</v>
      </c>
      <c r="C989" s="0" t="s">
        <v>203</v>
      </c>
      <c r="D989" s="0" t="s">
        <v>198</v>
      </c>
      <c r="E989" s="0" t="s">
        <v>42</v>
      </c>
      <c r="F989" s="0" t="n">
        <v>9.82</v>
      </c>
      <c r="G989" s="0" t="s">
        <v>358</v>
      </c>
      <c r="H989" s="0" t="s">
        <v>1926</v>
      </c>
      <c r="I989" s="0" t="s">
        <v>563</v>
      </c>
      <c r="J989" s="0" t="s">
        <v>3190</v>
      </c>
      <c r="K989" s="0" t="s">
        <v>3191</v>
      </c>
      <c r="L989" s="0" t="n">
        <v>2.2</v>
      </c>
      <c r="M989" s="0" t="n">
        <v>1</v>
      </c>
      <c r="N989" s="0" t="n">
        <v>5900.16</v>
      </c>
      <c r="O989" s="0" t="n">
        <v>3227.38</v>
      </c>
      <c r="P989" s="0" t="n">
        <v>1429.02</v>
      </c>
      <c r="Q989" s="0" t="s">
        <v>25</v>
      </c>
      <c r="R989" s="0" t="s">
        <v>51</v>
      </c>
      <c r="S989" s="0" t="s">
        <v>247</v>
      </c>
    </row>
    <row r="990" customFormat="false" ht="15" hidden="false" customHeight="false" outlineLevel="0" collapsed="false">
      <c r="A990" s="0" t="s">
        <v>3192</v>
      </c>
      <c r="B990" s="0" t="s">
        <v>48</v>
      </c>
      <c r="C990" s="0" t="s">
        <v>198</v>
      </c>
      <c r="D990" s="0" t="s">
        <v>207</v>
      </c>
      <c r="E990" s="0" t="s">
        <v>44</v>
      </c>
      <c r="F990" s="0" t="n">
        <v>8.18</v>
      </c>
      <c r="G990" s="0" t="s">
        <v>880</v>
      </c>
      <c r="H990" s="0" t="s">
        <v>950</v>
      </c>
      <c r="I990" s="0" t="s">
        <v>348</v>
      </c>
      <c r="J990" s="0" t="s">
        <v>3193</v>
      </c>
      <c r="K990" s="0" t="s">
        <v>3194</v>
      </c>
      <c r="L990" s="0" t="n">
        <v>2.3</v>
      </c>
      <c r="M990" s="0" t="n">
        <v>1</v>
      </c>
      <c r="N990" s="0" t="n">
        <v>4657.96</v>
      </c>
      <c r="O990" s="0" t="n">
        <v>1303.49</v>
      </c>
      <c r="P990" s="0" t="n">
        <v>1198.22</v>
      </c>
      <c r="Q990" s="0" t="s">
        <v>21</v>
      </c>
      <c r="R990" s="0" t="s">
        <v>51</v>
      </c>
      <c r="S990" s="0" t="s">
        <v>272</v>
      </c>
    </row>
    <row r="991" customFormat="false" ht="15" hidden="false" customHeight="false" outlineLevel="0" collapsed="false">
      <c r="A991" s="0" t="s">
        <v>3195</v>
      </c>
      <c r="B991" s="0" t="s">
        <v>48</v>
      </c>
      <c r="C991" s="0" t="s">
        <v>198</v>
      </c>
      <c r="D991" s="0" t="s">
        <v>207</v>
      </c>
      <c r="E991" s="0" t="s">
        <v>42</v>
      </c>
      <c r="F991" s="0" t="n">
        <v>12.85</v>
      </c>
      <c r="G991" s="0" t="s">
        <v>1244</v>
      </c>
      <c r="H991" s="0" t="s">
        <v>920</v>
      </c>
      <c r="I991" s="0" t="s">
        <v>945</v>
      </c>
      <c r="J991" s="0" t="s">
        <v>3196</v>
      </c>
      <c r="K991" s="0" t="s">
        <v>3197</v>
      </c>
      <c r="L991" s="0" t="n">
        <v>0.5</v>
      </c>
      <c r="M991" s="0" t="n">
        <v>1</v>
      </c>
      <c r="N991" s="0" t="n">
        <v>4310.95</v>
      </c>
      <c r="O991" s="0" t="n">
        <v>2962.59</v>
      </c>
      <c r="P991" s="0" t="n">
        <v>1466.1</v>
      </c>
      <c r="Q991" s="0" t="s">
        <v>25</v>
      </c>
      <c r="R991" s="0" t="s">
        <v>51</v>
      </c>
      <c r="S991" s="0" t="s">
        <v>272</v>
      </c>
    </row>
    <row r="992" customFormat="false" ht="15" hidden="false" customHeight="false" outlineLevel="0" collapsed="false">
      <c r="A992" s="0" t="s">
        <v>3198</v>
      </c>
      <c r="B992" s="0" t="s">
        <v>47</v>
      </c>
      <c r="C992" s="0" t="s">
        <v>206</v>
      </c>
      <c r="D992" s="0" t="s">
        <v>198</v>
      </c>
      <c r="E992" s="0" t="s">
        <v>43</v>
      </c>
      <c r="F992" s="0" t="n">
        <v>16.81</v>
      </c>
      <c r="G992" s="0" t="s">
        <v>482</v>
      </c>
      <c r="H992" s="0" t="s">
        <v>826</v>
      </c>
      <c r="I992" s="0" t="s">
        <v>382</v>
      </c>
      <c r="J992" s="0" t="s">
        <v>3199</v>
      </c>
      <c r="K992" s="0" t="s">
        <v>3200</v>
      </c>
      <c r="L992" s="0" t="n">
        <v>5</v>
      </c>
      <c r="M992" s="0" t="n">
        <v>1</v>
      </c>
      <c r="N992" s="0" t="n">
        <v>8191.83</v>
      </c>
      <c r="O992" s="0" t="n">
        <v>4097.91</v>
      </c>
      <c r="P992" s="0" t="n">
        <v>533.79</v>
      </c>
      <c r="Q992" s="0" t="s">
        <v>23</v>
      </c>
      <c r="R992" s="0" t="s">
        <v>52</v>
      </c>
      <c r="S992" s="0" t="s">
        <v>272</v>
      </c>
    </row>
    <row r="993" customFormat="false" ht="15" hidden="false" customHeight="false" outlineLevel="0" collapsed="false">
      <c r="A993" s="0" t="s">
        <v>3201</v>
      </c>
      <c r="B993" s="0" t="s">
        <v>48</v>
      </c>
      <c r="C993" s="0" t="s">
        <v>198</v>
      </c>
      <c r="D993" s="0" t="s">
        <v>208</v>
      </c>
      <c r="E993" s="0" t="s">
        <v>44</v>
      </c>
      <c r="F993" s="0" t="n">
        <v>12.27</v>
      </c>
      <c r="G993" s="0" t="s">
        <v>1244</v>
      </c>
      <c r="H993" s="0" t="s">
        <v>920</v>
      </c>
      <c r="I993" s="0" t="s">
        <v>370</v>
      </c>
      <c r="J993" s="0" t="s">
        <v>3202</v>
      </c>
      <c r="K993" s="0" t="s">
        <v>3203</v>
      </c>
      <c r="L993" s="0" t="n">
        <v>0.8</v>
      </c>
      <c r="M993" s="0" t="n">
        <v>1</v>
      </c>
      <c r="N993" s="0" t="n">
        <v>3357.29</v>
      </c>
      <c r="O993" s="0" t="n">
        <v>2575.95</v>
      </c>
      <c r="P993" s="0" t="n">
        <v>916.39</v>
      </c>
      <c r="Q993" s="0" t="s">
        <v>24</v>
      </c>
      <c r="R993" s="0" t="s">
        <v>51</v>
      </c>
      <c r="S993" s="0" t="s">
        <v>272</v>
      </c>
    </row>
    <row r="994" customFormat="false" ht="15" hidden="false" customHeight="false" outlineLevel="0" collapsed="false">
      <c r="A994" s="0" t="s">
        <v>3204</v>
      </c>
      <c r="B994" s="0" t="s">
        <v>47</v>
      </c>
      <c r="C994" s="0" t="s">
        <v>205</v>
      </c>
      <c r="D994" s="0" t="s">
        <v>198</v>
      </c>
      <c r="E994" s="0" t="s">
        <v>43</v>
      </c>
      <c r="F994" s="0" t="n">
        <v>9.57</v>
      </c>
      <c r="G994" s="0" t="s">
        <v>605</v>
      </c>
      <c r="H994" s="0" t="s">
        <v>430</v>
      </c>
      <c r="I994" s="0" t="s">
        <v>431</v>
      </c>
      <c r="J994" s="0" t="s">
        <v>3205</v>
      </c>
      <c r="K994" s="0" t="s">
        <v>1349</v>
      </c>
      <c r="L994" s="0" t="n">
        <v>6.2</v>
      </c>
      <c r="M994" s="0" t="n">
        <v>1</v>
      </c>
      <c r="N994" s="0" t="n">
        <v>4723.44</v>
      </c>
      <c r="O994" s="0" t="n">
        <v>3028.58</v>
      </c>
      <c r="P994" s="0" t="n">
        <v>1286.29</v>
      </c>
      <c r="Q994" s="0" t="s">
        <v>22</v>
      </c>
      <c r="R994" s="0" t="s">
        <v>52</v>
      </c>
      <c r="S994" s="0" t="s">
        <v>222</v>
      </c>
    </row>
    <row r="995" customFormat="false" ht="15" hidden="false" customHeight="false" outlineLevel="0" collapsed="false">
      <c r="A995" s="0" t="s">
        <v>3206</v>
      </c>
      <c r="B995" s="0" t="s">
        <v>47</v>
      </c>
      <c r="C995" s="0" t="s">
        <v>209</v>
      </c>
      <c r="D995" s="0" t="s">
        <v>198</v>
      </c>
      <c r="E995" s="0" t="s">
        <v>44</v>
      </c>
      <c r="F995" s="0" t="n">
        <v>17.75</v>
      </c>
      <c r="G995" s="0" t="s">
        <v>431</v>
      </c>
      <c r="H995" s="0" t="s">
        <v>250</v>
      </c>
      <c r="I995" s="0" t="s">
        <v>299</v>
      </c>
      <c r="J995" s="0" t="s">
        <v>3207</v>
      </c>
      <c r="K995" s="0" t="s">
        <v>1595</v>
      </c>
      <c r="L995" s="0" t="n">
        <v>5.9</v>
      </c>
      <c r="M995" s="0" t="n">
        <v>1</v>
      </c>
      <c r="N995" s="0" t="n">
        <v>10467.64</v>
      </c>
      <c r="O995" s="0" t="n">
        <v>1042.77</v>
      </c>
      <c r="P995" s="0" t="n">
        <v>939.21</v>
      </c>
      <c r="Q995" s="0" t="s">
        <v>21</v>
      </c>
      <c r="R995" s="0" t="s">
        <v>52</v>
      </c>
      <c r="S995" s="0" t="s">
        <v>254</v>
      </c>
    </row>
    <row r="996" customFormat="false" ht="15" hidden="false" customHeight="false" outlineLevel="0" collapsed="false">
      <c r="A996" s="0" t="s">
        <v>3208</v>
      </c>
      <c r="B996" s="0" t="s">
        <v>48</v>
      </c>
      <c r="C996" s="0" t="s">
        <v>198</v>
      </c>
      <c r="D996" s="0" t="s">
        <v>211</v>
      </c>
      <c r="E996" s="0" t="s">
        <v>43</v>
      </c>
      <c r="F996" s="0" t="n">
        <v>17.02</v>
      </c>
      <c r="G996" s="0" t="s">
        <v>276</v>
      </c>
      <c r="H996" s="0" t="s">
        <v>358</v>
      </c>
      <c r="I996" s="0" t="s">
        <v>1926</v>
      </c>
      <c r="J996" s="0" t="s">
        <v>3209</v>
      </c>
      <c r="K996" s="0" t="s">
        <v>3210</v>
      </c>
      <c r="L996" s="0" t="n">
        <v>1.6</v>
      </c>
      <c r="M996" s="0" t="n">
        <v>1</v>
      </c>
      <c r="N996" s="0" t="n">
        <v>7323.8</v>
      </c>
      <c r="O996" s="0" t="n">
        <v>2009.08</v>
      </c>
      <c r="P996" s="0" t="n">
        <v>656.65</v>
      </c>
      <c r="Q996" s="0" t="s">
        <v>25</v>
      </c>
      <c r="R996" s="0" t="s">
        <v>52</v>
      </c>
      <c r="S996" s="0" t="s">
        <v>272</v>
      </c>
    </row>
    <row r="997" customFormat="false" ht="15" hidden="false" customHeight="false" outlineLevel="0" collapsed="false">
      <c r="A997" s="0" t="s">
        <v>3211</v>
      </c>
      <c r="B997" s="0" t="s">
        <v>47</v>
      </c>
      <c r="C997" s="0" t="s">
        <v>206</v>
      </c>
      <c r="D997" s="0" t="s">
        <v>198</v>
      </c>
      <c r="E997" s="0" t="s">
        <v>42</v>
      </c>
      <c r="F997" s="0" t="n">
        <v>19.11</v>
      </c>
      <c r="G997" s="0" t="s">
        <v>657</v>
      </c>
      <c r="H997" s="0" t="s">
        <v>396</v>
      </c>
      <c r="I997" s="0" t="s">
        <v>588</v>
      </c>
      <c r="J997" s="0" t="s">
        <v>3212</v>
      </c>
      <c r="K997" s="0" t="s">
        <v>3213</v>
      </c>
      <c r="L997" s="0" t="n">
        <v>0.4</v>
      </c>
      <c r="M997" s="0" t="n">
        <v>1</v>
      </c>
      <c r="N997" s="0" t="n">
        <v>6242.02</v>
      </c>
      <c r="O997" s="0" t="n">
        <v>1274.01</v>
      </c>
      <c r="P997" s="0" t="n">
        <v>1010.74</v>
      </c>
      <c r="Q997" s="0" t="s">
        <v>22</v>
      </c>
      <c r="R997" s="0" t="s">
        <v>51</v>
      </c>
      <c r="S997" s="0" t="s">
        <v>222</v>
      </c>
    </row>
    <row r="998" customFormat="false" ht="15" hidden="false" customHeight="false" outlineLevel="0" collapsed="false">
      <c r="A998" s="0" t="s">
        <v>3214</v>
      </c>
      <c r="B998" s="0" t="s">
        <v>47</v>
      </c>
      <c r="C998" s="0" t="s">
        <v>206</v>
      </c>
      <c r="D998" s="0" t="s">
        <v>198</v>
      </c>
      <c r="E998" s="0" t="s">
        <v>44</v>
      </c>
      <c r="F998" s="0" t="n">
        <v>9.65</v>
      </c>
      <c r="G998" s="0" t="s">
        <v>1261</v>
      </c>
      <c r="H998" s="0" t="s">
        <v>954</v>
      </c>
      <c r="I998" s="0" t="s">
        <v>1080</v>
      </c>
      <c r="J998" s="0" t="s">
        <v>3215</v>
      </c>
      <c r="K998" s="0" t="s">
        <v>3216</v>
      </c>
      <c r="L998" s="0" t="n">
        <v>3.1</v>
      </c>
      <c r="M998" s="0" t="n">
        <v>1</v>
      </c>
      <c r="N998" s="0" t="n">
        <v>4517.72</v>
      </c>
      <c r="O998" s="0" t="n">
        <v>4659.01</v>
      </c>
      <c r="P998" s="0" t="n">
        <v>564.41</v>
      </c>
      <c r="Q998" s="0" t="s">
        <v>21</v>
      </c>
      <c r="R998" s="0" t="s">
        <v>51</v>
      </c>
      <c r="S998" s="0" t="s">
        <v>247</v>
      </c>
    </row>
    <row r="999" customFormat="false" ht="15" hidden="false" customHeight="false" outlineLevel="0" collapsed="false">
      <c r="A999" s="0" t="s">
        <v>3217</v>
      </c>
      <c r="B999" s="0" t="s">
        <v>47</v>
      </c>
      <c r="C999" s="0" t="s">
        <v>209</v>
      </c>
      <c r="D999" s="0" t="s">
        <v>198</v>
      </c>
      <c r="E999" s="0" t="s">
        <v>43</v>
      </c>
      <c r="F999" s="0" t="n">
        <v>2.05</v>
      </c>
      <c r="G999" s="0" t="s">
        <v>1244</v>
      </c>
      <c r="H999" s="0" t="s">
        <v>286</v>
      </c>
      <c r="I999" s="0" t="s">
        <v>304</v>
      </c>
      <c r="J999" s="0" t="s">
        <v>3218</v>
      </c>
      <c r="K999" s="0" t="s">
        <v>3219</v>
      </c>
      <c r="L999" s="0" t="n">
        <v>0.2</v>
      </c>
      <c r="M999" s="0" t="n">
        <v>1</v>
      </c>
      <c r="N999" s="0" t="n">
        <v>1817.83</v>
      </c>
      <c r="O999" s="0" t="n">
        <v>2960.89</v>
      </c>
      <c r="P999" s="0" t="n">
        <v>858.29</v>
      </c>
      <c r="Q999" s="0" t="s">
        <v>21</v>
      </c>
      <c r="R999" s="0" t="s">
        <v>52</v>
      </c>
      <c r="S999" s="0" t="s">
        <v>228</v>
      </c>
    </row>
    <row r="1000" customFormat="false" ht="15" hidden="false" customHeight="false" outlineLevel="0" collapsed="false">
      <c r="A1000" s="0" t="s">
        <v>3220</v>
      </c>
      <c r="B1000" s="0" t="s">
        <v>47</v>
      </c>
      <c r="C1000" s="0" t="s">
        <v>209</v>
      </c>
      <c r="D1000" s="0" t="s">
        <v>198</v>
      </c>
      <c r="E1000" s="0" t="s">
        <v>43</v>
      </c>
      <c r="F1000" s="0" t="n">
        <v>16.73</v>
      </c>
      <c r="G1000" s="0" t="s">
        <v>262</v>
      </c>
      <c r="H1000" s="0" t="s">
        <v>1417</v>
      </c>
      <c r="I1000" s="0" t="s">
        <v>1370</v>
      </c>
      <c r="J1000" s="0" t="s">
        <v>3221</v>
      </c>
      <c r="K1000" s="0" t="s">
        <v>3222</v>
      </c>
      <c r="L1000" s="0" t="n">
        <v>1.7</v>
      </c>
      <c r="M1000" s="0" t="n">
        <v>1</v>
      </c>
      <c r="N1000" s="0" t="n">
        <v>7752.95</v>
      </c>
      <c r="O1000" s="0" t="n">
        <v>4930.75</v>
      </c>
      <c r="P1000" s="0" t="n">
        <v>1360.25</v>
      </c>
      <c r="Q1000" s="0" t="s">
        <v>24</v>
      </c>
      <c r="R1000" s="0" t="s">
        <v>51</v>
      </c>
      <c r="S1000" s="0" t="s">
        <v>272</v>
      </c>
    </row>
    <row r="1001" customFormat="false" ht="15" hidden="false" customHeight="false" outlineLevel="0" collapsed="false">
      <c r="A1001" s="0" t="s">
        <v>3223</v>
      </c>
      <c r="B1001" s="0" t="s">
        <v>47</v>
      </c>
      <c r="C1001" s="0" t="s">
        <v>199</v>
      </c>
      <c r="D1001" s="0" t="s">
        <v>198</v>
      </c>
      <c r="E1001" s="0" t="s">
        <v>44</v>
      </c>
      <c r="F1001" s="0" t="n">
        <v>14.07</v>
      </c>
      <c r="G1001" s="0" t="s">
        <v>1140</v>
      </c>
      <c r="H1001" s="0" t="s">
        <v>709</v>
      </c>
      <c r="I1001" s="0" t="s">
        <v>409</v>
      </c>
      <c r="J1001" s="0" t="s">
        <v>3224</v>
      </c>
      <c r="K1001" s="0" t="s">
        <v>3225</v>
      </c>
      <c r="L1001" s="0" t="n">
        <v>5.4</v>
      </c>
      <c r="M1001" s="0" t="n">
        <v>1</v>
      </c>
      <c r="N1001" s="0" t="n">
        <v>5637.64</v>
      </c>
      <c r="O1001" s="0" t="n">
        <v>4671.39</v>
      </c>
      <c r="P1001" s="0" t="n">
        <v>887.07</v>
      </c>
      <c r="Q1001" s="0" t="s">
        <v>24</v>
      </c>
      <c r="R1001" s="0" t="s">
        <v>51</v>
      </c>
      <c r="S1001" s="0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2026-10-07T20:59:59Z</dcterms:created>
  <dc:creator>openpyxl</dc:creator>
  <dc:description/>
  <dc:language>en-US</dc:language>
  <cp:lastModifiedBy/>
  <dcterms:modified xsi:type="dcterms:W3CDTF">2026-10-07T20:59:59Z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